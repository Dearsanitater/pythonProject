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tabRatio="877" activeTab="10"/>
  </bookViews>
  <sheets>
    <sheet name="Sheet1" sheetId="1" r:id="rId1"/>
    <sheet name="2026042000hbase1" sheetId="2" r:id="rId2"/>
    <sheet name="2026042000hbase2" sheetId="3" r:id="rId3"/>
    <sheet name="2026042011hbase0" sheetId="4" r:id="rId4"/>
    <sheet name="2026042011hbase1" sheetId="5" r:id="rId5"/>
    <sheet name="2026042015hbase0" sheetId="6" r:id="rId6"/>
    <sheet name="2026042015hbase1" sheetId="7" r:id="rId7"/>
    <sheet name="2026042016hbase0" sheetId="8" r:id="rId8"/>
    <sheet name="2026042016hbase1" sheetId="9" r:id="rId9"/>
    <sheet name="2026042017hbase0" sheetId="10" r:id="rId10"/>
    <sheet name="2026042017hbase1"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<sst xmlns="http://schemas.openxmlformats.org/spreadsheetml/2006/main" count="114018" uniqueCount="2388">
  <si>
    <t>utf8</t>
  </si>
  <si>
    <t>gb18030</t>
  </si>
  <si>
    <t>gbk</t>
  </si>
  <si>
    <t>oracle</t>
  </si>
  <si>
    <t>char表索引比对不对</t>
  </si>
  <si>
    <t>sqlserver目前的问题：</t>
  </si>
  <si>
    <t>postgre</t>
  </si>
  <si>
    <t>ok</t>
  </si>
  <si>
    <t>不支持</t>
  </si>
  <si>
    <t>科学计数法</t>
  </si>
  <si>
    <t>索引类型、复合索引区分不明确</t>
  </si>
  <si>
    <t>二进制-string</t>
  </si>
  <si>
    <t>mysql</t>
  </si>
  <si>
    <t>所有约束、索引貌似没有获取到，断点调试没反应</t>
  </si>
  <si>
    <t>时间戳-string</t>
  </si>
  <si>
    <t>布尔类型-true、false字符串</t>
  </si>
  <si>
    <t>ob_mysql</t>
  </si>
  <si>
    <t>ob_oracle</t>
  </si>
  <si>
    <t>opengauss</t>
  </si>
  <si>
    <t>tdsql_postgre</t>
  </si>
  <si>
    <t>tdsql_mysql</t>
  </si>
  <si>
    <t>dws</t>
  </si>
  <si>
    <t>msssql</t>
  </si>
  <si>
    <t>datetime2 毫秒位进位问题</t>
  </si>
  <si>
    <t>备库gbk获取报错</t>
  </si>
  <si>
    <t>sqlserver查询转码位字符串解决</t>
  </si>
  <si>
    <t>python限制fetch参数</t>
  </si>
  <si>
    <t>timestamp 二进制转码问题</t>
  </si>
  <si>
    <t>unique列获取有误</t>
  </si>
  <si>
    <t>pg</t>
  </si>
  <si>
    <t>kafka</t>
  </si>
  <si>
    <t>time009 日期类型建表自带默认值字段部分丢失</t>
  </si>
  <si>
    <t>默认值为空</t>
  </si>
  <si>
    <t>sql-oracle</t>
  </si>
  <si>
    <t>date-date(timestamp without time zone</t>
  </si>
  <si>
    <t>空字符串处理为null</t>
  </si>
  <si>
    <t>更换loader解决</t>
  </si>
  <si>
    <t>bit-boolean(numric</t>
  </si>
  <si>
    <t>虚拟列</t>
  </si>
  <si>
    <t>正在解决</t>
  </si>
  <si>
    <t>汉字表名添加约束报错标识列过长</t>
  </si>
  <si>
    <t>_pg</t>
  </si>
  <si>
    <t xml:space="preserve">variant </t>
  </si>
  <si>
    <t>time</t>
  </si>
  <si>
    <t>text</t>
  </si>
  <si>
    <t>geom</t>
  </si>
  <si>
    <t>binary</t>
  </si>
  <si>
    <t>yuangonggongzibiao</t>
  </si>
  <si>
    <t>bt1空字元</t>
  </si>
  <si>
    <t>check英文大小写问题</t>
  </si>
  <si>
    <t>char3000转为clob</t>
  </si>
  <si>
    <t>loader</t>
  </si>
  <si>
    <t>\\172.20.64.7\i2soft\i2soft\i2soft\i2stream\loader\loader-rdbms\feature\rdbms-loader\i2stream-loader-7.1.77.23091621.rdbms.tar.gz</t>
  </si>
  <si>
    <t>mssnode</t>
  </si>
  <si>
    <t>7.1.74.23082816</t>
  </si>
  <si>
    <t>monitor</t>
  </si>
  <si>
    <t>\\172.20.64.7\i2soft\i2soft\i2soft\i2stream\monitor\monitor-all\iastream-monitor-7.1.75.23091210.tar.gz</t>
  </si>
  <si>
    <t>备端helper</t>
  </si>
  <si>
    <t xml:space="preserve"> 7.1.74.23091317</t>
  </si>
  <si>
    <t>sqlserver-dm</t>
  </si>
  <si>
    <t>全</t>
  </si>
  <si>
    <t>增</t>
  </si>
  <si>
    <t>./i2stream/loader-rdbms/bin/launch client.sh -list db mapping</t>
  </si>
  <si>
    <t>sglserver-&gt;mysql</t>
  </si>
  <si>
    <t>sqlserver</t>
  </si>
  <si>
    <t>time009</t>
  </si>
  <si>
    <t>def丢失</t>
  </si>
  <si>
    <t>oceanbase oracle-&gt;oracle</t>
  </si>
  <si>
    <t>sglserver-oracle</t>
  </si>
  <si>
    <t>i2no011</t>
  </si>
  <si>
    <t>达梦中负值带括号</t>
  </si>
  <si>
    <t>oceanbase oracle-&gt;lightdb</t>
  </si>
  <si>
    <t>sglserver-&gt;postgresgl</t>
  </si>
  <si>
    <t>I2_NO010</t>
  </si>
  <si>
    <t>复合主键聚合索引</t>
  </si>
  <si>
    <t>oceanbase oracle-&gt;oceanbase oracle</t>
  </si>
  <si>
    <t>sglserver-&gt;opengauss</t>
  </si>
  <si>
    <t>oceanbase mysql-&gt;oceanbase mysql</t>
  </si>
  <si>
    <t>db2</t>
  </si>
  <si>
    <t>oceanbase mysql-&gt;mysgl</t>
  </si>
  <si>
    <t>sglserver-&gt;oceanbase mysql</t>
  </si>
  <si>
    <t>dm</t>
  </si>
  <si>
    <t>sglserver-&gt;oceanbase oracle</t>
  </si>
  <si>
    <t>sqlserver-&gt;dm8</t>
  </si>
  <si>
    <t>oracle：</t>
  </si>
  <si>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</si>
  <si>
    <t>oracle可在null列上增加主键</t>
  </si>
  <si>
    <t>oracle-&gt;db2</t>
  </si>
  <si>
    <t>集成开发</t>
  </si>
  <si>
    <t>oracle-&gt;mysql</t>
  </si>
  <si>
    <t>以数据为中心</t>
  </si>
  <si>
    <t>拓展性：语法检查、解释执行</t>
  </si>
  <si>
    <t>oracle-&gt;oracle</t>
  </si>
  <si>
    <t>用户交互：断点、编辑、调试、替换、配置</t>
  </si>
  <si>
    <t>oracle-&gt;postgresql</t>
  </si>
  <si>
    <t>数据管理：脚本语言、语法树、可视模型、调试编译信息</t>
  </si>
  <si>
    <t>oracle-&gt;tdsgl mysal</t>
  </si>
  <si>
    <t>进程通信风格</t>
  </si>
  <si>
    <t>oracle-&gt;tdsql postgresql</t>
  </si>
  <si>
    <t>构件是独立的过程，连接件是消息传递。构件通常是命名过程，消息传递的方式可以是点对点、异步或同步方式，以及远程过程(方法）调用等。</t>
  </si>
  <si>
    <t>oracle-&gt;dm</t>
  </si>
  <si>
    <t>数据库访问方式</t>
  </si>
  <si>
    <t>在线访问</t>
  </si>
  <si>
    <t>oracle-&gt;opengauss</t>
  </si>
  <si>
    <t>dao</t>
  </si>
  <si>
    <t>oracle-&gt;gaussdb t</t>
  </si>
  <si>
    <t>dto</t>
  </si>
  <si>
    <t>oracle-&gt;gianbase</t>
  </si>
  <si>
    <t>orm对象关系映射，平台</t>
  </si>
  <si>
    <t>oracle-&gt;qianbase xtp</t>
  </si>
  <si>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</si>
  <si>
    <t>oracle-&gt;oceanbase oracle</t>
  </si>
  <si>
    <t>数据流：由一组成分确定的数据构成</t>
  </si>
  <si>
    <t>数据流图和流程图区别：</t>
  </si>
  <si>
    <t>oracle-&gt;tidb</t>
  </si>
  <si>
    <t>外部实体：人、物</t>
  </si>
  <si>
    <t>数据流图可以并行表示程序，流程图只能同时表示一个</t>
  </si>
  <si>
    <t>oracle-&gt;sundb</t>
  </si>
  <si>
    <t>架构：处理数据的单元，接受数据并输出</t>
  </si>
  <si>
    <t>数据流图表示数据流，流程图表示控制流</t>
  </si>
  <si>
    <t>oracle-&gt;informix</t>
  </si>
  <si>
    <t>数据存储：静态存储：文件、数据库</t>
  </si>
  <si>
    <t>流图中程序遵循的时钟可以不同，流程图必须遵循一个时钟</t>
  </si>
  <si>
    <t>oracle-&gt;stonedb</t>
  </si>
  <si>
    <t>流图：逻辑建模，流程图：物理建模</t>
  </si>
  <si>
    <t>oracle-&gt;lightdb</t>
  </si>
  <si>
    <t>25/10.27</t>
  </si>
  <si>
    <t>dm-&gt;mysgl</t>
  </si>
  <si>
    <t>info_binary_dml_single_pk</t>
  </si>
  <si>
    <t>序号</t>
  </si>
  <si>
    <t>问题</t>
  </si>
  <si>
    <t>方案</t>
  </si>
  <si>
    <t>dm-&gt;goldendb</t>
  </si>
  <si>
    <t>XML备端多了location标签</t>
  </si>
  <si>
    <t>1、xml转为xml对象，locaton标签对xml对象无影响</t>
  </si>
  <si>
    <t>dm-&gt;oracle</t>
  </si>
  <si>
    <t>2、正则去掉备端字符串中的location标签</t>
  </si>
  <si>
    <t>dm-&gt;postgresgl</t>
  </si>
  <si>
    <t>源端二进制备端字符串，只有源端进行了转换</t>
  </si>
  <si>
    <t>1、备端字符串前加0x，转为二进制对象对比</t>
  </si>
  <si>
    <t>2、源端先不转成</t>
  </si>
  <si>
    <t>dm-&gt;tdsgl postgresql</t>
  </si>
  <si>
    <t>浮点/real精度问题</t>
  </si>
  <si>
    <t>1、源端查询时获取字符串</t>
  </si>
  <si>
    <t>dm-vdm</t>
  </si>
  <si>
    <t>2、模糊匹配</t>
  </si>
  <si>
    <t>dm-&gt;opengauss</t>
  </si>
  <si>
    <t>dm-&gt;oceanbase oracle</t>
  </si>
  <si>
    <t>db2-&gt;db2</t>
  </si>
  <si>
    <t>db2-&gt;mysql</t>
  </si>
  <si>
    <t>db2-&gt;oracle</t>
  </si>
  <si>
    <t>db2-&gt;postgresgl</t>
  </si>
  <si>
    <t>db2-&gt;dm</t>
  </si>
  <si>
    <t>db2-&gt;opengauss</t>
  </si>
  <si>
    <t>db2-&gt;oceanbase oracle</t>
  </si>
  <si>
    <t>sqlserver -- 2026042000hbase</t>
  </si>
  <si>
    <t>源端共计 202个表，备端共计 202个表</t>
  </si>
  <si>
    <t>表名</t>
  </si>
  <si>
    <t>pk</t>
  </si>
  <si>
    <t>default</t>
  </si>
  <si>
    <t>唯一</t>
  </si>
  <si>
    <t>复合唯一</t>
  </si>
  <si>
    <t>check</t>
  </si>
  <si>
    <t>源ck_def</t>
  </si>
  <si>
    <t>备check</t>
  </si>
  <si>
    <t>索引</t>
  </si>
  <si>
    <t>复合索引</t>
  </si>
  <si>
    <t>状态</t>
  </si>
  <si>
    <t>表内容</t>
  </si>
  <si>
    <t>info_text_dml_single_pk_irp</t>
  </si>
  <si>
    <t>[0;34m info_text_dml_single_pk_irp [0m源备字段数相同，源端字段：3 	备端字段3</t>
  </si>
  <si>
    <t>YES 源备无差异</t>
  </si>
  <si>
    <t>tgt行 ['10',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备：6b76aa85c3c8a32b93f7bf96cc01b184</t>
  </si>
  <si>
    <t>tgt行 ['1', 'POINT31.2396999999999991121.499799999999993']列，源：None 备：2f9857b3adce7fd734a67787d560c40f</t>
  </si>
  <si>
    <t>tgt行 ['2', '&lt;Panel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YSize="80"&gt;&lt;/Size&gt;&lt;CameraID&gt;4402057040372&lt;/CameraID&gt;&lt;/Panel&gt;']列，源：None 备：fb2c0e0e9118ab914f13f87b3d0de40d</t>
  </si>
  <si>
    <t>tgt行 ['2', 'LINESTRING116.29999999999999739.8999999999999986116.40000000000000639.7999999999999972116.539.7000000000000028']列，源：None 备：5f0b18ed1dd974f4c60c909062b8e47b</t>
  </si>
  <si>
    <t>tgt行 ['16', '', '', '', '', '', '', '', '', '', '', '', '', '', '', '123456789000000002003480098300000000000', '340282306073709652508363335600000000000', '123456.789', '1234.5678', '1']列，源：None 备：bd2a48339d77dbd935f5a501c060bab3</t>
  </si>
  <si>
    <t>tgt行 ['2', '']列，源：None 备：090d8bcb2d9d15c11e38e2091bef3450</t>
  </si>
  <si>
    <t>tgt行 ['1',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备：aafc1bc31ce5ea26eaa983b3685d0a17</t>
  </si>
  <si>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备：59dedff963d0ece8831d6918dc5d62bc</t>
  </si>
  <si>
    <t>tgt行 ['2', 'A', 'THIS IS A 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']列，源：None 备：a67bde8985bb2f46bbe43461de5a2d53</t>
  </si>
  <si>
    <t>tgt行 ['2', ' ', '                    ', '                                                                                                                                                                                                        ']列，源：None 备：952e045a20dc81f3648efcbb256a91a7</t>
  </si>
  <si>
    <t>tgt行 ['5',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备：fc3fa3a42bc6b4d1df46a77eb9936080</t>
  </si>
  <si>
    <t>tgt行 ['1',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备：aa825436d99f98ad1293543a249719d0</t>
  </si>
  <si>
    <t>tgt行 ['1', '00000000000140A6']列，源：None 备：6ced172a559dbddfdaa01fb48eda62d7</t>
  </si>
  <si>
    <t>tgt行 ['1', '€',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备：84359eb458ef929461bfd5c78a436c5f</t>
  </si>
  <si>
    <t>tgt行 ['2', ' ', '                    ', '                                                                                                                                                                                                                                                                                                                                                                                                                                                                                                                                                                                                                                                                                                                                                                                                                                                                                                                                                                                                                                                                                                                                                                                                                                                                                                                                                                                                                                                                                                                                                                                                                                                                                                                                                                                                                                                                                                                                                                                                                                                                                                                                                                                                                                                                                                                                                                                                                                                                                                                                                                                                                                                                                                                                                                                                                                                                                                                                                                                                                                                                                                                                                                                                                                                                                                                                                                                                                                                                                                                                                                                                                                                                                                                                                                                                                                                                                                                                                                                                                                                                                                                                                                                                                                                                                                                                                                                                                                                                                                                                                                                                                                                                                                                                                                                                                                                                                                                                                                                                                                                                                                                                                                                                                                                                                                                                                                                                                                                                                                                                                                                                                                                                                                                                                                                                                                                                                                                                                                                                                                                                                                                                                                                                                                                                                                                                                                                                                                                                                                                                                                                                                                                                                                                                                                                                                                                                                                                                                                                                                                                                                                                                                                                                                                                                                        ']列，源：None 备：e6e9184d117f9a63cd2a757d28d0a88d</t>
  </si>
  <si>
    <t>tgt行 ['1', '00000000000140A8']列，源：None 备：c4a631cc49b1ece088e9574b7a0c047d</t>
  </si>
  <si>
    <t>tgt行 ['3',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备：2535d7e0c3ec960bc33f8ab727398f45</t>
  </si>
  <si>
    <t>tgt行 ['1', '', '', '', '', '', '', '', '', '', '', '', '', '', '', '', '', '', '', '', '', '', '', '', '0000000000014075']列，源：None 备：7abaefa2c8afbb2b9b3e08d55a00fa66</t>
  </si>
  <si>
    <t>tgt行 ['1', 'POINT116.40399999999999639.9149999999999991']列，源：None 备：b3e7106ad9a11321686edb9c26bd4332</t>
  </si>
  <si>
    <t>tgt行 ['1', '2046-05-11', '18:10:06.1234567', '2012-05-11 14:30:45.1234567', '1999-05-11 15:30:45.1234567 +01:00', '255', '32767', '2147483647', '2012-10-01 14:30:00', '0', '922337203685477.5807', '2000-05-01 23:59:59.993', '6.62607e-34', '1', '123456789012.1234', 'B6B0C3D4-E8F9-4A5B-6C7D-8E9F0A1B2C3E', '1234.5678', '1234567890123', '0x7661726961626C65206C656E6774682062696E61', '这是一个中文字符串', '0xBAA32324255E262A2D3D0000000000000000', '*TEST英255Val方&amp;    ', '*TEST英255Val方&amp;', '&amp;TooLong英255Val方!   ', '0000000000014078']列，源：None 备：e12b5d542c41be07dbdadfa650e49edd</t>
  </si>
  <si>
    <t>tgt行 ['3', '2034-02-21', '03:59:59.9999999', '2012-05-11 14:30:45.1234567', '1991-05-11 00:00:00.0000001 +14:00', '10', '-12768', '-147483648', '2013-10-01 14:30:00', '-1.4e+38', '-122337203685477.5808', '1999-12-30 23:59:59.997', '-1.79e+30', '1', '-2000000000000', 'C1B0C3D4-E8F9-4A5B-6C7D-8E9F0A1B2C3D', '-114748.3648', '-1223372036854775808', '0x31313131313031323334353637383930', '!TooLong英255Val方&amp;', '0x4023D3A2B7BDC8EDBCFEB9C9B7DDB9ABCBBE0000', '*TooLong英255Val方&amp; ', '~Long英255Val方&amp;', '`Long英255Val方&amp;      ', '000000000001407D']列，源：None 备：63c35d02b6f3aaac0ab42ee869249e92</t>
  </si>
  <si>
    <t>tgt行 ['1', 'POINT55.9271035250275972-3.29431266523898003']列，源：None 备：0189664abdeb5b6a9065cd20f83885a9</t>
  </si>
  <si>
    <t>tgt行 ['4', '2054-02-21', '23:19:59.9999999', '2002-05-11 14:30:45.1234567', '1991-05-11 00:00:00.0000001 +14:00', '77', '-1768', '-17483648', '2023-09-01 14:30:00', '-1.4e+38', '-12337203685477.5808', '1995-12-30 23:59:59.997', '-1.79e+30', '0', '-2000000000000', 'C1B0C3D4-E8F9-4A5B-6C7D-8E9F0A1B2C3D', '-114748.3648', '-1223372036854775808', '0x31313131313031323334353637383930', '!TooLong英255Val方&amp;', '0x4023D3A2B7BDC8EDBCFEB9C9B7DDB9ABCBBE0000', '*TooLong英255Val方&amp; ', '~Long英255Val方&amp;', '`Long英255Val方&amp;      ', '0000000000014085']列，源：None 备：499cdf357672db4de76c90d50dbf94c0</t>
  </si>
  <si>
    <t>tgt行 ['2', 'LINESTRING116.40399999999999639.9149999999999991121.47400000000000431.2300000000000004']列，源：None 备：c9d8ea29a73cd769ea282abbf5201bb1</t>
  </si>
  <si>
    <t>YES</t>
  </si>
  <si>
    <t>NULL</t>
  </si>
  <si>
    <t>YES!PK__info_tex__3213E83FC3C2EBF1</t>
  </si>
  <si>
    <t>YES! 主键相关索引</t>
  </si>
  <si>
    <t xml:space="preserve"> NO!  	 id列源备映射错误，源端为int None位	期望更改为text	实际备端为int None位</t>
  </si>
  <si>
    <t>tgt行 ['4',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备：958db1b6ff607890f7deb310508eb2cb</t>
  </si>
  <si>
    <t>tgt行 ['5', '&lt;Panel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YSize="80"&gt;&lt;/Size&gt;&lt;CameraID&gt;4402032040414&lt;/CameraID&gt;&lt;/Panel&gt;']列，源：None 备：9fa8197f93d63f2f91a3ebf9458242de</t>
  </si>
  <si>
    <t>src行 ['2', 'LINESTRING116.339.9116.439.8116.539.7']列，源：f9e07eccb5ddfd9492efb14425cbd3cc 备：None</t>
  </si>
  <si>
    <t>tgt行 ['17', '', '', '', '', '', '', '', '', '', '', '', '', '', '', '-123456789000000002003480098300000000000', '-340282306073709652508363335600000000000', '-123456.789', '-1234.5678', '0']列，源：None 备：7147e084238ecd6123743b4b9a65290e</t>
  </si>
  <si>
    <t>tgt行 ['2',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备：9ad209c118603c7e223c3bfde6285d97</t>
  </si>
  <si>
    <t>tgt行 ['5', '']列，源：None 备：82374ec1090b34777f1263e34f705522</t>
  </si>
  <si>
    <t>tgt行 ['123',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备：d98a9cea4a29b2fcf81fcaca6976687a</t>
  </si>
  <si>
    <t>tgt行 ['103',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备：2b64fefdc2636742469bd0a9d32b3966</t>
  </si>
  <si>
    <t>tgt行 ['10',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备：3a0993bd679f14d025adf4fa7d4b73a3</t>
  </si>
  <si>
    <t>tgt行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备：3fc6041fd76d8754295c5886448da618</t>
  </si>
  <si>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备：9a93dcca444304e4522e0a37b4535e3f</t>
  </si>
  <si>
    <t>tgt行 ['4', 'X',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备：ad5c99a3120d51749865005021b56ae8</t>
  </si>
  <si>
    <t>tgt行 ['3', ' ', '                    ', '                                                                                                                                                                                                        ']列，源：None 备：ca81084d09d29d3717a537534160ab3a</t>
  </si>
  <si>
    <t>tgt行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备：86fc697c4f402aefe34e23269138d429</t>
  </si>
  <si>
    <t>tgt行 ['2',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备：f27fbb0efa641d1b8b591b83188194ac</t>
  </si>
  <si>
    <t>tgt行 ['2', '00000000000140A7']列，源：None 备：b58d78aeb32b9f4b1b9d9da02ea37301</t>
  </si>
  <si>
    <t>tgt行 ['3', '6', '12345678901234567890', '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']列，源：None 备：99fb6203bf5c34e5bfa79f6e3601b75d</t>
  </si>
  <si>
    <t>tgt行 ['4', ' ', '                    ', '                                                                                                                                                                                                                                                                                                                                                                                                                                                                                                                                                                                                                                                                                                                                                                                                                                                                                                                                                                                                                                                                                                                                                                                                                                                                                                                                                                                                                                                                                                                                                                                                                                                                                                                                                                                                                                                                                                                                                                                                                                                                                                                                                                                                                                                                                                                                                                                                                                                                                                                                                                                                                                                                                                                                                                                                                                                                                                                                                                                                                                                                                                                                                                                                                                                                                                                                                                                                                                                                                                                                                                                                                                                                                                                                                                                                                                                                                                                                                                                                                                                                                                                                                                                                                                                                                                                                                                                                                                                                                                                                                                                                                                                                                                                                                                                                                                                                                                                                                                                                                                                                                                                                                                                                                                                                                                                                                                                                                                                                                                                                                                                                                                                                                                                                                                                                                                                                                                                                                                                                                                                                                                                                                                                                                                                                                                                                                                                                                                                                                                                                                                                                                                                                                                                                                                                                                                                                                                                                                                                                                                                                                                                                                                                                                                                                                        ']列，源：None 备：95ad0c0fc0728efd6176ee2613a1550d</t>
  </si>
  <si>
    <t>src行 ['1', 'TIMESTAMP不参与比较']列，源：1fa6ac0b33511e6ec200d0974dfee5a0 备：None</t>
  </si>
  <si>
    <t>tgt行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备：48dfc04adf15f13bc786957ab66a62da</t>
  </si>
  <si>
    <t>tgt行 ['2', '2020-02-29', '23:59:59.9999999', '2046-05-11 14:30:45.1234567', '1971-05-11 00:00:00.0000001 +14:00', '0', '-32768', '-2147483648', '2023-10-01 14:30:00', '-3.4e+38', '-922337203685477.5808', '9999-12-30 23:59:59.997', '-1.79e+308', '0', '-1000000000000000', 'A7B0C3D4-E8F9-4A5B-6C7D-8E9F0A1B2C3D', '-214748.3648', '-9223372036854775808', '0x3132333435363738393031323334353637383930', '$TooLong英255Val方&amp;', '0xBAA3D3A2B7BDC8EDBCFEB9C9B7DDB9ABCBBE', '$TooLong英255Val方&amp; ', '$TooLong英255Val方&amp;', '$TooLong英255Val方&amp;   ', '0000000000014076']列，源：None 备：496390c8ce97771225511ea35e410c40</t>
  </si>
  <si>
    <t>tgt行 ['124',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备：944ddd9354f32fae47e859f1bc219874</t>
  </si>
  <si>
    <t>tgt行 ['2', '', '', '', '', '', '', '', '', '', '', '', '', '', '', '', '', '', '', '', '', '', '', '', '000000000001407A']列，源：None 备：926ea3587e97de207dee802ada747401</t>
  </si>
  <si>
    <t>src行 ['3', '02 21 2034', '3:59AM', '05 11 2012  2:30PM', '05 11 1991 12:00AM +14:00', '10', '-12768', '-147483648', '10  1 2013  2:30PM', '-1.4e+038', '-122337203685477.58', '12 30 1999 11:59PM', '-1.79e+030', '1', '-2000000000000', 'C1B0C3D4-E8F9-4A5B-6C7D-8E9F0A1B2C3D', '-114748.36', '-1223372036854775808', '0x31313131313031323334353637383930', '!TooLong英255Val方&amp;', '0x4023D3A2B7BDC8EDBCFEB9C9B7DDB9ABCBBE0000', '*TooLong英255Val方&amp; ', '~Long英255Val方&amp;', '`Long英255Val方&amp;      ', 'TIMESTAMP不参与比较']列，源：e9cd43155ac15617b1b04702dabaa40a 备：None</t>
  </si>
  <si>
    <t>tgt行 ['3', 'POLYGON-122.35800000000000447.6529999999999987-122.34799999999999947.6490000000000009-122.34799999999999947.6580000000000013-122.35800000000000447.6580000000000013-122.35800000000000447.6529999999999987']列，源：None 备：a8ec4dbb66ea32bae49c014e45636c6e</t>
  </si>
  <si>
    <t>src行 ['4', '02 21 2054', '11:19PM', '05 11 2002  2:30PM', '05 11 1991 12:00AM +14:00', '77', '-1768', '-17483648', '09  1 2023  2:30PM', '-1.4e+038', '-12337203685477.58', '12 30 1995 11:59PM', '-1.79e+030', '0', '-2000000000000', 'C1B0C3D4-E8F9-4A5B-6C7D-8E9F0A1B2C3D', '-114748.36', '-1223372036854775808', '0x31313131313031323334353637383930', '!TooLong英255Val方&amp;', '0x4023D3A2B7BDC8EDBCFEB9C9B7DDB9ABCBBE0000', '*TooLong英255Val方&amp; ', '~Long英255Val方&amp;', '`Long英255Val方&amp;      ', 'TIMESTAMP不参与比较']列，源：3bb24ff2c7a3fd567e39cf78040a783b 备：None</t>
  </si>
  <si>
    <t>tgt行 ['5', 'POLYGON-122.35800000000000447.6529999999999987-122.34799999999999947.6490000000000009-122.34799999999999947.6580000000000013-122.35800000000000447.6580000000000013-122.35800000000000447.6529999999999987']列，源：None 备：efaec24864edf0ba97922e1575b74a52</t>
  </si>
  <si>
    <t>tgt行 ['104',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备：d740782f966042dd2328064901c362dc</t>
  </si>
  <si>
    <t>YES! 	 c_text列源备映射正确，源端为text 2147483647位	期望更改为text	实际备端为text 2147483647位</t>
  </si>
  <si>
    <t>tgt行 ['3', 'POLYGON114.04999999999999722.5399999999999991114.06000000000000222.5399999999999991114.06000000000000222.5500000000000007114.04999999999999722.5500000000000007114.04999999999999722.5399999999999991']列，源：None 备：b0cc19ab47b6ed5379aea2021b88f5c6</t>
  </si>
  <si>
    <t>src行 ['2', '&lt;Panel PanelNo="10"&gt;&lt;DecoderID&gt;4402032520085&lt;/DecoderID&gt;&lt;Name&gt;海康B20解码器10&lt;/Name&gt;&lt;IP&gt;44.43.85.6&lt;/IP&gt;&lt;CommPort&gt;200&lt;/CommPort&gt;&lt;Chanel&gt;16842762&lt;/Chanel&gt;&lt;Location Xlocation="1100" Ylocation="20"/&gt;&lt;Size XSize="120" YSize="80"/&gt;&lt;CameraID&gt;4402057040372&lt;/CameraID&gt;&lt;/Panel&gt;']列，源：b0094a4b44297a7dc7c214331feb1ce3 备：None</t>
  </si>
  <si>
    <t>tgt行 ['19', '', '', '', '', '', '', '', '', '', '', '', '', '', '', '340282346600000016151267322100000000000', '340282306073709652508363335600000000000', '922337203685477.5807', '214748.3647', '1']列，源：None 备：2c5e5b5396d191aadfe06ab3699e64e4</t>
  </si>
  <si>
    <t>tgt行 ['3',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备：6585f9533028777473df29ce98580ea0</t>
  </si>
  <si>
    <t>src行 ['2', '/']列，源：1863203c3dc3eb634853d840e8a83eec 备：None</t>
  </si>
  <si>
    <t>tgt行 ['124',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备：712af64afaeb584bba321e12e9e2a987</t>
  </si>
  <si>
    <t>tgt行 ['104',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备：2d146f806e5197666bf170423e6fdd42</t>
  </si>
  <si>
    <t>tgt行 ['2',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备：a41ffdb37c2e9bc021a4ece8065ebeb2</t>
  </si>
  <si>
    <t>src行 ['1',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'0']列，源：24cc99f44d784b92d8b60eda937b0306 备：None</t>
  </si>
  <si>
    <t>src行 ['2', 'A                             ', 'THIS IS A TESTCASEYF          ', 'AAAAAAAAAAAAAAAAAAAAAAAAAAAAAA']列，源：e46acab24bdd103c9a5ad558843c84f3 备：None</t>
  </si>
  <si>
    <t>tgt行 ['4', ' ', '                    ', '                                                                                                                                                                                                        ']列，源：None 备：cbd12b54382a05911266addbd3de3910</t>
  </si>
  <si>
    <t>src行 ['5', 'A', 'VARIABLE LENGTH BINA', 'TESTTESTTESTTESTTESTTESTTESTTESTTESTTESTTESTTESTTESTTESTTESTTESTTESTTESTTESTTESTTESTTESTTESTTESTTESTTESTTESTTESTTESTTESTTESTTESTTESTTESTTESTTESTTESTTESTTESTTESTTESTTESTTESTTESTTESTTESTTESTTESTTESTTEST']列，源：551afa6f99791e5801bbf00eb573de25 备：None</t>
  </si>
  <si>
    <t>tgt行 ['3',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备：8b4116d5f5d0bd3d6034736faafaa001</t>
  </si>
  <si>
    <t>src行 ['2', '                              ', '                              ', '                              ']列，源：fc385ad38ebf527ebbe6a6bb8d5b2cbd 备：None</t>
  </si>
  <si>
    <t>src行 ['3', 'X', 'THIS IS A TEST STRIN', 'CASECASECASECASECASECASECASECASECASECASECASECASECASECASECASECASECASECASECASECASECASECASECASECASECASECASECASECASECASECASECASECASECASECASECASECASECASECASECASECASECASECASECASECASECASECASECASECASECASECASE']列，源：a973e1f4d37bae1c6634231cb281e32b 备：None</t>
  </si>
  <si>
    <t>src行 ['1', '', '', '', '', '', '', '', '', '', '', '', '', '', '', '', '', '', '', '', '', '', '', '', 'TIMESTAMP不参与比较']列，源：c063c27c525e0ffa2f638361d8ad5572 备：None</t>
  </si>
  <si>
    <t>tgt行 ['125',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备：fd9497a5b2aca32eb66b276aaacf9304</t>
  </si>
  <si>
    <t>src行 ['1', '05 11 2046', '6:10PM', '05 11 2012  2:30PM', '05 11 1999  3:30PM +01:00', '255', '32767', '2147483647', '10  1 2012  2:30PM', '0', '922337203685477.5807', '05  1 2000 11:59PM', '6.62607e-034', '1', '123456789012.1234', 'B6B0C3D4-E8F9-4A5B-6C7D-8E9F0A1B2C3E', '1234.5678', '1234567890123', '0x7661726961626C65206C656E6774682062696E61', '这是一个中文字符串', '0xC9CFBAA32324255E262A2D3D0000000000000000', '*TEST英255Val方&amp;    ', '*TEST英255Val方&amp;', '&amp;TooLong英255Val方!   ', 'TIMESTAMP不参与比较']列，源：ec38c80ccda62c46d49a77fbd46a5546 备：None</t>
  </si>
  <si>
    <t>src行 ['1', 'POINT55.9271035250276-3.29431266523898']列，源：17b755fd86c80a6b01539f12a08efc29 备：None</t>
  </si>
  <si>
    <t>src行 ['2', 'LINESTRING116.40439.915121.47431.23']列，源：3064e08cb4b217df2c21689bc99ccfb8 备：None</t>
  </si>
  <si>
    <t>tgt行 ['105',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备：6b3ab5df9f681a315c246f32464e715d</t>
  </si>
  <si>
    <t xml:space="preserve"> NO!  	 c_ntext列源备映射错误，源端为ntext 2147483646位	期望更改为text	实际备端为ntext 2147483646位</t>
  </si>
  <si>
    <t>tgt行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None 备：90fc1b96bdd98be0ebddf18e2e4b44e8</t>
  </si>
  <si>
    <t>src行 ['1', 'POINT31.2397121.4998']列，源：97f1381802053e405b078cba695c9180 备：None</t>
  </si>
  <si>
    <t>src行 ['5', '&lt;Panel PanelNo="11"&gt;&lt;DecoderID&gt;4402032520086&lt;/DecoderID&gt;&lt;Name&gt;海康B20解码器11&lt;/Name&gt;&lt;IP&gt;44.43.85.6&lt;/IP&gt;&lt;CommPort&gt;200&lt;/CommPort&gt;&lt;Chanel&gt;16842763&lt;/Chanel&gt;&lt;Location Xlocation="1220" Ylocation="20"/&gt;&lt;Size XSize="120" YSize="80"/&gt;&lt;CameraID&gt;4402032040414&lt;/CameraID&gt;&lt;/Panel&gt;']列，源：9f842fa98126312b3d4bd8a2fc99e8f9 备：None</t>
  </si>
  <si>
    <t>tgt行 ['20', '', '', '', '', '', '', '', '', '', '', '', '', '', '', '-340282346600000016151267322100000000000', '-340282306073709652508363335600000000000', '-922337203685477.5808', '-214748.3648', '0']列，源：None 备：e9e44d25bc97e58176fe725acd08b284</t>
  </si>
  <si>
    <t>tgt行 ['4',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备：4da826735017b0e4951dc174cecd1475</t>
  </si>
  <si>
    <t>src行 ['5', '/']列，源：f1cad2934f3b4af849d5e55b081255f8 备：None</t>
  </si>
  <si>
    <t>src行 ['2',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'1']列，源：e797376797ac47602c6d3a1d12743f3a 备：None</t>
  </si>
  <si>
    <t>src行 ['4', 'X                             ', 'This is a char strin          ', 'This is a char strinThis is a ']列，源：85c0d09490f6fc6a6c5ead2713f03945 备：None</t>
  </si>
  <si>
    <t>tgt行 ['5', 'A', 'THIS IS A TESTCASEYF', 'AAAAAAAAAAAAAAAAAAAAAAAAAAAAAAAAAAAAAAAAAAAAAAAAAAAAAAAAAAAAAAAAAAAAAAAAAAAAAAAAAAAAAAAAAAAAAAAAAAAAAAAAAAAAAAAAAAAAAAAAAAAAAAAAAAAAAAAAAAAAAAAAAAAAAAAAAAAAAAAAAAAAAAAAAAAAAAAAAAAAAAAAAAAAAAAAAAAAAAAA']列，源：None 备：cd6b3f8e9900313921449a1a29859d74</t>
  </si>
  <si>
    <t>src行 ['7',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85aae296604832f712b828f549d4f5b 备：None</t>
  </si>
  <si>
    <t>tgt行 ['4',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备：c04647135e80abc905c63adcb9577ea2</t>
  </si>
  <si>
    <t>src行 ['2', 'TIMESTAMP不参与比较']列，源：b7928a4a28c3c063b1294eabf833de20 备：None</t>
  </si>
  <si>
    <t>tgt行 ['5', '?', '€?I€?               ', '€?I€?€?I€?€?I€?€?I€?€?I€?€?I€?€?I€?€?I€?€?I€?€?I€?€?I€?€?I€?€?I€?€?I€?€?I€?€?I€?€?I€?€?I€?€?I€?€?I€?€?I€?€?I€?€?I€?€?I€?€?I€?€?I€?€?I€?€?I€?€?I€?€?I€?€?I€?€?I€?€?I€?€?I€?€?I€?€?I€?€?I€?€?I€?€?I€?€?I€?€?I€?€?I€?€?I€?€?I€?€?I€?€?I€?€?I€?€?I€?€?I€?€?I€?€?I€?€?I€?€?I€?€?I€?€?I€?€?I€?€?I€?€?I€?€?I€?€?I€?€?I€?€?I€?€?I€?€?I€?€?I€?€?I€?€?I€?€?I€?€?I€?€?I€?€?I€?€?I€?€?I€?€?I€?€?I€?€?I€?€?I€?€?I€?€?I€?€?I€?€?I€?€?I€?€?I€?€?I€?€?I€?€?I€?€?I€?€?I€?€?I€?€?I€?€?I€?€?I€?€?I€?€?I€?€?I€?€?I€?€?I€?€?I€?€?I€?€?I€?€?I€?€?I€?€?I€?€?I€?€?I€?€?I€?€?I€?€?I€?€?I€?€?I€?€?I€?€?I€?€?I€?€?I€?€?I€?€?I€?€?I€?€?I€?€?I€?€?I€?€?I€?€?I€?€?I€?€?I€?€?I€?€?I€?€?I€?€?I€?€?I€?€?I€?€?I€?€?I€?€?I€?€?I€?€?I€?€?I€?€?I€?€?I€?€?I€?€?I€?€?I€?€?I€?€?I€?€?I€?€?I€?€?I€?€?I€?€?I€?€?I€?€?I€?€?I€?€?I€?€?I€?€?I€?€?I€?€?I€?€?I€?€?I€?€?I€?€?I€?€?I€?€?I€?€?I€?€?I€?€?I€?€?I€?€?I€?€?I€?€?I€?€?I€?€?I€?€?I€?€?I€?€?I€?€?I€?€?I€?€?I€?€?I€?€?I€?€?I€?€?I€?€?I€?€?I€?€?I€?€?I€?€?I€?€?I€?€?I€?€?I€?€?I€?€?I€?€?I€?€?I€?€?I€?€?I€?€?I€?€?I€?€?I€?€?I€?€?I€?                                                                                                                                                                                                                                                                                                                                                                                                                                                                                                                                                                                                                                                                                                                                                                                                                                                                                                                                                                                                                                                                                                                                                                                                                                                                                                                                                                                                                                                                                                                                                                                                                                                                                                                                                                                                                                                                                                                                                                                                                                                                                                                                                                                                                                                                                                                                                                                                                                                                                                                                                                                                                                                                                                                                                                                                                                                                                                                                                                                                                                                                                                                                                                                                                                                                                                                                                                                                                                                                                                                                                                                                                                                                                                                                                                                                                                                                                                                                                                                                                                                                                                                                                                                                                                                                                                                                                                                                                                                                                                                                                                                                                                                                                                                                                                                                                                                                                                                                                                                                                                                                                                                                                                                                                                                                                                                                                                                                                                                                                                                                                                                                                                                                                                                                                                                                                                                                                                                                                                                                                                                                                                                                                                                                                                                ']列，源：None 备：0cc90592b8029f64baaf14f0c7b71028</t>
  </si>
  <si>
    <t>tgt行 ['5', 'B', '这是一个中文字符串  ',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']列，源：None 备：8a0217e8e7a6b6eb402bc7c2b3f8fa50</t>
  </si>
  <si>
    <t>src行 ['4', '                              ', '                              ', '                              ']列，源：1a30d04e78eafcf96147f6ef9e7869cb 备：None</t>
  </si>
  <si>
    <t>src行 ['8',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备：None</t>
  </si>
  <si>
    <t>src行 ['2', '02 29 2020', '11:59PM', '05 11 2046  2:30PM', '05 11 1971 12:00AM +14:00', '0', '-32768', '-2147483648', '10  1 2023  2:30PM', '-3.4e+038', '-922337203685477.58', '12 30 9999 11:59PM', '-1.79e+308', '0', '-1000000000000000', 'A7B0C3D4-E8F9-4A5B-6C7D-8E9F0A1B2C3D', '-214748.36', '-9223372036854775808', '0x3132333435363738393031323334353637383930', '$TooLong英255Val方&amp;', '0xC9CFBAA3D3A2B7BDC8EDBCFEB9C9B7DDB9ABCBBE', '$TooLong英255Val方&amp; ', '$TooLong英255Val方&amp;', '$TooLong英255Val方&amp;   ', 'TIMESTAMP不参与比较']列，源：a5c72d278c431b112cbfd0b2b27dbe88 备：None</t>
  </si>
  <si>
    <t>tgt行 ['7', '54', '48656C6C6F576F726C64', '48656C6C6F576F726C645465737444617461']列，源：None 备：b1e35a32cb0d92e9c785414822a0a3a6</t>
  </si>
  <si>
    <t>tgt行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None 备：770f03aa8e65e57a703c204d5de232b3</t>
  </si>
  <si>
    <t>tgt行 ['127', '54', '48656C6C6F576F726C64', '48656C6C6F576F726C645465737444617461']列，源：None 备：93d2be01942f471211944d4936ce9631</t>
  </si>
  <si>
    <t>src行 ['2', '', '', '', '', '', '', '', '', '', '', '', '', '', '', '', '', '', '', '', '', '', '', '', 'TIMESTAMP不参与比较']列，源：f45264ac0aec5c21519a54fddd8f8a31 备：None</t>
  </si>
  <si>
    <t>src行 ['3', 'POLYGON-122.35847.653-122.34847.649-122.34847.658-122.35847.658-122.35847.653']列，源：7f876a78567df83bea73feff674a7c57 备：None</t>
  </si>
  <si>
    <t>tgt行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备：7c6bda8ac607acd38287cfdc6198af48</t>
  </si>
  <si>
    <t>src行 ['5', 'POLYGON-122.35847.653-122.34847.649-122.34847.658-122.35847.658-122.35847.653']列，源：95be8b5f52ac81cc957a0f6ef217a3b5 备：None</t>
  </si>
  <si>
    <t>tgt行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备：cb444043f5ef4ada91cf27a559468e86</t>
  </si>
  <si>
    <t>info_datetimeoffset_dml_single_pk_urp</t>
  </si>
  <si>
    <t>[0;34m info_datetimeoffset_dml_single_pk_urp [0m源备字段数相同，源端字段：9 	备端字段9</t>
  </si>
  <si>
    <t>src行 ['16', '', '', '', '', '', '', '', '', '', '', '', '', '', '', '123456789000000002003480098325095514112', '340282306073709652508363335590014353408', '123456.789', '1234.5678', '1']列，源：3438157f09e0f03dd18a5ed7d3b2efa2 备：None</t>
  </si>
  <si>
    <t>tgt行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备：5eda62e478f83422b2bf066a299b70a3</t>
  </si>
  <si>
    <t>tgt行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备：7a9a51c7643de0bb08bef0ea7de6a17e</t>
  </si>
  <si>
    <t>tgt行 ['4',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备：aa536903baac67d043c98ff794a8dc04</t>
  </si>
  <si>
    <t>tgt行 ['7', 'a', 'this is a testcaseyf', 'aaaaaaaaaaaaaaaaaaaaaaaaaaaaaaaaaaaaaaaaaaaaaaaaaaaaaaaaaaaaaaaaaaaaaaaaaaaaaaaaaaaaaaaaaaaaaaaaaaaaaaaaaaaaaaaaaaaaaaaaaaaaaaaaaaaaaaaaaaaaaaaaaaaaaaaaaaaaaaaaaaaaaaaaaaaaaaaaaaaaaaaaaaaaaaaaaaaaaaaa']列，源：None 备：0408fb3b4a0e22f0c795bbb71b84c2ef</t>
  </si>
  <si>
    <t>tgt行 ['5',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备：24f34f7e9ec3bcf2b8647d2cff06a0c7</t>
  </si>
  <si>
    <t>tgt行 ['6', '&amp;', '测试数据更新        ', '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测试数据                                                                                                                                                                                                                                                                                                                                                                                                                                                                                                                                                                                                                                                                                                                                                                                                                                                                                                                                                                                                                                                                                                                                                                                                                                                                                                                                                                                                                                                                                                                                                                                                                                                                                                                                                                                                                                                                                                                                                                                                                                                                                                                                                                                                                                                                                                                                                                                                                                                                                                                                                                                                                                                                                                                                                                                                                                                                                                                                                                                                                                                                                                                                                                                                                                                                                                                                                                                                                                                                                                                                                                                                                                                                                                                                                                                                                                                                                                                                                                                                                                                                                                                                                                                                                                                                                                                                                                                                                                                                                                                                                                                                                                                                                                                                                                                                                                                                                                                                                                                                                                                                                                                                                                                                                                                                                                                                                                                                                                                                                                                                                                                                                        ']列，源：None 备：1e9591fad80a4ffb68abc976df373212</t>
  </si>
  <si>
    <t>tgt行 ['6', '6', 'This is a char strin', 'This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']列，源：None 备：85c442207b8dda7e37515caf072c81bb</t>
  </si>
  <si>
    <t>tgt行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备：0a104d284ac01e1025345effbe0db7c2</t>
  </si>
  <si>
    <t>src行 ['1', 'POINT116.40439.915']列，源：d0f01e2a66cec7de966b17c4a147acf1 备：None</t>
  </si>
  <si>
    <t>tgt行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备：c955b52c8a453c9b76a7f88c6e22a8d3</t>
  </si>
  <si>
    <t>tgt行 ['107', '54', '48656C6C6F576F726C64', '48656C6C6F576F726C645465737444617461']列，源：None 备：8973bee83d9b4d18b1dd02c2c85ca768</t>
  </si>
  <si>
    <t>YES!PK__info_dat__3213E83F0D45F8E0</t>
  </si>
  <si>
    <t>src行 ['3', 'POLYGON114.0522.54114.0622.54114.0622.55114.0522.55114.0522.54']列，源：0c89246214862d013f6e8ef5da304900 备：None</t>
  </si>
  <si>
    <t>src行 ['17', '', '', '', '', '', '', '', '', '', '', '', '', '', '', '-123456789000000002003480098325095514112', '-340282306073709652508363335590014353408', '-123456.789', '-1234.5678', '0']列，源：9b47f6be506be3570e101da80534e058 备：None</t>
  </si>
  <si>
    <t>tgt行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备：68002f8ad24c33efcab7cc850d8b69f3</t>
  </si>
  <si>
    <t>tgt行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备：2a96c6437dc3553236ef66a25763f980</t>
  </si>
  <si>
    <t>tgt行 ['5',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备：840d8008a16a06fbfc36e438e6763d65</t>
  </si>
  <si>
    <t>tgt行 ['6', '8', '$TooLong英255Val方&amp; ',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']列，源：None 备：e0f45f18313ac7572e546b28dbac662e</t>
  </si>
  <si>
    <t>tgt行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']列，源：None 备：b98014e1bfbdcebab5173f940163fede</t>
  </si>
  <si>
    <t>tgt行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备：3512be2cbb0c2333a84e373020b4f43c</t>
  </si>
  <si>
    <t>tgt行 ['24',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备：e2c2431628705203e897ac3def8c0186</t>
  </si>
  <si>
    <t xml:space="preserve"> NO!  	 c_dtoffset_0列源备映射错误，源端为datetimeoffset None位	期望更改为text	实际备端为datetimeoffset None位</t>
  </si>
  <si>
    <t>src行 ['19', '', '', '', '', '', '', '', '', '', '', '', '', '', '', '340282346600000016151267322115014000640', '340282306073709652508363335590014353408', '922337203685477.5807', '214748.3647', '1']列，源：006afe1a87339ae24ba160a9084d0707 备：None</t>
  </si>
  <si>
    <t>tgt行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备：edf5868c649d5d04537afc63a3b5ad5d</t>
  </si>
  <si>
    <t>tgt行 ['6',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备：9c5b8890d8c817ba3ceaff1b96f854c5</t>
  </si>
  <si>
    <t>tgt行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None 备：9ccf79077f0148a1a7ff32e4161dd30b</t>
  </si>
  <si>
    <t>src行 ['3', '                              ', '                              ', '                              ']列，源：bb5cbde64e6e367ffc733f5b630f9590 备：None</t>
  </si>
  <si>
    <t>src行 ['1', '8                             ', '$TooLong英255Val方&amp;             ', '$TooLong英255Val方&amp;$TooLong英255V']列，源：10142578aa2d7b6a21b1106bde469f74 备：None</t>
  </si>
  <si>
    <t>src行 ['3', '6                             ', '12345678901234567890          ', '123456712345671234567123456712']列，源：47c2d095e71720bf592a95986a0b4c4b 备：None</t>
  </si>
  <si>
    <t>tgt行 ['8', '8', '12345678901234567890', '2825628257                                                                                                                                                                                                                                                                                                                                                                                                                                                                                                                                                                                                                                                                                                                                                                                                                                                                                                                                                                                                                                                                                                                                                                                                                                                                                                                                                                                                                                                                                                                                                                                                                                                                                                                                                                                                                                                                                                                                                                                                                                                                                                                                                                                                                                                                                                                                                                                                                                                                                                                                                                                                                                                                                                                                                                                                                                                                                                                                                                                                                                                                                                                                                                                                                                                                                                                                                                                                                                                                                                                                                                                                                                                                                                                                                                                                                                                                                                                                                                                                                                                                                                                                                                                                                                                                                                                                                                                                                                                                                                                                                                                                                                                                                                                                                                                                                                                                                                                                                                                                                                                                                                                                                                                                                                                                                                                                                                                                                                                                                                                                                                                                                                                                                                                                                                                                                                                                                                                                                                                                                                                                                                                                                                                                                                                                                                                                                                                                                                                                                                                                                                                                                                                                                                                                                                                                                                                                                                                                                                                                                                                                                                                                                                                                                                                                              ']列，源：None 备：9d4491ab5e7d7d92a2b96eb80d363109</t>
  </si>
  <si>
    <t>src行 ['4', ' ', '          ', '                                                                                                                                                                                                        ']列，源：aee2089d3c49b56bff7bb08d0e73891b 备：None</t>
  </si>
  <si>
    <t>tgt行 ['25',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备：9b43e2c0416ce48dcc05f68a834f19f9</t>
  </si>
  <si>
    <t>tgt行 ['7', '255', '32767', '2147483647', '9223372036854775807', '', '', '', '', '', '', '', '', '', '', '', '', '', '', '']列，源：None 备：40913b37c5e68ffe3e0791ff7ffc2253</t>
  </si>
  <si>
    <t>tgt行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备：ab0c15fba71d0f33366b9ff631a3614d</t>
  </si>
  <si>
    <t xml:space="preserve"> NO!  	 c_dtoffset_1列源备映射错误，源端为datetimeoffset None位	期望更改为text	实际备端为datetimeoffset None位</t>
  </si>
  <si>
    <t>src行 ['20', '', '', '', '', '', '', '', '', '', '', '', '', '', '', '-340282346600000016151267322115014000640', '-340282306073709652508363335590014353408', '-922337203685477.5808', '-214748.3648', '0']列，源：741e189a437c3bb338106470ab813776 备：None</t>
  </si>
  <si>
    <t>tgt行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备：34b7ed63247f47087617490d69f49e9c</t>
  </si>
  <si>
    <t>tgt行 ['110',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备：cf046bc0af6dcaea34a5d696cb465520</t>
  </si>
  <si>
    <t>tgt行 ['7',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备：a57bfbfe500f78668503cf258b5eb2fa</t>
  </si>
  <si>
    <t>src行 ['2', '8                             ', '$TooLong英255Val方&amp;             ', '$TooLong英255Val方&amp;$TooLong英255V']列，源：23e049be2dd9055c6b6d83c6b96aa835 备：None</t>
  </si>
  <si>
    <t>src行 ['1', '€                             ', '$TooLong英255Val方&amp;             ', '$TooLong英255Val方&amp;$TooLong英255V']列，源：aab30699eb23f466f229f99c6a390179 备：None</t>
  </si>
  <si>
    <t>src行 ['6', 'COMPOUNDCURVECIRCULARSTRING-0.127851.5074-0.124351.5064-0.121851.5079-0.121851.5079-0.119351.5094-0.116851.5109CIRCULARSTRING-0.116851.5109-0.114351.5114-0.111851.5109']列，源：41428a5e3d5b48a04f80356370727a93 备：None</t>
  </si>
  <si>
    <t>tgt行 ['27', '54', '48656C6C6F576F726C64', '48656C6C6F576F726C645465737444617461']列，源：None 备：400e2c5311e173bfae28fe97f3a81449</t>
  </si>
  <si>
    <t>tgt行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'1']列，源：None 备：9529dc10faabffead21ab1a52aaa9526</t>
  </si>
  <si>
    <t xml:space="preserve"> NO!  	 c_dtoffset_2列源备映射错误，源端为datetimeoffset None位	期望更改为text	实际备端为datetimeoffset None位</t>
  </si>
  <si>
    <t>src行 ['2',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1999a3d812f6bab0821dbe0e2c033df1 备：None</t>
  </si>
  <si>
    <t>tgt行 ['22',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备：122795b237b25007890ac8ea2482f1c6</t>
  </si>
  <si>
    <t>tgt行 ['8',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备：8f01972c5bc4f8080da6ba23df5a7074</t>
  </si>
  <si>
    <t>src行 ['5', 'A                             ', 'THIS IS A TESTCASEYF          ', 'AAAAAAAAAAAAAAAAAAAAAAAAAAAAAA']列，源：bb124c209427605e4a2fb9a0ae00a1aa 备：None</t>
  </si>
  <si>
    <t>src行 ['3', '8                             ', '$TooLong英255Val方&amp;             ', '$TooLong英255Val方&amp;$TooLong英255V']列，源：83be370f3734affbd9bc29f133e9db64 备：None</t>
  </si>
  <si>
    <t>src行 ['5', '?                             ', '€?I€?                         ', '€?I€?€?I€?€?I€?€?I€?€?I€?€?I€?']列，源：0d1a9e8c01d7b8b057bfe54f732519ce 备：None</t>
  </si>
  <si>
    <t>src行 ['7', 'T', 'HELLOWORLD', 'HELLOWORLDTESTDATA']列，源：00f98436d15b41c303900256c87df655 备：None</t>
  </si>
  <si>
    <t>tgt行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备：ee32379dea1c7adb04a464d9ca4fe854</t>
  </si>
  <si>
    <t>tgt行 ['216', '', '', '', '', '', '', '', '', '', '', '', '', '', '', '123456789000000002003480098300000000000', '340282306073709652508363335600000000000', '123456.789', '1234.5678', '1']列，源：None 备：67d82384c0f155b6e9611f4478e9cc07</t>
  </si>
  <si>
    <t>tgt行 ['54',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备：7b8d787458a43c40206210f99c34bad0</t>
  </si>
  <si>
    <t xml:space="preserve"> NO!  	 c_dtoffset_3列源备映射错误，源端为datetimeoffset None位	期望更改为text	实际备端为datetimeoffset None位</t>
  </si>
  <si>
    <t>src行 ['6',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028f773c93538b8a4e1d46df3eb4f808 备：None</t>
  </si>
  <si>
    <t>src行 ['3',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873536624b91a09c96b643967d9578db 备：None</t>
  </si>
  <si>
    <t>tgt行 ['23',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备：5c9c4540b299f6b2ad4bc523d92a225e</t>
  </si>
  <si>
    <t>tgt行 ['9', '58', '546869732069732061207465737420737472696E', '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列，源：None 备：45056b70a37dbf81caba3fb53cc49bf8</t>
  </si>
  <si>
    <t>tgt行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None 备：7630925c3199f8ee2390a7a1f7cfb850</t>
  </si>
  <si>
    <t>src行 ['7', 'a                             ', 'this is a testcaseyf          ', 'aaaaaaaaaaaaaaaaaaaaaaaaaaaaaa']列，源：6d5ee6ae47f3861d5492b1955e39ba44 备：None</t>
  </si>
  <si>
    <t>src行 ['4', '8                             ', '$TooLong英255Val方&amp;             ', '$TooLong英255Val方&amp;$TooLong英255V']列，源：71f49d254b10d8d970f07a72014c0652 备：None</t>
  </si>
  <si>
    <t>src行 ['6', '&amp;                             ', '测试数据更新                        ', '测试数据测试数据测试数据测试数据测试数据测试数据测试数据测试']列，源：38561689bae8cdc0e56e2fe6507bdc99 备：None</t>
  </si>
  <si>
    <t>src行 ['8',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备：None</t>
  </si>
  <si>
    <t>tgt行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备：df3cb192b9ad25394db3b3bd7bc446ae</t>
  </si>
  <si>
    <t>src行 ['7', '255', '32767', '2147483647', '9223372036854775808', '', '', '', '', '', '', '', '', '', '', '', '', '', '', '']列，源：20f2834ef0775cc8e2a6f6d9df406343 备：None</t>
  </si>
  <si>
    <t>src行 ['6',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备：None</t>
  </si>
  <si>
    <t>tgt行 ['217', '', '', '', '', '', '', '', '', '', '', '', '', '', '', '-123456789000000002003480098300000000000', '-340282306073709652508363335600000000000', '-123456.789', '-1234.5678', '0']列，源：None 备：6cb7eb5489bb2ad741040c62df2dd8fb</t>
  </si>
  <si>
    <t>tgt行 ['55',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备：b4d65f15eefb4fdd8d330cd804e3e265</t>
  </si>
  <si>
    <t xml:space="preserve"> NO!  	 c_dtoffset_4列源备映射错误，源端为datetimeoffset None位	期望更改为text	实际备端为datetimeoffset None位</t>
  </si>
  <si>
    <t>src行 ['4', ' ', '                    ', '                                                                                                                                                                                                        ']列，源：cbd12b54382a05911266addbd3de3910 备：None</t>
  </si>
  <si>
    <t>tgt行 ['24',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备：e5f2ac8016e8990ba26639ee2a43c510</t>
  </si>
  <si>
    <t>src行 ['1', 'X', 'THIS IS A TEST STRIN', 'CASECASECASECASECASECASECASECASECASECASECASECASECASECASECASECASECASECASECASECASECASECASECASECASECASECASECASECASECASECASECASECASECASECASECASECASECASECASECASECASECASECASECASECASECASECASECASECASECASECASE']列，源：32b4de6d1203a1e2c0d85924b501d1c4 备：None</t>
  </si>
  <si>
    <t>src行 ['5', '8                             ', '$TooLong英255Val方&amp;             ', '$TooLong英255Val方&amp;$TooLong英255V']列，源：734dbee17f1d0b30121ce98ef76722fc 备：None</t>
  </si>
  <si>
    <t>src行 ['5', 'B                             ', '这是一个中文字符串                     ', '这是一个长中文字符串这是一个长中文字符串这是一个长中文字符串']列，源：262e3beae2ef98f764002084aa8a1799 备：None</t>
  </si>
  <si>
    <t>src行 ['9', '*', '~!@#$%^&amp;*]', '~!@#$%^&amp;*]~!@#$%^&amp;*]~!@#$%^&amp;*]~!@#$%^&amp;*]~!@#$%^&amp;*]~!@#$%^&amp;*]~!@#$%^&amp;*]~!@#$%^&amp;*]~!@#$%^&amp;*]~!@#$%^&amp;*]~!@#$%^&amp;*]~!@#$%^&amp;*]~!@#$%^&amp;*]~!@#$%^&amp;*]~!@#$%^&amp;*]~!@#$%^&amp;*]~!@#$%^&amp;*]~!@#$%^&amp;*]~!@#$%^&amp;*]~!@#$%^&amp;*]']列，源：fc6f3d0194dbf797cb3a8b1ea2a09d45 备：None</t>
  </si>
  <si>
    <t>tgt行 ['30',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备：201e8a7fe192f34cbe9ec8601ba7da49</t>
  </si>
  <si>
    <t>tgt行 ['219', '', '', '', '', '', '', '', '', '', '', '', '', '', '', '340282346600000016151267322100000000000', '340282306073709652508363335600000000000', '922337203685477.5807', '214748.3647', '1']列，源：None 备：36c10f65ce43771d749e13f6dd1ac288</t>
  </si>
  <si>
    <t>tgt行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None 备：4070d6b1231aa65ea7ee607349a8b999</t>
  </si>
  <si>
    <t xml:space="preserve"> NO!  	 c_dtoffset_5列源备映射错误，源端为datetimeoffset None位	期望更改为text	实际备端为datetimeoffset None位</t>
  </si>
  <si>
    <t>src行 ['2', 'X', 'THIS IS A TEST STRIN', 'CASECASECASECASECASECASECASECASECASECASECASECASECASECASECASECASECASECASECASECASECASECASECASECASECASECASECASECASECASECASECASECASECASECASECASECASECASECASECASECASECASECASECASECASECASECASECASECASECASECASE']列，源：90105aa023631a8f7c5e2988db7a9b07 备：None</t>
  </si>
  <si>
    <t>src行 ['6', '8                             ', '$TooLong英255Val方&amp;             ', '$TooLong英255Val方&amp;$TooLong英255V']列，源：d20607c73c32f2d9efa3ee53fca7e56c 备：None</t>
  </si>
  <si>
    <t>src行 ['6', '6                             ', 'This is a char strin          ', 'This is a char strinThis is a ']列，源：baa3b46ffdcf47b4dce3001066f0d2f2 备：None</t>
  </si>
  <si>
    <t>src行 ['10', '*', '12345678901234567890', '12345678901234567890123456789012345678901234567890123456789012345678901234567890123456789012345678901234567890123456789012345678901234567890123456789012345678901234567890123456789012345678901234567890']列，源：7a355e53ddaf3cba3ad198895c5a3283 备：None</t>
  </si>
  <si>
    <t>tgt行 ['220', '', '', '', '', '', '', '', '', '', '', '', '', '', '', '-340282346600000016151267322100000000000', '-340282306073709652508363335600000000000', '-922337203685477.5808', '-214748.3648', '0']列，源：None 备：ac750537ec3f112db87c754f35178c10</t>
  </si>
  <si>
    <t>tgt行 ['57', '54', '48656C6C6F576F726C64', '48656C6C6F576F726C645465737444617461']列，源：None 备：fe18cf45f942cdc910ef9fbf7b521f39</t>
  </si>
  <si>
    <t xml:space="preserve"> NO!  	 c_dtoffset_6列源备映射错误，源端为datetimeoffset None位	期望更改为text	实际备端为datetimeoffset None位</t>
  </si>
  <si>
    <t>tgt行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备：25a71c204604c2f9d116ea5bdb4fa8bf</t>
  </si>
  <si>
    <t>tgt行 ['53',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备：cb25d2c3a5e9eb1f704cc41324d15223</t>
  </si>
  <si>
    <t>src行 ['7', '*                             ', '!@#%^&amp;()+{}:"&lt;&gt;?];\\n          ', '!@#$%^&amp;*()+{}:"&lt;&gt;?];\\n!@#$%^&amp;*']列，源：be8077831dc9068b93c5dcc43b31b8cd 备：None</t>
  </si>
  <si>
    <t>tgt行 ['52', '255', '32767', '2147483647', '9223372036854775807', '', '', '', '', '', '', '', '', '', '', '', '', '', '', '']列，源：None 备：53ac74c7719a79671a4d3cc61decfa2a</t>
  </si>
  <si>
    <t>tgt行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备：a7b19777d528502d6b0c10fa105e373c</t>
  </si>
  <si>
    <t xml:space="preserve"> NO!  	 c_dtoffset列源备映射错误，源端为datetimeoffset None位	期望更改为text	实际备端为datetimeoffset None位</t>
  </si>
  <si>
    <t>tgt行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备：8f6748fb2b27555360abfb67dd7190f2</t>
  </si>
  <si>
    <t>tgt行 ['54',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备：e4f806543f530a4fb216a784aa5ba0e8</t>
  </si>
  <si>
    <t>src行 ['4', 'X', 'THIS IS A TEST STRIN', 'CASECASECASECASECASECASECASECASECASECASECASECASECASECASECASECASECASECASECASECASECASECASECASECASECASECASECASECASECASECASECASECASECASECASECASECASECASECASECASECASECASECASECASECASECASECASECASECASECASECASE']列，源：163eaa24dcacec021c675ff215a566dd 备：None</t>
  </si>
  <si>
    <t>src行 ['8', '8                             ', '12345678901234567890          ', '2825628257                    ']列，源：cacbc1e128b6a8a06b50a1174cbb19f0 备：None</t>
  </si>
  <si>
    <t>tgt行 ['57', '255', '32767', '2147483647', '9223372036854775807', '', '', '', '', '', '', '', '', '', '', '', '', '', '', '']列，源：None 备：5c6023e590239f39ad2a1e9c217e16e5</t>
  </si>
  <si>
    <t>tgt行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备：a8c63b42cce2f86d0dd42aa967ba1622</t>
  </si>
  <si>
    <t>info_geometry_dml_single_pk_irp</t>
  </si>
  <si>
    <t>[0;34m info_geometry_dml_single_pk_irp [0m源备字段数相同，源端字段：2 	备端字段2</t>
  </si>
  <si>
    <t>src行 ['9', '*', '~!@#$%^&amp;*]\x00\x00\x00\x00\x00\x00\x00\x00\x00\x00', '~!@#$%^&amp;*]~!@#$%^&amp;*]~!@#$%^&amp;*]~!@#$%^&amp;*]~!@#$%^&amp;*]~!@#$%^&amp;*]~!@#$%^&amp;*]~!@#$%^&amp;*]~!@#$%^&amp;*]~!@#$%^&amp;*]~!@#$%^&amp;*]~!@#$%^&amp;*]~!@#$%^&amp;*]~!@#$%^&amp;*]~!@#$%^&amp;*]~!@#$%^&amp;*]~!@#$%^&amp;*]~!@#$%^&amp;*]~!@#$%^&amp;*]~!@#$%^&amp;*]']列，源：829f45b3a365b031668d4867b0187f72 备：None</t>
  </si>
  <si>
    <t>src行 ['5', 'X', 'THIS IS A TEST STRIN', 'CASECASECASECASECASECASECASECASECASECASECASECASECASECASECASECASECASECASECASECASECASECASECASECASECASECASECASECASECASECASECASECASECASECASECASECASECASECASECASECASECASECASECASECASECASECASECASECASECASECASE']列，源：fad126a1abcdd67a71fb8aa49ccc1022 备：None</t>
  </si>
  <si>
    <t>tgt行 ['74', '20', '20202020202020202020',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备：04cc2422112a9508b04736e832ed77e9</t>
  </si>
  <si>
    <t>YES!PK__info_geo__3213E83F82114B83</t>
  </si>
  <si>
    <t>tgt行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备：160cbd251ef6fa62b658e6e46cf4129b</t>
  </si>
  <si>
    <t>tgt行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备：824aed471b191c1e49546f1e09d60d64</t>
  </si>
  <si>
    <t>src行 ['6', 'X', 'THIS IS A TEST STRIN', 'CASECASECASECASECASECASECASECASECASECASECASECASECASECASECASECASECASECASECASECASECASECASECASECASECASECASECASECASECASECASECASECASECASECASECASECASECASECASECASECASECASECASECASECASECASECASECASECASECASECASE']列，源：6b34b20951e143735e4ac57e3cc7754f 备：None</t>
  </si>
  <si>
    <t>src行 ['6',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50fc874ab132cad7e5a8f5b98a2c26de 备：None</t>
  </si>
  <si>
    <t>tgt行 ['75', '41', '5661726961626C65206C656E6774682062696E61', '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列，源：None 备：7d69343dbd7c0f0749d541ca24f2786e</t>
  </si>
  <si>
    <t>tgt行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备：862bdfe71b9b16314a537fc677d9f9be</t>
  </si>
  <si>
    <t>tgt行 ['60',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备：fcd80ba507afe2ebadf1e1c402f060c0</t>
  </si>
  <si>
    <t xml:space="preserve"> NO!  	 c_geometry列源备映射错误，源端为geometry -1位	期望更改为text	实际备端为geometry -1位</t>
  </si>
  <si>
    <t>src行 ['7', 'X', 'THIS IS A TEST STRIN', 'CASECASECASECASECASECASECASECASECASECASECASECASECASECASECASECASECASECASECASECASECASECASECASECASECASECASECASECASECASECASECASECASECASECASECASECASECASECASECASECASECASECASECASECASECASECASECASECASECASECASE']列，源：197bb67756b4e149832b08b7d1a54917 备：None</t>
  </si>
  <si>
    <t>tgt行 ['77', '54', '48656C6C6F576F726C64', '48656C6C6F576F726C645465737444617461']列，源：None 备：617742348b06331bf193530a3114bd57</t>
  </si>
  <si>
    <t>tgt行 ['717', '', '', '', '', '', '', '', '', '', '', '', '', '', '', '-123456789000000002003480098300000000000', '-340282306073709652508363335600000000000', '-123456.789', '-1234.5678', '0']列，源：None 备：f46445b22951f4e13095367fa188bfed</t>
  </si>
  <si>
    <t>info_nvarchar_dml_batch1_pk_urp1</t>
  </si>
  <si>
    <t>[0;34m info_nvarchar_dml_batch1_pk_urp1 [0m源备字段数相同，源端字段：4 	备端字段4</t>
  </si>
  <si>
    <t>tgt行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备：fdc5e51e25231aea2f12b5c852dc71d9</t>
  </si>
  <si>
    <t>src行 ['8', 'X', 'THIS IS A TEST STRIN', 'CASECASECASECASECASECASECASECASECASECASECASECASECASECASECASECASECASECASECASECASECASECASECASECASECASECASECASECASECASECASECASECASECASECASECASECASECASECASECASECASECASECASECASECASECASECASECASECASECASECASE']列，源：fed86c99606d5ffd22fc77d277cecf44 备：None</t>
  </si>
  <si>
    <t>tgt行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None 备：7a777113ef09080bdb607e020b8fcaca</t>
  </si>
  <si>
    <t>tgt行 ['720', '', '', '', '', '', '', '', '', '', '', '', '', '', '', '-340282346600000016151267322100000000000', '-340282306073709652508363335600000000000', '-922337203685477.5808', '-214748.3648', '0']列，源：None 备：5467c4e51329648b4f2e68804bc3400d</t>
  </si>
  <si>
    <t>YES!PK__info_nva__3213E83FDA6AB9D6</t>
  </si>
  <si>
    <t>src行 ['9', 'X', 'THIS IS A TEST STRIN', 'CASECASECASECASECASECASECASECASECASECASECASECASECASECASECASECASECASECASECASECASECASECASECASECASECASECASECASECASECASECASECASECASECASECASECASECASECASECASECASECASECASECASECASECASECASECASECASECASECASECASE']列，源：46ed8bf634468806302042bd88a8dd60 备：None</t>
  </si>
  <si>
    <t>src行 ['9',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备：None</t>
  </si>
  <si>
    <t>tgt行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备：8775abf673e57e7ed55fd2e1f28a51cd</t>
  </si>
  <si>
    <t>tgt行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'0']列，源：None 备：d115184b64a17af51efc43f6a1bbf7b0</t>
  </si>
  <si>
    <t xml:space="preserve"> NO!  	 c_nvarchar列源备映射错误，源端为nvarchar 2位	期望更改为text	实际备端为nvarchar 2位</t>
  </si>
  <si>
    <t>src行 ['10', 'X', 'THIS IS A TEST STRIN', 'CASECASECASECASECASECASECASECASECASECASECASECASECASECASECASECASECASECASECASECASECASECASECASECASECASECASECASECASECASECASECASECASECASECASECASECASECASECASECASECASECASECASECASECASECASECASECASECASECASECASE']列，源：417ef68da502d95583940d2d15437c8b 备：None</t>
  </si>
  <si>
    <t>src行 ['10',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备：None</t>
  </si>
  <si>
    <t>tgt行 ['917', '', '', '', '', '', '', '', '', '', '', '', '', '', '', '-123456789000000002003480098300000000000', '-340282306073709652508363335600000000000', '-123456.789', '-1234.5678', '0']列，源：None 备：8ba1927931549b60d122f79d95db0fd6</t>
  </si>
  <si>
    <t xml:space="preserve"> NO!  	 c_nvarchar20列源备映射错误，源端为nvarchar 40位	期望更改为text	实际备端为nvarchar 40位</t>
  </si>
  <si>
    <t>tgt行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备：2495f5edf73542762ca141228d32323a</t>
  </si>
  <si>
    <t>tgt行 ['80', '2A', '3132333435363738393031323334353637383930', '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列，源：None 备：d0820b30ac35e8b0dd50bddb8d88f6d7</t>
  </si>
  <si>
    <t>tgt行 ['920', '', '', '', '', '', '', '', '', '', '', '', '', '', '', '-340282346600000016151267322100000000000', '-340282306073709652508363335600000000000', '-922337203685477.5808', '-214748.3648', '0']列，源：None 备：7429096790e7fe8b065ec4c3290e90cc</t>
  </si>
  <si>
    <t xml:space="preserve"> NO!  	 c_nvarchar3500列源备映射错误，源端为nvarchar 7000位	期望更改为text	实际备端为nvarchar 7000位</t>
  </si>
  <si>
    <t>info_sdt_dml_batch2_pk_irp2</t>
  </si>
  <si>
    <t>[0;34m info_sdt_dml_batch2_pk_irp2 [0m源备字段数相同，源端字段：2 	备端字段2</t>
  </si>
  <si>
    <t>tgt行 ['73', '00', '0000000000000000000000000000000000000000',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备：60f49ccbb568fcdce9758a168d750410</t>
  </si>
  <si>
    <t>YES!PK__info_sdt__3213E83F81481F05</t>
  </si>
  <si>
    <t>tgt行 ['74', '20', '2020202020202020202020202020202020202020', '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列，源：None 备：a50354e25578ec817944b0de5fc22f4e</t>
  </si>
  <si>
    <t xml:space="preserve"> NO!  	 c_sdt列源备映射错误，源端为smalldatetime None位	期望更改为text	实际备端为smalldatetime None位</t>
  </si>
  <si>
    <t>info_varchar_dml_batch1_pk_drp1</t>
  </si>
  <si>
    <t>[0;34m info_varchar_dml_batch1_pk_drp1 [0m源备字段数相同，源端字段：4 	备端字段4</t>
  </si>
  <si>
    <t>tgt行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None 备：be71a6efe96d13e63ec5cf0e9cbc67c2</t>
  </si>
  <si>
    <t>src行 ['52', '255', '32767', '2147483647', '9223372036854775808', '', '', '', '', '', '', '', '', '', '', '', '', '', '', '']列，源：9edd1ec9c2018553f7a3ba187eeb0c8e 备：None</t>
  </si>
  <si>
    <t>YES!PK__info_var__3213E83FF228FCD7</t>
  </si>
  <si>
    <t>tgt行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None 备：1d7fa5865c1b1c353a9620f0af934484</t>
  </si>
  <si>
    <t>src行 ['54', ' ', '          ', '                                                                                                                                                                                                        ']列，源：4ca80d6579330fcd0314bb8ca7368e13 备：None</t>
  </si>
  <si>
    <t>src行 ['57', '255', '32767', '2147483647', '9223372036854775808', '', '', '', '', '', '', '', '', '', '', '', '', '', '', '']列，源：251b6f3f24ba2b7b6dff7af682630b57 备：None</t>
  </si>
  <si>
    <t xml:space="preserve"> NO!  	 c_varchar列源备映射错误，源端为varchar 1位	期望更改为text	实际备端为varchar 1位</t>
  </si>
  <si>
    <t>src行 ['55', 'A', 'VARIABLE LENGTH BINA', 'TESTTESTTESTTESTTESTTESTTESTTESTTESTTESTTESTTESTTESTTESTTESTTESTTESTTESTTESTTESTTESTTESTTESTTESTTESTTESTTESTTESTTESTTESTTESTTESTTESTTESTTESTTESTTESTTESTTESTTESTTESTTESTTESTTESTTESTTESTTESTTESTTESTTEST']列，源：79619e32607951714825b2e04204a346 备：None</t>
  </si>
  <si>
    <t>src行 ['201',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'0']列，源：4f152e96493c5d138c3c9c9c42ce5a5e 备：None</t>
  </si>
  <si>
    <t xml:space="preserve"> NO!  	 c_varchar20列源备映射错误，源端为varchar 20位	期望更改为text	实际备端为varchar 20位</t>
  </si>
  <si>
    <t>tgt行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None 备：3632e2690e1fa3097ffffcfd78711670</t>
  </si>
  <si>
    <t>src行 ['24', ' ', '          ', '                                                                                                                                                                                                        ']列，源：b2a0132c1cf25d5278a7eccb2f0a049e 备：None</t>
  </si>
  <si>
    <t>src行 ['56',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89720cb4ff77bcefd5c8d9832857e0dd 备：None</t>
  </si>
  <si>
    <t>src行 ['202',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'1']列，源：45436e8217f866e92c7ec83b6b899894 备：None</t>
  </si>
  <si>
    <t xml:space="preserve"> NO!  	 c_varchar7000列源备映射错误，源端为varchar 7000位	期望更改为text	实际备端为varchar 7000位</t>
  </si>
  <si>
    <t>src行 ['25', 'A', 'VARIABLE LENGTH BINA', 'TESTTESTTESTTESTTESTTESTTESTTESTTESTTESTTESTTESTTESTTESTTESTTESTTESTTESTTESTTESTTESTTESTTESTTESTTESTTESTTESTTESTTESTTESTTESTTESTTESTTESTTESTTESTTESTTESTTESTTESTTESTTESTTESTTESTTESTTESTTESTTESTTESTTEST']列，源：2b49cf3b6023a189ddbd39a5cbb3a9f5 备：None</t>
  </si>
  <si>
    <t>src行 ['57', 'T', 'HELLOWORLD', 'HELLOWORLDTESTDATA']列，源：c764dfbdfa837cd561c06f27c7a377d6 备：None</t>
  </si>
  <si>
    <t>src行 ['216', '', '', '', '', '', '', '', '', '', '', '', '', '', '', '123456789000000002003480098325095514112', '340282306073709652508363335590014353408', '123456.789', '1234.5678', '1']列，源：3e48b5ad2ea436a5a2d48e2f600080ef 备：None</t>
  </si>
  <si>
    <t>~ 空表</t>
  </si>
  <si>
    <t>src行 ['53',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584741369e2fd8095f1333a0b2abbd89 备：None</t>
  </si>
  <si>
    <t>src行 ['27', 'T', 'HELLOWORLD', 'HELLOWORLDTESTDATA']列，源：4c830d3f200fb69de06d70f5a51597ef 备：None</t>
  </si>
  <si>
    <t>src行 ['58',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e8b56621a6de586cd9073d7c28cca2c0 备：None</t>
  </si>
  <si>
    <t>src行 ['217', '', '', '', '', '', '', '', '', '', '', '', '', '', '', '-123456789000000002003480098325095514112', '-340282306073709652508363335590014353408', '-123456.789', '-1234.5678', '0']列，源：f031ae94a2b4b8a7c58c995ae54cbb29 备：None</t>
  </si>
  <si>
    <t>info_sdt_dml_batch1_pk_urp1</t>
  </si>
  <si>
    <t>[0;34m info_sdt_dml_batch1_pk_urp1 [0m源备字段数相同，源端字段：2 	备端字段2</t>
  </si>
  <si>
    <t>src行 ['54', ' ', '                    ', '                                                                                                                                                                                                        ']列，源：c5d24085e838e223001e8369d093d938 备：None</t>
  </si>
  <si>
    <t>src行 ['28',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fdb4645b4072da2909899283be63857d 备：None</t>
  </si>
  <si>
    <t>src行 ['59', '*', '~!@#$%^&amp;*]', '~!@#$%^&amp;*]~!@#$%^&amp;*]~!@#$%^&amp;*]~!@#$%^&amp;*]~!@#$%^&amp;*]~!@#$%^&amp;*]~!@#$%^&amp;*]~!@#$%^&amp;*]~!@#$%^&amp;*]~!@#$%^&amp;*]~!@#$%^&amp;*]~!@#$%^&amp;*]~!@#$%^&amp;*]~!@#$%^&amp;*]~!@#$%^&amp;*]~!@#$%^&amp;*]~!@#$%^&amp;*]~!@#$%^&amp;*]~!@#$%^&amp;*]~!@#$%^&amp;*]']列，源：f1b06bab0c6a30c687d06ce8f2d45656 备：None</t>
  </si>
  <si>
    <t>src行 ['219', '', '', '', '', '', '', '', '', '', '', '', '', '', '', '340282346600000016151267322115014000640', '340282306073709652508363335590014353408', '922337203685477.5807', '214748.3647', '1']列，源：fba35677ad8b6df3b892966581664a8a 备：None</t>
  </si>
  <si>
    <t>YES!PK__info_sdt__3213E83F2F056759</t>
  </si>
  <si>
    <t>src行 ['29', '*', '~!@#$%^&amp;*]', '~!@#$%^&amp;*]~!@#$%^&amp;*]~!@#$%^&amp;*]~!@#$%^&amp;*]~!@#$%^&amp;*]~!@#$%^&amp;*]~!@#$%^&amp;*]~!@#$%^&amp;*]~!@#$%^&amp;*]~!@#$%^&amp;*]~!@#$%^&amp;*]~!@#$%^&amp;*]~!@#$%^&amp;*]~!@#$%^&amp;*]~!@#$%^&amp;*]~!@#$%^&amp;*]~!@#$%^&amp;*]~!@#$%^&amp;*]~!@#$%^&amp;*]~!@#$%^&amp;*]']列，源：95a5ecf8ed1d05184782805e5adcc719 备：None</t>
  </si>
  <si>
    <t>src行 ['60', '*', '12345678901234567890', '12345678901234567890123456789012345678901234567890123456789012345678901234567890123456789012345678901234567890123456789012345678901234567890123456789012345678901234567890123456789012345678901234567890']列，源：479808f66d281042546d46624139cb82 备：None</t>
  </si>
  <si>
    <t>src行 ['220', '', '', '', '', '', '', '', '', '', '', '', '', '', '', '-340282346600000016151267322115014000640', '-340282306073709652508363335590014353408', '-922337203685477.5808', '-214748.3648', '0']列，源：78ff8bac2e5a5bbb4d1ab2f4e874de55 备：None</t>
  </si>
  <si>
    <t>src行 ['57',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371da2d5c63b877a8480a86676ec036c 备：None</t>
  </si>
  <si>
    <t>src行 ['30', '*', '12345678901234567890', '12345678901234567890123456789012345678901234567890123456789012345678901234567890123456789012345678901234567890123456789012345678901234567890123456789012345678901234567890123456789012345678901234567890']列，源：291f5c37193b0779370c47d7ed78b453 备：None</t>
  </si>
  <si>
    <t>src行 ['104', ' ', '          ', '                                                                                                                                                                                                        ']列，源：f39a1bc6b219c39ecdb9183b9830e9e9 备：None</t>
  </si>
  <si>
    <t>src行 ['701',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'0']列，源：36a5cc5f12929735b83a74c25c0c0968 备：None</t>
  </si>
  <si>
    <t>info_xml_dml_single_pk_irp</t>
  </si>
  <si>
    <t>[0;34m info_xml_dml_single_pk_irp [0m源备字段数相同，源端字段：2 	备端字段2</t>
  </si>
  <si>
    <t>src行 ['74', ' ', '          ', '                                                                                                                                                                                                        ']列，源：dc8b491878c73f1276a23caec6617957 备：None</t>
  </si>
  <si>
    <t>src行 ['105', 'A', 'VARIABLE LENGTH BINA', 'TESTTESTTESTTESTTESTTESTTESTTESTTESTTESTTESTTESTTESTTESTTESTTESTTESTTESTTESTTESTTESTTESTTESTTESTTESTTESTTESTTESTTESTTESTTESTTESTTESTTESTTESTTESTTESTTESTTESTTESTTESTTESTTESTTESTTESTTESTTESTTESTTESTTEST']列，源：410ba59beb2bb9038d219b8cedb6a9f4 备：None</t>
  </si>
  <si>
    <t>src行 ['717', '', '', '', '', '', '', '', '', '', '', '', '', '', '', '-123456789000000002003480098325095514112', '-340282306073709652508363335590014353408', '-123456.789', '-1234.5678', '0']列，源：bb8f1166d0b84dc73836ec227a34a1bc 备：None</t>
  </si>
  <si>
    <t>YES!PK__info_xml__3213E83F91795AB0</t>
  </si>
  <si>
    <t>src行 ['59', '*', '~!@#$%^&amp;*]\x00\x00\x00\x00\x00\x00\x00\x00\x00\x00', '~!@#$%^&amp;*]~!@#$%^&amp;*]~!@#$%^&amp;*]~!@#$%^&amp;*]~!@#$%^&amp;*]~!@#$%^&amp;*]~!@#$%^&amp;*]~!@#$%^&amp;*]~!@#$%^&amp;*]~!@#$%^&amp;*]~!@#$%^&amp;*]~!@#$%^&amp;*]~!@#$%^&amp;*]~!@#$%^&amp;*]~!@#$%^&amp;*]~!@#$%^&amp;*]~!@#$%^&amp;*]~!@#$%^&amp;*]~!@#$%^&amp;*]~!@#$%^&amp;*]']列，源：28ff9fe8f4200649e728890c70a9d306 备：None</t>
  </si>
  <si>
    <t>src行 ['75', 'A', 'VARIABLE LENGTH BINA', 'TESTTESTTESTTESTTESTTESTTESTTESTTESTTESTTESTTESTTESTTESTTESTTESTTESTTESTTESTTESTTESTTESTTESTTESTTESTTESTTESTTESTTESTTESTTESTTESTTESTTESTTESTTESTTESTTESTTESTTESTTESTTESTTESTTESTTESTTESTTESTTESTTESTTEST']列，源：fc975f6834e1955bd6c2c585619353d2 备：None</t>
  </si>
  <si>
    <t>src行 ['106',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62595d3bb9af426bfc8550b99887f3b4 备：None</t>
  </si>
  <si>
    <t>src行 ['720', '', '', '', '', '', '', '', '', '', '', '', '', '', '', '-340282346600000016151267322115014000640', '-340282306073709652508363335590014353408', '-922337203685477.5808', '-214748.3648', '0']列，源：e7f24c16ba66ef4c049c2bfe1d53a88e 备：None</t>
  </si>
  <si>
    <t xml:space="preserve"> NO!  	 c_xml列源备映射错误，源端为xml -1位	期望更改为text	实际备端为xml -1位</t>
  </si>
  <si>
    <t>src行 ['6',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备：None</t>
  </si>
  <si>
    <t>src行 ['77', 'T', 'HELLOWORLD', 'HELLOWORLDTESTDATA']列，源：37fec9ff0598837ad82cde748ffa6cb9 备：None</t>
  </si>
  <si>
    <t>src行 ['107', 'T', 'HELLOWORLD', 'HELLOWORLDTESTDATA']列，源：d2fc01e901274366c06cca23e2afe8b3 备：None</t>
  </si>
  <si>
    <t>info_sdt_dml_batch1_pk_urp2</t>
  </si>
  <si>
    <t>[0;34m info_sdt_dml_batch1_pk_urp2 [0m源备字段数相同，源端字段：2 	备端字段2</t>
  </si>
  <si>
    <t>src行 ['103',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8270ab8df75deaa52f1ece97c809d7b 备：None</t>
  </si>
  <si>
    <t>src行 ['78',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570842b9369243434cf91f3a531cf7d0 备：None</t>
  </si>
  <si>
    <t>src行 ['108',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ac89e94128c101046c2ebe1cda31ebf 备：None</t>
  </si>
  <si>
    <t>YES!PK__info_sdt__3213E83FAE7332A4</t>
  </si>
  <si>
    <t>src行 ['104', ' ', '                    ', '                                                                                                                                                                                                        ']列，源：31af3aaf14bf2cc9fddec35e99f43b07 备：None</t>
  </si>
  <si>
    <t>src行 ['79', '*', '~!@#$%^&amp;*]', '~!@#$%^&amp;*]~!@#$%^&amp;*]~!@#$%^&amp;*]~!@#$%^&amp;*]~!@#$%^&amp;*]~!@#$%^&amp;*]~!@#$%^&amp;*]~!@#$%^&amp;*]~!@#$%^&amp;*]~!@#$%^&amp;*]~!@#$%^&amp;*]~!@#$%^&amp;*]~!@#$%^&amp;*]~!@#$%^&amp;*]~!@#$%^&amp;*]~!@#$%^&amp;*]~!@#$%^&amp;*]~!@#$%^&amp;*]~!@#$%^&amp;*]~!@#$%^&amp;*]']列，源：4bafc8cae03f677d5c4f0412cdae57dd 备：None</t>
  </si>
  <si>
    <t>src行 ['80', '*', '12345678901234567890', '12345678901234567890123456789012345678901234567890123456789012345678901234567890123456789012345678901234567890123456789012345678901234567890123456789012345678901234567890123456789012345678901234567890']列，源：88b8c706071a0b17c5a3ebd9119c0d7b 备：None</t>
  </si>
  <si>
    <t>src行 ['901',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'0']列，源：d8b621a1f051b15c5e88d36f11555ca8 备：None</t>
  </si>
  <si>
    <t>info_varbinary_dml_batch1_pk_urp1</t>
  </si>
  <si>
    <t>[0;34m info_varbinary_dml_batch1_pk_urp1 [0m源备字段数相同，源端字段：4 	备端字段4</t>
  </si>
  <si>
    <t>src行 ['107',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1c0e1a41bdf5f879cf66457dd68e4baf 备：None</t>
  </si>
  <si>
    <t>src行 ['124', ' ', '          ', '                                                                                                                                                                                                        ']列，源：5267b02111c968810187d188a15f0a4b 备：None</t>
  </si>
  <si>
    <t>src行 ['917', '', '', '', '', '', '', '', '', '', '', '', '', '', '', '-123456789000000002003480098325095514112', '-340282306073709652508363335590014353408', '-123456.789', '-1234.5678', '0']列，源：25eb2664c835cfda802a9e1ed5c70a8d 备：None</t>
  </si>
  <si>
    <t>YES!PK__info_var__3213E83F3219EEAB</t>
  </si>
  <si>
    <t>src行 ['22',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b71c5b5d2dd431839b0a4e0f986845f9 备：None</t>
  </si>
  <si>
    <t>src行 ['125', 'A', 'VARIABLE LENGTH BINA', 'TESTTESTTESTTESTTESTTESTTESTTESTTESTTESTTESTTESTTESTTESTTESTTESTTESTTESTTESTTESTTESTTESTTESTTESTTESTTESTTESTTESTTESTTESTTESTTESTTESTTESTTESTTESTTESTTESTTESTTESTTESTTESTTESTTESTTESTTESTTESTTESTTESTTEST']列，源：3c851a434337ad7be0dc4a950d8411ff 备：None</t>
  </si>
  <si>
    <t>src行 ['920', '', '', '', '', '', '', '', '', '', '', '', '', '', '', '-340282346600000016151267322115014000640', '-340282306073709652508363335590014353408', '-922337203685477.5808', '-214748.3648', '0']列，源：ae122dc0a185e6d683f44920b3928b38 备：None</t>
  </si>
  <si>
    <t xml:space="preserve"> NO!  	 c_varbinary列源备映射错误，源端为varbinary 1位	期望更改为text	实际备端为varbinary 1位</t>
  </si>
  <si>
    <t>src行 ['23',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c273fce66db37ca8b3f8844da93c0ff 备：None</t>
  </si>
  <si>
    <t>src行 ['109', '*', '~!@#$%^&amp;*]\x00\x00\x00\x00\x00\x00\x00\x00\x00\x00', '~!@#$%^&amp;*]~!@#$%^&amp;*]~!@#$%^&amp;*]~!@#$%^&amp;*]~!@#$%^&amp;*]~!@#$%^&amp;*]~!@#$%^&amp;*]~!@#$%^&amp;*]~!@#$%^&amp;*]~!@#$%^&amp;*]~!@#$%^&amp;*]~!@#$%^&amp;*]~!@#$%^&amp;*]~!@#$%^&amp;*]~!@#$%^&amp;*]~!@#$%^&amp;*]~!@#$%^&amp;*]~!@#$%^&amp;*]~!@#$%^&amp;*]~!@#$%^&amp;*]']列，源：810e9e7ac1d68a2cf84b181f49895c9a 备：None</t>
  </si>
  <si>
    <t>src行 ['127', 'T', 'HELLOWORLD', 'HELLOWORLDTESTDATA']列，源：f4cf0ceceb7142b71e085d10fdd7ebd8 备：None</t>
  </si>
  <si>
    <t xml:space="preserve"> NO!  	 c_varbinary_100列源备映射错误，源端为varbinary 100位	期望更改为text	实际备端为varbinary 100位</t>
  </si>
  <si>
    <t>src行 ['24', ' ', '                    ', '                                                                                                                                                                                                        ']列，源：74d974c9d64d423bcf4ac07aea3661a9 备：None</t>
  </si>
  <si>
    <t>src行 ['110', '*', '12345678901234567890', '12345678901234567890123456789012345678901234567890123456789012345678901234567890123456789012345678901234567890123456789012345678901234567890123456789012345678901234567890123456789012345678901234567890']列，源：d3261540905779829bf043293ba47476 备：None</t>
  </si>
  <si>
    <t>src行 ['128',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720c6a0228bb8a570a65de50cecf971 备：None</t>
  </si>
  <si>
    <t xml:space="preserve"> NO!  	 c_varbinary_200列源备映射错误，源端为varbinary 200位	期望更改为text	实际备端为varbinary 200位</t>
  </si>
  <si>
    <t>info_sdt_dml_batch1_pk_drp1</t>
  </si>
  <si>
    <t>[0;34m info_sdt_dml_batch1_pk_drp1 [0m源备字段数相同，源端字段：2 	备端字段2</t>
  </si>
  <si>
    <t>src行 ['26',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f4f22d1c51eedff86ab86d4f6ee83699 备：None</t>
  </si>
  <si>
    <t>YES!PK__info_sdt__3213E83FF2DD07F3</t>
  </si>
  <si>
    <t>src行 ['27',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3398a8f5b365036b99d2f5e4f8bdd448 备：None</t>
  </si>
  <si>
    <t>src行 ['29', '*', '~!@#$%^&amp;*]\x00\x00\x00\x00\x00\x00\x00\x00\x00\x00', '~!@#$%^&amp;*]~!@#$%^&amp;*]~!@#$%^&amp;*]~!@#$%^&amp;*]~!@#$%^&amp;*]~!@#$%^&amp;*]~!@#$%^&amp;*]~!@#$%^&amp;*]~!@#$%^&amp;*]~!@#$%^&amp;*]~!@#$%^&amp;*]~!@#$%^&amp;*]~!@#$%^&amp;*]~!@#$%^&amp;*]~!@#$%^&amp;*]~!@#$%^&amp;*]~!@#$%^&amp;*]~!@#$%^&amp;*]~!@#$%^&amp;*]~!@#$%^&amp;*]']列，源：164734df3bd3e7191f51264f7dbd8d6a 备：None</t>
  </si>
  <si>
    <t>info_nchar_dml_single_pk_irp</t>
  </si>
  <si>
    <t>[0;34m info_nchar_dml_single_pk_irp [0m源备字段数相同，源端字段：4 	备端字段4</t>
  </si>
  <si>
    <t>YES!PK__info_nch__3213E83F0AE78F6F</t>
  </si>
  <si>
    <t>src行 ['73',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84694f2697c67c40a999750845d4d90f 备：None</t>
  </si>
  <si>
    <t xml:space="preserve"> NO!  	 c_nchar列源备映射错误，源端为nchar 2位	期望更改为text	实际备端为nchar 2位</t>
  </si>
  <si>
    <t>src行 ['74', ' ', '                    ', '                                                                                                                                                                                                        ']列，源：80926ea2f46e4c435c576b74dd1e3203 备：None</t>
  </si>
  <si>
    <t xml:space="preserve"> NO!  	 c_nchar20列源备映射错误，源端为nchar 40位	期望更改为text	实际备端为nchar 40位</t>
  </si>
  <si>
    <t xml:space="preserve"> NO!  	 c_nchar4000列源备映射错误，源端为nchar 8000位	期望更改为text	实际备端为nchar 8000位</t>
  </si>
  <si>
    <t>src行 ['76',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c79564be4fc3e9df6be0a420398d4630 备：None</t>
  </si>
  <si>
    <t>info_datetimeoffset_dml_single_pk_drp</t>
  </si>
  <si>
    <t>[0;34m info_datetimeoffset_dml_single_pk_drp [0m源备字段数相同，源端字段：9 	备端字段9</t>
  </si>
  <si>
    <t>src行 ['77',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4b4fbb6eb7121a50009e50c989f8cbe6 备：None</t>
  </si>
  <si>
    <t>YES!PK__info_dat__3213E83FE621F744</t>
  </si>
  <si>
    <t>src行 ['79', '*', '~!@#$%^&amp;*]\x00\x00\x00\x00\x00\x00\x00\x00\x00\x00', '~!@#$%^&amp;*]~!@#$%^&amp;*]~!@#$%^&amp;*]~!@#$%^&amp;*]~!@#$%^&amp;*]~!@#$%^&amp;*]~!@#$%^&amp;*]~!@#$%^&amp;*]~!@#$%^&amp;*]~!@#$%^&amp;*]~!@#$%^&amp;*]~!@#$%^&amp;*]~!@#$%^&amp;*]~!@#$%^&amp;*]~!@#$%^&amp;*]~!@#$%^&amp;*]~!@#$%^&amp;*]~!@#$%^&amp;*]~!@#$%^&amp;*]~!@#$%^&amp;*]']列，源：0dcbc167eaedf923f16d296df7ebc664 备：None</t>
  </si>
  <si>
    <t>src行 ['123',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f7626d34c3ccbdccf905a7363a44c485 备：None</t>
  </si>
  <si>
    <t>src行 ['124', ' ', '                    ', '                                                                                                                                                                                                        ']列，源：1a5037925335477e692af1b6bea54672 备：None</t>
  </si>
  <si>
    <t>src行 ['126',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4466fd0975f496fd41c6eba596580cb4 备：None</t>
  </si>
  <si>
    <t>src行 ['127',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列，源：89aa2fc6aaea56354fb90f88f8dc7f3c 备：None</t>
  </si>
  <si>
    <t>info_text_dml_single_pk_urp</t>
  </si>
  <si>
    <t>[0;34m info_text_dml_single_pk_urp [0m源备字段数相同，源端字段：3 	备端字段3</t>
  </si>
  <si>
    <t>YES!PK__info_tex__3213E83FC088BC6F</t>
  </si>
  <si>
    <t>info_geometry_dml_single_pk_urp</t>
  </si>
  <si>
    <t>[0;34m info_geometry_dml_single_pk_urp [0m源备字段数相同，源端字段：2 	备端字段2</t>
  </si>
  <si>
    <t>YES!PK__info_geo__3213E83FE2036960</t>
  </si>
  <si>
    <t>info_sdt_dml_batch1_pk_drp2</t>
  </si>
  <si>
    <t>[0;34m info_sdt_dml_batch1_pk_drp2 [0m源备字段数相同，源端字段：2 	备端字段2</t>
  </si>
  <si>
    <t>YES!PK__info_sdt__3213E83FFC303CEB</t>
  </si>
  <si>
    <t>info_nvarchar_dml_batch2_pk_urp2</t>
  </si>
  <si>
    <t>[0;34m info_nvarchar_dml_batch2_pk_urp2 [0m源备字段数相同，源端字段：4 	备端字段4</t>
  </si>
  <si>
    <t>YES!PK__info_nva__3213E83F6FA2370C</t>
  </si>
  <si>
    <t>info_varchar_dml_batch1_pk_drp2</t>
  </si>
  <si>
    <t>[0;34m info_varchar_dml_batch1_pk_drp2 [0m源备字段数相同，源端字段：4 	备端字段4</t>
  </si>
  <si>
    <t>YES!PK__info_var__3213E83FD43D036A</t>
  </si>
  <si>
    <t>info_sdt_dml_batch1_pk</t>
  </si>
  <si>
    <t>[0;34m info_sdt_dml_batch1_pk [0m源备字段数相同，源端字段：2 	备端字段2</t>
  </si>
  <si>
    <t>YES!PK__info_sdt__3213E83FDAC83582</t>
  </si>
  <si>
    <t>info_int_dml_batch1_pk_urp1</t>
  </si>
  <si>
    <t>[0;34m info_int_dml_batch1_pk_urp1 [0m源备字段数相同，源端字段：20 	备端字段20</t>
  </si>
  <si>
    <t>YES!PK__info_int__3213E83FDA761113</t>
  </si>
  <si>
    <t xml:space="preserve"> NO!  	 c_tinyint列源备映射错误，源端为tinyint None位	期望更改为text	实际备端为tinyint None位</t>
  </si>
  <si>
    <t xml:space="preserve"> NO!  	 c_smallint列源备映射错误，源端为smallint None位	期望更改为text	实际备端为smallint None位</t>
  </si>
  <si>
    <t xml:space="preserve"> NO!  	 c_int列源备映射错误，源端为int None位	期望更改为text	实际备端为int None位</t>
  </si>
  <si>
    <t xml:space="preserve"> NO!  	 c_bigint列源备映射错误，源端为bigint None位	期望更改为text	实际备端为bigint None位</t>
  </si>
  <si>
    <t xml:space="preserve"> NO!  	 c_decimal列源备映射错误，源端为decimal None位	期望更改为text	实际备端为decimal None位</t>
  </si>
  <si>
    <t xml:space="preserve"> NO!  	 c_decimal38列源备映射错误，源端为decimal None位	期望更改为text	实际备端为decimal None位</t>
  </si>
  <si>
    <t xml:space="preserve"> NO!  	 c_decimal38_38列源备映射错误，源端为decimal None位	期望更改为text	实际备端为decimal None位</t>
  </si>
  <si>
    <t xml:space="preserve"> NO!  	 c_decimal38_10列源备映射错误，源端为decimal None位	期望更改为text	实际备端为decimal None位</t>
  </si>
  <si>
    <t xml:space="preserve"> NO!  	 c_decimal19_4列源备映射错误，源端为decimal None位	期望更改为text	实际备端为decimal None位</t>
  </si>
  <si>
    <t xml:space="preserve"> NO!  	 c_numeric列源备映射错误，源端为numeric None位	期望更改为text	实际备端为numeric None位</t>
  </si>
  <si>
    <t xml:space="preserve"> NO!  	 c_numeric38列源备映射错误，源端为numeric None位	期望更改为text	实际备端为numeric None位</t>
  </si>
  <si>
    <t xml:space="preserve"> NO!  	 c_numeric38_38列源备映射错误，源端为numeric None位	期望更改为text	实际备端为numeric None位</t>
  </si>
  <si>
    <t xml:space="preserve"> NO!  	 c_numeric38_10列源备映射错误，源端为numeric None位	期望更改为text	实际备端为numeric None位</t>
  </si>
  <si>
    <t xml:space="preserve"> NO!  	 c_numeric18_2列源备映射错误，源端为numeric None位	期望更改为text	实际备端为numeric None位</t>
  </si>
  <si>
    <t xml:space="preserve"> NO!  	 c_float列源备映射错误，源端为float None位	期望更改为text	实际备端为float None位</t>
  </si>
  <si>
    <t xml:space="preserve"> NO!  	 c_real列源备映射错误，源端为real None位	期望更改为text	实际备端为real None位</t>
  </si>
  <si>
    <t xml:space="preserve"> NO!  	 c_money列源备映射错误，源端为money None位	期望更改为text	实际备端为money None位</t>
  </si>
  <si>
    <t xml:space="preserve"> NO!  	 c_smallmoney列源备映射错误，源端为smallmoney None位	期望更改为text	实际备端为smallmoney None位</t>
  </si>
  <si>
    <t xml:space="preserve"> NO!  	 c_bit列源备映射错误，源端为bit None位	期望更改为text	实际备端为bit None位</t>
  </si>
  <si>
    <t>info_xml_dml_single_pk_urp</t>
  </si>
  <si>
    <t>[0;34m info_xml_dml_single_pk_urp [0m源备字段数相同，源端字段：2 	备端字段2</t>
  </si>
  <si>
    <t>YES!PK__info_xml__3213E83F248D068F</t>
  </si>
  <si>
    <t>info_datetime_dml_batch1_pk_irp1</t>
  </si>
  <si>
    <t>[0;34m info_datetime_dml_batch1_pk_irp1 [0m源备字段数相同，源端字段：2 	备端字段2</t>
  </si>
  <si>
    <t>YES!PK__info_dat__3213E83F50262958</t>
  </si>
  <si>
    <t xml:space="preserve"> NO!  	 c_datetime列源备映射错误，源端为datetime None位	期望更改为text	实际备端为datetime None位</t>
  </si>
  <si>
    <t>info_varbinary_dml_batch1_pk_urp2</t>
  </si>
  <si>
    <t>[0;34m info_varbinary_dml_batch1_pk_urp2 [0m源备字段数相同，源端字段：4 	备端字段4</t>
  </si>
  <si>
    <t>YES!PK__info_var__3213E83F8B6B86DE</t>
  </si>
  <si>
    <t>info_datetime_dml_batch1_pk_irp2</t>
  </si>
  <si>
    <t>[0;34m info_datetime_dml_batch1_pk_irp2 [0m源备字段数相同，源端字段：2 	备端字段2</t>
  </si>
  <si>
    <t>YES!PK__info_dat__3213E83FEBF995EB</t>
  </si>
  <si>
    <t>info_datetimeoffset_dml_single_pk</t>
  </si>
  <si>
    <t>[0;34m info_datetimeoffset_dml_single_pk [0m源备字段数相同，源端字段：9 	备端字段9</t>
  </si>
  <si>
    <t>YES!PK__info_dat__3213E83FD2DA10ED</t>
  </si>
  <si>
    <t>info_text_dml_single_pk_drp</t>
  </si>
  <si>
    <t>[0;34m info_text_dml_single_pk_drp [0m源备字段数相同，源端字段：3 	备端字段3</t>
  </si>
  <si>
    <t>YES!PK__info_tex__3213E83FE3762927</t>
  </si>
  <si>
    <t>info_datetime_dml_batch2_pk_irp1</t>
  </si>
  <si>
    <t>[0;34m info_datetime_dml_batch2_pk_irp1 [0m源备字段数相同，源端字段：2 	备端字段2</t>
  </si>
  <si>
    <t>YES!PK__info_dat__3213E83FA2485911</t>
  </si>
  <si>
    <t>info_nvarchar_dml_batch1_pk_drp1</t>
  </si>
  <si>
    <t>[0;34m info_nvarchar_dml_batch1_pk_drp1 [0m源备字段数相同，源端字段：4 	备端字段4</t>
  </si>
  <si>
    <t>YES!PK__info_nva__3213E83FC3C29C6D</t>
  </si>
  <si>
    <t>info_int_dml_batch1_pk_urp2</t>
  </si>
  <si>
    <t>[0;34m info_int_dml_batch1_pk_urp2 [0m源备字段数相同，源端字段：20 	备端字段20</t>
  </si>
  <si>
    <t>YES!PK__info_int__3213E83FF3E976FE</t>
  </si>
  <si>
    <t>info_text_dml_single_pk</t>
  </si>
  <si>
    <t>[0;34m info_text_dml_single_pk [0m源备字段数相同，源端字段：3 	备端字段3</t>
  </si>
  <si>
    <t>YES!PK__info_tex__3213E83FCAFD6128</t>
  </si>
  <si>
    <t>info_datetime_dml_batch2_pk_irp2</t>
  </si>
  <si>
    <t>[0;34m info_datetime_dml_batch2_pk_irp2 [0m源备字段数相同，源端字段：2 	备端字段2</t>
  </si>
  <si>
    <t>YES!PK__info_dat__3213E83F2549BA1C</t>
  </si>
  <si>
    <t>info_nvarchar_dml_batch1_pk_drp2</t>
  </si>
  <si>
    <t>[0;34m info_nvarchar_dml_batch1_pk_drp2 [0m源备字段数相同，源端字段：4 	备端字段4</t>
  </si>
  <si>
    <t>YES!PK__info_nva__3213E83FB2B04C94</t>
  </si>
  <si>
    <t xml:space="preserve"> NO!  	 c_nvarchar3500列源备映射错误，源端为nchar 7000位	期望更改为text	实际备端为nchar 7000位</t>
  </si>
  <si>
    <t>info_xml_dml_single_pk_drp</t>
  </si>
  <si>
    <t>[0;34m info_xml_dml_single_pk_drp [0m源备字段数相同，源端字段：2 	备端字段2</t>
  </si>
  <si>
    <t>YES!PK__info_xml__3213E83F9CD7369F</t>
  </si>
  <si>
    <t>info_nchar_dml_single_pk_urp</t>
  </si>
  <si>
    <t>[0;34m info_nchar_dml_single_pk_urp [0m源备字段数相同，源端字段：4 	备端字段4</t>
  </si>
  <si>
    <t>YES!PK__info_nch__3213E83F8BC03FD0</t>
  </si>
  <si>
    <t xml:space="preserve"> NO!  	 c_nchar3500列源备映射错误，源端为nchar 7000位	期望更改为text	实际备端为nchar 7000位</t>
  </si>
  <si>
    <t>info_datetime_dml_batch1_pk_urp1</t>
  </si>
  <si>
    <t>[0;34m info_datetime_dml_batch1_pk_urp1 [0m源备字段数相同，源端字段：2 	备端字段2</t>
  </si>
  <si>
    <t>YES!PK__info_dat__3213E83FDFFFB785</t>
  </si>
  <si>
    <t>info_int_dml_batch1_pk_drp1</t>
  </si>
  <si>
    <t>[0;34m info_int_dml_batch1_pk_drp1 [0m源备字段数相同，源端字段：20 	备端字段20</t>
  </si>
  <si>
    <t>YES!PK__info_int__3213E83FA623EACB</t>
  </si>
  <si>
    <t>info_char_dml_batch1_pk_irp1</t>
  </si>
  <si>
    <t>[0;34m info_char_dml_batch1_pk_irp1 [0m源备字段数相同，源端字段：4 	备端字段4</t>
  </si>
  <si>
    <t>YES!PK__info_cha__3213E83F9D165F65</t>
  </si>
  <si>
    <t xml:space="preserve"> NO!  	 c_char列源备映射错误，源端为char 1位	期望更改为text	实际备端为char 1位</t>
  </si>
  <si>
    <t xml:space="preserve"> NO!  	 c_char20列源备映射错误，源端为char 20位	期望更改为text	实际备端为char 20位</t>
  </si>
  <si>
    <t xml:space="preserve"> NO!  	 c_char200列源备映射错误，源端为char 200位	期望更改为text	实际备端为char 200位</t>
  </si>
  <si>
    <t>info_xml_dml_single_pk</t>
  </si>
  <si>
    <t>[0;34m info_xml_dml_single_pk [0m源备字段数相同，源端字段：2 	备端字段2</t>
  </si>
  <si>
    <t>YES!PK__info_xml__3213E83F36822F3E</t>
  </si>
  <si>
    <t>info_geometry_dml_single_pk_drp</t>
  </si>
  <si>
    <t>[0;34m info_geometry_dml_single_pk_drp [0m源备字段数相同，源端字段：2 	备端字段2</t>
  </si>
  <si>
    <t>YES!PK__info_geo__3213E83FE0A4EF05</t>
  </si>
  <si>
    <t>info_nchar_dml_single_pk_drp</t>
  </si>
  <si>
    <t>[0;34m info_nchar_dml_single_pk_drp [0m源备字段数相同，源端字段：4 	备端字段4</t>
  </si>
  <si>
    <t>YES!PK__info_nch__3213E83FAA8E480E</t>
  </si>
  <si>
    <t>info_datetime_dml_batch1_pk_urp2</t>
  </si>
  <si>
    <t>[0;34m info_datetime_dml_batch1_pk_urp2 [0m源备字段数相同，源端字段：2 	备端字段2</t>
  </si>
  <si>
    <t>YES!PK__info_dat__3213E83F7F24FA34</t>
  </si>
  <si>
    <t>info_varchar_dml_batch1_pk</t>
  </si>
  <si>
    <t>[0;34m info_varchar_dml_batch1_pk [0m源备字段数相同，源端字段：4 	备端字段4</t>
  </si>
  <si>
    <t>YES!PK__info_var__3213E83FCF95CDDA</t>
  </si>
  <si>
    <t>info_geometry_dml_single_pk</t>
  </si>
  <si>
    <t>[0;34m info_geometry_dml_single_pk [0m源备字段数相同，源端字段：2 	备端字段2</t>
  </si>
  <si>
    <t>YES!PK__info_geo__3213E83F16C71C15</t>
  </si>
  <si>
    <t>info_datetime_dml_batch1_pk_drp1</t>
  </si>
  <si>
    <t>[0;34m info_datetime_dml_batch1_pk_drp1 [0m源备字段数相同，源端字段：2 	备端字段2</t>
  </si>
  <si>
    <t>YES!PK__info_dat__3213E83FFEC2FB48</t>
  </si>
  <si>
    <t>info_nchar_dml_batch1_pk_irp1</t>
  </si>
  <si>
    <t>[0;34m info_nchar_dml_batch1_pk_irp1 [0m源备字段数相同，源端字段：4 	备端字段4</t>
  </si>
  <si>
    <t>YES!PK__info_nch__3213E83FF431AA93</t>
  </si>
  <si>
    <t>info_datetime_dml_batch1_pk_drp2</t>
  </si>
  <si>
    <t>[0;34m info_datetime_dml_batch1_pk_drp2 [0m源备字段数相同，源端字段：2 	备端字段2</t>
  </si>
  <si>
    <t>YES!PK__info_dat__3213E83FD636B077</t>
  </si>
  <si>
    <t>info_nvarchar_dml_batch1_pk</t>
  </si>
  <si>
    <t>[0;34m info_nvarchar_dml_batch1_pk [0m源备字段数相同，源端字段：4 	备端字段4</t>
  </si>
  <si>
    <t>YES!PK__info_nva__3213E83F7D35E066</t>
  </si>
  <si>
    <t>info_datetime_dml_batch1_pk</t>
  </si>
  <si>
    <t>[0;34m info_datetime_dml_batch1_pk [0m源备字段数相同，源端字段：2 	备端字段2</t>
  </si>
  <si>
    <t>YES!PK__info_dat__3213E83F11968B32</t>
  </si>
  <si>
    <t>info_char_dml_batch1_pk_irp2</t>
  </si>
  <si>
    <t>[0;34m info_char_dml_batch1_pk_irp2 [0m源备字段数相同，源端字段：4 	备端字段4</t>
  </si>
  <si>
    <t>YES!PK__info_cha__3213E83F0503A303</t>
  </si>
  <si>
    <t>info_nchar_dml_single_pk</t>
  </si>
  <si>
    <t>[0;34m info_nchar_dml_single_pk [0m源备字段数相同，源端字段：4 	备端字段4</t>
  </si>
  <si>
    <t>YES!PK__info_nch__3213E83FBBB178BC</t>
  </si>
  <si>
    <t>info_datetime2_dml_batch1_pk_irp1</t>
  </si>
  <si>
    <t>[0;34m info_datetime2_dml_batch1_pk_irp1 [0m源备字段数相同，源端字段：9 	备端字段9</t>
  </si>
  <si>
    <t>YES!PK__info_dat__3213E83F511BE672</t>
  </si>
  <si>
    <t xml:space="preserve"> NO!  	 c_dt2_0列源备映射错误，源端为datetime2 None位	期望更改为text	实际备端为datetime2 None位</t>
  </si>
  <si>
    <t xml:space="preserve"> NO!  	 c_dt2_1列源备映射错误，源端为datetime2 None位	期望更改为text	实际备端为datetime2 None位</t>
  </si>
  <si>
    <t xml:space="preserve"> NO!  	 c_dt2_2列源备映射错误，源端为datetime2 None位	期望更改为text	实际备端为datetime2 None位</t>
  </si>
  <si>
    <t xml:space="preserve"> NO!  	 c_dt2_3列源备映射错误，源端为datetime2 None位	期望更改为text	实际备端为datetime2 None位</t>
  </si>
  <si>
    <t xml:space="preserve"> NO!  	 c_dt2_4列源备映射错误，源端为datetime2 None位	期望更改为text	实际备端为datetime2 None位</t>
  </si>
  <si>
    <t xml:space="preserve"> NO!  	 c_dt2_5列源备映射错误，源端为datetime2 None位	期望更改为text	实际备端为datetime2 None位</t>
  </si>
  <si>
    <t xml:space="preserve"> NO!  	 c_dt2_6列源备映射错误，源端为datetime2 None位	期望更改为text	实际备端为datetime2 None位</t>
  </si>
  <si>
    <t xml:space="preserve"> NO!  	 c_dt2列源备映射错误，源端为datetime2 None位	期望更改为text	实际备端为datetime2 None位</t>
  </si>
  <si>
    <t>info_date_dml_single_pk_irp</t>
  </si>
  <si>
    <t>[0;34m info_date_dml_single_pk_irp [0m源备字段数相同，源端字段：2 	备端字段2</t>
  </si>
  <si>
    <t>YES!PK__info_dat__3213E83FF1779527</t>
  </si>
  <si>
    <t xml:space="preserve"> NO!  	 c_date列源备映射错误，源端为date None位	期望更改为text	实际备端为date None位</t>
  </si>
  <si>
    <t>info_datetime2_dml_batch1_pk_irp2</t>
  </si>
  <si>
    <t>[0;34m info_datetime2_dml_batch1_pk_irp2 [0m源备字段数相同，源端字段：9 	备端字段9</t>
  </si>
  <si>
    <t>YES!PK__info_dat__3213E83FF4E49ABA</t>
  </si>
  <si>
    <t>info_datetime2_dml_batch2_pk_irp1</t>
  </si>
  <si>
    <t>[0;34m info_datetime2_dml_batch2_pk_irp1 [0m源备字段数相同，源端字段：9 	备端字段9</t>
  </si>
  <si>
    <t>YES!PK__info_dat__3213E83F47E4FBC7</t>
  </si>
  <si>
    <t>info_int_dml_batch1_pk_drp2</t>
  </si>
  <si>
    <t>[0;34m info_int_dml_batch1_pk_drp2 [0m源备字段数相同，源端字段：20 	备端字段20</t>
  </si>
  <si>
    <t>YES!PK__info_int__3213E83F4B78E8C8</t>
  </si>
  <si>
    <t>info_binary_dml_batch1_pk_irp1</t>
  </si>
  <si>
    <t>[0;34m info_binary_dml_batch1_pk_irp1 [0m源备字段数相同，源端字段：4 	备端字段4</t>
  </si>
  <si>
    <t>YES!PK__info_bin__3213E83F4C93DF41</t>
  </si>
  <si>
    <t xml:space="preserve"> NO!  	 c_binary列源备映射错误，源端为binary 1位	期望更改为text	实际备端为binary 1位</t>
  </si>
  <si>
    <t xml:space="preserve"> NO!  	 c_binary_20列源备映射错误，源端为binary 20位	期望更改为text	实际备端为binary 20位</t>
  </si>
  <si>
    <t xml:space="preserve"> NO!  	 c_binary_200列源备映射错误，源端为binary 200位	期望更改为text	实际备端为binary 200位</t>
  </si>
  <si>
    <t>info_datetime2_dml_batch2_pk_irp2</t>
  </si>
  <si>
    <t>[0;34m info_datetime2_dml_batch2_pk_irp2 [0m源备字段数相同，源端字段：9 	备端字段9</t>
  </si>
  <si>
    <t>YES!PK__info_dat__3213E83FED5F417A</t>
  </si>
  <si>
    <t>info_int_dml_batch1_pk</t>
  </si>
  <si>
    <t>[0;34m info_int_dml_batch1_pk [0m源备字段数相同，源端字段：20 	备端字段20</t>
  </si>
  <si>
    <t>YES!PK__info_int__3213E83F1805D2F1</t>
  </si>
  <si>
    <t>info_char_dml_batch2_pk_irp1</t>
  </si>
  <si>
    <t>[0;34m info_char_dml_batch2_pk_irp1 [0m源备字段数相同，源端字段：4 	备端字段4</t>
  </si>
  <si>
    <t>YES!PK__info_cha__3213E83F9CD6126E</t>
  </si>
  <si>
    <t>info_hierarchyid_dml_single_pk_irp</t>
  </si>
  <si>
    <t>[0;34m info_hierarchyid_dml_single_pk_irp [0m源备字段数相同，源端字段：2 	备端字段2</t>
  </si>
  <si>
    <t>YES!PK__info_hie__3213E83FCD21288A</t>
  </si>
  <si>
    <t xml:space="preserve"> NO!  	 c_hierarchyid列源备映射错误，源端为hierarchyid 892位	期望更改为text	实际备端为hierarchyid 892位</t>
  </si>
  <si>
    <t>info_datetime2_dml_batch1_pk_urp1</t>
  </si>
  <si>
    <t>[0;34m info_datetime2_dml_batch1_pk_urp1 [0m源备字段数相同，源端字段：9 	备端字段9</t>
  </si>
  <si>
    <t>YES!PK__info_dat__3213E83FC2CA1155</t>
  </si>
  <si>
    <t>info_char_dml_batch2_pk_irp2</t>
  </si>
  <si>
    <t>[0;34m info_char_dml_batch2_pk_irp2 [0m源备字段数相同，源端字段：4 	备端字段4</t>
  </si>
  <si>
    <t>YES!PK__info_cha__3213E83FF1773D01</t>
  </si>
  <si>
    <t>info_nchar_dml_batch1_pk_irp2</t>
  </si>
  <si>
    <t>[0;34m info_nchar_dml_batch1_pk_irp2 [0m源备字段数相同，源端字段：4 	备端字段4</t>
  </si>
  <si>
    <t>YES!PK__info_nch__3213E83FD5FFAC5C</t>
  </si>
  <si>
    <t>info_date_dml_single_pk_urp</t>
  </si>
  <si>
    <t>[0;34m info_date_dml_single_pk_urp [0m源备字段数相同，源端字段：2 	备端字段2</t>
  </si>
  <si>
    <t>YES!PK__info_dat__3213E83FD785C27E</t>
  </si>
  <si>
    <t>info_datetime2_dml_batch1_pk_urp2</t>
  </si>
  <si>
    <t>[0;34m info_datetime2_dml_batch1_pk_urp2 [0m源备字段数相同，源端字段：9 	备端字段9</t>
  </si>
  <si>
    <t>YES!PK__info_dat__3213E83F8DD61F52</t>
  </si>
  <si>
    <t>info_varcharmax_dml_batch1_pk_irp1</t>
  </si>
  <si>
    <t>[0;34m info_varcharmax_dml_batch1_pk_irp1 [0m源备字段数相同，源端字段：3 	备端字段3</t>
  </si>
  <si>
    <t>YES!PK__info_var__3213E83F2FF7F6A1</t>
  </si>
  <si>
    <t xml:space="preserve"> NO!  	 c_varchar_max列源备映射错误，源端为varchar -1位	期望更改为text	实际备端为varchar -1位</t>
  </si>
  <si>
    <t xml:space="preserve"> NO!  	 c_nvarchar_max列源备映射错误，源端为nvarchar -1位	期望更改为text	实际备端为nvarchar -1位</t>
  </si>
  <si>
    <t>info_nvarchar_dml_single_pk_irp</t>
  </si>
  <si>
    <t>[0;34m info_nvarchar_dml_single_pk_irp [0m源备字段数相同，源端字段：4 	备端字段4</t>
  </si>
  <si>
    <t>YES!PK__info_nva__3213E83F6EB800C0</t>
  </si>
  <si>
    <t xml:space="preserve"> NO!  	 c_nvarchar4000列源备映射错误，源端为nvarchar 8000位	期望更改为text	实际备端为nvarchar 8000位</t>
  </si>
  <si>
    <t>info_datetime2_dml_batch1_pk_drp1</t>
  </si>
  <si>
    <t>[0;34m info_datetime2_dml_batch1_pk_drp1 [0m源备字段数相同，源端字段：9 	备端字段9</t>
  </si>
  <si>
    <t>YES!PK__info_dat__3213E83F059B3B82</t>
  </si>
  <si>
    <t>info_varcharmax_dml_batch1_pk_irp2</t>
  </si>
  <si>
    <t>[0;34m info_varcharmax_dml_batch1_pk_irp2 [0m源备字段数相同，源端字段：3 	备端字段3</t>
  </si>
  <si>
    <t>YES!PK__info_var__3213E83F58E105F6</t>
  </si>
  <si>
    <t>info_binary_dml_batch1_pk_irp2</t>
  </si>
  <si>
    <t>[0;34m info_binary_dml_batch1_pk_irp2 [0m源备字段数相同，源端字段：4 	备端字段4</t>
  </si>
  <si>
    <t>YES!PK__info_bin__3213E83F938B2C51</t>
  </si>
  <si>
    <t>info_datetime2_dml_batch1_pk_drp2</t>
  </si>
  <si>
    <t>[0;34m info_datetime2_dml_batch1_pk_drp2 [0m源备字段数相同，源端字段：9 	备端字段9</t>
  </si>
  <si>
    <t>YES!PK__info_dat__3213E83F07F2CC25</t>
  </si>
  <si>
    <t>info_hierarchyid_dml_single_pk_urp</t>
  </si>
  <si>
    <t>[0;34m info_hierarchyid_dml_single_pk_urp [0m源备字段数相同，源端字段：2 	备端字段2</t>
  </si>
  <si>
    <t>YES!PK__info_hie__3213E83FE5960993</t>
  </si>
  <si>
    <t>info_nvarchar_dml_single_pk_urp</t>
  </si>
  <si>
    <t>[0;34m info_nvarchar_dml_single_pk_urp [0m源备字段数相同，源端字段：4 	备端字段4</t>
  </si>
  <si>
    <t>YES!PK__info_nva__3213E83FAF229797</t>
  </si>
  <si>
    <t>info_datetime2_dml_batch1_pk</t>
  </si>
  <si>
    <t>[0;34m info_datetime2_dml_batch1_pk [0m源备字段数相同，源端字段：9 	备端字段9</t>
  </si>
  <si>
    <t>YES!PK__info_dat__3213E83F0727CB4E</t>
  </si>
  <si>
    <t>info_nchar_dml_batch2_pk_irp1</t>
  </si>
  <si>
    <t>[0;34m info_nchar_dml_batch2_pk_irp1 [0m源备字段数相同，源端字段：4 	备端字段4</t>
  </si>
  <si>
    <t>YES!PK__info_nch__3213E83FD88EF579</t>
  </si>
  <si>
    <t>info_binary_dml_batch2_pk_irp1</t>
  </si>
  <si>
    <t>[0;34m info_binary_dml_batch2_pk_irp1 [0m源备字段数相同，源端字段：4 	备端字段4</t>
  </si>
  <si>
    <t>YES!PK__info_bin__3213E83F3599A83E</t>
  </si>
  <si>
    <t>info_date_dml_single_pk_drp</t>
  </si>
  <si>
    <t>[0;34m info_date_dml_single_pk_drp [0m源备字段数相同，源端字段：2 	备端字段2</t>
  </si>
  <si>
    <t>YES!PK__info_dat__3213E83FB23FC544</t>
  </si>
  <si>
    <t>info_hierarchyid_dml_single_pk_drp</t>
  </si>
  <si>
    <t>[0;34m info_hierarchyid_dml_single_pk_drp [0m源备字段数相同，源端字段：2 	备端字段2</t>
  </si>
  <si>
    <t>YES!PK__info_hie__3213E83F6DDD526F</t>
  </si>
  <si>
    <t>info_datetimeoffset_dml_batch1_pk_irp1</t>
  </si>
  <si>
    <t>[0;34m info_datetimeoffset_dml_batch1_pk_irp1 [0m源备字段数相同，源端字段：9 	备端字段9</t>
  </si>
  <si>
    <t>YES!PK__info_dat__3213E83F3A6AC0AD</t>
  </si>
  <si>
    <t>info_nchar_dml_batch2_pk_irp2</t>
  </si>
  <si>
    <t>[0;34m info_nchar_dml_batch2_pk_irp2 [0m源备字段数相同，源端字段：4 	备端字段4</t>
  </si>
  <si>
    <t>YES!PK__info_nch__3213E83FD518DE0D</t>
  </si>
  <si>
    <t>info_date_dml_single_pk</t>
  </si>
  <si>
    <t>[0;34m info_date_dml_single_pk [0m源备字段数相同，源端字段：2 	备端字段2</t>
  </si>
  <si>
    <t>YES!PK__info_dat__3213E83F4D5BF0FD</t>
  </si>
  <si>
    <t>info_date_dml_batch1_pk_irp1</t>
  </si>
  <si>
    <t>[0;34m info_date_dml_batch1_pk_irp1 [0m源备字段数相同，源端字段：2 	备端字段2</t>
  </si>
  <si>
    <t>YES!PK__info_dat__3213E83FD91EDE60</t>
  </si>
  <si>
    <t>info_datetimeoffset_dml_batch1_pk_irp2</t>
  </si>
  <si>
    <t>[0;34m info_datetimeoffset_dml_batch1_pk_irp2 [0m源备字段数相同，源端字段：9 	备端字段9</t>
  </si>
  <si>
    <t>YES!PK__info_dat__3213E83F3DD2A7AA</t>
  </si>
  <si>
    <t>info_binary_dml_batch2_pk_irp2</t>
  </si>
  <si>
    <t>[0;34m info_binary_dml_batch2_pk_irp2 [0m源备字段数相同，源端字段：4 	备端字段4</t>
  </si>
  <si>
    <t>YES!PK__info_bin__3213E83F84A701C4</t>
  </si>
  <si>
    <t>info_datetimeoffset_dml_batch2_pk_irp1</t>
  </si>
  <si>
    <t>[0;34m info_datetimeoffset_dml_batch2_pk_irp1 [0m源备字段数相同，源端字段：9 	备端字段9</t>
  </si>
  <si>
    <t>YES!PK__info_dat__3213E83F6835EF1A</t>
  </si>
  <si>
    <t>info_nvarchar_dml_single_pk_drp</t>
  </si>
  <si>
    <t>[0;34m info_nvarchar_dml_single_pk_drp [0m源备字段数相同，源端字段：4 	备端字段4</t>
  </si>
  <si>
    <t>YES!PK__info_nva__3213E83F233D1150</t>
  </si>
  <si>
    <t>info_datetimeoffset_dml_batch2_pk_irp2</t>
  </si>
  <si>
    <t>[0;34m info_datetimeoffset_dml_batch2_pk_irp2 [0m源备字段数相同，源端字段：9 	备端字段9</t>
  </si>
  <si>
    <t>YES!PK__info_dat__3213E83FEFCD9658</t>
  </si>
  <si>
    <t>info_varcharmax_dml_batch2_pk_irp1</t>
  </si>
  <si>
    <t>[0;34m info_varcharmax_dml_batch2_pk_irp1 [0m源备字段数相同，源端字段：3 	备端字段3</t>
  </si>
  <si>
    <t>YES!PK__info_var__3213E83F8E366367</t>
  </si>
  <si>
    <t>info_datetimeoffset_dml_batch1_pk_urp1</t>
  </si>
  <si>
    <t>[0;34m info_datetimeoffset_dml_batch1_pk_urp1 [0m源备字段数相同，源端字段：9 	备端字段9</t>
  </si>
  <si>
    <t>YES!PK__info_dat__3213E83F42DB3FC3</t>
  </si>
  <si>
    <t>info_time_dml_single_pk_irp</t>
  </si>
  <si>
    <t>[0;34m info_time_dml_single_pk_irp [0m源备字段数相同，源端字段：9 	备端字段9</t>
  </si>
  <si>
    <t>YES!PK__info_tim__3213E83FD7CA7301</t>
  </si>
  <si>
    <t xml:space="preserve"> NO!  	 c_time0列源备映射错误，源端为time None位	期望更改为text	实际备端为time None位</t>
  </si>
  <si>
    <t xml:space="preserve"> NO!  	 c_time1列源备映射错误，源端为time None位	期望更改为text	实际备端为time None位</t>
  </si>
  <si>
    <t xml:space="preserve"> NO!  	 c_time2列源备映射错误，源端为time None位	期望更改为text	实际备端为time None位</t>
  </si>
  <si>
    <t xml:space="preserve"> NO!  	 c_time3列源备映射错误，源端为time None位	期望更改为text	实际备端为time None位</t>
  </si>
  <si>
    <t xml:space="preserve"> NO!  	 c_time4列源备映射错误，源端为time None位	期望更改为text	实际备端为time None位</t>
  </si>
  <si>
    <t xml:space="preserve"> NO!  	 c_time5列源备映射错误，源端为time None位	期望更改为text	实际备端为time None位</t>
  </si>
  <si>
    <t xml:space="preserve"> NO!  	 c_time6列源备映射错误，源端为time None位	期望更改为text	实际备端为time None位</t>
  </si>
  <si>
    <t xml:space="preserve"> NO!  	 c_time列源备映射错误，源端为time None位	期望更改为text	实际备端为time None位</t>
  </si>
  <si>
    <t>info_date_dml_batch1_pk_irp2</t>
  </si>
  <si>
    <t>[0;34m info_date_dml_batch1_pk_irp2 [0m源备字段数相同，源端字段：2 	备端字段2</t>
  </si>
  <si>
    <t>YES!PK__info_dat__3213E83F56A77804</t>
  </si>
  <si>
    <t>info_datetimeoffset_dml_batch1_pk_urp2</t>
  </si>
  <si>
    <t>[0;34m info_datetimeoffset_dml_batch1_pk_urp2 [0m源备字段数相同，源端字段：9 	备端字段9</t>
  </si>
  <si>
    <t>YES!PK__info_dat__3213E83F4F046BD4</t>
  </si>
  <si>
    <t>info_varcharmax_dml_batch2_pk_irp2</t>
  </si>
  <si>
    <t>[0;34m info_varcharmax_dml_batch2_pk_irp2 [0m源备字段数相同，源端字段：3 	备端字段3</t>
  </si>
  <si>
    <t>YES!PK__info_var__3213E83FDFEDFE46</t>
  </si>
  <si>
    <t>info_datetimeoffset_dml_batch1_pk_drp1</t>
  </si>
  <si>
    <t>[0;34m info_datetimeoffset_dml_batch1_pk_drp1 [0m源备字段数相同，源端字段：9 	备端字段9</t>
  </si>
  <si>
    <t>YES!PK__info_dat__3213E83F03E004B8</t>
  </si>
  <si>
    <t>info_nchar_dml_batch1_pk_urp1</t>
  </si>
  <si>
    <t>[0;34m info_nchar_dml_batch1_pk_urp1 [0m源备字段数相同，源端字段：4 	备端字段4</t>
  </si>
  <si>
    <t>YES!PK__info_nch__3213E83F5B7B59D7</t>
  </si>
  <si>
    <t>info_hierarchyid_dml_single_pk</t>
  </si>
  <si>
    <t>[0;34m info_hierarchyid_dml_single_pk [0m源备字段数相同，源端字段：2 	备端字段2</t>
  </si>
  <si>
    <t>YES!PK__info_hie__3213E83FDF81A11E</t>
  </si>
  <si>
    <t>info_datetimeoffset_dml_batch1_pk_drp2</t>
  </si>
  <si>
    <t>[0;34m info_datetimeoffset_dml_batch1_pk_drp2 [0m源备字段数相同，源端字段：9 	备端字段9</t>
  </si>
  <si>
    <t>YES!PK__info_dat__3213E83F0245F38E</t>
  </si>
  <si>
    <t>info_char_dml_batch1_pk_drp1</t>
  </si>
  <si>
    <t>[0;34m info_char_dml_batch1_pk_drp1 [0m源备字段数相同，源端字段：4 	备端字段4</t>
  </si>
  <si>
    <t>YES!PK__info_cha__3213E83FA4482218</t>
  </si>
  <si>
    <t xml:space="preserve"> NO!  	 c_char7000列源备映射错误，源端为char 7000位	期望更改为text	实际备端为char 7000位</t>
  </si>
  <si>
    <t>info_datetimeoffset_dml_batch1_pk</t>
  </si>
  <si>
    <t>[0;34m info_datetimeoffset_dml_batch1_pk [0m源备字段数相同，源端字段：9 	备端字段9</t>
  </si>
  <si>
    <t>YES!PK__info_dat__3213E83FB18F0774</t>
  </si>
  <si>
    <t>info_nchar_dml_batch2_pk_urp2</t>
  </si>
  <si>
    <t>[0;34m info_nchar_dml_batch2_pk_urp2 [0m源备字段数相同，源端字段：4 	备端字段4</t>
  </si>
  <si>
    <t>YES!PK__info_nch__3213E83F6BE975AA</t>
  </si>
  <si>
    <t>info_date_dml_batch2_pk_irp1</t>
  </si>
  <si>
    <t>[0;34m info_date_dml_batch2_pk_irp1 [0m源备字段数相同，源端字段：2 	备端字段2</t>
  </si>
  <si>
    <t>YES!PK__info_dat__3213E83FE1963DF3</t>
  </si>
  <si>
    <t>info_time_dml_single_pk_urp</t>
  </si>
  <si>
    <t>[0;34m info_time_dml_single_pk_urp [0m源备字段数相同，源端字段：9 	备端字段9</t>
  </si>
  <si>
    <t>YES!PK__info_tim__3213E83FC9F1688E</t>
  </si>
  <si>
    <t>info_binary_dml_batch1_pk_urp1</t>
  </si>
  <si>
    <t>[0;34m info_binary_dml_batch1_pk_urp1 [0m源备字段数相同，源端字段：4 	备端字段4</t>
  </si>
  <si>
    <t>YES!PK__info_bin__3213E83F0AD14B48</t>
  </si>
  <si>
    <t>info_time_dml_single_pk_drp</t>
  </si>
  <si>
    <t>[0;34m info_time_dml_single_pk_drp [0m源备字段数相同，源端字段：9 	备端字段9</t>
  </si>
  <si>
    <t>YES!PK__info_tim__3213E83FB2F0BF8C</t>
  </si>
  <si>
    <t>info_nvarchar_dml_single_pk</t>
  </si>
  <si>
    <t>[0;34m info_nvarchar_dml_single_pk [0m源备字段数相同，源端字段：4 	备端字段4</t>
  </si>
  <si>
    <t>YES!PK__info_nva__3213E83F38F69D92</t>
  </si>
  <si>
    <t>info_date_dml_batch2_pk_irp2</t>
  </si>
  <si>
    <t>[0;34m info_date_dml_batch2_pk_irp2 [0m源备字段数相同，源端字段：2 	备端字段2</t>
  </si>
  <si>
    <t>YES!PK__info_dat__3213E83FEA201868</t>
  </si>
  <si>
    <t>info_binary_dml_batch1_pk_urp2</t>
  </si>
  <si>
    <t>[0;34m info_binary_dml_batch1_pk_urp2 [0m源备字段数相同，源端字段：4 	备端字段4</t>
  </si>
  <si>
    <t>YES!PK__info_bin__3213E83F3885918B</t>
  </si>
  <si>
    <t>info_time_dml_single_pk</t>
  </si>
  <si>
    <t>[0;34m info_time_dml_single_pk [0m源备字段数相同，源端字段：9 	备端字段9</t>
  </si>
  <si>
    <t>YES!PK__info_tim__3213E83F7E3C0DE7</t>
  </si>
  <si>
    <t>info_int_dml_single_pk_irp</t>
  </si>
  <si>
    <t>[0;34m info_int_dml_single_pk_irp [0m源备字段数相同，源端字段：20 	备端字段20</t>
  </si>
  <si>
    <t>YES!PK__info_int__3213E83F8E3BC63E</t>
  </si>
  <si>
    <t>info_sdt_dml_single_pk_irp</t>
  </si>
  <si>
    <t>[0;34m info_sdt_dml_single_pk_irp [0m源备字段数相同，源端字段：2 	备端字段2</t>
  </si>
  <si>
    <t>YES!PK__info_sdt__3213E83F1AFDD18F</t>
  </si>
  <si>
    <t>info_varcharmax_dml_batch1_pk_urp1</t>
  </si>
  <si>
    <t>[0;34m info_varcharmax_dml_batch1_pk_urp1 [0m源备字段数相同，源端字段：3 	备端字段3</t>
  </si>
  <si>
    <t>YES!PK__info_var__3213E83FACC0F1BF</t>
  </si>
  <si>
    <t>info_nchar_dml_batch1_pk_drp1</t>
  </si>
  <si>
    <t>[0;34m info_nchar_dml_batch1_pk_drp1 [0m源备字段数相同，源端字段：4 	备端字段4</t>
  </si>
  <si>
    <t>YES!PK__info_nch__3213E83F857F4EF2</t>
  </si>
  <si>
    <t>info_sdt_dml_single_pk_urp</t>
  </si>
  <si>
    <t>[0;34m info_sdt_dml_single_pk_urp [0m源备字段数相同，源端字段：2 	备端字段2</t>
  </si>
  <si>
    <t>YES!PK__info_sdt__3213E83F5F19C7BD</t>
  </si>
  <si>
    <t>info_varcharmax_dml_batch1_pk_urp2</t>
  </si>
  <si>
    <t>[0;34m info_varcharmax_dml_batch1_pk_urp2 [0m源备字段数相同，源端字段：3 	备端字段3</t>
  </si>
  <si>
    <t>YES!PK__info_var__3213E83FE1B334A2</t>
  </si>
  <si>
    <t>info_varcharmax_dml_single_pk_irp</t>
  </si>
  <si>
    <t>[0;34m info_varcharmax_dml_single_pk_irp [0m源备字段数相同，源端字段：3 	备端字段3</t>
  </si>
  <si>
    <t>YES!PK__info_var__3213E83FFCACF649</t>
  </si>
  <si>
    <t>info_sdt_dml_single_pk_drp</t>
  </si>
  <si>
    <t>[0;34m info_sdt_dml_single_pk_drp [0m源备字段数相同，源端字段：2 	备端字段2</t>
  </si>
  <si>
    <t>YES!PK__info_sdt__3213E83FA9CA8008</t>
  </si>
  <si>
    <t>info_char_dml_batch1_pk_drp2</t>
  </si>
  <si>
    <t>[0;34m info_char_dml_batch1_pk_drp2 [0m源备字段数相同，源端字段：4 	备端字段4</t>
  </si>
  <si>
    <t>YES!PK__info_cha__3213E83F191B3139</t>
  </si>
  <si>
    <t>info_sdt_dml_single_pk</t>
  </si>
  <si>
    <t>[0;34m info_sdt_dml_single_pk [0m源备字段数相同，源端字段：2 	备端字段2</t>
  </si>
  <si>
    <t>YES!PK__info_sdt__3213E83F863EA3DC</t>
  </si>
  <si>
    <t>info_int_dml_single_pk_urp</t>
  </si>
  <si>
    <t>[0;34m info_int_dml_single_pk_urp [0m源备字段数相同，源端字段：20 	备端字段20</t>
  </si>
  <si>
    <t>YES!PK__info_int__3213E83F126475C2</t>
  </si>
  <si>
    <t>info_char_dml_batch1_pk</t>
  </si>
  <si>
    <t>[0;34m info_char_dml_batch1_pk [0m源备字段数相同，源端字段：4 	备端字段4</t>
  </si>
  <si>
    <t>YES!PK__info_cha__3213E83FDBB0FAF5</t>
  </si>
  <si>
    <t>info_varcharmax_dml_single_pk_urp</t>
  </si>
  <si>
    <t>[0;34m info_varcharmax_dml_single_pk_urp [0m源备字段数相同，源端字段：3 	备端字段3</t>
  </si>
  <si>
    <t>YES!PK__info_var__3213E83F4ABB782C</t>
  </si>
  <si>
    <t>info_binary_dml_single_pk_irp</t>
  </si>
  <si>
    <t>[0;34m info_binary_dml_single_pk_irp [0m源备字段数相同，源端字段：4 	备端字段4</t>
  </si>
  <si>
    <t>YES!PK__info_bin__3213E83F1D0F7CC7</t>
  </si>
  <si>
    <t>info_nchar_dml_batch1_pk_drp2</t>
  </si>
  <si>
    <t>[0;34m info_nchar_dml_batch1_pk_drp2 [0m源备字段数相同，源端字段：4 	备端字段4</t>
  </si>
  <si>
    <t>YES!PK__info_nch__3213E83FEB6BFFCC</t>
  </si>
  <si>
    <t>info_binary_dml_batch1_pk_drp1</t>
  </si>
  <si>
    <t>[0;34m info_binary_dml_batch1_pk_drp1 [0m源备字段数相同，源端字段：4 	备端字段4</t>
  </si>
  <si>
    <t>YES!PK__info_bin__3213E83F112F1495</t>
  </si>
  <si>
    <t>info_char_dml_single_pk_irp</t>
  </si>
  <si>
    <t>[0;34m info_char_dml_single_pk_irp [0m源备字段数相同，源端字段：4 	备端字段4</t>
  </si>
  <si>
    <t>YES!PK__info_cha__3213E83FA21A8FDA</t>
  </si>
  <si>
    <t>info_date_dml_batch1_pk_urp1</t>
  </si>
  <si>
    <t>[0;34m info_date_dml_batch1_pk_urp1 [0m源备字段数相同，源端字段：2 	备端字段2</t>
  </si>
  <si>
    <t>YES!PK__info_dat__3213E83FB3F1F161</t>
  </si>
  <si>
    <t>info_date_dml_batch1_pk_urp2</t>
  </si>
  <si>
    <t>[0;34m info_date_dml_batch1_pk_urp2 [0m源备字段数相同，源端字段：2 	备端字段2</t>
  </si>
  <si>
    <t>YES!PK__info_dat__3213E83F670DED64</t>
  </si>
  <si>
    <t>info_binary_dml_batch1_pk_drp2</t>
  </si>
  <si>
    <t>[0;34m info_binary_dml_batch1_pk_drp2 [0m源备字段数相同，源端字段：4 	备端字段4</t>
  </si>
  <si>
    <t>YES!PK__info_bin__3213E83F649D4F3A</t>
  </si>
  <si>
    <t>info_datetime_dml_single_pk_irp</t>
  </si>
  <si>
    <t>[0;34m info_datetime_dml_single_pk_irp [0m源备字段数相同，源端字段：2 	备端字段2</t>
  </si>
  <si>
    <t>YES!PK__info_dat__3213E83FB6640165</t>
  </si>
  <si>
    <t>info_int_dml_single_pk_drp</t>
  </si>
  <si>
    <t>[0;34m info_int_dml_single_pk_drp [0m源备字段数相同，源端字段：20 	备端字段20</t>
  </si>
  <si>
    <t>YES!PK__info_int__3213E83F17F3D42D</t>
  </si>
  <si>
    <t>info_varcharmax_dml_single_pk_drp</t>
  </si>
  <si>
    <t>[0;34m info_varcharmax_dml_single_pk_drp [0m源备字段数相同，源端字段：3 	备端字段3</t>
  </si>
  <si>
    <t>YES!PK__info_var__3213E83F1C181C43</t>
  </si>
  <si>
    <t>info_char_dml_batch1_pk_urp1</t>
  </si>
  <si>
    <t>[0;34m info_char_dml_batch1_pk_urp1 [0m源备字段数相同，源端字段：4 	备端字段4</t>
  </si>
  <si>
    <t>YES!PK__info_cha__3213E83F3AB548FE</t>
  </si>
  <si>
    <t>info_int_dml_single_pk</t>
  </si>
  <si>
    <t>[0;34m info_int_dml_single_pk [0m源备字段数相同，源端字段：20 	备端字段20</t>
  </si>
  <si>
    <t>YES!PK__info_int__3213E83F941F9E09</t>
  </si>
  <si>
    <t>info_varcharmax_dml_batch1_pk_drp1</t>
  </si>
  <si>
    <t>[0;34m info_varcharmax_dml_batch1_pk_drp1 [0m源备字段数相同，源端字段：3 	备端字段3</t>
  </si>
  <si>
    <t>YES!PK__info_var__3213E83F55AE15E6</t>
  </si>
  <si>
    <t>info_timestamp_dml_single_pk_irp</t>
  </si>
  <si>
    <t>[0;34m info_timestamp_dml_single_pk_irp [0m源备字段数相同，源端字段：2 	备端字段2</t>
  </si>
  <si>
    <t>YES!PK__info_tim__3213E83F74F53693</t>
  </si>
  <si>
    <t xml:space="preserve"> NO!  	 c_tiemstamp列源备映射错误，源端为timestamp None位	期望更改为text	实际备端为timestamp None位</t>
  </si>
  <si>
    <t>info_char_dml_batch1_pk_urp2</t>
  </si>
  <si>
    <t>[0;34m info_char_dml_batch1_pk_urp2 [0m源备字段数相同，源端字段：4 	备端字段4</t>
  </si>
  <si>
    <t>YES!PK__info_cha__3213E83F41F82534</t>
  </si>
  <si>
    <t>info_char_dml_single_pk_urp</t>
  </si>
  <si>
    <t>[0;34m info_char_dml_single_pk_urp [0m源备字段数相同，源端字段：4 	备端字段4</t>
  </si>
  <si>
    <t>YES!PK__info_cha__3213E83FE8B4749D</t>
  </si>
  <si>
    <t>info_varcharmax_dml_batch1_pk_drp2</t>
  </si>
  <si>
    <t>[0;34m info_varcharmax_dml_batch1_pk_drp2 [0m源备字段数相同，源端字段：3 	备端字段3</t>
  </si>
  <si>
    <t>YES!PK__info_var__3213E83FE60B3A59</t>
  </si>
  <si>
    <t>info_char_dml_single_pk_drp</t>
  </si>
  <si>
    <t>[0;34m info_char_dml_single_pk_drp [0m源备字段数相同，源端字段：4 	备端字段4</t>
  </si>
  <si>
    <t>YES!PK__info_cha__3213E83FE8A47775</t>
  </si>
  <si>
    <t>info_date_dml_batch1_pk_drp1</t>
  </si>
  <si>
    <t>[0;34m info_date_dml_batch1_pk_drp1 [0m源备字段数相同，源端字段：2 	备端字段2</t>
  </si>
  <si>
    <t>YES!PK__info_dat__3213E83F4FA618A2</t>
  </si>
  <si>
    <t>info_varchar_dml_batch1_pk_irp1</t>
  </si>
  <si>
    <t>[0;34m info_varchar_dml_batch1_pk_irp1 [0m源备字段数相同，源端字段：4 	备端字段4</t>
  </si>
  <si>
    <t>YES!PK__info_var__3213E83F6394AEC0</t>
  </si>
  <si>
    <t xml:space="preserve"> NO!  	 c_varchar200列源备映射错误，源端为varchar 200位	期望更改为text	实际备端为varchar 200位</t>
  </si>
  <si>
    <t>info_datetime_dml_single_pk_urp</t>
  </si>
  <si>
    <t>[0;34m info_datetime_dml_single_pk_urp [0m源备字段数相同，源端字段：2 	备端字段2</t>
  </si>
  <si>
    <t>YES!PK__info_dat__3213E83F86AA400F</t>
  </si>
  <si>
    <t>info_nchar_dml_batch1_pk</t>
  </si>
  <si>
    <t>[0;34m info_nchar_dml_batch1_pk [0m源备字段数相同，源端字段：4 	备端字段4</t>
  </si>
  <si>
    <t>YES!PK__info_nch__3213E83F08E12E83</t>
  </si>
  <si>
    <t>info_varcharmax_dml_single_pk</t>
  </si>
  <si>
    <t>[0;34m info_varcharmax_dml_single_pk [0m源备字段数相同，源端字段：3 	备端字段3</t>
  </si>
  <si>
    <t>YES!PK__info_var__3213E83F09BA74A2</t>
  </si>
  <si>
    <t>info_date_dml_batch1_pk_drp2</t>
  </si>
  <si>
    <t>[0;34m info_date_dml_batch1_pk_drp2 [0m源备字段数相同，源端字段：2 	备端字段2</t>
  </si>
  <si>
    <t>YES!PK__info_dat__3213E83F10E42500</t>
  </si>
  <si>
    <t>info_datetime_dml_single_pk_drp</t>
  </si>
  <si>
    <t>[0;34m info_datetime_dml_single_pk_drp [0m源备字段数相同，源端字段：2 	备端字段2</t>
  </si>
  <si>
    <t>YES!PK__info_dat__3213E83FAB5833EE</t>
  </si>
  <si>
    <t>info_date_dml_batch1_pk</t>
  </si>
  <si>
    <t>[0;34m info_date_dml_batch1_pk [0m源备字段数相同，源端字段：2 	备端字段2</t>
  </si>
  <si>
    <t>YES!PK__info_dat__3213E83FCBFF6AA9</t>
  </si>
  <si>
    <t>info_nvarchar_dml_batch1_pk_irp1</t>
  </si>
  <si>
    <t>[0;34m info_nvarchar_dml_batch1_pk_irp1 [0m源备字段数相同，源端字段：4 	备端字段4</t>
  </si>
  <si>
    <t>YES!PK__info_nva__3213E83F6DFE74F4</t>
  </si>
  <si>
    <t>info_timestamp_dml_single_pk_drp</t>
  </si>
  <si>
    <t>[0;34m info_timestamp_dml_single_pk_drp [0m源备字段数相同，源端字段：2 	备端字段2</t>
  </si>
  <si>
    <t>YES!PK__info_tim__3213E83FEA4DC13B</t>
  </si>
  <si>
    <t>info_time_dml_batch1_pk_irp1</t>
  </si>
  <si>
    <t>[0;34m info_time_dml_batch1_pk_irp1 [0m源备字段数相同，源端字段：9 	备端字段9</t>
  </si>
  <si>
    <t>YES!PK__info_tim__3213E83F74D9B523</t>
  </si>
  <si>
    <t>info_binary_dml_batch1_pk</t>
  </si>
  <si>
    <t>[0;34m info_binary_dml_batch1_pk [0m源备字段数相同，源端字段：4 	备端字段4</t>
  </si>
  <si>
    <t>YES!PK__info_bin__3213E83F6B76E9E8</t>
  </si>
  <si>
    <t>info_varchar_dml_batch1_pk_irp2</t>
  </si>
  <si>
    <t>[0;34m info_varchar_dml_batch1_pk_irp2 [0m源备字段数相同，源端字段：4 	备端字段4</t>
  </si>
  <si>
    <t>YES!PK__info_var__3213E83F8DEAE457</t>
  </si>
  <si>
    <t>info_time_dml_batch1_pk_irp2</t>
  </si>
  <si>
    <t>[0;34m info_time_dml_batch1_pk_irp2 [0m源备字段数相同，源端字段：9 	备端字段9</t>
  </si>
  <si>
    <t>YES!PK__info_tim__3213E83F775F4E06</t>
  </si>
  <si>
    <t>info_datetime_dml_single_pk</t>
  </si>
  <si>
    <t>[0;34m info_datetime_dml_single_pk [0m源备字段数相同，源端字段：2 	备端字段2</t>
  </si>
  <si>
    <t>YES!PK__info_dat__3213E83FBAC7D352</t>
  </si>
  <si>
    <t>info_sql_variant_dml_single_pk_irp</t>
  </si>
  <si>
    <t>[0;34m info_sql_variant_dml_single_pk_irp [0m源备字段数相同，源端字段：25 	备端字段25</t>
  </si>
  <si>
    <t>YES!PK__info_sql__3213E83F3E87AF60</t>
  </si>
  <si>
    <t xml:space="preserve"> NO!  	 c_date列源备映射错误，源端为sql_variant 0位	期望更改为text	实际备端为sql_variant 0位</t>
  </si>
  <si>
    <t xml:space="preserve"> NO!  	 c_time列源备映射错误，源端为sql_variant 0位	期望更改为text	实际备端为sql_variant 0位</t>
  </si>
  <si>
    <t xml:space="preserve"> NO!  	 c_datetime2列源备映射错误，源端为sql_variant 0位	期望更改为text	实际备端为sql_variant 0位</t>
  </si>
  <si>
    <t xml:space="preserve"> NO!  	 c_datetimeoffset列源备映射错误，源端为sql_variant 0位	期望更改为text	实际备端为sql_variant 0位</t>
  </si>
  <si>
    <t xml:space="preserve"> NO!  	 c_tinyint列源备映射错误，源端为sql_variant 0位	期望更改为text	实际备端为sql_variant 0位</t>
  </si>
  <si>
    <t xml:space="preserve"> NO!  	 c_smallint列源备映射错误，源端为sql_variant 0位	期望更改为text	实际备端为sql_variant 0位</t>
  </si>
  <si>
    <t xml:space="preserve"> NO!  	 c_int列源备映射错误，源端为sql_variant 0位	期望更改为text	实际备端为sql_variant 0位</t>
  </si>
  <si>
    <t xml:space="preserve"> NO!  	 c_sdt列源备映射错误，源端为sql_variant 0位	期望更改为text	实际备端为sql_variant 0位</t>
  </si>
  <si>
    <t xml:space="preserve"> NO!  	 c_real列源备映射错误，源端为sql_variant 0位	期望更改为text	实际备端为sql_variant 0位</t>
  </si>
  <si>
    <t xml:space="preserve"> NO!  	 c_money列源备映射错误，源端为sql_variant 0位	期望更改为text	实际备端为sql_variant 0位</t>
  </si>
  <si>
    <t xml:space="preserve"> NO!  	 c_datetime列源备映射错误，源端为sql_variant 0位	期望更改为text	实际备端为sql_variant 0位</t>
  </si>
  <si>
    <t xml:space="preserve"> NO!  	 c_float列源备映射错误，源端为sql_variant 0位	期望更改为text	实际备端为sql_variant 0位</t>
  </si>
  <si>
    <t xml:space="preserve"> NO!  	 c_bit列源备映射错误，源端为sql_variant 0位	期望更改为text	实际备端为sql_variant 0位</t>
  </si>
  <si>
    <t xml:space="preserve"> NO!  	 c_decimal列源备映射错误，源端为sql_variant 0位	期望更改为text	实际备端为sql_variant 0位</t>
  </si>
  <si>
    <t xml:space="preserve"> NO!  	 c_uniqueidentifier列源备映射错误，源端为sql_variant 0位	期望更改为text	实际备端为sql_variant 0位</t>
  </si>
  <si>
    <t xml:space="preserve"> NO!  	 c_smallmoney列源备映射错误，源端为sql_variant 0位	期望更改为text	实际备端为sql_variant 0位</t>
  </si>
  <si>
    <t xml:space="preserve"> NO!  	 c_bigint列源备映射错误，源端为sql_variant 0位	期望更改为text	实际备端为sql_variant 0位</t>
  </si>
  <si>
    <t xml:space="preserve"> NO!  	 c_varbinary_20列源备映射错误，源端为sql_variant 0位	期望更改为text	实际备端为sql_variant 0位</t>
  </si>
  <si>
    <t xml:space="preserve"> NO!  	 c_varchar_20列源备映射错误，源端为sql_variant 0位	期望更改为text	实际备端为sql_variant 0位</t>
  </si>
  <si>
    <t xml:space="preserve"> NO!  	 c_binary_20列源备映射错误，源端为sql_variant 0位	期望更改为text	实际备端为sql_variant 0位</t>
  </si>
  <si>
    <t xml:space="preserve"> NO!  	 c_char_20列源备映射错误，源端为sql_variant 0位	期望更改为text	实际备端为sql_variant 0位</t>
  </si>
  <si>
    <t xml:space="preserve"> NO!  	 c_nvarchar_20列源备映射错误，源端为sql_variant 0位	期望更改为text	实际备端为sql_variant 0位</t>
  </si>
  <si>
    <t xml:space="preserve"> NO!  	 c_nchar_20列源备映射错误，源端为sql_variant 0位	期望更改为text	实际备端为sql_variant 0位</t>
  </si>
  <si>
    <t xml:space="preserve"> NO!  	 c_timestamp列源备映射错误，源端为timestamp None位	期望更改为text	实际备端为timestamp None位</t>
  </si>
  <si>
    <t>info_varcharmax_dml_batch1_pk</t>
  </si>
  <si>
    <t>[0;34m info_varcharmax_dml_batch1_pk [0m源备字段数相同，源端字段：3 	备端字段3</t>
  </si>
  <si>
    <t>YES!PK__info_var__3213E83F851CAA40</t>
  </si>
  <si>
    <t>info_nvarchar_dml_batch1_pk_irp2</t>
  </si>
  <si>
    <t>[0;34m info_nvarchar_dml_batch1_pk_irp2 [0m源备字段数相同，源端字段：4 	备端字段4</t>
  </si>
  <si>
    <t>YES!PK__info_nva__3213E83F7738A04F</t>
  </si>
  <si>
    <t>info_uniqueidentifier_dml_single_pk_irp</t>
  </si>
  <si>
    <t>[0;34m info_uniqueidentifier_dml_single_pk_irp [0m源备字段数相同，源端字段：2 	备端字段2</t>
  </si>
  <si>
    <t>YES!PK__info_uni__3213E83F7F8016AD</t>
  </si>
  <si>
    <t xml:space="preserve"> NO!  	 c_uniqueidentifier列源备映射错误，源端为uniqueidentifier None位	期望更改为text	实际备端为uniqueidentifier None位</t>
  </si>
  <si>
    <t>info_datetime2_dml_single_pk_irp</t>
  </si>
  <si>
    <t>[0;34m info_datetime2_dml_single_pk_irp [0m源备字段数相同，源端字段：9 	备端字段9</t>
  </si>
  <si>
    <t>YES!PK__info_dat__3213E83FFAA36BE4</t>
  </si>
  <si>
    <t>info_char_dml_single_pk</t>
  </si>
  <si>
    <t>[0;34m info_char_dml_single_pk [0m源备字段数相同，源端字段：4 	备端字段4</t>
  </si>
  <si>
    <t>YES!PK__info_cha__3213E83F9FFC7CB1</t>
  </si>
  <si>
    <t>info_varbinary_dml_batch1_pk_irp1</t>
  </si>
  <si>
    <t>[0;34m info_varbinary_dml_batch1_pk_irp1 [0m源备字段数相同，源端字段：4 	备端字段4</t>
  </si>
  <si>
    <t>YES!PK__info_var__3213E83F05B6F328</t>
  </si>
  <si>
    <t>info_geography_dml_single_pk_irp</t>
  </si>
  <si>
    <t>[0;34m info_geography_dml_single_pk_irp [0m源备字段数相同，源端字段：2 	备端字段2</t>
  </si>
  <si>
    <t>YES!PK__info_geo__3213E83FF84E72A5</t>
  </si>
  <si>
    <t xml:space="preserve"> NO!  	 c_geography列源备映射错误，源端为geography -1位	期望更改为text	实际备端为geography -1位</t>
  </si>
  <si>
    <t>info_varchar_dml_single_pk_irp</t>
  </si>
  <si>
    <t>[0;34m info_varchar_dml_single_pk_irp [0m源备字段数相同，源端字段：4 	备端字段4</t>
  </si>
  <si>
    <t>YES!PK__info_var__3213E83F163A1CD8</t>
  </si>
  <si>
    <t xml:space="preserve"> NO!  	 c_varchar50列源备映射错误，源端为varchar 50位	期望更改为text	实际备端为varchar 50位</t>
  </si>
  <si>
    <t>info_time_dml_batch2_pk_irp1</t>
  </si>
  <si>
    <t>[0;34m info_time_dml_batch2_pk_irp1 [0m源备字段数相同，源端字段：9 	备端字段9</t>
  </si>
  <si>
    <t>YES!PK__info_tim__3213E83F7EEBBE58</t>
  </si>
  <si>
    <t>info_varchar_dml_batch2_pk_irp1</t>
  </si>
  <si>
    <t>[0;34m info_varchar_dml_batch2_pk_irp1 [0m源备字段数相同，源端字段：4 	备端字段4</t>
  </si>
  <si>
    <t>YES!PK__info_var__3213E83FF3A0D68D</t>
  </si>
  <si>
    <t>info_varbinary_dml_batch1_pk_irp2</t>
  </si>
  <si>
    <t>[0;34m info_varbinary_dml_batch1_pk_irp2 [0m源备字段数相同，源端字段：4 	备端字段4</t>
  </si>
  <si>
    <t>YES!PK__info_var__3213E83FAD02788B</t>
  </si>
  <si>
    <t>info_sql_variant_dml_single_pk_urp</t>
  </si>
  <si>
    <t>[0;34m info_sql_variant_dml_single_pk_urp [0m源备字段数相同，源端字段：25 	备端字段25</t>
  </si>
  <si>
    <t>YES!PK__info_sql__3213E83FEEEAFE12</t>
  </si>
  <si>
    <t>info_varchar_dml_batch2_pk_irp2</t>
  </si>
  <si>
    <t>[0;34m info_varchar_dml_batch2_pk_irp2 [0m源备字段数相同，源端字段：4 	备端字段4</t>
  </si>
  <si>
    <t>YES!PK__info_var__3213E83FF27A2C5A</t>
  </si>
  <si>
    <t>info_sql_variant_dml_single_pk_drp</t>
  </si>
  <si>
    <t>[0;34m info_sql_variant_dml_single_pk_drp [0m源备字段数相同，源端字段：25 	备端字段25</t>
  </si>
  <si>
    <t>YES!PK__info_sql__3213E83F0E22FCD6</t>
  </si>
  <si>
    <t>info_int_dml_batch1_pk_irp1</t>
  </si>
  <si>
    <t>[0;34m info_int_dml_batch1_pk_irp1 [0m源备字段数相同，源端字段：20 	备端字段20</t>
  </si>
  <si>
    <t>YES!PK__info_int__3213E83F272FD834</t>
  </si>
  <si>
    <t>info_uniqueidentifier_dml_single_pk_urp</t>
  </si>
  <si>
    <t>[0;34m info_uniqueidentifier_dml_single_pk_urp [0m源备字段数相同，源端字段：2 	备端字段2</t>
  </si>
  <si>
    <t>YES!PK__info_uni__3213E83F2D128DE1</t>
  </si>
  <si>
    <t>info_nvarchar_dml_batch2_pk_irp1</t>
  </si>
  <si>
    <t>[0;34m info_nvarchar_dml_batch2_pk_irp1 [0m源备字段数相同，源端字段：4 	备端字段4</t>
  </si>
  <si>
    <t>YES!PK__info_nva__3213E83FB9640613</t>
  </si>
  <si>
    <t>info_datetime2_dml_single_pk_urp</t>
  </si>
  <si>
    <t>[0;34m info_datetime2_dml_single_pk_urp [0m源备字段数相同，源端字段：9 	备端字段9</t>
  </si>
  <si>
    <t>YES!PK__info_dat__3213E83F9A1514A8</t>
  </si>
  <si>
    <t>info_geography_dml_single_pk_urp</t>
  </si>
  <si>
    <t>[0;34m info_geography_dml_single_pk_urp [0m源备字段数相同，源端字段：2 	备端字段2</t>
  </si>
  <si>
    <t>YES!PK__info_geo__3213E83FFA697EAF</t>
  </si>
  <si>
    <t>info_time_dml_batch2_pk_irp2</t>
  </si>
  <si>
    <t>[0;34m info_time_dml_batch2_pk_irp2 [0m源备字段数相同，源端字段：9 	备端字段9</t>
  </si>
  <si>
    <t>YES!PK__info_tim__3213E83FDF9DF9D2</t>
  </si>
  <si>
    <t>info_varbinary_dml_batch2_pk_irp1</t>
  </si>
  <si>
    <t>[0;34m info_varbinary_dml_batch2_pk_irp1 [0m源备字段数相同，源端字段：4 	备端字段4</t>
  </si>
  <si>
    <t>YES!PK__info_var__3213E83FAC1CD13D</t>
  </si>
  <si>
    <t>info_time_dml_batch1_pk_urp1</t>
  </si>
  <si>
    <t>[0;34m info_time_dml_batch1_pk_urp1 [0m源备字段数相同，源端字段：9 	备端字段9</t>
  </si>
  <si>
    <t>YES!PK__info_tim__3213E83FFDCF86F6</t>
  </si>
  <si>
    <t>info_sql_variant_dml_single_pk</t>
  </si>
  <si>
    <t>[0;34m info_sql_variant_dml_single_pk [0m源备字段数相同，源端字段：25 	备端字段25</t>
  </si>
  <si>
    <t>YES!PK__info_sql__3213E83FD874E961</t>
  </si>
  <si>
    <t>info_uniqueidentifier_dml_single_pk_drp</t>
  </si>
  <si>
    <t>[0;34m info_uniqueidentifier_dml_single_pk_drp [0m源备字段数相同，源端字段：2 	备端字段2</t>
  </si>
  <si>
    <t>YES!PK__info_uni__3213E83FE5A7EE64</t>
  </si>
  <si>
    <t>info_time_dml_batch1_pk_urp2</t>
  </si>
  <si>
    <t>[0;34m info_time_dml_batch1_pk_urp2 [0m源备字段数相同，源端字段：9 	备端字段9</t>
  </si>
  <si>
    <t>YES!PK__info_tim__3213E83FD9A9CAB1</t>
  </si>
  <si>
    <t>info_datetime2_dml_single_pk_drp</t>
  </si>
  <si>
    <t>[0;34m info_datetime2_dml_single_pk_drp [0m源备字段数相同，源端字段：9 	备端字段9</t>
  </si>
  <si>
    <t>YES!PK__info_dat__3213E83FC2071D64</t>
  </si>
  <si>
    <t>info_varchar_dml_single_pk_urp</t>
  </si>
  <si>
    <t>[0;34m info_varchar_dml_single_pk_urp [0m源备字段数相同，源端字段：4 	备端字段4</t>
  </si>
  <si>
    <t>YES!PK__info_var__3213E83FE921C7C3</t>
  </si>
  <si>
    <t>info_time_dml_batch1_pk_drp1</t>
  </si>
  <si>
    <t>[0;34m info_time_dml_batch1_pk_drp1 [0m源备字段数相同，源端字段：9 	备端字段9</t>
  </si>
  <si>
    <t>YES!PK__info_tim__3213E83F7673C9A0</t>
  </si>
  <si>
    <t>info_int_dml_batch1_pk_irp2</t>
  </si>
  <si>
    <t>[0;34m info_int_dml_batch1_pk_irp2 [0m源备字段数相同，源端字段：20 	备端字段20</t>
  </si>
  <si>
    <t>YES!PK__info_int__3213E83FB78BC635</t>
  </si>
  <si>
    <t>info_uniqueidentifier_dml_single_pk</t>
  </si>
  <si>
    <t>[0;34m info_uniqueidentifier_dml_single_pk [0m源备字段数相同，源端字段：2 	备端字段2</t>
  </si>
  <si>
    <t>YES!PK__info_uni__3213E83F55362878</t>
  </si>
  <si>
    <t>info_datetime2_dml_single_pk</t>
  </si>
  <si>
    <t>[0;34m info_datetime2_dml_single_pk [0m源备字段数相同，源端字段：9 	备端字段9</t>
  </si>
  <si>
    <t>YES!PK__info_dat__3213E83F59A2FB93</t>
  </si>
  <si>
    <t>info_varchar_dml_single_pk_drp</t>
  </si>
  <si>
    <t>[0;34m info_varchar_dml_single_pk_drp [0m源备字段数相同，源端字段：4 	备端字段4</t>
  </si>
  <si>
    <t>YES!PK__info_var__3213E83F623193E8</t>
  </si>
  <si>
    <t>info_geography_dml_single_pk_drp</t>
  </si>
  <si>
    <t>[0;34m info_geography_dml_single_pk_drp [0m源备字段数相同，源端字段：2 	备端字段2</t>
  </si>
  <si>
    <t>YES!PK__info_geo__3213E83F64C7416D</t>
  </si>
  <si>
    <t>info_time_dml_batch1_pk_drp2</t>
  </si>
  <si>
    <t>[0;34m info_time_dml_batch1_pk_drp2 [0m源备字段数相同，源端字段：9 	备端字段9</t>
  </si>
  <si>
    <t>YES!PK__info_tim__3213E83F8B2481D2</t>
  </si>
  <si>
    <t>info_varchar_dml_batch1_pk_urp1</t>
  </si>
  <si>
    <t>[0;34m info_varchar_dml_batch1_pk_urp1 [0m源备字段数相同，源端字段：4 	备端字段4</t>
  </si>
  <si>
    <t>YES!PK__info_var__3213E83F14E721FC</t>
  </si>
  <si>
    <t>info_geography_dml_single_pk</t>
  </si>
  <si>
    <t>[0;34m info_geography_dml_single_pk [0m源备字段数相同，源端字段：2 	备端字段2</t>
  </si>
  <si>
    <t>YES!PK__info_geo__3213E83F6C9EF284</t>
  </si>
  <si>
    <t>info_nvarchar_dml_batch2_pk_irp2</t>
  </si>
  <si>
    <t>[0;34m info_nvarchar_dml_batch2_pk_irp2 [0m源备字段数相同，源端字段：4 	备端字段4</t>
  </si>
  <si>
    <t>YES!PK__info_nva__3213E83FC38A60D2</t>
  </si>
  <si>
    <t>info_int_dml_batch2_pk_irp1</t>
  </si>
  <si>
    <t>[0;34m info_int_dml_batch2_pk_irp1 [0m源备字段数相同，源端字段：20 	备端字段20</t>
  </si>
  <si>
    <t>YES!PK__info_int__3213E83FB362AEC0</t>
  </si>
  <si>
    <t>info_varbinary_dml_batch2_pk_irp2</t>
  </si>
  <si>
    <t>[0;34m info_varbinary_dml_batch2_pk_irp2 [0m源备字段数相同，源端字段：4 	备端字段4</t>
  </si>
  <si>
    <t>YES!PK__info_var__3213E83F97235F76</t>
  </si>
  <si>
    <t>info_time_dml_batch1_pk</t>
  </si>
  <si>
    <t>[0;34m info_time_dml_batch1_pk [0m源备字段数相同，源端字段：9 	备端字段9</t>
  </si>
  <si>
    <t>YES!PK__info_tim__3213E83F1D9C477F</t>
  </si>
  <si>
    <t>info_sdt_dml_batch1_pk_irp1</t>
  </si>
  <si>
    <t>[0;34m info_sdt_dml_batch1_pk_irp1 [0m源备字段数相同，源端字段：2 	备端字段2</t>
  </si>
  <si>
    <t>YES!PK__info_sdt__3213E83F27AA8810</t>
  </si>
  <si>
    <t>info_sdt_dml_batch1_pk_irp2</t>
  </si>
  <si>
    <t>[0;34m info_sdt_dml_batch1_pk_irp2 [0m源备字段数相同，源端字段：2 	备端字段2</t>
  </si>
  <si>
    <t>YES!PK__info_sdt__3213E83F3E3AC71F</t>
  </si>
  <si>
    <t>info_datetimeoffset_dml_single_pk_irp</t>
  </si>
  <si>
    <t>[0;34m info_datetimeoffset_dml_single_pk_irp [0m源备字段数相同，源端字段：9 	备端字段9</t>
  </si>
  <si>
    <t>YES!PK__info_dat__3213E83FBF5274F1</t>
  </si>
  <si>
    <t>info_varchar_dml_batch1_pk_urp2</t>
  </si>
  <si>
    <t>[0;34m info_varchar_dml_batch1_pk_urp2 [0m源备字段数相同，源端字段：4 	备端字段4</t>
  </si>
  <si>
    <t>YES!PK__info_var__3213E83F7FA058B2</t>
  </si>
  <si>
    <t>info_int_dml_batch2_pk_irp2</t>
  </si>
  <si>
    <t>[0;34m info_int_dml_batch2_pk_irp2 [0m源备字段数相同，源端字段：20 	备端字段20</t>
  </si>
  <si>
    <t>YES!PK__info_int__3213E83F5A31D2CC</t>
  </si>
  <si>
    <t>info_varchar_dml_single_pk</t>
  </si>
  <si>
    <t>[0;34m info_varchar_dml_single_pk [0m源备字段数相同，源端字段：4 	备端字段4</t>
  </si>
  <si>
    <t>YES!PK__info_var__3213E83F7498166E</t>
  </si>
  <si>
    <t>info_sdt_dml_batch2_pk_irp1</t>
  </si>
  <si>
    <t>[0;34m info_sdt_dml_batch2_pk_irp1 [0m源备字段数相同，源端字段：2 	备端字段2</t>
  </si>
  <si>
    <t>YES!PK__info_sdt__3213E83FE7901422</t>
  </si>
  <si>
    <t>src行 ['2', 'A', 'THIS IS A TESTCASEYF', 'AAAAAAAAAAAAAAAAAAAAAAAAAAAAAA']列，源：d29a27df462a1acfc712398a28370280 备：None</t>
  </si>
  <si>
    <t>src行 ['2', ' ', '                    ', '                              ']列，源：00bbfcbb967b068cd7e214fbbbea2ccf 备：None</t>
  </si>
  <si>
    <t>src行 ['4', 'X', 'This is a char strin', 'This is a char strinThis is a ']列，源：3e2697047cfe860470a682affcc78549 备：None</t>
  </si>
  <si>
    <t>src行 ['4', ' ', '                    ', '                              ']列，源：e7b54d2aafe9be96f1f43c784d229517 备：None</t>
  </si>
  <si>
    <t>src行 ['3', ' ', '                    ', '                              ']列，源：e853a2e60c4b56eeb03173521b64da6e 备：None</t>
  </si>
  <si>
    <t>src行 ['1', '8', '$TooLong英255Val方&amp; ', '$TooLong英255Val方&amp;$TooLong英255V']列，源：1ecc269e9574d667cf875b03386c7a28 备：None</t>
  </si>
  <si>
    <t>src行 ['3', '6', '12345678901234567890', '123456712345671234567123456712']列，源：1593b7d93bc5fd35522ed115f288a0ff 备：None</t>
  </si>
  <si>
    <t>src行 ['2', '8', '$TooLong英255Val方&amp; ', '$TooLong英255Val方&amp;$TooLong英255V']列，源：c435d9a1f3a074d5a566191ccb784217 备：None</t>
  </si>
  <si>
    <t>src行 ['1', '€', '$TooLong英255Val方&amp; ', '$TooLong英255Val方&amp;$TooLong英255V']列，源：40e7f206009af95b7ae04435dbe9d163 备：None</t>
  </si>
  <si>
    <t>src行 ['5', 'A', 'THIS IS A TESTCASEYF', 'AAAAAAAAAAAAAAAAAAAAAAAAAAAAAA']列，源：c9050412ebc9d768230e2da558eaf70a 备：None</t>
  </si>
  <si>
    <t>src行 ['3', '8', '$TooLong英255Val方&amp; ', '$TooLong英255Val方&amp;$TooLong英255V']列，源：b354ba42eec7effb8d73401390c32e07 备：None</t>
  </si>
  <si>
    <t>src行 ['5', '?', '€?I€?               ', '€?I€?€?I€?€?I€?€?I€?€?I€?€?I€?']列，源：cd5bbdf728fef54579c80431c9d8d4cd 备：None</t>
  </si>
  <si>
    <t>src行 ['7', 'a', 'this is a testcaseyf', 'aaaaaaaaaaaaaaaaaaaaaaaaaaaaaa']列，源：cfcf9cbe841f111cea4fdc2e9662bd47 备：None</t>
  </si>
  <si>
    <t>src行 ['4', '8', '$TooLong英255Val方&amp; ', '$TooLong英255Val方&amp;$TooLong英255V']列，源：1e6bee2a272c4f73e36453f584b9e9c3 备：None</t>
  </si>
  <si>
    <t>src行 ['6', '&amp;', '测试数据更新        ', '测试数据测试数据测试数据测试数据测试数据测试数据测试数据测试']列，源：265e13fc2cc0d7f56ca1ae990bd76b76 备：None</t>
  </si>
  <si>
    <t>src行 ['5', '8', '$TooLong英255Val方&amp; ', '$TooLong英255Val方&amp;$TooLong英255V']列，源：0af2c2d32af485628297e2908df29f6c 备：None</t>
  </si>
  <si>
    <t>src行 ['5', 'B', '这是一个中文字符串  ', '这是一个长中文字符串这是一个长中文字符串这是一个长中文字符串']列，源：17a036c40a0c7ece3da6978ee43ea53f 备：None</t>
  </si>
  <si>
    <t>src行 ['6', '8', '$TooLong英255Val方&amp; ', '$TooLong英255Val方&amp;$TooLong英255V']列，源：74059ee383f1800770529a67b1cf6eeb 备：None</t>
  </si>
  <si>
    <t>src行 ['6', '6', 'This is a char strin', 'This is a char strinThis is a ']列，源：76837dc82923fb53dbe6a36b31cbf818 备：None</t>
  </si>
  <si>
    <t>src行 ['7', '*', '!@#%^&amp;()+{}:"&lt;&gt;?];\\n', '!@#$%^&amp;*()+{}:"&lt;&gt;?];\\n!@#$%^&amp;*']列，源：3a00df556e9698b73dd4b96e19286681 备：None</t>
  </si>
  <si>
    <t>src行 ['8', '8', '12345678901234567890', '2825628257                    ']列，源：f66c4ffe9aabade318de3d63b684a60c 备：None</t>
  </si>
  <si>
    <t>sqlserver -- 2026042011hbase</t>
  </si>
  <si>
    <t>源端共计 201个表，备端共计 201个表</t>
  </si>
  <si>
    <t>tgt行 ['1', '100', '-32768', '123456', '1000000', '', '-100000000000000000000000000000000000000', '-1', '-10000000000000000000000000000', '-888888.22', '-999999999999999999', '-100000000000000000000000000000000000000', '-1', '-10000000000000000000000000000', '-9999999999999999.99', '0', '0', '203685477.5808', '-214748.3648', '0']列，源：None 备：6b009bfd2fb2f8feca47cebc211d4ce0</t>
  </si>
  <si>
    <t>tgt行 ['1', '100', '-1', '222222', '500000000', '99999', '-100000000000000000000000000000000000000', '-1', '-10000000000000000000000000000', '-11111.34', '-999999999999999999', '-100000000000000000000000000000000000000', '-1', '-10000000000000000000000000000', '-9999999999999999.99', '123.456789', '0', '203685477.5808', '-214748.3648', '1']列，源：None 备：244a09734f71c2af0f3895271d1351be</t>
  </si>
  <si>
    <t>tgt行 ['18', '', '', '', '', '', '', '', '', '', '', '', '', '', '', '0', '0', '0.0001', '0.0001', '1']列，源：None 备：26edf2ac14a9b6c0b5c5fe4f69312474</t>
  </si>
  <si>
    <t>tgt行 ['10', '100', '-12345', '123456', '1000000', '', '', '', '', '-888888.22', '', '', '', '', '', '0', '0', '203685477.5808', '', '0']列，源：None 备：684fff0193dd89d8fd7cb2ab46f8ea99</t>
  </si>
  <si>
    <t>tgt行 ['10', '100', '0', '0', '0', '99999', '', '', '', '-11111.34', '', '', '', '', '', '123.456789', '0', '203685477.5808', '', '1']列，源：None 备：a6643c928015791cdff8d723252803db</t>
  </si>
  <si>
    <t>tgt行 ['11', '', '', '', '', '', '', '', '', '', '', '', '', '', '', '0', '0', '', '', '']列，源：None 备：fa94f4a66ce87becee462cc0c66345e5</t>
  </si>
  <si>
    <t>src行 ['18', '', '', '', '', '', '', '', '', '', '', '', '', '', '', '0.0000000000000000000000000000000000000123457', '0', '0.0001', '0.0001', '1']列，源：cb88753f3d1aeb5bcc3c7fd3b84a73b3 备：None</t>
  </si>
  <si>
    <t>tgt行 ['11', '100', '20000', '123456', '1000000', '', '', '', '', '-888888.22', '', '', '', '', '', '0', '0', '203685477.5808', '', '0']列，源：None 备：fe42108026228a356bb8ae8c68f97aa2</t>
  </si>
  <si>
    <t>tgt行 ['11', '100', '0', '0', '0', '', '', '', '', '-888888.22', '', '', '', '', '', '0', '0', '203685477.5808', '', '0']列，源：None 备：8173eaa276139b87dc01ee4d9a3c2820</t>
  </si>
  <si>
    <t>src行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'-922337203685477.5808', '-214748.3648', '0']列，源：2fcd4bf7d0a960e10c9ce26035136d0f 备：None</t>
  </si>
  <si>
    <t>tgt行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'1']列，源：None 备：ca65e23965cd27b2c92221f252fcbc2c</t>
  </si>
  <si>
    <t>tgt行 ['12', '100', '', '123456', '1000000', '', '12345678901234567890123789010000000', '0.1234567890123459012345678901', '123456789012367012345678.1246', '-888888.22', '988', '987654321098765410987654321100000000', '0.9876543210987432109876543211', '987654321098765432105432.1099', '1234567012456.78', '0', '0', '203685477.5808', '', '0']列，源：None 备：d172a412f5fb18d2e88e30aa41203462</t>
  </si>
  <si>
    <t>src行 ['2', '255', '32767', '2147483647',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'922337203685477.5807', '214748.3647', '1']列，源：5889593c65178dc398805108a1ff9fce 备：None</t>
  </si>
  <si>
    <t>tgt行 ['13', '100', '', '123456', '1000000', '', '-123456780123456781234589012300000', '-0.4567890123479234567890145679', '-123456789012347890345678.9874', '-888888.22', '-321', '-987654321096543210987654321100000000', '-0.1234569012345671234567890123', '-6543210976543287654321.098765', '-9876543210954.32', '0', '0', '203685477.5808', '', '0']列，源：None 备：91028af66953dc7fc7007bd8bbebd2a0</t>
  </si>
  <si>
    <t>tgt行 ['14', '100', '', '123456', '1000000', '', '100000000000000000000000000000000', '1', '9999999999999999999999.999999', '-888888.22', '100000000000000', '999999999999999999999', '0.999999999999999999999999999', '999999999999999999999.999999', '9999999999.99', '0', '0', '203685477.5808', '', '0']列，源：None 备：51152fb4f2bc7ef7dd6959e43cd74f8a</t>
  </si>
  <si>
    <t>src行 ['16', '', '', '', '', '', '', '', '', '', '', '', '', '', '', '123457000000000000000000000000000000000', '340282306073709652508363335590014353408', '123456.789', '1234.5678', '1']列，源：586569a10041085144c3b1ea7573cd87 备：None</t>
  </si>
  <si>
    <t>src行 ['5', '123', '12345', '1234567890', '1234567890123456', '123456789123456789', '-1234567890123456789012345', '0.0000000000000000000000008', '1234567890123456789012345678', '-123456789012.1234', '123456789123456789', '-1234567890123456789012345', '0.0000000000000000000000008', '1234567890123456789012345678', '-123456789012.12', '0.000000000000000000000000000000000662607', '299792448', '-500000', '1234.5678', '1']列，源：c5d53f38a84a14d89e9c85f0418ccb4b 备：None</t>
  </si>
  <si>
    <t>tgt行 ['15', '100', '', '123456', '1000000', '', '1', '0.000000000000000000000000001', '0.000000001', '-888888.22', '0', '1', '0.000000000000000000000000000001', '0.000001', '0.01', '0', '0', '203685477.5808', '', '0']列，源：None 备：7f75307069eb95d2501445e26ba81699</t>
  </si>
  <si>
    <t>src行 ['17', '', '', '', '', '', '', '', '', '', '', '', '', '', '', '-123457000000000000000000000000000000000', '-340282306073709652508363335590014353408', '-123456.789', '-1234.5678', '0']列，源：61f027c7b247afc877fb21f70771fe6a 备：None</t>
  </si>
  <si>
    <t>tgt行 ['16', '100', '', '123456', '1000000', '', '', '', '', '-888888.22', '', '', '', '', '', '0', '0', '203685477.5808', '1234.5678', '0']列，源：None 备：a515e5d3b3a6a5dcb444e796b21aff31</t>
  </si>
  <si>
    <t>tgt行 ['16', '100', '0', '0', '0', '', '', '', '', '-888888.22', '', '', '', '', '', '0', '0', '203685477.5808', '1234.5678', '0']列，源：None 备：356c5029ff09b49281cc963009db2aed</t>
  </si>
  <si>
    <t>src行 ['11', '', '', '', '', '', '', '', '', '', '', '', '', '', '',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223', '0', '', '', '']列，源：ddbe4823dd73029cab7b55c11f55d9e1 备：None</t>
  </si>
  <si>
    <t>tgt行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'1']列，源：None 备：f33dd6220d6a33b0f77f242af814bd33</t>
  </si>
  <si>
    <t>tgt行 ['17', '100', '', '123456', '1000000', '', '', '', '', '-888888.22', '', '', '', '', '', '0', '0', '203685477.5808', '-1234.5678', '0']列，源：None 备：08c768aa084f17fe2cc5225368a6a53c</t>
  </si>
  <si>
    <t>tgt行 ['17', '100', '0', '0', '0', '', '', '', '', '-888888.22', '', '', '', '', '', '0', '0', '203685477.5808', '-1234.5678', '0']列，源：None 备：ab6caec455a1d06ab279a1a0b031d31c</t>
  </si>
  <si>
    <t>src行 ['19', '', '', '', '', '', '', '', '', '', '', '', '', '', '', '340282000000000000000000000000000000000', '340282306073709652508363335590014353408', '922337203685477.5807', '214748.3647', '1']列，源：20a274b7fa70f18b9b246ed3189fc951 备：None</t>
  </si>
  <si>
    <t>tgt行 ['18', '100', '', '123456', '1000000', '', '', '', '', '-888888.22', '', '', '', '', '', '0', '0', '203685477.5808', '0.0001', '0']列，源：None 备：9acb512b23c7372422ea0e24e5de5074</t>
  </si>
  <si>
    <t>tgt行 ['18', '100', '0', '0', '0', '', '', '', '', '-888888.22', '', '', '', '', '', '0', '0', '203685477.5808', '0.0001', '0']列，源：None 备：83298c732a6161b1801afa8e903c4ad4</t>
  </si>
  <si>
    <t>src行 ['20', '', '', '', '', '', '', '', '', '', '', '', '', '', '', '-340282000000000000000000000000000000000', '-340282306073709652508363335590014353408', '-922337203685477.5808', '-214748.3648', '0']列，源：736511b19906222800941ff5bb725763 备：None</t>
  </si>
  <si>
    <t>tgt行 ['204', '', '', '', '', '', '', '', '', '', '', '', '', '', '', '0', '299792448', '-500000', '1234.5678', '1']列，源：None 备：a31c87c3c60d3cfd999a8cc6fcc840dc</t>
  </si>
  <si>
    <t>tgt行 ['19', '100', '', '123456', '1000000', '', '', '', '', '-888888.22', '', '', '', '', '', '0', '0', '203685477.5808', '214748.3647', '0']列，源：None 备：223db9483e565be3bd9c49f919bca35a</t>
  </si>
  <si>
    <t>tgt行 ['19', '100', '0', '0', '0', '99999', '', '', '', '-11111.34', '', '', '', '', '', '123.456789', '0', '203685477.5808', '214748.3647', '1']列，源：None 备：8f0d6007fe877a199ae935644af1052e</t>
  </si>
  <si>
    <t>tgt行 ['2', '100', '32767', '123456', '1000000', '', '100000000000000000000000000000000000000', '1', '10000000000000000000000000000', '-888888.22', '999999999999999999', '100000000000000000000000000000000000000', '1', '10000000000000000000000000000', '9999999999999999.99', '0', '0', '203685477.5808', '214748.3647', '0']列，源：None 备：d1ab9718bc3b95849add29c1d6e2ef6d</t>
  </si>
  <si>
    <t>tgt行 ['2', '100', '32767', '123456', '1000000', '99999', '100000000000000000000000000000000000000', '1', '10000000000000000000000000000', '-11111.34', '999999999999999999', '100000000000000000000000000000000000000', '1', '10000000000000000000000000000', '9999999999999999.99', '123.456789', '0', '203685477.5808', '214748.3647', '1']列，源：None 备：672e28b200ed21d563af1564c5497bc5</t>
  </si>
  <si>
    <t>src行 ['4', '123', '12345', '1234567890', '1234567890123456', '123456789123456789', '-1234567890123456789012345', '0.0000000000000000000000008', '1234567890123456789012345678', '-123456789012.1234', '123456789123456789', '-1234567890123456789012345', '0.0000000000000000000000008', '1234567890123456789012345678', '-123456789012.12', '0.000000000000000000000000000000000662607', '299792448', '-500000', '1234.5678', '1']列，源：709c07c20a4910f782ff7818ca801b6e 备：None</t>
  </si>
  <si>
    <t>tgt行 ['20', '100', '', '123456', '1000000', '', '', '', '', '-888888.22', '', '', '', '', '', '0', '0', '203685477.5808', '-214748.3648', '0']列，源：None 备：373db987a4a42ed9312f088030a43178</t>
  </si>
  <si>
    <t>tgt行 ['20', '100', '0', '0', '0', '', '', '', '', '-888888.22', '', '', '', '', '', '0', '0', '203685477.5808', '-214748.3648', '0']列，源：None 备：03fccbe7bba7e28cdeb2a2a8ab103399</t>
  </si>
  <si>
    <t>tgt行 ['218', '', '', '', '', '', '', '', '', '', '', '', '', '', '', '0', '0', '0.0001', '0.0001', '1']列，源：None 备：26acf5d4c0c26c4735b6dd4722a46ae0</t>
  </si>
  <si>
    <t>tgt行 ['3', '100', '', '123456', '1000000', '', '', '', '', '-888888.22', '', '', '', '', '', '0', '0', '203685477.5808', '', '0']列，源：None 备：950f08a27779fe5d6b41016885c3b290</t>
  </si>
  <si>
    <t>tgt行 ['3', '100', '0', '0', '0', '99999', '', '', '', '-11111.34', '', '', '', '', '', '123.456789', '0', '203685477.5808', '', '1']列，源：None 备：c669bd8fad22de39e0ed5d377b0f74d1</t>
  </si>
  <si>
    <t>tgt行 ['4', '100', '12345', '123456', '1000000', '', '-1234567890123456789012345', '0.0000000000000000000000008', '1234567890123456789012345678', '-888888.22', '123456789123456789', '-1234567890123456789012345', '0.0000000000000000000000008', '1234567890123456789012345678', '-123456789012.12', '0', '0', '203685477.5808', '1234.5678', '0']列，源：None 备：d90905b6300dde8773d3a38046d9e92f</t>
  </si>
  <si>
    <t>tgt行 ['5', '100', '0', '123456', '1000000', '', '', '', '', '-888888.22', '', '', '', '', '', '0', '0', '203685477.5808', '', '0']列，源：None 备：216f8a1afcf2f0353c14b553ff487a27</t>
  </si>
  <si>
    <t>tgt行 ['5', '100', '0', '0', '0', '99999', '', '', '', '-11111.34', '', '', '', '', '', '123.456789', '0', '203685477.5808', '', '1']列，源：None 备：68fffadfc97212a451e47a43a9d5ab43</t>
  </si>
  <si>
    <t>tgt行 ['6', '100', '255', '123456', '1000000', '', '', '', '', '-888888.22', '', '', '', '', '', '0', '0', '203685477.5808', '', '0']列，源：None 备：f38f995432b8725059966d54f86e0963</t>
  </si>
  <si>
    <t>tgt行 ['6', '100', '0', '0', '0', '', '', '', '', '-888888.22', '', '', '', '', '', '0', '0', '203685477.5808', '', '0']列，源：None 备：fa34ef8348a142d43c044712e3dd9bc4</t>
  </si>
  <si>
    <t>tgt行 ['7', '100', '32767', '123456', '1000000', '', '', '', '', '-888888.22', '', '', '', '', '', '0', '0', '203685477.5808', '', '0']列，源：None 备：ea3f520280a1280741e9d255690df641</t>
  </si>
  <si>
    <t>tgt行 ['7', '100', '0', '0', '0', '', '', '', '', '-888888.22', '', '', '', '', '', '0', '0', '203685477.5808', '', '0']列，源：None 备：ede9146a71413c91f87c3f532ef82c36</t>
  </si>
  <si>
    <t>tgt行 ['8', '100', '-32768', '123456', '1000000', '', '', '', '', '-888888.22', '', '', '', '', '', '0', '0', '203685477.5808', '', '0']列，源：None 备：701d239451c617250db375a08a417287</t>
  </si>
  <si>
    <t>tgt行 ['8', '100', '0', '0', '0', '99999', '', '', '', '-11111.34', '', '', '', '', '', '123.456789', '0', '203685477.5808', '', '1']列，源：None 备：9b241547c3caabd069604d7eede0bbfe</t>
  </si>
  <si>
    <t>tgt行 ['9', '100', '12345', '123456', '1000000', '', '', '', '', '-888888.22', '', '', '', '', '', '0', '0', '203685477.5808', '', '0']列，源：None 备：a4c1a6fe4e0842d1de33eacac45c75c4</t>
  </si>
  <si>
    <t>tgt行 ['9', '100', '0', '0', '0', '', '', '', '', '-888888.22', '', '', '', '', '', '0', '0', '203685477.5808', '', '0']列，源：None 备：5587e6cbcaef8f1d48eab25bf9df7991</t>
  </si>
  <si>
    <t>src行 ['1', '100', '-32768', '123456', '1000000', '', '-100000000000000000000000000000000000000', '-1', '-10000000000000000000000000000', '-888888.22', '-999999999999999999', '-100000000000000000000000000000000000000', '-1', '-10000000000000000000000000000', '-9999999999999999.99', '0.00000000000000000000000000000123457', '0', '203685477.5808', '-214748.3648', '0']列，源：d2bb40a540cddf5bdeef0ea781831ebf 备：None</t>
  </si>
  <si>
    <t>src行 ['1', '100', '-1', '222222', '500000000', '99999', '-100000000000000000000000000000000000000', '-1', '-10000000000000000000000000000', '-11111.34', '-999999999999999999', '-100000000000000000000000000000000000000', '-1', '-10000000000000000000000000000', '-9999999999999999.99', '123.457', '0', '203685477.5808', '-214748.3648', '1']列，源：4dcd838732b83f8bce7d43bdca025b9d 备：None</t>
  </si>
  <si>
    <t>src行 ['2', '100', '32767', '123456', '1000000', '', '100000000000000000000000000000000000000', '1', '10000000000000000000000000000', '-888888.22', '999999999999999999', '100000000000000000000000000000000000000', '1', '10000000000000000000000000000', '9999999999999999.99', '0.00000000000000000000000000000123457', '0', '203685477.5808', '214748.3647', '0']列，源：8b2bf707bb608baf00d2bbbdc05c899d 备：None</t>
  </si>
  <si>
    <t>src行 ['2', '100', '32767', '123456', '1000000', '99999', '100000000000000000000000000000000000000', '1', '10000000000000000000000000000', '-11111.34', '999999999999999999', '100000000000000000000000000000000000000', '1', '10000000000000000000000000000', '9999999999999999.99', '123.457', '0', '203685477.5808', '214748.3647', '1']列，源：a4b8d9d74f47885ebe8457acec5275b7 备：None</t>
  </si>
  <si>
    <t>src行 ['3', '100', '', '123456', '1000000', '', '', '', '', '-888888.22', '', '', '', '', '', '0.00000000000000000000000000000123457', '0', '203685477.5808', '', '0']列，源：ced6abe947f1337153776572a046d879 备：None</t>
  </si>
  <si>
    <t>src行 ['3', '100', '0', '0', '0', '99999', '', '', '', '-11111.34', '', '', '', '', '', '123.457', '0', '203685477.5808', '', '1']列，源：6fefe60a9a5215f92b0de0f785c099fe 备：None</t>
  </si>
  <si>
    <t>src行 ['4', '100', '12345', '123456', '1000000', '', '-1234567890123456789012345', '0.0000000000000000000000008', '1234567890123456789012345678', '-888888.22', '123456789123456789', '-1234567890123456789012345', '0.0000000000000000000000008', '1234567890123456789012345678', '-123456789012.12', '0.00000000000000000000000000000123457', '0', '203685477.5808', '1234.5678', '0']列，源：38e257a28ca40d2015fbf7fe070d8528 备：None</t>
  </si>
  <si>
    <t>src行 ['5', '100', '0', '123456', '1000000', '', '', '', '', '-888888.22', '', '', '', '', '', '0.00000000000000000000000000000123457', '0', '203685477.5808', '', '0']列，源：05c3ad2ae93fe741759d0e766055aa54 备：None</t>
  </si>
  <si>
    <t>src行 ['5', '100', '0', '0', '0', '99999', '', '', '', '-11111.34', '', '', '', '', '', '123.457', '0', '203685477.5808', '', '1']列，源：6f4b6f5108500a62f1d25016374e060f 备：None</t>
  </si>
  <si>
    <t>src行 ['6', '100', '255', '123456', '1000000', '', '', '', '', '-888888.22', '', '', '', '', '', '0.00000000000000000000000000000123457', '0', '203685477.5808', '', '0']列，源：fffd3613a4289dce41e616f6c0b1d4da 备：None</t>
  </si>
  <si>
    <t>src行 ['6', '100', '0', '0', '0', '', '', '', '', '-888888.22', '', '', '', '', '', '0.00000000000000000000000000000123457', '0', '203685477.5808', '', '0']列，源：d96938dc9ce708337c3058a66f8dc599 备：None</t>
  </si>
  <si>
    <t>src行 ['7', '100', '32767', '123456', '1000000', '', '', '', '', '-888888.22', '', '', '', '', '', '0.00000000000000000000000000000123457', '0', '203685477.5808', '', '0']列，源：d9b9b8cfb4954080935e653550c56526 备：None</t>
  </si>
  <si>
    <t>src行 ['7', '100', '0', '0', '0', '', '', '', '', '-888888.22', '', '', '', '', '', '0.00000000000000000000000000000123457', '0', '203685477.5808', '', '0']列，源：047a66edc2db5a4eac9a8ccd061db2f5 备：None</t>
  </si>
  <si>
    <t>src行 ['8', '100', '-32768', '123456', '1000000', '', '', '', '', '-888888.22', '', '', '', '', '', '0.00000000000000000000000000000123457', '0', '203685477.5808', '', '0']列，源：d5eddc550ad13e41db3ad9f3a0a19627 备：None</t>
  </si>
  <si>
    <t>src行 ['8', '100', '0', '0', '0', '99999', '', '', '', '-11111.34', '', '', '', '', '', '123.457', '0', '203685477.5808', '', '1']列，源：0b3bfa12d06e108909801626ab548441 备：None</t>
  </si>
  <si>
    <t>src行 ['9', '100', '12345', '123456', '1000000', '', '', '', '', '-888888.22', '', '', '', '', '', '0.00000000000000000000000000000123457', '0', '203685477.5808', '', '0']列，源：d1b6894053a817fe6dbb6aa54bd1a248 备：None</t>
  </si>
  <si>
    <t>src行 ['9', '100', '0', '0', '0', '', '', '', '', '-888888.22', '', '', '', '', '', '0.00000000000000000000000000000123457', '0', '203685477.5808', '', '0']列，源：3f9a5b444ae13b732eebbc1770d0b034 备：None</t>
  </si>
  <si>
    <t>src行 ['10', '100', '-12345', '123456', '1000000', '', '', '', '', '-888888.22', '', '', '', '', '', '0.00000000000000000000000000000123457', '0', '203685477.5808', '', '0']列，源：b1b34f50ee27c58d8171dddee0bcbb7b 备：None</t>
  </si>
  <si>
    <t>src行 ['10', '100', '0', '0', '0', '99999', '', '', '', '-11111.34', '', '', '', '', '', '123.457', '0', '203685477.5808', '', '1']列，源：f9373c5fb4917285279d5f922bd66875 备：None</t>
  </si>
  <si>
    <t>src行 ['11', '100', '20000', '123456', '1000000', '', '', '', '', '-888888.22', '', '', '', '', '', '0.00000000000000000000000000000123457', '0', '203685477.5808', '', '0']列，源：0591f24d244a5e22d95080a6b7c28ef5 备：None</t>
  </si>
  <si>
    <t>src行 ['11', '100', '0', '0', '0', '', '', '', '', '-888888.22', '', '', '', '', '', '0.00000000000000000000000000000123457', '0', '203685477.5808', '', '0']列，源：d28d30e7e7d74fa111388ecb515bf8c5 备：None</t>
  </si>
  <si>
    <t>src行 ['12', '100', '', '123456', '1000000', '', '12345678901234567890123789010000000', '0.1234567890123459012345678901', '123456789012367012345678.1246', '-888888.22', '988', '987654321098765410987654321100000000', '0.9876543210987432109876543211', '987654321098765432105432.1099', '1234567012456.78', '0.00000000000000000000000000000123457', '0', '203685477.5808', '', '0']列，源：c17254df04cdda807adf0416f814ede8 备：None</t>
  </si>
  <si>
    <t>src行 ['13', '100', '', '123456', '1000000', '', '-123456780123456781234589012300000', '-0.4567890123479234567890145679', '-123456789012347890345678.9874', '-888888.22', '-321', '-987654321096543210987654321100000000', '-0.1234569012345671234567890123', '-6543210976543287654321.098765', '-9876543210954.32', '0.00000000000000000000000000000123457', '0', '203685477.5808', '', '0']列，源：18ecad86f9f5b00b998c1abf28f1b320 备：None</t>
  </si>
  <si>
    <t>src行 ['14', '100', '', '123456', '1000000', '', '100000000000000000000000000000000', '1', '9999999999999999999999.999999', '-888888.22', '100000000000000', '999999999999999999999', '0.999999999999999999999999999', '999999999999999999999.999999', '9999999999.99', '0.00000000000000000000000000000123457', '0', '203685477.5808', '', '0']列，源：96e87ac5b436f6cd728ed9904e60fb84 备：None</t>
  </si>
  <si>
    <t>src行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'-922337203685477.5808', '-214748.3648', '0']列，源：567a161290601adbec9ad6fc683f898b 备：None</t>
  </si>
  <si>
    <t>src行 ['15', '100', '', '123456', '1000000', '', '1', '0.000000000000000000000000001', '0.000000001', '-888888.22', '0', '1', '0.000000000000000000000000000001', '0.000001', '0.01', '0.00000000000000000000000000000123457', '0', '203685477.5808', '', '0']列，源：e1ecacc45c64db3baba8b41a142ae974 备：None</t>
  </si>
  <si>
    <t>src行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'922337203685477.5807', '214748.3647', '1']列，源：e7d518c2218e1330e419761f9c2fdcff 备：None</t>
  </si>
  <si>
    <t>src行 ['16', '100', '', '123456', '1000000', '', '', '', '', '-888888.22', '', '', '', '', '', '0.00000000000000000000000000000123457', '0', '203685477.5808', '1234.5678', '0']列，源：614f0454bbae06f16b9d418600972f67 备：None</t>
  </si>
  <si>
    <t>src行 ['16', '100', '0', '0', '0', '', '', '', '', '-888888.22', '', '', '', '', '', '0.00000000000000000000000000000123457', '0', '203685477.5808', '1234.5678', '0']列，源：80af0954b1e927415dd8d15e48806d4f 备：None</t>
  </si>
  <si>
    <t>src行 ['204', '', '', '', '', '', '', '', '', '', '', '', '', '', '', '0.000000000000000000000000000000000662607', '299792448', '-500000', '1234.5678', '1']列，源：f643ac342d62e034a0902f9b325daea4 备：None</t>
  </si>
  <si>
    <t>src行 ['17', '100', '', '123456', '1000000', '', '', '', '', '-888888.22', '', '', '', '', '', '0.00000000000000000000000000000123457', '0', '203685477.5808', '-1234.5678', '0']列，源：5302b4c794fe6efd449d0858b11a5336 备：None</t>
  </si>
  <si>
    <t>src行 ['17', '100', '0', '0', '0', '', '', '', '', '-888888.22', '', '', '', '', '', '0.00000000000000000000000000000123457', '0', '203685477.5808', '-1234.5678', '0']列，源：ead9e4e322e3d27b9201463dd4160cc0 备：None</t>
  </si>
  <si>
    <t>src行 ['216', '', '', '', '', '', '', '', '', '', '', '', '', '', '', '123457000000000000000000000000000000000', '340282306073709652508363335590014353408', '123456.789', '1234.5678', '1']列，源：0dfb5c28543932de3ab636fe76475458 备：None</t>
  </si>
  <si>
    <t>src行 ['18', '100', '', '123456', '1000000', '', '', '', '', '-888888.22', '', '', '', '', '', '0.00000000000000000000000000000123457', '0', '203685477.5808', '0.0001', '0']列，源：4eb6a47ab2cfe5fe63e3f31ab2764684 备：None</t>
  </si>
  <si>
    <t>src行 ['18', '100', '0', '0', '0', '', '', '', '', '-888888.22', '', '', '', '', '', '0.00000000000000000000000000000123457', '0', '203685477.5808', '0.0001', '0']列，源：d8cb03c0bb307d30da99ea36d4e5d746 备：None</t>
  </si>
  <si>
    <t>src行 ['217', '', '', '', '', '', '', '', '', '', '', '', '', '', '', '-123457000000000000000000000000000000000', '-340282306073709652508363335590014353408', '-123456.789', '-1234.5678', '0']列，源：2c6095dc2a702ae547e992133e9b937c 备：None</t>
  </si>
  <si>
    <t>src行 ['19', '100', '', '123456', '1000000', '', '', '', '', '-888888.22', '', '', '', '', '', '0.00000000000000000000000000000123457', '0', '203685477.5808', '214748.3647', '0']列，源：94a9eb47b0040ff396282e20324f65e6 备：None</t>
  </si>
  <si>
    <t>src行 ['19', '100', '0', '0', '0', '99999', '', '', '', '-11111.34', '', '', '', '', '', '123.457', '0', '203685477.5808', '214748.3647', '1']列，源：b34d805821a6f9768d9f3cd049313865 备：None</t>
  </si>
  <si>
    <t>src行 ['218', '', '', '', '', '', '', '', '', '', '', '', '', '', '', '0.0000000000000000000000000000000000000123457', '0', '0.0001', '0.0001', '1']列，源：af1ea51244ed71952d43a2ed95df664d 备：None</t>
  </si>
  <si>
    <t>src行 ['20', '100', '', '123456', '1000000', '', '', '', '', '-888888.22', '', '', '', '', '', '0.00000000000000000000000000000123457', '0', '203685477.5808', '-214748.3648', '0']列，源：728028d87c4fb4702b50dfee5abbe522 备：None</t>
  </si>
  <si>
    <t>src行 ['20', '100', '0', '0', '0', '', '', '', '', '-888888.22', '', '', '', '', '', '0.00000000000000000000000000000123457', '0', '203685477.5808', '-214748.3648', '0']列，源：2d11f9fdaef661f4c4866e8122f001ce 备：None</t>
  </si>
  <si>
    <t>src行 ['219', '', '', '', '', '', '', '', '', '', '', '', '', '', '', '340282000000000000000000000000000000000', '340282306073709652508363335590014353408', '922337203685477.5807', '214748.3647', '1']列，源：86e5aff88e333e5214f386bdb06a8f86 备：None</t>
  </si>
  <si>
    <t>src行 ['220', '', '', '', '', '', '', '', '', '', '', '', '', '', '', '-340282000000000000000000000000000000000', '-340282306073709652508363335590014353408', '-922337203685477.5808', '-214748.3648', '0']列，源：6bb95d38c5c626d335596b609ca1bb49 备：None</t>
  </si>
  <si>
    <t>src行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'-922337203685477.5808', '-214748.3648', '0']列，源：fe9b06205e3f254e62fb86f67b0734bb 备：None</t>
  </si>
  <si>
    <t>src行 ['717', '', '', '', '', '', '', '', '', '', '', '', '', '', '', '-123457000000000000000000000000000000000', '-340282306073709652508363335590014353408', '-123456.789', '-1234.5678', '0']列，源：779344152ea4dee879b3a9d89cd4012a 备：None</t>
  </si>
  <si>
    <t>src行 ['720', '', '', '', '', '', '', '', '', '', '', '', '', '', '', '-340282000000000000000000000000000000000', '-340282306073709652508363335590014353408', '-922337203685477.5808', '-214748.3648', '0']列，源：53be7f20e1f57878ec710d86daaf00e7 备：None</t>
  </si>
  <si>
    <t>src行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'-339999995214436424907732413799364296704', '-922337203685477.5808', '-214748.3648', '0']列，源：3ee30e2dd7ea6e5036a077cd6eec3e5f 备：None</t>
  </si>
  <si>
    <t>src行 ['917', '', '', '', '', '', '', '', '', '', '', '', '', '', '', '-123457000000000000000000000000000000000', '-340282306073709652508363335590014353408', '-123456.789', '-1234.5678', '0']列，源：283e710d6000890744304e5b55d2837e 备：None</t>
  </si>
  <si>
    <t>src行 ['920', '', '', '', '', '', '', '', '', '', '', '', '', '', '', '-340282000000000000000000000000000000000', '-340282306073709652508363335590014353408', '-922337203685477.5808', '-214748.3648', '0']列，源：34632ada9a8efa45333568b5ec6d014c 备：None</t>
  </si>
  <si>
    <t>YES!PK__info_int__3213E83FABD12BE4</t>
  </si>
  <si>
    <t>源端共计 2个表，备端共计 2个表</t>
  </si>
  <si>
    <t>YES!PK__info_int__3213E83FFE884234</t>
  </si>
  <si>
    <t>YES!PK__info_cha__3213E83FE29D1750</t>
  </si>
  <si>
    <t xml:space="preserve"> NO!  	 c_CHAR列源备映射错误，源端为char 1位	期望更改为text	实际备端为char 1位</t>
  </si>
  <si>
    <t xml:space="preserve"> NO!  	 c_char8000列源备映射错误，源端为char 8000位	期望更改为text	实际备端为char 8000位</t>
  </si>
  <si>
    <t>sqlserver -- 2026042015hbase</t>
  </si>
  <si>
    <t>tgt行 ['10', '2079-06-0523:59:00']列，源：None 备：260b3f88846937abbb57b9ed391a2593</t>
  </si>
  <si>
    <t>tgt行 ['1', '2026-04-1717:16:00']列，源：None 备：ae05d2f911bc822c335e1b507b3bd82b</t>
  </si>
  <si>
    <t>tgt行 ['2', '&lt;PANELPANELNO=10&gt;&lt;DECODERID&gt;4402032520085&lt;/DECODERID&gt;&lt;NAME&gt;海康B20解码器10&lt;/NAME&gt;&lt;IP&gt;44.43.85.6&lt;/IP&gt;&lt;COMMPORT&gt;200&lt;/COMMPORT&gt;&lt;CHANEL&gt;16842762&lt;/CHANEL&gt;&lt;LOCATIONXLOCATION=1100YLOCATION=20&gt;&lt;/LOCATION&gt;&lt;SIZEXSIZE=120YSIZE=80&gt;&lt;/SIZE&gt;&lt;CAMERAID&gt;4402057040372&lt;/CAMERAID&gt;&lt;/PANEL&gt;']列，源：None 备：d25c21c104b3b65905c52407e7114edf</t>
  </si>
  <si>
    <t>tgt行 ['10', '1996-03-0323:59:59.997']列，源：None 备：80ca088afd4f34b3478a790207b727a1</t>
  </si>
  <si>
    <t>tgt行 ['1', '9999-12-3123:59:59.997']列，源：None 备：0bc8cdf4ed1ea9c5601313dc84be2ab0</t>
  </si>
  <si>
    <t>tgt行 ['1', '1753-01-0100:00:00.000']列，源：None 备：d9a1dcb1dc3351d747d95aa40b5523bf</t>
  </si>
  <si>
    <t>tgt行 ['15', '2001-04-0923:59:59.993']列，源：None 备：72c850940e18c1fefbfcc8955f523a0b</t>
  </si>
  <si>
    <t>tgt行 ['11', '2020-02-2919:27:31.123']列，源：None 备：14ebd3d155655e0d57aebf925fbcd1a7</t>
  </si>
  <si>
    <t>tgt行 ['2', '1900-01-0100:00:00', '1900-01-0100:00:00.0', '1900-01-0100:00:00.00', '1900-01-0100:00:00.000', '1900-01-0100:00:00.0000', '1900-01-0100:00:00.00000', '1900-01-0100:00:00.000000', '1900-01-0100:00:00.0000000']列，源：None 备：b8eac0a39a54c6e1ef17522521d42596</t>
  </si>
  <si>
    <t>tgt行 ['123', '2026-04-1717:17:25', '2026-04-1717:17:24.6', '2026-04-1717:17:24.63', '2026-04-1717:17:24.631', '2026-04-1717:17:24.6306', '2026-04-1717:17:24.63065', '2026-04-1717:17:24.630647', '2026-04-1717:17:24.6306467']列，源：None 备：4816b5c8b3ee691cc06287e4bb1a2935</t>
  </si>
  <si>
    <t>tgt行 ['10', '1990-05-11']列，源：None 备：f36d27bcab29129586d05fd73d0ea108</t>
  </si>
  <si>
    <t>tgt行 ['103', '2026-04-1717:17:33', '2026-04-1717:17:33.4', '2026-04-1717:17:33.41', '2026-04-1717:17:33.413', '2026-04-1717:17:33.4133', '2026-04-1717:17:33.41330', '2026-04-1717:17:33.413301', '2026-04-1717:17:33.4133005']列，源：None 备：d5f2305951471576308ab3911830e502</t>
  </si>
  <si>
    <t>tgt行 ['1', '2046-05-1114:30:45', '2046-05-1114:30:45.1', '2046-05-1114:30:45.12', '2046-05-1114:30:45.123', '2046-05-1114:30:45.1235', '2046-05-1114:30:45.12346', '2046-05-1114:30:45.123457', '2046-05-1114:30:45.1234567']列，源：None 备：b41c2fc4619f913da077972d294082b7</t>
  </si>
  <si>
    <t>tgt行 ['1', '2026-04-17']列，源：None 备：51fdce5ba4e49d1bf655b1dd57b80d81</t>
  </si>
  <si>
    <t>tgt行 ['1', '0001-01-0200:00:00', '0001-01-0200:00:00.0', '0001-01-0200:00:00.00', '0001-01-0200:00:00.000', '0001-01-0200:00:00.0000', '0001-01-0200:00:00.00000', '0001-01-0200:00:00.000000', '0001-01-0200:00:00.0000000']列，源：None 备：26227b8e6260860f0f4dc32ddd931ba2</t>
  </si>
  <si>
    <t>tgt行 ['5', '9999-12-3123:59:59', '9999-12-3123:59:59.9', '9999-12-3123:59:59.99', '9999-12-3123:59:59.999', '9999-12-3123:59:59.9999', '9999-12-3123:59:59.99999', '9999-12-3123:59:59.999999', '9999-12-3123:59:59.9999999']列，源：None 备：8473e1310886de44e542ee71af3d2919</t>
  </si>
  <si>
    <t>tgt行 ['3', '2046-05-1114:30:45', '2046-05-1114:30:45.1', '2046-05-1114:30:45.12', '2046-05-1114:30:45.123', '2046-05-1114:30:45.1235', '2046-05-1114:30:45.12346', '2046-05-1114:30:45.123457', '2046-05-1114:30:45.1234567']列，源：None 备：168ff18928a26a1556b1fd9209d494ac</t>
  </si>
  <si>
    <t>tgt行 ['6', '2020-02-29']列，源：None 备：a2a7a57dda79ef4680a19eb1520320ee</t>
  </si>
  <si>
    <t>tgt行 ['6', '1970-01-01']列，源：None 备：067d3bce9c5c1af5e41234571acddcea</t>
  </si>
  <si>
    <t>tgt行 ['10', '12:30:45', '12:30:45.1', '12:30:45.12', '12:30:45.123', '12:30:45.1235', '12:30:45.12346', '12:30:45.123456', '12:30:45.1234560']列，源：None 备：912b8b5c2ba5db3536f692ae7c463766</t>
  </si>
  <si>
    <t>tgt行 ['1', '18:10:06', '18:10:06.1', '18:10:06.12', '18:10:06.123', '18:10:06.1235', '18:10:06.12346', '18:10:06.123457', '18:10:06.1234567']列，源：None 备：db3883c40d34cf193a79a03031ae29e7</t>
  </si>
  <si>
    <t>tgt行 ['11', '12:30:45', '12:30:45.1', '12:30:45.12', '12:30:45.123', '12:30:45.1235', '12:30:45.12346', '12:30:45.123457', '12:30:45.1234567']列，源：None 备：7fac607f6d5331b7bd956b0fcfcb92ec</t>
  </si>
  <si>
    <t>tgt行 ['2', '00:00:00', '00:00:00.0', '00:00:00.00', '00:00:00.000', '00:00:00.0000', '00:00:00.00000', '00:00:00.000000', '00:00:00.0000000']列，源：None 备：2fdfbb3cd2df9ae1cbe40ffc4e8b3c9a</t>
  </si>
  <si>
    <t>tgt行 ['1', '2026-04-1716:53:00']列，源：None 备：c086dbc6c9f6ef3c1f641531fb2c99d0</t>
  </si>
  <si>
    <t>tgt行 ['6', '2000-05-1114:31:00']列，源：None 备：702a3018c6fc842d685848243b4df261</t>
  </si>
  <si>
    <t>tgt行 ['1', '2068-06-01']列，源：None 备：fce22f7f1488c5e2f70e5dd73238d816</t>
  </si>
  <si>
    <t>tgt行 ['1', '2024-05-1112:00:00.567']列，源：None 备：aa9bb5f1c31fab410ae1131d9ab48730</t>
  </si>
  <si>
    <t>tgt行 ['3', '0001-01-01']列，源：None 备：4601fcc74c9fc089c275a28dc28fa7ef</t>
  </si>
  <si>
    <t>tgt行 ['11', '1997-04-0423:59:59.997']列，源：None 备：bb435b12de45d9ed5e562f989cbfc4c3</t>
  </si>
  <si>
    <t>tgt行 ['6', '2002-06-1123:59:59.993']列，源：None 备：70fba5b0b192fdeb7b2da6474e7c8c25</t>
  </si>
  <si>
    <t>tgt行 ['3', '2025-02-0100:00:00', '2025-02-0100:00:00.0', '2025-02-0100:00:00.00', '2025-02-0100:00:00.000', '2025-02-0100:00:00.0000', '2025-02-0100:00:00.00000', '2025-02-0100:00:00.000000', '2025-01-3123:59:59.9999999']列，源：None 备：d063b204e4b876fd63b88713f8587d9e</t>
  </si>
  <si>
    <t>tgt行 ['10', '09:12:34', '12:30:45.1', '09:12:34.12', '12:30:45.123', '09:12:34.1235', '12:30:45.12346', '09:12:34.123457', '12:30:45.1234560']列，源：None 备：73721439c93e0cd606d898793a5b17fc</t>
  </si>
  <si>
    <t>tgt行 ['11', '1900-01-0200:00:00']列，源：None 备：3c46efdf6de7164ea1530f3c348ee44f</t>
  </si>
  <si>
    <t>tgt行 ['10', '2026-04-1717:16:00']列，源：None 备：65073be1ccc8f95b124e8f69fb75e85a</t>
  </si>
  <si>
    <t>tgt行 ['11', '2079-06-0523:59:00']列，源：None 备：580fe4d76064e6aa867264da3e951f5b</t>
  </si>
  <si>
    <t>tgt行 ['5', '&lt;PANELPANELNO=11&gt;&lt;DECODERID&gt;4402032520086&lt;/DECODERID&gt;&lt;NAME&gt;海康B20解码器11&lt;/NAME&gt;&lt;IP&gt;44.43.85.6&lt;/IP&gt;&lt;COMMPORT&gt;200&lt;/COMMPORT&gt;&lt;CHANEL&gt;16842763&lt;/CHANEL&gt;&lt;LOCATIONXLOCATION=1220YLOCATION=20&gt;&lt;/LOCATION&gt;&lt;SIZEXSIZE=120YSIZE=80&gt;&lt;/SIZE&gt;&lt;CAMERAID&gt;4402032040414&lt;/CAMERAID&gt;&lt;/PANEL&gt;']列，源：None 备：7bf155da8885203826e374f7012e36cc</t>
  </si>
  <si>
    <t>tgt行 ['103', '1753-01-0100:00:00.000']列，源：None 备：706516e970d7c3f2cab7f7f6518e103a</t>
  </si>
  <si>
    <t>tgt行 ['10', '9999-12-3123:59:59.997']列，源：None 备：1fd1baaeb4cd40d34752a9b8c06c8ada</t>
  </si>
  <si>
    <t>tgt行 ['16', '2002-06-1123:59:59.993']列，源：None 备：dd95e5ac1573694c264ae980ec79cc8e</t>
  </si>
  <si>
    <t>tgt行 ['5', '2020-02-2919:27:31.123']列，源：None 备：18f95b36b51b92e657fb9b4441f8264a</t>
  </si>
  <si>
    <t>tgt行 ['3', '2026-04-1717:17:22', '2026-04-1717:17:22.4', '2026-04-1717:17:22.45', '2026-04-1717:17:22.449', '2026-04-1717:17:22.4487', '2026-04-1717:17:22.44870', '2026-04-1717:17:22.448698', '2026-04-1717:17:22.4486978']列，源：None 备：40e46969ff0a019be00ab6b215651541</t>
  </si>
  <si>
    <t>tgt行 ['125', '9999-12-3123:59:59', '9999-12-3123:59:59.9', '9999-12-3123:59:59.99', '9999-12-3123:59:59.999', '9999-12-3123:59:59.9999', '9999-12-3123:59:59.99999', '9999-12-3123:59:59.999999', '9999-12-3123:59:59.9999999']列，源：None 备：4a95e0a43adf6a62b5e1d5e1cec61a9a</t>
  </si>
  <si>
    <t>tgt行 ['3', '2026-04-1717:17:33', '2026-04-1717:17:33.4', '2026-04-1717:17:33.41', '2026-04-1717:17:33.413', '2026-04-1717:17:33.4133', '2026-04-1717:17:33.41330', '2026-04-1717:17:33.413301', '2026-04-1717:17:33.4133005']列，源：None 备：770cb865e2cbae97c20dee327fdc9259</t>
  </si>
  <si>
    <t>tgt行 ['11', '2068-06-01']列，源：None 备：df8a7d52074f46aec673d7e7d420941b</t>
  </si>
  <si>
    <t>tgt行 ['105', '9999-12-3123:59:59', '9999-12-3123:59:59.9', '9999-12-3123:59:59.99', '9999-12-3123:59:59.999', '9999-12-3123:59:59.9999', '9999-12-3123:59:59.99999', '9999-12-3123:59:59.999999', '9999-12-3123:59:59.9999999']列，源：None 备：172af28ba70f6f1b2c591703c8877636</t>
  </si>
  <si>
    <t>tgt行 ['2', '2046-05-1114:30:45', '2046-05-1114:30:45.1', '2046-05-1114:30:45.12', '2046-05-1114:30:45.123', '2046-05-1114:30:45.1235', '2046-05-1114:30:45.12346', '2046-05-1114:30:45.123457', '2046-05-1114:30:45.1234567']列，源：None 备：3b596b072f99b53e42bcc0dad84f1d62</t>
  </si>
  <si>
    <t>tgt行 ['2', '2068-06-01']列，源：None 备：60df4c4f40d15c737f3402734a4cda3d</t>
  </si>
  <si>
    <t>tgt行 ['2', '0001-01-0200:00:00', '0001-01-0200:00:00.0', '0001-01-0200:00:00.00', '0001-01-0200:00:00.000', '0001-01-0200:00:00.0000', '0001-01-0200:00:00.00000', '0001-01-0200:00:00.000000', '0001-01-0200:00:00.0000000']列，源：None 备：c3a09c27d13cf10f44ee172cf6d45c08</t>
  </si>
  <si>
    <t>src行 ['5', '9999-12-31 23:59:59.000000', '9999-12-31 23:59:59.900000', '9999-12-31 23:59:59.990000', '9999-12-31 23:59:59.999000', '9999-12-31 23:59:59.999900', '9999-12-31 23:59:59.999990', '9999-12-31 23:59:59.999999', '9999-12-31 23:59:59.999999']列，源：4046984e52f4710371f649762736aa50 备：None</t>
  </si>
  <si>
    <t>tgt行 ['4', '2046-05-1114:30:45', '2046-05-1114:30:45.1', '2046-05-1114:30:45.12', '2046-05-1114:30:45.123', '2046-05-1114:30:45.1235', '2046-05-1114:30:45.12346', '2046-05-1114:30:45.123457', '2046-05-1114:30:45.1234567']列，源：None 备：d4898db7c28890e9cf9919b008841978</t>
  </si>
  <si>
    <t>tgt行 ['7', '1970-01-01']列，源：None 备：bb61a186c635829b41be7ca8b286402d</t>
  </si>
  <si>
    <t>tgt行 ['7', '1900-01-01']列，源：None 备：e389f027ba80b01f87e13a05f9c5388d</t>
  </si>
  <si>
    <t>tgt行 ['13', '', '00:00:01.1', '', '00:00:01.123', '', '00:00:01.12346', '', '00:00:01.1234567']列，源：None 备：f74dd7748f6eca2a087bc4892e34885e</t>
  </si>
  <si>
    <t>tgt行 ['4', '09:12:34', '00:00:01.1', '09:12:34.12', '00:00:01.123', '09:12:34.1235', '00:00:01.12346', '09:12:34.123457', '00:00:01.1234567']列，源：None 备：214ac28a9c523789d3608d79d9b82cf5</t>
  </si>
  <si>
    <t>tgt行 ['102', '1900-01-01']列，源：None 备：4b31e89fe627fdf5c9edc68c60dd4eda</t>
  </si>
  <si>
    <t>tgt行 ['2', '2079-06-0523:59:00']列，源：None 备：17a9df01a2295e21f27edb5b2fede86c</t>
  </si>
  <si>
    <t>src行 ['6', '2000-05-11 14:31:00.000000']列，源：ee5480abb73d8fab6b073f612da7a8fa 备：None</t>
  </si>
  <si>
    <t>tgt行 ['10', '2026-04-17']列，源：None 备：768358189c5692903a8acbf78ee1a2c6</t>
  </si>
  <si>
    <t>tgt行 ['10', '1990-12-31']列，源：None 备：f9974c6a033ee8c8d44a56e08bab49d7</t>
  </si>
  <si>
    <t>tgt行 ['2', '2040-12-2523:59:59.997']列，源：None 备：3688b37300217154111c4d89b4885be1</t>
  </si>
  <si>
    <t>tgt行 ['5', '2026-04-17']列，源：None 备：cdf2a5ad84833f2e7c255f72c3fd4222</t>
  </si>
  <si>
    <t>tgt行 ['12', '1998-05-0523:59:59.997']列，源：None 备：65394b71d064d22da645116214f7e562</t>
  </si>
  <si>
    <t>tgt行 ['11', '1990-12-31']列，源：None 备：116b040c22aebdb2bd05f6ba65f1bfae</t>
  </si>
  <si>
    <t>src行 ['6', '2002-06-11 23:59:59.993000']列，源：9f30bae0e1a061191e9910dbee03d111 备：None</t>
  </si>
  <si>
    <t>tgt行 ['3', '2026-04-1716:55:36', '2026-04-1716:55:35.8', '2026-04-1716:55:35.77', '2026-04-1716:55:35.769', '2026-04-1716:55:35.7687', '2026-04-1716:55:35.76870', '2026-04-1716:55:35.768696', '2026-04-1716:55:35.7686959']列，源：None 备：13fd35c1e1630a3a67fb4265fbd7bc07</t>
  </si>
  <si>
    <t>tgt行 ['2', '1941-05-1114:30:45', '1941-05-1114:30:45.1', '1941-05-1114:30:45.12', '1941-05-1114:30:45.123', '1941-05-1114:30:45.1235', '1941-05-1114:30:45.12346', '1941-05-1114:30:45.123457', '1941-05-1114:30:45.1234567']列，源：None 备：35f9705b0d507a4396fecccd7f140778</t>
  </si>
  <si>
    <t>tgt行 ['109', '12:30:45', '12:30:45.1', '12:30:45.12', '12:30:45.123', '12:30:45.1235', '12:30:45.12345', '12:30:45.123450', '12:30:45.1234500']列，源：None 备：b0ef520b387ff448787920521d8864e8</t>
  </si>
  <si>
    <t>tgt行 ['10', '18:10:06', '18:10:06.1', '18:10:06.12', '18:10:06.123', '18:10:06.1235', '18:10:06.12346', '18:10:06.123457', '18:10:06.1234567']列，源：None 备：9d6d29e2fef2993637d1caa24f174ef9</t>
  </si>
  <si>
    <t>tgt行 ['6', '1945-05-1114:30:45', '1945-05-1114:30:45.1', '1945-05-1114:30:45.12', '1945-05-1114:30:45.123', '1945-05-1114:30:45.1235', '1945-05-1114:30:45.12346', '1945-05-1114:30:45.123457', '1945-05-1114:30:45.1234567']列，源：None 备：0dde5b67e4b178c074601c932dfdb18e</t>
  </si>
  <si>
    <t>src行 ['3', '2025-02-01 00:00:00.000000', '2025-02-01 00:00:00.000000', '2025-02-01 00:00:00.000000', '2025-02-01 00:00:00.000000', '2025-02-01 00:00:00.000000', '2025-02-01 00:00:00.000000', '2025-02-01 00:00:00.000000', '2025-01-31 23:59:59.999999']列，源：e1a1f104347913f13372c3719b90c820 备：None</t>
  </si>
  <si>
    <t>src行 ['18', '', '', '', '', '', '', '', '', '', '', '', '', '', '', '0.0000000000000000000000000000000000000123457', '0.0000000000000000000000000000000000000117549', '0.0001', '0.0001', '1']列，源：082bde019c28c5b9a6a78d1510c1a5af 备：None</t>
  </si>
  <si>
    <t>tgt行 ['12', '1990-11-2600:01:00']列，源：None 备：c732fe18d9e6b66f1fd51af875bfd787</t>
  </si>
  <si>
    <t>tgt行 ['11', '2026-04-1717:16:00']列，源：None 备：a5f62231a60a80e23bbe79e7f00efff4</t>
  </si>
  <si>
    <t>tgt行 ['4', '2079-06-0623:59:00']列，源：None 备：a6d75d1a66b9d20659c081896ddd30ba</t>
  </si>
  <si>
    <t>tgt行 ['8', '2079-06-0523:59:00']列，源：None 备：5f976184e7b3d26d71558f4381207555</t>
  </si>
  <si>
    <t>src行 ['2', '&lt;PANELPANELNO=10&gt;&lt;DECODERID&gt;4402032520085&lt;/DECODERID&gt;&lt;NAME&gt;海康B20解码器10&lt;/NAME&gt;&lt;IP&gt;44.43.85.6&lt;/IP&gt;&lt;COMMPORT&gt;200&lt;/COMMPORT&gt;&lt;CHANEL&gt;16842762&lt;/CHANEL&gt;&lt;LOCATIONXLOCATION=1100YLOCATION=20/&gt;&lt;SIZEXSIZE=120YSIZE=80/&gt;&lt;CAMERAID&gt;4402057040372&lt;/CAMERAID&gt;&lt;/PANEL&gt;']列，源：96266fb1402bee8d596e2a777096e0c6 备：None</t>
  </si>
  <si>
    <t>tgt行 ['106', '2020-02-2919:27:31.123']列，源：None 备：928ff4e9fc058180117cfceabb76092f</t>
  </si>
  <si>
    <t>tgt行 ['11', '9999-12-3123:59:59.997']列，源：None 备：0b594a38485f1faeea9fbf0403dd31d4</t>
  </si>
  <si>
    <t>tgt行 ['17', '2003-11-0423:59:59.990']列，源：None 备：f6a0bc59d839acb488f1957d839f4f02</t>
  </si>
  <si>
    <t>tgt行 ['7', '2020-02-2919:27:31.123']列，源：None 备：bcd2c39196f5efeeb3c8d31bd4750f0c</t>
  </si>
  <si>
    <t>tgt行 ['4', '0001-01-0100:00:00', '0001-01-0100:00:00.0', '0001-01-0100:00:00.00', '0001-01-0100:00:00.000', '0001-01-0100:00:00.0000', '0001-01-0100:00:00.00000', '0001-01-0100:00:00.000000', '0001-01-0100:00:00.0000000']列，源：None 备：f0d99e817229c3587ffa73fc700c18e7</t>
  </si>
  <si>
    <t>tgt行 ['126', '1945-05-1114:30:45', '1945-05-1114:30:45.1', '1945-05-1114:30:45.12', '1945-05-1114:30:45.123', '1945-05-1114:30:45.1235', '1945-05-1114:30:45.12346', '1945-05-1114:30:45.123457', '1945-05-1114:30:45.1234567']列，源：None 备：467fae71ea63889d649733fe1febbcff</t>
  </si>
  <si>
    <t>tgt行 ['2', '1900-01-01']列，源：None 备：373036067846cb09995da6c719d8dac6</t>
  </si>
  <si>
    <t>tgt行 ['106', '1945-05-1114:30:45', '1945-05-1114:30:45.1', '1945-05-1114:30:45.12', '1945-05-1114:30:45.123', '1945-05-1114:30:45.1235', '1945-05-1114:30:45.12346', '1945-05-1114:30:45.123457', '1945-05-1114:30:45.1234567']列，源：None 备：b6fbb8ccb872e95d4063fe935c144670</t>
  </si>
  <si>
    <t>tgt行 ['3', '9999-12-31']列，源：None 备：c25740f1fd7def9c7efa7bd30f00c156</t>
  </si>
  <si>
    <t>tgt行 ['5', '2046-05-1114:30:45', '2046-05-1114:30:45.1', '2046-05-1114:30:45.12', '2046-05-1114:30:45.123', '2046-05-1114:30:45.1235', '2046-05-1114:30:45.12346', '2046-05-1114:30:45.123457', '2046-05-1114:30:45.1234567']列，源：None 备：87b12a132dbbf3668fdf4a7813bf6ae7</t>
  </si>
  <si>
    <t>tgt行 ['8', '0001-01-02']列，源：None 备：04b57a1902d15a562e63a20116d02d54</t>
  </si>
  <si>
    <t>tgt行 ['8', '1990-05-11']列，源：None 备：3dc1e5573a7ca1542c0d378010337571</t>
  </si>
  <si>
    <t>tgt行 ['12', '23:59:59', '23:59:59.1', '23:59:59.12', '23:59:59.123', '23:59:59.1235', '23:59:59.12346', '23:59:59.123457', '23:59:59.1234567']列，源：None 备：e4e9c90f63d5f696e16fcfd25d4bc7dd</t>
  </si>
  <si>
    <t>tgt行 ['122', '1900-01-01']列，源：None 备：790cde9fa57671157ea76a628a323790</t>
  </si>
  <si>
    <t>tgt行 ['3', '23:59:59', '23:59:59.9', '23:59:59.99', '23:59:59.999', '23:59:59.9999', '23:59:59.99999', '23:59:59.999999', '23:59:59.9999999']列，源：None 备：68fc84e22b9d6561ec9b2d3a79a3ed77</t>
  </si>
  <si>
    <t>src行 ['2', '1900-01-01 00:00:00.000000', '1900-01-01 00:00:00.000000', '1900-01-01 00:00:00.000000', '1900-01-01 00:00:00.000000', '1900-01-01 00:00:00.000000', '1900-01-01 00:00:00.000000', '1900-01-01 00:00:00.000000', '1900-01-01 00:00:00.000000']列，源：218ba23827a562be8364bced1d8cdbbe 备：None</t>
  </si>
  <si>
    <t>tgt行 ['103', '0001-01-01']列，源：None 备：90a9283f2186788d1a3e00163a3e1ff4</t>
  </si>
  <si>
    <t>tgt行 ['3', '1900-01-0200:00:00']列，源：None 备：b4c22e70e91357b235853739a6af2c94</t>
  </si>
  <si>
    <t>src行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'-922337203685477.5808', '-214748.3648', '0']列，源：bda663108433ac8665ab40bde103ddb9 备：None</t>
  </si>
  <si>
    <t>tgt行 ['11', '2026-04-17']列，源：None 备：b3698c66df65c0bbd7adb9b3ef1c826d</t>
  </si>
  <si>
    <t>tgt行 ['3', '2000-05-0123:59:59.993']列，源：None 备：6d35565555436c3c848ba884a5f3ab09</t>
  </si>
  <si>
    <t>tgt行 ['13', '1999-06-0623:59:59.997']列，源：None 备：f65f121e6afd79c01ba62004ffb1ad9b</t>
  </si>
  <si>
    <t>tgt行 ['3', '2026-04-17']列，源：None 备：993542c7f4a45163ba87356fb79a7489</t>
  </si>
  <si>
    <t>tgt行 ['11', '18:10:06', '18:10:06.1', '18:10:06.12', '18:10:06.123', '18:10:06.1235', '18:10:06.12346', '18:10:06.123457', '18:10:06.1234567']列，源：None 备：6c9ca30965a2608ffe701e25a62b77ef</t>
  </si>
  <si>
    <t>tgt行 ['13', '2025-05-1112:00:00']列，源：None 备：7435f692fc0a263fc1078a0b722c4b10</t>
  </si>
  <si>
    <t>tgt行 ['12', '2026-04-1717:16:00']列，源：None 备：180c5e63eae835f72368526d2b067e0c</t>
  </si>
  <si>
    <t>tgt行 ['12', '1981-05-1114:31:00']列，源：None 备：bf438de7f37489bcbb77da053236975e</t>
  </si>
  <si>
    <t>tgt行 ['6', '2020-03-0100:00:00']列，源：None 备：41de459b8773593bb76d513eb095eeff</t>
  </si>
  <si>
    <t>src行 ['8', '2079-06-05 23:59:00.000000']列，源：cf3552d3e658ca787ad108cce2c35720 备：None</t>
  </si>
  <si>
    <t>src行 ['5', '&lt;PANELPANELNO=11&gt;&lt;DECODERID&gt;4402032520086&lt;/DECODERID&gt;&lt;NAME&gt;海康B20解码器11&lt;/NAME&gt;&lt;IP&gt;44.43.85.6&lt;/IP&gt;&lt;COMMPORT&gt;200&lt;/COMMPORT&gt;&lt;CHANEL&gt;16842763&lt;/CHANEL&gt;&lt;LOCATIONXLOCATION=1220YLOCATION=20/&gt;&lt;SIZEXSIZE=120YSIZE=80/&gt;&lt;CAMERAID&gt;4402032040414&lt;/CAMERAID&gt;&lt;/PANEL&gt;']列，源：87d50b582fdc88d1a5d019c99292d6dc 备：None</t>
  </si>
  <si>
    <t>tgt行 ['121', '2023-05-1100:00:00.123']列，源：None 备：ba8e8b7e46461a1752d5488eb5990a32</t>
  </si>
  <si>
    <t>tgt行 ['107', '2000-05-1114:30:29.000']列，源：None 备：8c8c81335b69696a1efe7d670435908f</t>
  </si>
  <si>
    <t>tgt行 ['12', '9999-12-3123:59:59.997']列，源：None 备：30317ce391c0583e400842ccccf92006</t>
  </si>
  <si>
    <t>tgt行 ['18', '2004-12-2423:59:59.990']列，源：None 备：f42b752525aabf0bcdf23e82a8a8608c</t>
  </si>
  <si>
    <t>tgt行 ['9', '2020-02-2919:27:31.123']列，源：None 备：6f0f1b76df068283b2a744d599b5f6bf</t>
  </si>
  <si>
    <t>tgt行 ['127', '2065-05-1114:30:45', '2065-05-1114:30:45.1', '2065-05-1114:30:45.12', '2065-05-1114:30:45.123', '2065-05-1114:30:45.1235', '2065-05-1114:30:45.12346', '2065-05-1114:30:45.123457', '2065-05-1114:30:45.1234567']列，源：None 备：1c263ec278c2d554d249438ee4eebd8d</t>
  </si>
  <si>
    <t>tgt行 ['107', '2065-05-1114:30:45', '2065-05-1114:30:45.1', '2065-05-1114:30:45.12', '2065-05-1114:30:45.123', '2065-05-1114:30:45.1235', '2065-05-1114:30:45.12346', '2065-05-1114:30:45.123457', '2065-05-1114:30:45.1234567']列，源：None 备：130b60b1ede7c7ac7a516c3b8ce09da4</t>
  </si>
  <si>
    <t>tgt行 ['4', '0001-01-01']列，源：None 备：58fe0e9c9c6249a2f834c9813ccefb04</t>
  </si>
  <si>
    <t>src行 ['3', '2046-05-11 14:30:45.000000', '2046-05-11 14:30:45.100000', '2046-05-11 14:30:45.120000', '2046-05-11 14:30:45.123000', '2046-05-11 14:30:45.123500', '2046-05-11 14:30:45.123460', '2046-05-11 14:30:45.123457', '2046-05-11 14:30:45.123456']列，源：cdeac1b6d00e350872e9d205c921f793 备：None</t>
  </si>
  <si>
    <t>tgt行 ['9', '9999-12-30']列，源：None 备：56921de31c060ab6c2381ca1ee0843bc</t>
  </si>
  <si>
    <t>src行 ['6', '1970-01-01 00:00:00.000000']列，源：8c579160e4b68bb76691101ca88d2862 备：None</t>
  </si>
  <si>
    <t>tgt行 ['123', '0001-01-01']列，源：None 备：8b7cc9c557957c1ae3e27c3b679db817</t>
  </si>
  <si>
    <t>tgt行 ['5', '12:00:00', '05:44:11.1', '12:00:00.12', '05:44:11.123', '12:00:00.1235', '05:44:11.12346', '12:00:00.123457', '05:44:11.1234567']列，源：None 备：bd86650a6a330152c384c0c02c31b2fc</t>
  </si>
  <si>
    <t>tgt行 ['4', '12:30:45', '12:30:45.0', '12:30:45.00', '12:30:45.000', '12:30:45.0000', '12:30:45.00000', '12:30:45.000000', '12:30:45.0000000']列，源：None 备：01f8cb467c1f5fa2490b1f3947280829</t>
  </si>
  <si>
    <t>src行 ['4', '1900-01-01 09:12:34.000000', '1900-01-01 00:00:01.100000', '1900-01-01 09:12:34.120000', '1900-01-01 00:00:01.123000', '1900-01-01 09:12:34.123500', '1900-01-01 00:00:01.123460', '1900-01-01 09:12:34.123457', '1900-01-01 00:00:01.123456']列，源：47a5d4d46901a399de0db1c921ca8037 备：None</t>
  </si>
  <si>
    <t>tgt行 ['106', '2020-02-29']列，源：None 备：0570f574ff867a1cc9fa1632df0ff7f1</t>
  </si>
  <si>
    <t>tgt行 ['4', '1981-05-1114:31:00']列，源：None 备：29309a6b291daeebc01be81be6d63aba</t>
  </si>
  <si>
    <t>src行 ['2', '255', '32767', '2147483647',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'922337203685477.5807', '214748.3647', '1']列，源：a61e00b698a4b3bc9fe463b70143023c 备：None</t>
  </si>
  <si>
    <t>tgt行 ['2', '2026-04-17']列，源：None 备：21220d8cdede573df56e90be762cf4eb</t>
  </si>
  <si>
    <t>tgt行 ['4', '1753-01-0200:00:00.000']列，源：None 备：ff9d9d460b952309943a7427a964342f</t>
  </si>
  <si>
    <t>src行 ['3', '0001-01-01 00:00:00.000000']列，源：fdfae8554b9bed74623aee57d5498bfe 备：None</t>
  </si>
  <si>
    <t>tgt行 ['129', '12:30:45', '12:30:45.1', '12:30:45.12', '12:30:45.123', '12:30:45.1235', '12:30:45.12345', '12:30:45.123450', '12:30:45.1234500']列，源：None 备：12fa9dfa28b4a1876d68fa1f590dd75c</t>
  </si>
  <si>
    <t>tgt行 ['4', '0001-01-0200:00:00', '0001-01-0200:00:00.0', '0001-01-0200:00:00.00', '0001-01-0200:00:00.000', '0001-01-0200:00:00.0000', '0001-01-0200:00:00.00000', '0001-01-0200:00:00.000000', '0001-01-0200:00:00.0000000']列，源：None 备：f9a21b5170b24a1723aed646fc0997ea</t>
  </si>
  <si>
    <t>tgt行 ['12', '18:10:06', '18:10:06.1', '18:10:06.12', '18:10:06.123', '18:10:06.1235', '18:10:06.12346', '18:10:06.123457', '18:10:06.1234567']列，源：None 备：cd2b625d69c789c5355ff2a9d6963279</t>
  </si>
  <si>
    <t>src行 ['6', '1945-05-11 14:30:45.000000', '1945-05-11 14:30:45.100000', '1945-05-11 14:30:45.120000', '1945-05-11 14:30:45.123000', '1945-05-11 14:30:45.123500', '1945-05-11 14:30:45.123460', '1945-05-11 14:30:45.123457', '1945-05-11 14:30:45.123456']列，源：dd25be62bd9cfb92a274e39bc57ec6a6 备：None</t>
  </si>
  <si>
    <t>tgt行 ['124', '2079-06-0623:59:00']列，源：None 备：2d3efa807df074f93050f59ad88fe8aa</t>
  </si>
  <si>
    <t>tgt行 ['14', '2023-12-2523:59:00']列，源：None 备：f6f6eec65810e3b80b4bed5f275f3cfa</t>
  </si>
  <si>
    <t>tgt行 ['13', '2026-04-1717:16:00']列，源：None 备：4d37eca9e4d4a1f61ba4cbe3cc05e8e0</t>
  </si>
  <si>
    <t>tgt行 ['13', '1981-05-1114:31:00']列，源：None 备：b27ff6188b7ae476a49e034febc0ae8e</t>
  </si>
  <si>
    <t>tgt行 ['8', '2068-05-1114:31:00']列，源：None 备：ce20a4e427faf031e896199a8e3144b5</t>
  </si>
  <si>
    <t>src行 ['10', '2079-06-05 23:59:00.000000']列，源：b8a57b79fc3f209d99bf5676e3db0170 备：None</t>
  </si>
  <si>
    <t>tgt行 ['14', '2000-05-0123:59:59.993']列，源：None 备：2457f0c00657efcd02ebb7fd48eef12a</t>
  </si>
  <si>
    <t>tgt行 ['122', '2024-05-1112:00:00.567']列，源：None 备：2a99798f5efd07d412c84b84933b42c8</t>
  </si>
  <si>
    <t>tgt行 ['109', '1981-05-1114:30:59.000']列，源：None 备：d10b7d9bd830223e7766e1ed0114511c</t>
  </si>
  <si>
    <t>tgt行 ['13', '9999-12-3123:59:59.997']列，源：None 备：f3a9d1e8dc23f950fce8437356a22902</t>
  </si>
  <si>
    <t>tgt行 ['6', '2020-02-2919:27:31.123']列，源：None 备：f2c01baff4fc04ec34920a33b33fd327</t>
  </si>
  <si>
    <t>src行 ['5', '2020-02-29 19:27:31.123000']列，源：c7e7b130ea9c288e5ead6846927c0a0d 备：None</t>
  </si>
  <si>
    <t>tgt行 ['175', '9999-12-3123:59:59', '9999-12-3123:59:59.9', '9999-12-3123:59:59.99', '9999-12-3123:59:59.999', '9999-12-3123:59:59.9999', '9999-12-3123:59:59.99999', '9999-12-3123:59:59.999999', '9999-12-3123:59:59.9999999']列，源：None 备：3bb9bd5ff137bd89edde8908ab8cef66</t>
  </si>
  <si>
    <t>tgt行 ['4', '9999-12-31']列，源：None 备：e0244b7a7bbdb3b7eafc538da734e23b</t>
  </si>
  <si>
    <t>src行 ['4', '2046-05-11 14:30:45.000000', '2046-05-11 14:30:45.100000', '2046-05-11 14:30:45.120000', '2046-05-11 14:30:45.123000', '2046-05-11 14:30:45.123500', '2046-05-11 14:30:45.123460', '2046-05-11 14:30:45.123457', '2046-05-11 14:30:45.123456']列，源：c8355ae3442b6a5f903a9e03042fed66 备：None</t>
  </si>
  <si>
    <t>src行 ['6', '2020-02-29 00:00:00.000000']列，源：6749e6678b17ea9201e6a7a8c2117195 备：None</t>
  </si>
  <si>
    <t>src行 ['7', '1900-01-01 00:00:00.000000']列，源：8e1fd2145fd2eaea2558c61864096fce 备：None</t>
  </si>
  <si>
    <t>tgt行 ['14', '12:00:00', '', '12:00:00.12', '', '12:00:00.1235', '', '12:00:00.123457', '']列，源：None 备：b48335c297d88a908eebba4413502068</t>
  </si>
  <si>
    <t>tgt行 ['126', '2020-02-29']列，源：None 备：5fbc80519b48c675116d9e47e15d9c77</t>
  </si>
  <si>
    <t>src行 ['1', '1900-01-01 18:10:06.000000', '1900-01-01 18:10:06.100000', '1900-01-01 18:10:06.120000', '1900-01-01 18:10:06.123000', '1900-01-01 18:10:06.123500', '1900-01-01 18:10:06.123460', '1900-01-01 18:10:06.123457', '1900-01-01 18:10:06.123456']列，源：f1ad71fbae6fc90fc2d47d486cd07e68 备：None</t>
  </si>
  <si>
    <t>tgt行 ['5', '12:30:45', '12:30:45.1', '12:30:45.10', '12:30:45.100', '12:30:45.1000', '12:30:45.10000', '12:30:45.100000', '12:30:45.1000000']列，源：None 备：f3c4ce37a3644d0257fe0c2965b0d295</t>
  </si>
  <si>
    <t>tgt行 ['107', '1970-01-01']列，源：None 备：44d96d948bb1d44d7bf2a424e56ce0c6</t>
  </si>
  <si>
    <t>src行 ['5', '2026-04-17 00:00:00.000000']列，源：e59d9dcf30902b17d55f7f4fba7ba35d 备：None</t>
  </si>
  <si>
    <t>tgt行 ['7', '2026-04-17']列，源：None 备：a15e44c54ee75f4b616bb02b812780b6</t>
  </si>
  <si>
    <t>tgt行 ['14', '', '12:00:00.1', '', '12:00:00.123', '', '12:00:00.12346', '', '12:00:00.1234567']列，源：None 备：3695735ec351db73b8b264dea66ee08e</t>
  </si>
  <si>
    <t>tgt行 ['5', '9999-12-3100:00:00', '9999-12-3100:00:00.0', '9999-12-3100:00:00.00', '9999-12-3100:00:00.000', '9999-12-3100:00:00.0000', '9999-12-3100:00:00.00000', '1900-01-0100:00:00.000000', '9999-12-3023:59:59.9999999']列，源：None 备：78db44926917cfa87ec9b05ca7ef0004</t>
  </si>
  <si>
    <t>tgt行 ['13', '18:10:06', '18:10:06.1', '18:10:06.12', '18:10:06.123', '18:10:06.1235', '18:10:06.12346', '18:10:06.123457', '18:10:06.1234567']列，源：None 备：97c10a607bf303a0b6f56d2f9f1b2b24</t>
  </si>
  <si>
    <t>tgt行 ['125', '2026-04-1717:15:00']列，源：None 备：5d0dcb82497eff0ff24d96c0edd55ea7</t>
  </si>
  <si>
    <t>tgt行 ['2', '1900-01-0100:00:00']列，源：None 备：8a27d30f89932093302399e7f8998c9c</t>
  </si>
  <si>
    <t>tgt行 ['14', '2026-04-1717:16:00']列，源：None 备：623404495cc759ea88a91cb0a4838a6b</t>
  </si>
  <si>
    <t>tgt行 ['14', '1981-05-1114:31:00']列，源：None 备：02b0a889fab5f580a50e303dd37cbe31</t>
  </si>
  <si>
    <t>src行 ['4', '2079-06-06 23:59:00.000000']列，源：055be10c9ec79001db8aa6e20ea36ee7 备：None</t>
  </si>
  <si>
    <t>src行 ['11', '2079-06-05 23:59:00.000000']列，源：af80c2d9102e6ed366428ed8dd5d31d9 备：None</t>
  </si>
  <si>
    <t>tgt行 ['123', '2025-01-0100:00:00.233']列，源：None 备：83dd1133f2760f7a73bd7a4a9fd2bb0f</t>
  </si>
  <si>
    <t>tgt行 ['14', '9999-12-3123:59:59.997']列，源：None 备：9e1ddd03d67d6b8e2b5357b8be2b0016</t>
  </si>
  <si>
    <t>tgt行 ['7', '2000-05-1114:30:29.000']列，源：None 备：1f1873d69c431d509f1d59937dc1a8e7</t>
  </si>
  <si>
    <t>src行 ['7', '2020-02-29 19:27:31.123000']列，源：b1c1a79775f4d9289159377a7e6f6d39 备：None</t>
  </si>
  <si>
    <t>tgt行 ['7', '2065-05-1114:30:45', '2065-05-1114:30:45.1', '2065-05-1114:30:45.12', '2065-05-1114:30:45.123', '2065-05-1114:30:45.1235', '2065-05-1114:30:45.12346', '2065-05-1114:30:45.123457', '2065-05-1114:30:45.1234567']列，源：None 备：f6b1120e7d9c8b20be933fee4ab4d63b</t>
  </si>
  <si>
    <t>tgt行 ['176', '1945-05-1114:30:45', '1945-05-1114:30:45.1', '1945-05-1114:30:45.12', '1945-05-1114:30:45.123', '1945-05-1114:30:45.1235', '1945-05-1114:30:45.12346', '1945-05-1114:30:45.123457', '1945-05-1114:30:45.1234567']列，源：None 备：3c5a963117364e450691001f7f283103</t>
  </si>
  <si>
    <t>src行 ['16', '', '', '', '', '', '', '', '', '', '', '', '', '', '', '123457000000000000000000000000000000000', '340282000000000000000000000000000000000', '123456.789', '1234.5678', '1']列，源：2587808d2a7292a27fbf55b5ee1d0ae1 备：None</t>
  </si>
  <si>
    <t>tgt行 ['203', '2026-04-1717:17:33', '2026-04-1717:17:33.4', '2026-04-1717:17:33.41', '2026-04-1717:17:33.413', '2026-04-1717:17:33.4133', '2026-04-1717:17:33.41330', '2026-04-1717:17:33.413301', '2026-04-1717:17:33.4133005']列，源：None 备：73c7536242d760a6e02b9705f76860ea</t>
  </si>
  <si>
    <t>tgt行 ['6', '2046-05-1114:30:45', '2046-05-1114:30:45.1', '2046-05-1114:30:45.12', '2046-05-1114:30:45.123', '2046-05-1114:30:45.1235', '2046-05-1114:30:45.12346', '2046-05-1114:30:45.123457', '2046-05-1114:30:45.1234567']列，源：None 备：0a7fd8347f54da2ef41dd0347a5bff1c</t>
  </si>
  <si>
    <t>tgt行 ['6', '2025-02-0100:00:00', '2025-02-0100:00:00.0', '2025-02-0100:00:00.00', '2025-02-0100:00:00.000', '2025-02-0100:00:00.0000', '2025-02-0100:00:00.00000', '2025-02-0100:00:00.000000', '2025-01-3123:59:59.9999999']列，源：None 备：2881008b1903224ea6edc8e631493fed</t>
  </si>
  <si>
    <t>src行 ['5', '2046-05-11 14:30:45.000000', '2046-05-11 14:30:45.100000', '2046-05-11 14:30:45.120000', '2046-05-11 14:30:45.123000', '2046-05-11 14:30:45.123500', '2046-05-11 14:30:45.123460', '2046-05-11 14:30:45.123457', '2046-05-11 14:30:45.123456']列，源：281584c813b6888e5520aa921f7f9769 备：None</t>
  </si>
  <si>
    <t>src行 ['7', '1970-01-01 00:00:00.000000']列，源：95e2b375decf506a96a9688676bd2d56 备：None</t>
  </si>
  <si>
    <t>src行 ['8', '1990-05-11 00:00:00.000000']列，源：103c3094f5cc7a7965d1b628bd89e756 备：None</t>
  </si>
  <si>
    <t>tgt行 ['127', '1970-01-01']列，源：None 备：ef61073d438eea6fe1b6deeba24c605b</t>
  </si>
  <si>
    <t>tgt行 ['6', '12:30:45', '12:30:45.1', '12:30:45.12', '12:30:45.120', '12:30:45.1200', '12:30:45.12000', '12:30:45.120000', '12:30:45.1200000']列，源：None 备：7ef7ab58244b7d1de2ec0a1b2b94abc4</t>
  </si>
  <si>
    <t>tgt行 ['108', '0001-01-02']列，源：None 备：d6efec82925546377b4a8a5f57ac21e6</t>
  </si>
  <si>
    <t>src行 ['1', '2026-04-17 16:53:00.000000']列，源：1c5cde4d4def40262d2c3b29b2eda12a 备：None</t>
  </si>
  <si>
    <t>tgt行 ['9', '1981-05-1114:31:00']列，源：None 备：935b5b35ef9c0a6a8a85fa748df68946</t>
  </si>
  <si>
    <t>tgt行 ['4', '2026-04-17']列，源：None 备：903551d8c7a6a8acf4758abdd063e922</t>
  </si>
  <si>
    <t>src行 ['5', '123', '12345', '1234567890', '1234567890123456', '123456789123456789', '-1234567890123456789012345', '0.0000000000000000000000008', '1234567890123456789012345678', '-123456789012.1234', '123456789123456789', '-1234567890123456789012345', '0.0000000000000000000000008', '1234567890123456789012345678', '-123456789012.12', '0.000000000000000000000000000000000662607', '299792000', '-500000', '1234.5678', '1']列，源：3e6438a33963ba46538fdd701da8e8d9 备：None</t>
  </si>
  <si>
    <t>tgt行 ['7', '2026-04-1716:54:41.840']列，源：None 备：7402b21eb67a8293b3218817d5db5123</t>
  </si>
  <si>
    <t>tgt行 ['8', '2026-04-17']列，源：None 备：3cbc3281e7ca8497879ad1cb94c87293</t>
  </si>
  <si>
    <t>tgt行 ['15', '00:00:01', '', '00:00:01.12', '', '00:00:01.1235', '', '00:00:01.123457', '']列，源：None 备：083df9cb0ee25c34dc91e9b5fde2eb74</t>
  </si>
  <si>
    <t>tgt行 ['7', '1900-01-0100:00:00', '1900-01-0100:00:00.0', '1900-01-0100:00:00.00', '1900-01-0100:00:00.000', '1900-01-0100:00:00.0000', '1900-01-0100:00:00.00000', '1900-01-0100:00:00.000000', '1900-01-0100:00:00.0000000']列，源：None 备：2128b4990ea399aed74db520993bbfb1</t>
  </si>
  <si>
    <t>tgt行 ['14', '18:10:06', '18:10:06.1', '18:10:06.12', '18:10:06.123', '18:10:06.1235', '18:10:06.12346', '18:10:06.123457', '18:10:06.1234567']列，源：None 备：b9fbb285eab8fdc76a9809fb58a1d386</t>
  </si>
  <si>
    <t>tgt行 ['2', '18:10:06', '18:10:06.1', '18:10:06.12', '18:10:06.123', '18:10:06.1235', '18:10:06.12346', '18:10:06.123457', '18:10:06.1234567']列，源：None 备：acada89126453b256507de5d1ad1b1fe</t>
  </si>
  <si>
    <t>tgt行 ['126', '2020-03-0100:00:00']列，源：None 备：e8aa324388572f42c591da923d732c44</t>
  </si>
  <si>
    <t>tgt行 ['27', '2000-05-1114:30:00']列，源：None 备：d784892a5dca36b05db5f39c4330fc8e</t>
  </si>
  <si>
    <t>tgt行 ['2', '2026-04-1717:16:00']列，源：None 备：2f9d581d83f955928c521476dc06037a</t>
  </si>
  <si>
    <t>src行 ['6', '2020-03-01 00:00:00.000000']列，源：73229e1547e05e1fa793a431d5312974 备：None</t>
  </si>
  <si>
    <t>tgt行 ['110', '1996-03-0323:59:59.997']列，源：None 备：5713e2e191f30fa16bacf7379f984f6e</t>
  </si>
  <si>
    <t>tgt行 ['15', '9999-12-3123:59:59.997']列，源：None 备：b095e9db1662bc957a031a8bfdf14866</t>
  </si>
  <si>
    <t>src行 ['6', '2020-02-29 19:27:31.123000']列，源：7cc177d1f2c134ce6cbd9eeaa1527530 备：None</t>
  </si>
  <si>
    <t>src行 ['9', '2020-02-29 19:27:31.123000']列，源：4535ff077da5ab6925385d2df7bb7980 备：None</t>
  </si>
  <si>
    <t>tgt行 ['177', '2065-05-1114:30:45', '2065-05-1114:30:45.1', '2065-05-1114:30:45.12', '2065-05-1114:30:45.123', '2065-05-1114:30:45.1235', '2065-05-1114:30:45.12346', '2065-05-1114:30:45.123457', '2065-05-1114:30:45.1234567']列，源：None 备：a50c0097c7b05f093959ba3918252f23</t>
  </si>
  <si>
    <t>src行 ['17', '', '', '', '', '', '', '', '', '', '', '', '', '', '', '-123457000000000000000000000000000000000', '-340282000000000000000000000000000000000', '-123456.789', '-1234.5678', '0']列，源：a62b0f0e987fc57f114079449fed592e 备：None</t>
  </si>
  <si>
    <t>tgt行 ['205', '9999-12-3123:59:59', '9999-12-3123:59:59.9', '9999-12-3123:59:59.99', '9999-12-3123:59:59.999', '9999-12-3123:59:59.9999', '9999-12-3123:59:59.99999', '9999-12-3123:59:59.999999', '9999-12-3123:59:59.9999999']列，源：None 备：1367bdb31fd1f780023fb0ea930fbcb4</t>
  </si>
  <si>
    <t>tgt行 ['7', '2046-05-1114:30:45', '2046-05-1114:30:45.1', '2046-05-1114:30:45.12', '2046-05-1114:30:45.123', '2046-05-1114:30:45.1235', '2046-05-1114:30:45.12346', '2046-05-1114:30:45.123457', '2046-05-1114:30:45.1234567']列，源：None 备：5e0d0856060107543176891d2c2a363e</t>
  </si>
  <si>
    <t>tgt行 ['7', '2025-02-0100:00:00', '2025-02-0100:00:00.0', '2025-02-0100:00:00.00', '2025-02-0100:00:00.000', '2025-02-0100:00:00.0000', '2025-02-0100:00:00.00000', '2025-02-0100:00:00.000000', '2025-01-3123:59:59.9999999']列，源：None 备：394956511b3c82608b5f90d63b71fe47</t>
  </si>
  <si>
    <t>src行 ['8', '0001-01-02 00:00:00.000000']列，源：b92ac47f6e437c4116cad1257d612f4d 备：None</t>
  </si>
  <si>
    <t>tgt行 ['128', '0001-01-02']列，源：None 备：9b92539dab6510893e6b7f30f730357d</t>
  </si>
  <si>
    <t>tgt行 ['7', '12:30:45', '12:30:45.1', '12:30:45.12', '12:30:45.123', '12:30:45.1230', '12:30:45.12300', '12:30:45.123000', '12:30:45.1230000']列，源：None 备：6d2d4cd60f40c0468a6485497aefd8e8</t>
  </si>
  <si>
    <t>tgt行 ['3', '1900-01-0100:00:00']列，源：None 备：449b2e7b6f6994ef232bacd1e349deb5</t>
  </si>
  <si>
    <t>src行 ['2', '2079-06-05 23:59:00.000000']列，源：8b092a374356ba9acce1476a5b46c3c6 备：None</t>
  </si>
  <si>
    <t>src行 ['1', '2024-05-11 12:00:00.567000']列，源：2f103499ce9ec8482c456e0ad3c08463 备：None</t>
  </si>
  <si>
    <t>tgt行 ['21', '2023-05-1100:00:00.123']列，源：None 备：bda623b4f4de1edcfde47a9b3befc9de</t>
  </si>
  <si>
    <t>src行 ['1', '2068-06-01 00:00:00.000000']列，源：08f1d36d82addd1392b00e1fa5bd0a3f 备：None</t>
  </si>
  <si>
    <t>tgt行 ['16', '12:00:00', '', '12:00:00.12', '', '12:00:00.1235', '', '12:00:00.123457', '']列，源：None 备：c599a5b669cd2823a15668529d229884</t>
  </si>
  <si>
    <t>src行 ['1', '2046-05-11 14:30:45.000000', '2046-05-11 14:30:45.100000', '2046-05-11 14:30:45.120000', '2046-05-11 14:30:45.123000', '2046-05-11 14:30:45.123500', '2046-05-11 14:30:45.123460', '2046-05-11 14:30:45.123457', '2046-05-11 14:30:45.123456']列，源：88eff702ba5e46a6578dde2fbef35108 备：None</t>
  </si>
  <si>
    <t>tgt行 ['15', '18:10:06', '18:10:06.1', '18:10:06.12', '18:10:06.123', '18:10:06.1235', '18:10:06.12346', '18:10:06.123457', '18:10:06.1234567']列，源：None 备：80ed04b518e69e97063ecf23e9b97fe2</t>
  </si>
  <si>
    <t>tgt行 ['15', '00:00:01', '05:44:11.1', '00:00:01.12', '05:44:11.123', '00:00:01.1235', '05:44:11.12346', '00:00:01.123457', '05:44:11.1234567']列，源：None 备：6e8d534dcdc080f32072c7ca3002c8e4</t>
  </si>
  <si>
    <t>tgt行 ['4', '09:12:34', '12:30:45.0', '09:12:34.12', '12:30:45.000', '09:12:34.1235', '12:30:45.00000', '09:12:34.123457', '12:30:45.0000000']列，源：None 备：52e4422bcb281b07767742cf08226628</t>
  </si>
  <si>
    <t>tgt行 ['127', '2000-05-1114:30:00']列，源：None 备：af6fc7b1393f1f221e95746c13bb3ad1</t>
  </si>
  <si>
    <t>tgt行 ['28', '2068-05-1114:31:00']列，源：None 备：a5c60b0259f93c64a0dc9525fcc845d7</t>
  </si>
  <si>
    <t>tgt行 ['3', '2026-04-1717:16:00']列，源：None 备：c5ce894be82c4e20ca6c3a98a8f2d9b7</t>
  </si>
  <si>
    <t>tgt行 ['3', '2079-06-0523:59:00']列，源：None 备：b98d926c466c0654f475be13aa14babd</t>
  </si>
  <si>
    <t>src行 ['8', '2068-05-11 14:31:00.000000']列，源：573daa39b5c2cf55a8b1bbe9e463190d 备：None</t>
  </si>
  <si>
    <t>tgt行 ['111', '1997-04-0423:59:59.997']列，源：None 备：e1f78ed19ebfa300f468ae88ae09c9b9</t>
  </si>
  <si>
    <t>tgt行 ['16', '9999-12-3123:59:59.997']列，源：None 备：d3716e415e68938dd27747706c2a7385</t>
  </si>
  <si>
    <t>src行 ['7', '2000-05-11 14:30:29.000000']列，源：8e8b8f8d50a8b41068be22fba49b2eb8 备：None</t>
  </si>
  <si>
    <t>src行 ['11', '2020-02-29 19:27:31.123000']列，源：55bcf9ce9e31ac203f5b5d9d81886f34 备：None</t>
  </si>
  <si>
    <t>src行 ['3', '2026-04-17 17:17:22.000000', '2026-04-17 17:17:22.400000', '2026-04-17 17:17:22.450000', '2026-04-17 17:17:22.449000', '2026-04-17 17:17:22.448700', '2026-04-17 17:17:22.448700', '2026-04-17 17:17:22.448698', '2026-04-17 17:17:22.448697']列，源：11b3432470b985f9e9ffcbae63f21312 备：None</t>
  </si>
  <si>
    <t>src行 ['3', '2026-04-17 17:17:33.000000', '2026-04-17 17:17:33.400000', '2026-04-17 17:17:33.410000', '2026-04-17 17:17:33.413000', '2026-04-17 17:17:33.413300', '2026-04-17 17:17:33.413300', '2026-04-17 17:17:33.413301', '2026-04-17 17:17:33.413300']列，源：d5afee7ba4ecb171d7d90d1c44266e61 备：None</t>
  </si>
  <si>
    <t>tgt行 ['207', '2065-05-1114:30:45', '2065-05-1114:30:45.1', '2065-05-1114:30:45.12', '2065-05-1114:30:45.123', '2065-05-1114:30:45.1235', '2065-05-1114:30:45.12346', '2065-05-1114:30:45.123457', '2065-05-1114:30:45.1234567']列，源：None 备：99255d036bf1afb7d87e38456cc32e3a</t>
  </si>
  <si>
    <t>tgt行 ['9', '0001-01-02']列，源：None 备：207c0d7ebdbd5c7b230c31a68c95d9b4</t>
  </si>
  <si>
    <t>src行 ['1', '0001-01-02 00:00:00.000000', '0001-01-02 00:00:00.000000', '0001-01-02 00:00:00.000000', '0001-01-02 00:00:00.000000', '0001-01-02 00:00:00.000000', '0001-01-02 00:00:00.000000', '0001-01-02 00:00:00.000000', '0001-01-02 00:00:00.000000']列，源：3d3636f8a776fd92a76e72fedd6d58e9 备：None</t>
  </si>
  <si>
    <t>src行 ['9', '9999-12-30 00:00:00.000000']列，源：59cc67e427483bd7e3825aa375e1344a 备：None</t>
  </si>
  <si>
    <t>tgt行 ['130', '1990-05-11']列，源：None 备：608497ebdd7eeb361a2859f7780cf754</t>
  </si>
  <si>
    <t>src行 ['5', '1900-01-01 12:00:00.000000', '1900-01-01 05:44:11.100000', '1900-01-01 12:00:00.120000', '1900-01-01 05:44:11.123000', '1900-01-01 12:00:00.123500', '1900-01-01 05:44:11.123460', '1900-01-01 12:00:00.123457', '1900-01-01 05:44:11.123456']列，源：0055d8ae76edbd8ef61e504f6566d474 备：None</t>
  </si>
  <si>
    <t>tgt行 ['9', '12:30:45', '12:30:45.1', '12:30:45.12', '12:30:45.123', '12:30:45.1235', '12:30:45.12345', '12:30:45.123450', '12:30:45.1234500']列，源：None 备：9c29032d3a5c9baabe831d857a0444f1</t>
  </si>
  <si>
    <t>tgt行 ['110', '1990-05-11']列，源：None 备：87461fa66ac477f27b6e0c97732af35c</t>
  </si>
  <si>
    <t>src行 ['11', '', '', '', '', '', '', '', '', '', '', '', '', '', '', '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223', '0.0000000000000000000000000000000000000118', '', '', '']列，源：fd88a13cf29d6ed5ac859fa0b62c24d1 备：None</t>
  </si>
  <si>
    <t>src行 ['3', '1900-01-02 00:00:00.000000']列，源：b6b619834a1fb6a8c168d0a6b2c4d067 备：None</t>
  </si>
  <si>
    <t>tgt行 ['6', '2026-04-17']列，源：None 备：fe97ee87169dc042ac40b08bc7b011aa</t>
  </si>
  <si>
    <t>src行 ['2', '2040-12-25 23:59:59.997000']列，源：c6f8899b9dbb704a4ea8c5808f6e04f2 备：None</t>
  </si>
  <si>
    <t>tgt行 ['22', '2024-05-1112:00:00.567']列，源：None 备：38b53bf6ba17f21f17d47877caf44f6e</t>
  </si>
  <si>
    <t>src行 ['3', '2026-04-17 00:00:00.000000']列，源：5672be86fe26c84d5e8cb7a8108fc7bc 备：None</t>
  </si>
  <si>
    <t>src行 ['3', '2026-04-17 16:55:36.000000', '2026-04-17 16:55:35.800000', '2026-04-17 16:55:35.770000', '2026-04-17 16:55:35.769000', '2026-04-17 16:55:35.768700', '2026-04-17 16:55:35.768700', '2026-04-17 16:55:35.768696', '2026-04-17 16:55:35.768695']列，源：268f24ebe89347cf298fe743c3a5ce7d 备：None</t>
  </si>
  <si>
    <t>src行 ['2', '1941-05-11 14:30:45.000000', '1941-05-11 14:30:45.100000', '1941-05-11 14:30:45.120000', '1941-05-11 14:30:45.123000', '1941-05-11 14:30:45.123500', '1941-05-11 14:30:45.123460', '1941-05-11 14:30:45.123457', '1941-05-11 14:30:45.123456']列，源：0c3529014c97799645b48a4b34ff7153 备：None</t>
  </si>
  <si>
    <t>tgt行 ['16', '18:10:06', '18:10:06.1', '18:10:06.12', '18:10:06.123', '18:10:06.1235', '18:10:06.12346', '18:10:06.123457', '18:10:06.1234567']列，源：None 备：84864c0fb06181af8d258902312f1941</t>
  </si>
  <si>
    <t>tgt行 ['16', '12:00:00', '05:44:11.1', '12:00:00.12', '05:44:11.123', '12:00:00.1235', '05:44:11.12346', '12:00:00.123457', '05:44:11.1234567']列，源：None 备：06148c3a457cd0815b77130b10c5171d</t>
  </si>
  <si>
    <t>tgt行 ['128', '2068-05-1114:31:00']列，源：None 备：13686d96a5dd985422e6f0afc6d37d1a</t>
  </si>
  <si>
    <t>tgt行 ['29', '1981-05-1114:31:00']列，源：None 备：197d830636a6b75fe1f1eb02a5ba4ffa</t>
  </si>
  <si>
    <t>tgt行 ['4', '2026-04-1717:16:00']列，源：None 备：ece834b42f3f957cab12363572dec94b</t>
  </si>
  <si>
    <t>tgt行 ['112', '1998-05-0523:59:59.997']列，源：None 备：23448bcc04163278a5401427bb29a3e7</t>
  </si>
  <si>
    <t>tgt行 ['17', '9999-12-3123:59:59.997']列，源：None 备：b013157f994928d5a4f36befe7503196</t>
  </si>
  <si>
    <t>src行 ['15', '2001-04-09 23:59:59.993000']列，源：c9e132d3d90e591be420c8c65608a821 备：None</t>
  </si>
  <si>
    <t>src行 ['4', '0001-01-01 00:00:00.000000', '0001-01-01 00:00:00.000000', '0001-01-01 00:00:00.000000', '0001-01-01 00:00:00.000000', '0001-01-01 00:00:00.000000', '0001-01-01 00:00:00.000000', '0001-01-01 00:00:00.000000', '0001-01-01 00:00:00.000000']列，源：c9b307a65063c43d7a3fdb27081ea02a 备：None</t>
  </si>
  <si>
    <t>tgt行 ['22', '1900-01-0100:00:00', '1900-01-0100:00:00.0', '1900-01-0100:00:00.00', '1900-01-0100:00:00.000', '1900-01-0100:00:00.0000', '1900-01-0100:00:00.00000', '1900-01-0100:00:00.000000', '1900-01-0100:00:00.0000000']列，源：None 备：c4758bc64ba367ef2e88ed35813b83f6</t>
  </si>
  <si>
    <t>src行 ['19', '', '', '', '', '', '', '', '', '', '', '', '', '', '', '340282000000000000000000000000000000000', '340282000000000000000000000000000000000', '922337203685477.5807', '214748.3647', '1']列，源：4a28c1a31f94aebf4ab305ac4ef10130 备：None</t>
  </si>
  <si>
    <t>src行 ['2', '2046-05-11 14:30:45.000000', '2046-05-11 14:30:45.100000', '2046-05-11 14:30:45.120000', '2046-05-11 14:30:45.123000', '2046-05-11 14:30:45.123500', '2046-05-11 14:30:45.123460', '2046-05-11 14:30:45.123457', '2046-05-11 14:30:45.123456']列，源：63810d85de7b9311540ffb09ad757721 备：None</t>
  </si>
  <si>
    <t>src行 ['1', '2026-04-17 00:00:00.000000']列，源：a75bcfd924a836741f469f972131a792 备：None</t>
  </si>
  <si>
    <t>src行 ['2', '0001-01-02 00:00:00.000000', '0001-01-02 00:00:00.000000', '0001-01-02 00:00:00.000000', '0001-01-02 00:00:00.000000', '0001-01-02 00:00:00.000000', '0001-01-02 00:00:00.000000', '0001-01-02 00:00:00.000000', '0001-01-02 00:00:00.000000']列，源：e1388d04a685a732bc09eb6b161f2f20 备：None</t>
  </si>
  <si>
    <t>tgt行 ['177', '1970-01-01']列，源：None 备：1ed8d4dabfe997da942a2f943b687e28</t>
  </si>
  <si>
    <t>src行 ['3', '1900-01-01 23:59:59.000000', '1900-01-01 23:59:59.900000', '1900-01-01 23:59:59.990000', '1900-01-01 23:59:59.999000', '1900-01-01 23:59:59.999900', '1900-01-01 23:59:59.999990', '1900-01-01 23:59:59.999999', '1900-01-01 23:59:59.999999']列，源：52d345c200f9378007c365145bec69c3 备：None</t>
  </si>
  <si>
    <t>tgt行 ['5', '2026-04-1716:52:00']列，源：None 备：933dfff6d70e01053f645941c7e2dcf5</t>
  </si>
  <si>
    <t>src行 ['4', '1981-05-11 14:31:00.000000']列，源：fae46852f3fb5e66823e0a09c201320b 备：None</t>
  </si>
  <si>
    <t>src行 ['9', '1981-05-11 14:31:00.000000']列，源：1a6b25b6de7144c32ee86fd66de91da6 备：None</t>
  </si>
  <si>
    <t>src行 ['3', '2000-05-01 23:59:59.993000']列，源：c643252df598d11e4117f6a03c6f7bdf 备：None</t>
  </si>
  <si>
    <t>tgt行 ['23', '2025-01-0100:00:00.233']列，源：None 备：40716dfdfa3eb606e6eebb32edf54dfa</t>
  </si>
  <si>
    <t>tgt行 ['179', '12:30:45', '12:30:45.1', '12:30:45.12', '12:30:45.123', '12:30:45.1235', '12:30:45.12345', '12:30:45.123450', '12:30:45.1234500']列，源：None 备：9477ec101a3e1f5c2a50a70f7a4ecf67</t>
  </si>
  <si>
    <t>src行 ['2', '1900-01-01 18:10:06.000000', '1900-01-01 18:10:06.100000', '1900-01-01 18:10:06.120000', '1900-01-01 18:10:06.123000', '1900-01-01 18:10:06.123500', '1900-01-01 18:10:06.123460', '1900-01-01 18:10:06.123457', '1900-01-01 18:10:06.123456']列，源：2c9fbe8af71b62d88f03fbb1ae3f2c47 备：None</t>
  </si>
  <si>
    <t>tgt行 ['5', '2026-04-1717:15:00']列，源：None 备：f55c199fe8e4395e0021dfc23e52e4dc</t>
  </si>
  <si>
    <t>tgt行 ['5', '2026-04-1717:16:00']列，源：None 备：be6b23b6fba45bcdb910ba463af5fa65</t>
  </si>
  <si>
    <t>tgt行 ['5', '2079-06-0523:59:00']列，源：None 备：bdddbf68795b2c29334a29b07f76ef47</t>
  </si>
  <si>
    <t>src行 ['11', '1900-01-02 00:00:00.000000']列，源：9f70bf8e7eb9f6be973b24948067b5d7 备：None</t>
  </si>
  <si>
    <t>tgt行 ['19', '1753-01-0200:00:00.000']列，源：None 备：736c2e259e88dc84b0eb356212ee62c8</t>
  </si>
  <si>
    <t>tgt行 ['152', '1900-01-0100:00:00.000']列，源：None 备：243352920b138f5938d8b7d611d4da39</t>
  </si>
  <si>
    <t>tgt行 ['113', '1999-06-0623:59:59.997']列，源：None 备：77e2d85027fa4b544be892cfe57043ea</t>
  </si>
  <si>
    <t>tgt行 ['18', '9999-12-3123:59:59.997']列，源：None 备：44cd33f209538805e9dc138ea9e7fb58</t>
  </si>
  <si>
    <t>src行 ['16', '2002-06-11 23:59:59.993000']列，源：42e6d71e625d9278e4aa40c6a293a2e9 备：None</t>
  </si>
  <si>
    <t>tgt行 ['223', '2026-04-1717:17:25', '2026-04-1717:17:24.6', '2026-04-1717:17:24.63', '2026-04-1717:17:24.631', '2026-04-1717:17:24.6306', '2026-04-1717:17:24.63065', '2026-04-1717:17:24.630647', '2026-04-1717:17:24.6306467']列，源：None 备：e115f1853ed9c71e444eb67334ccf84d</t>
  </si>
  <si>
    <t>src行 ['20', '', '', '', '', '', '', '', '', '', '', '', '', '', '', '-340282000000000000000000000000000000000', '-340282000000000000000000000000000000000', '-922337203685477.5808', '-214748.3648', '0']列，源：208a24511ee22a60f15670faf896f0c2 备：None</t>
  </si>
  <si>
    <t>src行 ['2', '2068-06-01 00:00:00.000000']列，源：8c3aa17c374ec4b51be88d2cf53e144a 备：None</t>
  </si>
  <si>
    <t>tgt行 ['178', '0001-01-02']列，源：None 备：5fc1d9c3fc963e709ee387ac9e0d2071</t>
  </si>
  <si>
    <t>src行 ['4', '1900-01-01 12:30:45.000000', '1900-01-01 12:30:45.000000', '1900-01-01 12:30:45.000000', '1900-01-01 12:30:45.000000', '1900-01-01 12:30:45.000000', '1900-01-01 12:30:45.000000', '1900-01-01 12:30:45.000000', '1900-01-01 12:30:45.000000']列，源：0ddc2e4be313b7b5589d287f4b7854c2 备：None</t>
  </si>
  <si>
    <t>tgt行 ['204', '9999-12-31']列，源：None 备：2a19f6de26df9ee575b4881134097936</t>
  </si>
  <si>
    <t>src行 ['4', '1753-01-02 00:00:00.000000']列，源：8aba60e419a3427ad4eeafb6e8622e2a 备：None</t>
  </si>
  <si>
    <t>tgt行 ['3', '1753-01-0100:00:00.000']列，源：None 备：1f4848cd916f07b757d44603eabcc57e</t>
  </si>
  <si>
    <t>src行 ['7', '2026-04-17 00:00:00.000000']列，源：3efa83d4fdb0be6c40d67f2d919af1c5 备：None</t>
  </si>
  <si>
    <t>src行 ['4', '0001-01-02 00:00:00.000000', '0001-01-02 00:00:00.000000', '0001-01-02 00:00:00.000000', '0001-01-02 00:00:00.000000', '0001-01-02 00:00:00.000000', '0001-01-02 00:00:00.000000', '0001-01-02 00:00:00.000000', '0001-01-02 00:00:00.000000']列，源：34f68428f8e1ca766f2eea60a22a05cf 备：None</t>
  </si>
  <si>
    <t>tgt行 ['3', '18:10:06', '18:10:06.1', '18:10:06.12', '18:10:06.123', '18:10:06.1235', '18:10:06.12346', '18:10:06.123457', '18:10:06.1234567']列，源：None 备：b4cb62eb989e22a3b5452caafd322bb5</t>
  </si>
  <si>
    <t>src行 ['4', '1900-01-01 09:12:34.000000', '1900-01-01 12:30:45.000000', '1900-01-01 09:12:34.120000', '1900-01-01 12:30:45.000000', '1900-01-01 09:12:34.123500', '1900-01-01 12:30:45.000000', '1900-01-01 09:12:34.123457', '1900-01-01 12:30:45.000000']列，源：a5ee58cbead96ca99c5a2911fa2fac5e 备：None</t>
  </si>
  <si>
    <t>tgt行 ['130', '2079-06-0523:59:00']列，源：None 备：7289852ea4a5c1fea3548fe87bdb3c6c</t>
  </si>
  <si>
    <t>tgt行 ['30', '2079-06-0523:59:00']列，源：None 备：6071a022d219a208b0e8468d43705d00</t>
  </si>
  <si>
    <t>tgt行 ['6', '2026-04-1717:16:00']列，源：None 备：02fb4b518fe70ab513c8b66d5f975ac8</t>
  </si>
  <si>
    <t>tgt行 ['2', '1900-01-0100:00:00.000']列，源：None 备：45889ccd7f579f618648c03afae6ff25</t>
  </si>
  <si>
    <t>tgt行 ['153', '1753-01-0100:00:00.000']列，源：None 备：65747c70807f3db342b072a82976988a</t>
  </si>
  <si>
    <t>tgt行 ['114', '2000-05-0123:59:59.993']列，源：None 备：5f8d889363cadef87514a15015b328cd</t>
  </si>
  <si>
    <t>tgt行 ['19', '9999-12-3123:59:59.997']列，源：None 备：7fcec1b1929075bd910dde69b1b54441</t>
  </si>
  <si>
    <t>src行 ['17', '2003-11-04 23:59:59.990000']列，源：0b91157921dae3c934d0123e31b3cef7 备：None</t>
  </si>
  <si>
    <t>tgt行 ['225', '9999-12-3123:59:59', '9999-12-3123:59:59.9', '9999-12-3123:59:59.99', '9999-12-3123:59:59.999', '9999-12-3123:59:59.9999', '9999-12-3123:59:59.99999', '9999-12-3123:59:59.999999', '9999-12-3123:59:59.9999999']列，源：None 备：f46ec6d67e13c2aee1da8c93afefe7f9</t>
  </si>
  <si>
    <t>src行 ['2', '1900-01-01 00:00:00.000000']列，源：16bf0dbe6c5c4a5dec368c8d2ebcd3ca 备：None</t>
  </si>
  <si>
    <t>src行 ['3', '9999-12-31 00:00:00.000000']列，源：d0e3c57d9008b870d90fff5cae67d651 备：None</t>
  </si>
  <si>
    <t>tgt行 ['180', '1990-05-11']列，源：None 备：5f097366c886bdb1c1ce17da70bda87b</t>
  </si>
  <si>
    <t>src行 ['5', '1900-01-01 12:30:45.000000', '1900-01-01 12:30:45.100000', '1900-01-01 12:30:45.100000', '1900-01-01 12:30:45.100000', '1900-01-01 12:30:45.100000', '1900-01-01 12:30:45.100000', '1900-01-01 12:30:45.100000', '1900-01-01 12:30:45.100000']列，源：ec7311861ddf13bba048acae31f5fd8d 备：None</t>
  </si>
  <si>
    <t>tgt行 ['205', '2026-04-17']列，源：None 备：54a055df3d0cff5c21fdcbf0d585344c</t>
  </si>
  <si>
    <t>tgt行 ['7', '2000-05-1114:30:00']列，源：None 备：4458fa2ea1bccc5c0ccf21d95fff7c93</t>
  </si>
  <si>
    <t>tgt行 ['9', '2026-04-17']列，源：None 备：b16ab35d48e5f77c3c7e69fcaef78bc7</t>
  </si>
  <si>
    <t>tgt行 ['9', '1990-12-31']列，源：None 备：d2b6c1616538046a3e20547dcf0295c9</t>
  </si>
  <si>
    <t>tgt行 ['4', '9999-12-3123:59:59.997']列，源：None 备：85ad9edaf63f846e871418852039161f</t>
  </si>
  <si>
    <t>src行 ['8', '2026-04-17 00:00:00.000000']列，源：f65c6f92ba615d5d2618050ae3e8d1f2 备：None</t>
  </si>
  <si>
    <t>tgt行 ['22', '00:00:00', '00:00:00.0', '00:00:00.00', '00:00:00.000', '00:00:00.0000', '00:00:00.00000', '00:00:00.000000', '00:00:00.0000000']列，源：None 备：a5615ed6229c78976d8c0a18c084fe48</t>
  </si>
  <si>
    <t>src行 ['5', '9999-12-31 00:00:00.000000', '9999-12-31 00:00:00.000000', '9999-12-31 00:00:00.000000', '9999-12-31 00:00:00.000000', '9999-12-31 00:00:00.000000', '9999-12-31 00:00:00.000000', '1900-01-01 00:00:00.000000', '9999-12-30 23:59:59.999999']列，源：0c06d607cb7b464ef144b1cdf0ceaee8 备：None</t>
  </si>
  <si>
    <t>tgt行 ['4', '18:10:06', '18:10:06.1', '18:10:06.12', '18:10:06.123', '18:10:06.1235', '18:10:06.12346', '18:10:06.123457', '18:10:06.1234567']列，源：None 备：d2a9d90d8c1287ef6d297756ae846562</t>
  </si>
  <si>
    <t>src行 ['9', '1900-01-01 12:30:45.000000', '1900-01-01 12:30:45.100000', '1900-01-01 12:30:45.120000', '1900-01-01 12:30:45.123000', '1900-01-01 12:30:45.123500', '1900-01-01 12:30:45.123450', '1900-01-01 12:30:45.123450', '1900-01-01 12:30:45.123450']列，源：d7d5dbe2049bf2200c80048e507cfe51 备：None</t>
  </si>
  <si>
    <t>tgt行 ['133', '2025-05-1112:00:00']列，源：None 备：94e837d6102a2f3b4e4d534b607ce1b5</t>
  </si>
  <si>
    <t>tgt行 ['31', '1900-01-0200:00:00']列，源：None 备：413c96452ac402b898803be1aa1a08a9</t>
  </si>
  <si>
    <t>tgt行 ['7', '2026-04-1717:16:00']列，源：None 备：8e47b66c7836c39ad0c497cf369788ef</t>
  </si>
  <si>
    <t>tgt行 ['7', '2079-06-0523:59:00']列，源：None 备：9e54abc44b6ba54188d6b625ffe81149</t>
  </si>
  <si>
    <t>tgt行 ['20', '9999-12-3023:59:59.997']列，源：None 备：210370a03b764bdf4085f23164377333</t>
  </si>
  <si>
    <t>tgt行 ['156', '2020-02-2919:27:31.123']列，源：None 备：f20455d91397d23f71eafc141f49605c</t>
  </si>
  <si>
    <t>tgt行 ['115', '2001-04-0923:59:59.993']列，源：None 备：dad2c116c417bbd7383fc360f9511efa</t>
  </si>
  <si>
    <t>tgt行 ['2', '9999-12-3123:59:59.997']列，源：None 备：67e03b934de3523b5e6bc52912e38a3c</t>
  </si>
  <si>
    <t>tgt行 ['2', '1753-01-0100:00:00.000']列，源：None 备：0a5e9be4d4682b81966014ef3200d547</t>
  </si>
  <si>
    <t>src行 ['18', '2004-12-24 23:59:59.990000']列，源：1a01d484b43a00c7041e454e1f967941 备：None</t>
  </si>
  <si>
    <t>src行 ['7', '2065-05-11 14:30:45.000000', '2065-05-11 14:30:45.100000', '2065-05-11 14:30:45.120000', '2065-05-11 14:30:45.123000', '2065-05-11 14:30:45.123500', '2065-05-11 14:30:45.123460', '2065-05-11 14:30:45.123457', '2065-05-11 14:30:45.123456']列，源：61c818fb2de88bda072ef3209e4d52c6 备：None</t>
  </si>
  <si>
    <t>tgt行 ['227', '2065-05-1114:30:45', '2065-05-1114:30:45.1', '2065-05-1114:30:45.12', '2065-05-1114:30:45.123', '2065-05-1114:30:45.1235', '2065-05-1114:30:45.12346', '2065-05-1114:30:45.123457', '2065-05-1114:30:45.1234567']列，源：None 备：8f96110679be3d67c89f4cd30c63bcd1</t>
  </si>
  <si>
    <t>tgt行 ['53', '2026-04-1717:17:33', '2026-04-1717:17:33.4', '2026-04-1717:17:33.41', '2026-04-1717:17:33.413', '2026-04-1717:17:33.4133', '2026-04-1717:17:33.41330', '2026-04-1717:17:33.413301', '2026-04-1717:17:33.4133005']列，源：None 备：13668f2911644c246512b59e7acdc135</t>
  </si>
  <si>
    <t>src行 ['4', '0001-01-01 00:00:00.000000']列，源：4818b5752828f6d9af715808606609a0 备：None</t>
  </si>
  <si>
    <t>tgt行 ['8', '12:30:45', '12:30:45.1', '12:30:45.12', '12:30:45.123', '12:30:45.1234', '12:30:45.12340', '12:30:45.123400', '12:30:45.1234000']列，源：None 备：0fb013f7649e1c6cd51684aa1965ca32</t>
  </si>
  <si>
    <t>src行 ['6', '1900-01-01 12:30:45.000000', '1900-01-01 12:30:45.100000', '1900-01-01 12:30:45.120000', '1900-01-01 12:30:45.120000', '1900-01-01 12:30:45.120000', '1900-01-01 12:30:45.120000', '1900-01-01 12:30:45.120000', '1900-01-01 12:30:45.120000']列，源：4c8a99b37bc3ebf71181c67d8ab41f8e 备：None</t>
  </si>
  <si>
    <t>tgt行 ['209', '9999-12-30']列，源：None 备：80e4da860ace1202341f30f1e84c386b</t>
  </si>
  <si>
    <t>src行 ['12', '1990-11-26 00:01:00.000000']列，源：2dcd312506fc2c4239baa18175a784a5 备：None</t>
  </si>
  <si>
    <t>src行 ['7', '2026-04-17 16:54:41.840000']列，源：4e04c7d6cc93126e9d39b846984390a4 备：None</t>
  </si>
  <si>
    <t>src行 ['11', '1990-12-31 00:00:00.000000']列，源：ffda08c22cf81cae4beab545967bb599 备：None</t>
  </si>
  <si>
    <t>tgt行 ['23', '23:59:59', '23:59:59.9', '23:59:59.99', '23:59:59.999', '23:59:59.9999', '23:59:59.99999', '23:59:59.999999', '23:59:59.9999999']列，源：None 备：7d5c6942cdc37457941d6ab63f96bb10</t>
  </si>
  <si>
    <t>src行 ['4', '123', '12345', '1234567890', '1234567890123456', '123456789123456789', '-1234567890123456789012345', '0.0000000000000000000000008', '1234567890123456789012345678', '-123456789012.1234', '123456789123456789', '-1234567890123456789012345', '0.0000000000000000000000008', '1234567890123456789012345678', '-123456789012.12', '0.000000000000000000000000000000000662607', '299792000', '-500000', '1234.5678', '1']列，源：f6658d7934b7a6411fd16ab4582f6d3e 备：None</t>
  </si>
  <si>
    <t>src行 ['7', '1900-01-01 00:00:00.000000', '1900-01-01 00:00:00.000000', '1900-01-01 00:00:00.000000', '1900-01-01 00:00:00.000000', '1900-01-01 00:00:00.000000', '1900-01-01 00:00:00.000000', '1900-01-01 00:00:00.000000', '1900-01-01 00:00:00.000000']列，源：eb2d2ad9c5a28dac1f6c95030ebd1b3c 备：None</t>
  </si>
  <si>
    <t>tgt行 ['5', '18:10:06', '18:10:06.1', '18:10:06.12', '18:10:06.123', '18:10:06.1235', '18:10:06.12346', '18:10:06.123457', '18:10:06.1234567']列，源：None 备：4382293e806c3bfd2ab79716ca9057d8</t>
  </si>
  <si>
    <t>src行 ['10', '1900-01-01 09:12:34.000000', '1900-01-01 12:30:45.100000', '1900-01-01 09:12:34.120000', '1900-01-01 12:30:45.123000', '1900-01-01 09:12:34.123500', '1900-01-01 12:30:45.123460', '1900-01-01 09:12:34.123457', '1900-01-01 12:30:45.123456']列，源：17b44e66281a9e232dfac352f293a0cd 备：None</t>
  </si>
  <si>
    <t>tgt行 ['134', '2023-12-2523:59:00']列，源：None 备：d7de33086df8461cd3c1f4eff3a8f182</t>
  </si>
  <si>
    <t>tgt行 ['32', '1990-11-2600:01:00']列，源：None 备：a6f3c217240b8b59b41402babcabeebc</t>
  </si>
  <si>
    <t>tgt行 ['8', '2026-04-1717:16:00']列，源：None 备：b20061c015f743f2df0a772d0ba9e364</t>
  </si>
  <si>
    <t>tgt行 ['157', '2000-05-1114:30:29.000']列，源：None 备：662ccb121e15706a089e2aa77841c83b</t>
  </si>
  <si>
    <t>tgt行 ['116', '2002-06-1123:59:59.993']列，源：None 备：eac70c00a1b697682a1f96f0bc550fb9</t>
  </si>
  <si>
    <t>tgt行 ['20', '9999-12-3123:59:59.997']列，源：None 备：c4e368f4cb89aa5edb7ffc27296520fa</t>
  </si>
  <si>
    <t>tgt行 ['20', '2020-02-2919:27:31.123']列，源：None 备：d44c444c0c3520345d30157145aff5ac</t>
  </si>
  <si>
    <t>tgt行 ['23', '2026-04-1717:17:25', '2026-04-1717:17:24.6', '2026-04-1717:17:24.63', '2026-04-1717:17:24.631', '2026-04-1717:17:24.6306', '2026-04-1717:17:24.63065', '2026-04-1717:17:24.630647', '2026-04-1717:17:24.6306467']列，源：None 备：32f3f28b68f5184d1756590bcb9a53e8</t>
  </si>
  <si>
    <t>src行 ['4', '9999-12-31 00:00:00.000000']列，源：32e1d3cec0af832068e602d21ecb9080 备：None</t>
  </si>
  <si>
    <t>tgt行 ['54', '0001-01-0100:00:00', '0001-01-0100:00:00.0', '0001-01-0100:00:00.00', '0001-01-0100:00:00.000', '0001-01-0100:00:00.0000', '0001-01-0100:00:00.00000', '0001-01-0100:00:00.000000', '0001-01-0100:00:00.0000000']列，源：None 备：93030e2efa209c0b569224f9cea7e817</t>
  </si>
  <si>
    <t>src行 ['6', '2046-05-11 14:30:45.000000', '2046-05-11 14:30:45.100000', '2046-05-11 14:30:45.120000', '2046-05-11 14:30:45.123000', '2046-05-11 14:30:45.123500', '2046-05-11 14:30:45.123460', '2046-05-11 14:30:45.123457', '2046-05-11 14:30:45.123456']列，源：89029d2128502bc7260a3725d116ffea 备：None</t>
  </si>
  <si>
    <t>src行 ['6', '2025-02-01 00:00:00.000000', '2025-02-01 00:00:00.000000', '2025-02-01 00:00:00.000000', '2025-02-01 00:00:00.000000', '2025-02-01 00:00:00.000000', '2025-02-01 00:00:00.000000', '2025-02-01 00:00:00.000000', '2025-01-31 23:59:59.999999']列，源：3625910f19f66f7f17af3134d76f2d99 备：None</t>
  </si>
  <si>
    <t>tgt行 ['22', '1900-01-01']列，源：None 备：4247659a96186737272903905655f4c0</t>
  </si>
  <si>
    <t>src行 ['7', '1900-01-01 12:30:45.000000', '1900-01-01 12:30:45.100000', '1900-01-01 12:30:45.120000', '1900-01-01 12:30:45.123000', '1900-01-01 12:30:45.123000', '1900-01-01 12:30:45.123000', '1900-01-01 12:30:45.123000', '1900-01-01 12:30:45.123000']列，源：5a15e233f4741b7b243cee2c07bdfddc 备：None</t>
  </si>
  <si>
    <t>tgt行 ['211', '2068-06-01']列，源：None 备：dc346dc82b06e945561eba788c931d09</t>
  </si>
  <si>
    <t>src行 ['2', '2026-04-17 00:00:00.000000']列，源：c9c20ad6409fca03fb742334dc88f3a3 备：None</t>
  </si>
  <si>
    <t>tgt行 ['24', '12:30:45', '12:30:45.0', '12:30:45.00', '12:30:45.000', '12:30:45.0000', '12:30:45.00000', '12:30:45.000000', '12:30:45.0000000']列，源：None 备：30bd14c8122b871dc05e7062c93904e8</t>
  </si>
  <si>
    <t>tgt行 ['57', '12:30:45', '12:30:45.1', '12:30:45.12', '12:30:45.123', '12:30:45.1230', '12:30:45.12300', '12:30:45.123000', '12:30:45.1230000']列，源：None 备：fed6b1bd48bb2dc588a53a1294c4ff47</t>
  </si>
  <si>
    <t>tgt行 ['6', '18:10:06', '18:10:06.1', '18:10:06.12', '18:10:06.123', '18:10:06.1235', '18:10:06.12346', '18:10:06.123457', '18:10:06.1234567']列，源：None 备：1218d79e66c989d576e785836121510c</t>
  </si>
  <si>
    <t>tgt行 ['6', '09:12:34', '12:30:45.1', '09:12:34.12', '12:30:45.120', '09:12:34.1235', '12:30:45.12000', '09:12:34.123457', '12:30:45.1200000']列，源：None 备：349d03f394ffbe6e022c02ccb58869d6</t>
  </si>
  <si>
    <t>src行 ['10', '1900-01-01 12:30:45.000000', '1900-01-01 12:30:45.100000', '1900-01-01 12:30:45.120000', '1900-01-01 12:30:45.123000', '1900-01-01 12:30:45.123500', '1900-01-01 12:30:45.123460', '1900-01-01 12:30:45.123456', '1900-01-01 12:30:45.123456']列，源：94b3eb786932b1d21c9203af8597f1cd 备：None</t>
  </si>
  <si>
    <t>src行 ['11', '1900-01-01 12:30:45.000000', '1900-01-01 12:30:45.100000', '1900-01-01 12:30:45.120000', '1900-01-01 12:30:45.123000', '1900-01-01 12:30:45.123500', '1900-01-01 12:30:45.123460', '1900-01-01 12:30:45.123457', '1900-01-01 12:30:45.123456']列，源：c9231b431c9e3cda3b948a65a775c901 备：None</t>
  </si>
  <si>
    <t>tgt行 ['33', '2025-05-1112:00:00']列，源：None 备：77cefdcd1e454f2c135dee7401c68e3c</t>
  </si>
  <si>
    <t>tgt行 ['9', '2026-04-1717:16:00']列，源：None 备：25143e4947a57dce60e0d280e9ed19f1</t>
  </si>
  <si>
    <t>tgt行 ['9', '2079-06-0523:59:00']列，源：None 备：0a7b58cbfe23af37fe28826a28af7893</t>
  </si>
  <si>
    <t>tgt行 ['159', '1981-05-1114:30:59.000']列，源：None 备：80a85d05718af45a87f5d377eb4567c4</t>
  </si>
  <si>
    <t>tgt行 ['117', '2003-11-0423:59:59.990']列，源：None 备：f66bc5f1651f80772f15ddf13bf4a20e</t>
  </si>
  <si>
    <t>tgt行 ['21', '9999-12-3123:59:59.997']列，源：None 备：d4ba5ee62da9820f26551daa2cfb8806</t>
  </si>
  <si>
    <t>tgt行 ['21', '2020-02-2919:27:31.123']列，源：None 备：d72087fc329e945071953fafca524f6d</t>
  </si>
  <si>
    <t>tgt行 ['24', '0001-01-0100:00:00', '0001-01-0100:00:00.0', '0001-01-0100:00:00.00', '0001-01-0100:00:00.000', '0001-01-0100:00:00.0000', '0001-01-0100:00:00.00000', '0001-01-0100:00:00.000000', '0001-01-0100:00:00.0000000']列，源：None 备：4c653eebad603855995d256f02c1d65a</t>
  </si>
  <si>
    <t>tgt行 ['55', '9999-12-3123:59:59', '9999-12-3123:59:59.9', '9999-12-3123:59:59.99', '9999-12-3123:59:59.999', '9999-12-3123:59:59.9999', '9999-12-3123:59:59.99999', '9999-12-3123:59:59.999999', '9999-12-3123:59:59.9999999']列，源：None 备：64d4cb335bb2a99f2cbc9826089b2159</t>
  </si>
  <si>
    <t>src行 ['7', '2046-05-11 14:30:45.000000', '2046-05-11 14:30:45.100000', '2046-05-11 14:30:45.120000', '2046-05-11 14:30:45.123000', '2046-05-11 14:30:45.123500', '2046-05-11 14:30:45.123460', '2046-05-11 14:30:45.123457', '2046-05-11 14:30:45.123456']列，源：4eb0dca9ce4da39acab08d9fdb764217 备：None</t>
  </si>
  <si>
    <t>src行 ['7', '2025-02-01 00:00:00.000000', '2025-02-01 00:00:00.000000', '2025-02-01 00:00:00.000000', '2025-02-01 00:00:00.000000', '2025-02-01 00:00:00.000000', '2025-02-01 00:00:00.000000', '2025-02-01 00:00:00.000000', '2025-01-31 23:59:59.999999']列，源：a3c967c84d32380559cfcaada095c0ff 备：None</t>
  </si>
  <si>
    <t>tgt行 ['224', '9999-12-31']列，源：None 备：1484cf2f724da7e4d29e46c176f6ab25</t>
  </si>
  <si>
    <t>tgt行 ['8', '2068-05-1114:30:30.000']列，源：None 备：482b5b963ecc050b6221a7b239669a9b</t>
  </si>
  <si>
    <t>tgt行 ['25', '12:30:45', '12:30:45.1', '12:30:45.10', '12:30:45.100', '12:30:45.1000', '12:30:45.10000', '12:30:45.100000', '12:30:45.1000000']列，源：None 备：66df95f81de942a1a45a07759b2edab1</t>
  </si>
  <si>
    <t>tgt行 ['58', '12:30:45', '12:30:45.1', '12:30:45.12', '12:30:45.123', '12:30:45.1234', '12:30:45.12340', '12:30:45.123400', '12:30:45.1234000']列，源：None 备：b57dfc901ad67937999562bc5b362dda</t>
  </si>
  <si>
    <t>tgt行 ['7', '18:10:06', '18:10:06.1', '18:10:06.12', '18:10:06.123', '18:10:06.1235', '18:10:06.12346', '18:10:06.123457', '18:10:06.1234567']列，源：None 备：7410279e8f66ff0f14175943a728406c</t>
  </si>
  <si>
    <t>src行 ['12', '1900-01-01 23:59:59.000000', '1900-01-01 23:59:59.100000', '1900-01-01 23:59:59.120000', '1900-01-01 23:59:59.123000', '1900-01-01 23:59:59.123500', '1900-01-01 23:59:59.123460', '1900-01-01 23:59:59.123457', '1900-01-01 23:59:59.123456']列，源：04516bc841a4522d966bf4e11dc1a5bf 备：None</t>
  </si>
  <si>
    <t>tgt行 ['177', '2000-05-1114:30:00']列，源：None 备：3133e83f677cedae9100194f3fc22802</t>
  </si>
  <si>
    <t>tgt行 ['34', '2023-12-2523:59:00']列，源：None 备：95ee71f02f0d89f265eea5cbd6de4307</t>
  </si>
  <si>
    <t>src行 ['1', '2026-04-17 17:16:00.000000']列，源：8c14c6964a1b0e20e9b4737d194bad42 备：None</t>
  </si>
  <si>
    <t>tgt行 ['118', '2004-12-2423:59:59.990']列，源：None 备：6eb3241880f37c672d70974e23e13f8c</t>
  </si>
  <si>
    <t>tgt行 ['22', '9999-12-3123:59:59.997']列，源：None 备：a98176a796e0eb1aa022f657ad6d3848</t>
  </si>
  <si>
    <t>tgt行 ['22', '2020-02-2919:27:31.123']列，源：None 备：0d2c81d484d9560c8d54113f344a3fec</t>
  </si>
  <si>
    <t>tgt行 ['25', '9999-12-3123:59:59', '9999-12-3123:59:59.9', '9999-12-3123:59:59.99', '9999-12-3123:59:59.999', '9999-12-3123:59:59.9999', '9999-12-3123:59:59.99999', '9999-12-3123:59:59.999999', '9999-12-3123:59:59.9999999']列，源：None 备：fe335e2664b38b3b39cfb12625634af3</t>
  </si>
  <si>
    <t>tgt行 ['56', '1945-05-1114:30:45', '1945-05-1114:30:45.1', '1945-05-1114:30:45.12', '1945-05-1114:30:45.123', '1945-05-1114:30:45.1235', '1945-05-1114:30:45.12346', '1945-05-1114:30:45.123457', '1945-05-1114:30:45.1234567']列，源：None 备：c0dc7735ae2e6ed5ff012a67df46674a</t>
  </si>
  <si>
    <t>tgt行 ['225', '2026-04-17']列，源：None 备：93d56a421a115c6f824a3b845262264d</t>
  </si>
  <si>
    <t>src行 ['3', '1900-01-01 00:00:00.000000']列，源：10b6da47e8b88ca4dad712d897b38dcf 备：None</t>
  </si>
  <si>
    <t>src行 ['4', '2026-04-17 00:00:00.000000']列，源：8860de1993f5cbba9899ce081f2eda14 备：None</t>
  </si>
  <si>
    <t>tgt行 ['9', '1981-05-1114:30:59.000']列，源：None 备：a56640e72f7bdf2350334a7020405913</t>
  </si>
  <si>
    <t>tgt行 ['26', '12:30:45', '12:30:45.1', '12:30:45.12', '12:30:45.120', '12:30:45.1200', '12:30:45.12000', '12:30:45.120000', '12:30:45.1200000']列，源：None 备：9100759271e030f2177a7e08ae722d73</t>
  </si>
  <si>
    <t>tgt行 ['59', '12:30:45', '12:30:45.1', '12:30:45.12', '12:30:45.123', '12:30:45.1235', '12:30:45.12345', '12:30:45.123450', '12:30:45.1234500']列，源：None 备：38b80e8d785d7451332328ffd0a99397</t>
  </si>
  <si>
    <t>tgt行 ['8', '18:10:06', '18:10:06.1', '18:10:06.12', '18:10:06.123', '18:10:06.1235', '18:10:06.12346', '18:10:06.123457', '18:10:06.1234567']列，源：None 备：5b5d064d8f05691d9e3ea2bd08b88e72</t>
  </si>
  <si>
    <t>tgt行 ['8', '09:12:34', '12:30:45.1', '09:12:34.12', '12:30:45.123', '09:12:34.1235', '12:30:45.12340', '09:12:34.123457', '12:30:45.1234000']列，源：None 备：7a084dcd7c3904744f525234985138a3</t>
  </si>
  <si>
    <t>src行 ['13', '', '1900-01-01 00:00:01.100000', '', '1900-01-01 00:00:01.123000', '', '1900-01-01 00:00:01.123460', '', '1900-01-01 00:00:01.123456']列，源：38a25b6da12d4d4abb31ec3068b22c59 备：None</t>
  </si>
  <si>
    <t>tgt行 ['178', '2068-05-1114:31:00']列，源：None 备：c0688a18e85f26068fc6799299c8df74</t>
  </si>
  <si>
    <t>src行 ['2', '2026-04-17 17:16:00.000000']列，源：e6260536ff8d79a1eacdf774c5200e78 备：None</t>
  </si>
  <si>
    <t>tgt行 ['24', '2040-12-2523:59:59.997']列，源：None 备：9d4e593dd983c377e47b5784cb80c176</t>
  </si>
  <si>
    <t>tgt行 ['160', '1996-03-0323:59:59.997']列，源：None 备：4ec28719008ea11072c69c8e66d9745a</t>
  </si>
  <si>
    <t>tgt行 ['119', '1753-01-0200:00:00.000']列，源：None 备：490d76c1701d778a10154ee04bca5b59</t>
  </si>
  <si>
    <t>tgt行 ['23', '9999-12-3123:59:59.997']列，源：None 备：5046b6e83ada479021dc903c9e6da338</t>
  </si>
  <si>
    <t>tgt行 ['23', '2020-02-2919:27:31.123']列，源：None 备：dcf9a3ff5fd669501f6e2b44f4def903</t>
  </si>
  <si>
    <t>tgt行 ['26', '1945-05-1114:30:45', '1945-05-1114:30:45.1', '1945-05-1114:30:45.12', '1945-05-1114:30:45.123', '1945-05-1114:30:45.1235', '1945-05-1114:30:45.12346', '1945-05-1114:30:45.123457', '1945-05-1114:30:45.1234567']列，源：None 备：f420198658c8a32364c4f7036568f881</t>
  </si>
  <si>
    <t>tgt行 ['57', '2065-05-1114:30:45', '2065-05-1114:30:45.1', '2065-05-1114:30:45.12', '2065-05-1114:30:45.123', '2065-05-1114:30:45.1235', '2065-05-1114:30:45.12346', '2065-05-1114:30:45.123457', '2065-05-1114:30:45.1234567']列，源：None 备：a26a9a1af963d47da860aad322948591</t>
  </si>
  <si>
    <t>src行 ['9', '0001-01-02 00:00:00.000000']列，源：680a01f3255a30ffd4c4df9fb0ed9da7 备：None</t>
  </si>
  <si>
    <t>tgt行 ['229', '9999-12-30']列，源：None 备：debd6b4c92d82e4288637669e5909a07</t>
  </si>
  <si>
    <t>src行 ['3', '1753-01-01 00:00:00.000000']列，源：e835f93ac2c88a56b6cfa24f22eaa840 备：None</t>
  </si>
  <si>
    <t>tgt行 ['27', '12:30:45', '12:30:45.1', '12:30:45.12', '12:30:45.123', '12:30:45.1230', '12:30:45.12300', '12:30:45.123000', '12:30:45.1230000']列，源：None 备：a4a57cf8986a1e4535f6866b922c3ef0</t>
  </si>
  <si>
    <t>tgt行 ['9', '18:10:06', '18:10:06.1', '18:10:06.12', '18:10:06.123', '18:10:06.1235', '18:10:06.12346', '18:10:06.123457', '18:10:06.1234567']列，源：None 备：e5cf0a33838d4ba671503f60a240a394</t>
  </si>
  <si>
    <t>src行 ['14', '', '1900-01-01 12:00:00.100000', '', '1900-01-01 12:00:00.123000', '', '1900-01-01 12:00:00.123460', '', '1900-01-01 12:00:00.123456']列，源：f8f41b825cb0e4659674c10b7276835c 备：None</t>
  </si>
  <si>
    <t>tgt行 ['180', '2079-06-0523:59:00']列，源：None 备：7e41ac676d7e667c0fcfd70f09ae9d96</t>
  </si>
  <si>
    <t>src行 ['3', '2026-04-17 17:16:00.000000']列，源：4b446912fb27949b94405d0686a8e23e 备：None</t>
  </si>
  <si>
    <t>src行 ['3', '2079-06-05 23:59:00.000000']列，源：6062dbf1f85c72a83ed0203fcd042e3b 备：None</t>
  </si>
  <si>
    <t>tgt行 ['161', '1997-04-0423:59:59.997']列，源：None 备：cd65b48e4838c2047b62c11518faec63</t>
  </si>
  <si>
    <t>tgt行 ['24', '9999-12-3123:59:59.997']列，源：None 备：76f606026822d6766e4d12222fdf3a3d</t>
  </si>
  <si>
    <t>tgt行 ['24', '2020-02-2919:27:31.123']列，源：None 备：1551e00c9adb5d4142e8d358baa64d7b</t>
  </si>
  <si>
    <t>tgt行 ['27', '2065-05-1114:30:45', '2065-05-1114:30:45.1', '2065-05-1114:30:45.12', '2065-05-1114:30:45.123', '2065-05-1114:30:45.1235', '2065-05-1114:30:45.12346', '2065-05-1114:30:45.123457', '2065-05-1114:30:45.1234567']列，源：None 备：51e0c357b447686ebbacd6c67240483b</t>
  </si>
  <si>
    <t>tgt行 ['23', '0001-01-01']列，源：None 备：2074d7ef73b7ccfa041a75f942ba1d8e</t>
  </si>
  <si>
    <t>tgt行 ['57', '1970-01-01']列，源：None 备：71f19ec6f2dcb19dda07d5335fc8a8cf</t>
  </si>
  <si>
    <t>src行 ['5', '2026-04-17 16:52:00.000000']列，源：d8dad64d79f951fe487f6e270c2167df 备：None</t>
  </si>
  <si>
    <t>src行 ['6', '2026-04-17 00:00:00.000000']列，源：250cbc2eca1c6f9ac2624262aebcb7b3 备：None</t>
  </si>
  <si>
    <t>src行 ['4', '9999-12-31 23:59:59.997000']列，源：b378df8d49d1f8178aadda1699665433 备：None</t>
  </si>
  <si>
    <t>tgt行 ['28', '12:30:45', '12:30:45.1', '12:30:45.12', '12:30:45.123', '12:30:45.1234', '12:30:45.12340', '12:30:45.123400', '12:30:45.1234000']列，源：None 备：a1f11586ad9bc0f721ca731660e25ed4</t>
  </si>
  <si>
    <t>tgt行 ['60', '12:30:45', '12:30:45.1', '12:30:45.12', '12:30:45.123', '12:30:45.1235', '12:30:45.12346', '12:30:45.123456', '12:30:45.1234560']列，源：None 备：8efa0ab27870093507dd317d7e7d22a4</t>
  </si>
  <si>
    <t>src行 ['5', '2026-04-17 17:15:00.000000']列，源：bf26fb81aa2890419955702b8c56b035 备：None</t>
  </si>
  <si>
    <t>tgt行 ['183', '2025-05-1112:00:00']列，源：None 备：17c162e5c441c98518f7dde2b8ecf591</t>
  </si>
  <si>
    <t>src行 ['5', '2026-04-17 17:16:00.000000']列，源：b874a49ca0324c6c97f8f4440ca05307 备：None</t>
  </si>
  <si>
    <t>tgt行 ['57', '2000-05-1114:30:00']列，源：None 备：08e79de6ac8d27641921ff49e369178e</t>
  </si>
  <si>
    <t>src行 ['4', '2026-04-17 17:16:00.000000']列，源：ae25f0b0b2c4062c444a82e2ad001c18 备：None</t>
  </si>
  <si>
    <t>tgt行 ['162', '1998-05-0523:59:59.997']列，源：None 备：fbfc55c29bfd7528190ea2c0f625555f</t>
  </si>
  <si>
    <t>tgt行 ['3', '9999-12-3123:59:59.997']列，源：None 备：bbe24d12a7cb118fe6a6e85a77e88b88</t>
  </si>
  <si>
    <t>tgt行 ['275', '9999-12-3123:59:59', '9999-12-3123:59:59.9', '9999-12-3123:59:59.99', '9999-12-3123:59:59.999', '9999-12-3123:59:59.9999', '9999-12-3123:59:59.99999', '9999-12-3123:59:59.999999', '9999-12-3123:59:59.9999999']列，源：None 备：825e01aa3007af7888d52a0a0da75a5e</t>
  </si>
  <si>
    <t>tgt行 ['231', '2068-06-01']列，源：None 备：cc0ca18e7eed1be6f06f14e880319ba8</t>
  </si>
  <si>
    <t>tgt行 ['58', '0001-01-02']列，源：None 备：899572376b78046ea6c47f33d39e435d</t>
  </si>
  <si>
    <t>tgt行 ['29', '12:30:45', '12:30:45.1', '12:30:45.12', '12:30:45.123', '12:30:45.1235', '12:30:45.12345', '12:30:45.123450', '12:30:45.1234500']列，源：None 备：a8bfd8fc58f97737b09c02a906a5096d</t>
  </si>
  <si>
    <t>tgt行 ['61', '12:30:45', '12:30:45.1', '12:30:45.12', '12:30:45.123', '12:30:45.1235', '12:30:45.12346', '12:30:45.123457', '12:30:45.1234567']列，源：None 备：4a781267b72ae1ec431dc5644fc84cd1</t>
  </si>
  <si>
    <t>src行 ['15', '1900-01-01 00:00:01.000000', '', '1900-01-01 00:00:01.120000', '', '1900-01-01 00:00:01.123500', '', '1900-01-01 00:00:01.123457', '']列，源：440feebcbdb014b8311c6edfba97833c 备：None</t>
  </si>
  <si>
    <t>tgt行 ['184', '2023-12-2523:59:00']列，源：None 备：82224270c95d30ab39639c9c24736ada</t>
  </si>
  <si>
    <t>tgt行 ['58', '2068-05-1114:31:00']列，源：None 备：259967d6d632d22bd9e3fd1257dc8805</t>
  </si>
  <si>
    <t>src行 ['5', '2079-06-05 23:59:00.000000']列，源：e2531c4a4f892bf5d0f72ff014ec6bce 备：None</t>
  </si>
  <si>
    <t>tgt行 ['5', '2026-04-1717:16:23.090']列，源：None 备：8fb665b227add33ce48428002c3e4e96</t>
  </si>
  <si>
    <t>tgt行 ['163', '1999-06-0623:59:59.997']列，源：None 备：e589fdf6200c6d5e9118902e32a8a519</t>
  </si>
  <si>
    <t>tgt行 ['5', '2026-04-1717:16:32.183']列，源：None 备：27dc104123b40c2b4b747b9cd11aff3e</t>
  </si>
  <si>
    <t>tgt行 ['4', '1753-01-0100:00:00.000']列，源：None 备：e366b2238eceb902b926491de87d902e</t>
  </si>
  <si>
    <t>tgt行 ['277', '2065-05-1114:30:45', '2065-05-1114:30:45.1', '2065-05-1114:30:45.12', '2065-05-1114:30:45.123', '2065-05-1114:30:45.1235', '2065-05-1114:30:45.12346', '2065-05-1114:30:45.123457', '2065-05-1114:30:45.1234567']列，源：None 备：c935eff208a82e3ab6687b2302936035</t>
  </si>
  <si>
    <t>src行 ['10', '1990-05-11 00:00:00.000000']列，源：3e3fc367a45296db2b75ff8921aa61dd 备：None</t>
  </si>
  <si>
    <t>tgt行 ['24', '9999-12-31']列，源：None 备：36cda1fb445bb7e342f9f7de73011296</t>
  </si>
  <si>
    <t>tgt行 ['59', '9999-12-30']列，源：None 备：a10b27410e23c4672a7ed94a0db85d87</t>
  </si>
  <si>
    <t>src行 ['7', '2000-05-11 14:30:00.000000']列，源：bea7f8d7e99422f4fbc69f31cc57c03d 备：None</t>
  </si>
  <si>
    <t>tgt行 ['5', '2026-04-1716:53:49.210']列，源：None 备：28dab9eefb228bc93baeafa89b25c6c5</t>
  </si>
  <si>
    <t>tgt行 ['62', '23:59:59', '23:59:59.1', '23:59:59.12', '23:59:59.123', '23:59:59.1235', '23:59:59.12346', '23:59:59.123457', '23:59:59.1234567']列，源：None 备：e92c874ef126833356e2a0677a04d30f</t>
  </si>
  <si>
    <t>src行 ['3', '1900-01-01 18:10:06.000000', '1900-01-01 18:10:06.100000', '1900-01-01 18:10:06.120000', '1900-01-01 18:10:06.123000', '1900-01-01 18:10:06.123500', '1900-01-01 18:10:06.123460', '1900-01-01 18:10:06.123457', '1900-01-01 18:10:06.123456']列，源：e7c39458eef6f500da7ac2d1784616f0 备：None</t>
  </si>
  <si>
    <t>src行 ['6', '2026-04-17 17:16:00.000000']列，源：2c295ae4863ee50f0a74480d4a4eec1b 备：None</t>
  </si>
  <si>
    <t>tgt行 ['164', '2000-05-0123:59:59.993']列，源：None 备：2dfd9dfe4ae3b7ed21e9bb8c789084d0</t>
  </si>
  <si>
    <t>tgt行 ['5', '9999-12-3123:59:59.997']列，源：None 备：ba119a8fb381541b3d4a22e2e1ba3a17</t>
  </si>
  <si>
    <t>tgt行 ['3', '2026-04-1717:17:25', '2026-04-1717:17:24.6', '2026-04-1717:17:24.63', '2026-04-1717:17:24.631', '2026-04-1717:17:24.6306', '2026-04-1717:17:24.63065', '2026-04-1717:17:24.630647', '2026-04-1717:17:24.6306467']列，源：None 备：6328024523e5f081cd99ec679c136d2f</t>
  </si>
  <si>
    <t>src行 ['11', '2068-06-01 00:00:00.000000']列，源：34ece5ea7bd751b6784d7dbb4c0f8cc7 备：None</t>
  </si>
  <si>
    <t>src行 ['8', '1900-01-01 12:30:45.000000', '1900-01-01 12:30:45.100000', '1900-01-01 12:30:45.120000', '1900-01-01 12:30:45.123000', '1900-01-01 12:30:45.123400', '1900-01-01 12:30:45.123400', '1900-01-01 12:30:45.123400', '1900-01-01 12:30:45.123400']列，源：06f91f2a65543851851412e19a307dd6 备：None</t>
  </si>
  <si>
    <t>tgt行 ['25', '2026-04-17']列，源：None 备：6af2a097574e3d26878c931fe4ae801d</t>
  </si>
  <si>
    <t>src行 ['9', '2026-04-17 00:00:00.000000']列，源：d12058183eafc9641dc78aba53902e21 备：None</t>
  </si>
  <si>
    <t>src行 ['9', '1990-12-31 00:00:00.000000']列，源：ee84d4a4204ef280c27370c3ceb2287a 备：None</t>
  </si>
  <si>
    <t>src行 ['8', '2068-05-11 14:30:30.000000']列，源：4623dab3563b11da9c2f8808fbe5751c 备：None</t>
  </si>
  <si>
    <t>tgt行 ['30', '12:30:45', '12:30:45.1', '12:30:45.12', '12:30:45.123', '12:30:45.1235', '12:30:45.12346', '12:30:45.123456', '12:30:45.1234560']列，源：None 备：60eea08703c8c5c24eae6ceff5f31433</t>
  </si>
  <si>
    <t>tgt行 ['63', '', '00:00:01.1', '', '00:00:01.123', '', '00:00:01.12346', '', '00:00:01.1234567']列，源：None 备：42179e0ea74cc221aca0b0f4c69deae0</t>
  </si>
  <si>
    <t>src行 ['4', '1900-01-01 18:10:06.000000', '1900-01-01 18:10:06.100000', '1900-01-01 18:10:06.120000', '1900-01-01 18:10:06.123000', '1900-01-01 18:10:06.123500', '1900-01-01 18:10:06.123460', '1900-01-01 18:10:06.123457', '1900-01-01 18:10:06.123456']列，源：b1b9dea818388f666b8ca9ce98e6f671 备：None</t>
  </si>
  <si>
    <t>tgt行 ['22', '1900-01-0100:00:00']列，源：None 备：e5317599b6ea2529e1531460050a1241</t>
  </si>
  <si>
    <t>tgt行 ['60', '2079-06-0523:59:00']列，源：None 备：0e1a01f73c7860fbb3052ab1a2c82677</t>
  </si>
  <si>
    <t>src行 ['7', '2026-04-17 17:16:00.000000']列，源：94839f182945783541256a2bfb70e661 备：None</t>
  </si>
  <si>
    <t>src行 ['7', '2079-06-05 23:59:00.000000']列，源：baf0a330928e418f095cdaae02fa486e 备：None</t>
  </si>
  <si>
    <t>src行 ['1', '100', '-32768', '123456', '1000000', '', '-100000000000000000000000000000000000000', '-1', '-10000000000000000000000000000', '-888888.22', '-999999999999999999', '-100000000000000000000000000000000000000', '-1', '-10000000000000000000000000000', '-9999999999999999.99', '0.00000000000000000000000000000123457', '0.0000000000000000000123457', '203685477.5808', '-214748.3648', '0']列，源：39e58da397868f059ed866b7d40cb011 备：None</t>
  </si>
  <si>
    <t>tgt行 ['165', '2001-04-0923:59:59.993']列，源：None 备：9126334171790d7cf00f0f4f898dfe54</t>
  </si>
  <si>
    <t>src行 ['1', '100', '-1', '222222', '500000000', '99999', '-100000000000000000000000000000000000000', '-1', '-10000000000000000000000000000', '-11111.34', '-999999999999999999', '-100000000000000000000000000000000000000', '-1', '-10000000000000000000000000000', '-9999999999999999.99', '123.457', '0.0000000000000000000123457', '203685477.5808', '-214748.3648', '1']列，源：05e5395f58806d6a8e7538c54f1b8402 备：None</t>
  </si>
  <si>
    <t>tgt行 ['6', '9999-12-3123:59:59.997']列，源：None 备：98f63f037ab5c03f2310463bdde2feb7</t>
  </si>
  <si>
    <t>tgt行 ['323', '2026-04-1717:17:25', '2026-04-1717:17:24.6', '2026-04-1717:17:24.63', '2026-04-1717:17:24.631', '2026-04-1717:17:24.6306', '2026-04-1717:17:24.63065', '2026-04-1717:17:24.630647', '2026-04-1717:17:24.6306467']列，源：None 备：d334ec5c79eec3f41e224df105bb29b5</t>
  </si>
  <si>
    <t>tgt行 ['26', '2020-02-29']列，源：None 备：d95a27c8ceb6272a94225cb93f39c3c7</t>
  </si>
  <si>
    <t>tgt行 ['60', '1990-05-11']列，源：None 备：1730d042e87afda4a7aaae0803e9a500</t>
  </si>
  <si>
    <t>src行 ['10', '2026-04-17 00:00:00.000000']列，源：7782e579c1da994ed5bed966143f8c33 备：None</t>
  </si>
  <si>
    <t>src行 ['10', '1990-12-31 00:00:00.000000']列，源：bc2ff7146213c7b1a56b73ad1d2e6cb5 备：None</t>
  </si>
  <si>
    <t>src行 ['9', '1981-05-11 14:30:59.000000']列，源：76cd85ae95444733a6830dd973225c77 备：None</t>
  </si>
  <si>
    <t>tgt行 ['31', '12:30:45', '12:30:45.1', '12:30:45.12', '12:30:45.123', '12:30:45.1235', '12:30:45.12346', '12:30:45.123457', '12:30:45.1234567']列，源：None 备：bc4793bff86fd8ca44e7a5e47bbe676d</t>
  </si>
  <si>
    <t>tgt行 ['64', '', '12:00:00.1', '', '12:00:00.123', '', '12:00:00.12346', '', '12:00:00.1234567']列，源：None 备：a6808d16a0ab27288ff0b60ae61ef796</t>
  </si>
  <si>
    <t>src行 ['5', '1900-01-01 18:10:06.000000', '1900-01-01 18:10:06.100000', '1900-01-01 18:10:06.120000', '1900-01-01 18:10:06.123000', '1900-01-01 18:10:06.123500', '1900-01-01 18:10:06.123460', '1900-01-01 18:10:06.123457', '1900-01-01 18:10:06.123456']列，源：89bf84da72df0e311018d21e3dbc1e95 备：None</t>
  </si>
  <si>
    <t>tgt行 ['23', '1900-01-0100:00:00']列，源：None 备：8be7c6c6a4a387b04f12c6de8ac95688</t>
  </si>
  <si>
    <t>tgt行 ['63', '2025-05-1112:00:00']列，源：None 备：64f8e47573207f9e2c0337b970753f8e</t>
  </si>
  <si>
    <t>src行 ['8', '2026-04-17 17:16:00.000000']列，源：e3d02f0445a9fd248134083b2d461c53 备：None</t>
  </si>
  <si>
    <t>src行 ['2', '100', '32767', '123456', '1000000', '', '100000000000000000000000000000000000000', '1', '10000000000000000000000000000', '-888888.22', '999999999999999999', '100000000000000000000000000000000000000', '1', '10000000000000000000000000000', '9999999999999999.99', '0.00000000000000000000000000000123457', '0.0000000000000000000123457', '203685477.5808', '214748.3647', '0']列，源：24615e35afa405a606a7299d3425451a 备：None</t>
  </si>
  <si>
    <t>tgt行 ['166', '2002-06-1123:59:59.993']列，源：None 备：4c4bf68b94777a420623e9dfd78a00f2</t>
  </si>
  <si>
    <t>src行 ['2', '100', '32767', '123456', '1000000', '99999', '100000000000000000000000000000000000000', '1', '10000000000000000000000000000', '-11111.34', '999999999999999999', '100000000000000000000000000000000000000', '1', '10000000000000000000000000000', '9999999999999999.99', '123.457', '0.0000000000000000000123457', '203685477.5808', '214748.3647', '1']列，源：c918a9281e17494aff62e498b3126246 备：None</t>
  </si>
  <si>
    <t>tgt行 ['7', '9999-12-3123:59:59.997']列，源：None 备：af1c952763bf182ee323aed1a975740a</t>
  </si>
  <si>
    <t>tgt行 ['325', '9999-12-3123:59:59', '9999-12-3123:59:59.9', '9999-12-3123:59:59.99', '9999-12-3123:59:59.999', '9999-12-3123:59:59.9999', '9999-12-3123:59:59.99999', '9999-12-3123:59:59.999999', '9999-12-3123:59:59.9999999']列，源：None 备：172cd560842ce8a100c43bf956dc1329</t>
  </si>
  <si>
    <t>tgt行 ['27', '1970-01-01']列，源：None 备：15012b66545d3fcfc56f30de072ef063</t>
  </si>
  <si>
    <t>tgt行 ['61', '2068-06-01']列，源：None 备：2a1e4c8758d09ce74d5abc700d632712</t>
  </si>
  <si>
    <t>src行 ['11', '2026-04-17 00:00:00.000000']列，源：a8b7df47993c8f36d454f67de44f2809 备：None</t>
  </si>
  <si>
    <t>src行 ['11', '1997-04-04 23:59:59.997000']列，源：c922b98ede2f34642ba086d49ba053a0 备：None</t>
  </si>
  <si>
    <t>tgt行 ['32', '23:59:59', '23:59:59.1', '23:59:59.12', '23:59:59.123', '23:59:59.1235', '23:59:59.12346', '23:59:59.123457', '23:59:59.1234567']列，源：None 备：b6e483a3c46b2370b79713f172c29dbb</t>
  </si>
  <si>
    <t>tgt行 ['65', '00:00:01', '', '00:00:01.12', '', '00:00:01.1235', '', '00:00:01.123457', '']列，源：None 备：45e95bdea2d225c52452691b9c81b207</t>
  </si>
  <si>
    <t>src行 ['6', '1900-01-01 18:10:06.000000', '1900-01-01 18:10:06.100000', '1900-01-01 18:10:06.120000', '1900-01-01 18:10:06.123000', '1900-01-01 18:10:06.123500', '1900-01-01 18:10:06.123460', '1900-01-01 18:10:06.123457', '1900-01-01 18:10:06.123456']列，源：e33995da8f2354150c7dca69e020c4e0 备：None</t>
  </si>
  <si>
    <t>src行 ['6', '1900-01-01 09:12:34.000000', '1900-01-01 12:30:45.100000', '1900-01-01 09:12:34.120000', '1900-01-01 12:30:45.120000', '1900-01-01 09:12:34.123500', '1900-01-01 12:30:45.120000', '1900-01-01 09:12:34.123457', '1900-01-01 12:30:45.120000']列，源：49280c9599cab1bfb14a4e0d92d576bc 备：None</t>
  </si>
  <si>
    <t>tgt行 ['24', '2079-06-0623:59:00']列，源：None 备：b94b3829a7326a3784fb0589987feea8</t>
  </si>
  <si>
    <t>tgt行 ['64', '2023-12-2523:59:00']列，源：None 备：3b2f6d8f8d8fa6b0ad578c23c2074bb8</t>
  </si>
  <si>
    <t>src行 ['9', '2026-04-17 17:16:00.000000']列，源：fd19d8b1c96db45e00aad76cf37ebf8e 备：None</t>
  </si>
  <si>
    <t>src行 ['9', '2079-06-05 23:59:00.000000']列，源：b0360d1bc18e7c497863815692e4f61e 备：None</t>
  </si>
  <si>
    <t>src行 ['3', '100', '', '123456', '1000000', '', '', '', '', '-888888.22', '', '', '', '', '', '0.00000000000000000000000000000123457', '0.0000000000000000000123457', '203685477.5808', '', '0']列，源：e037b2c9d2d495bfd8bb85dd9aabd6a6 备：None</t>
  </si>
  <si>
    <t>tgt行 ['167', '2003-11-0423:59:59.990']列，源：None 备：255707a2815be8bdb82e4baa714e91c3</t>
  </si>
  <si>
    <t>src行 ['3', '100', '0', '0', '0', '99999', '', '', '', '-11111.34', '', '', '', '', '', '123.457', '0.0000000000000000000123457', '203685477.5808', '', '1']列，源：93c0aad23c2c723e70d17759fd63852f 备：None</t>
  </si>
  <si>
    <t>tgt行 ['8', '9999-12-3123:59:59.997']列，源：None 备：1d7098d04cb308a2128f996a59194850</t>
  </si>
  <si>
    <t>tgt行 ['8', '2020-02-2919:27:31.123']列，源：None 备：50f291ae7637488e423a0ab318518a4b</t>
  </si>
  <si>
    <t>tgt行 ['327', '2065-05-1114:30:45', '2065-05-1114:30:45.1', '2065-05-1114:30:45.12', '2065-05-1114:30:45.123', '2065-05-1114:30:45.1235', '2065-05-1114:30:45.12346', '2065-05-1114:30:45.123457', '2065-05-1114:30:45.1234567']列，源：None 备：1f9ecfb88b4b7a6b09787d9a4032a389</t>
  </si>
  <si>
    <t>tgt行 ['279', '9999-12-30']列，源：None 备：92e3f1f004d66555986e75e8c91f4fc7</t>
  </si>
  <si>
    <t>src行 ['12', '1998-05-05 23:59:59.997000']列，源：8436d7314fefbed80ff09ed5ffd96941 备：None</t>
  </si>
  <si>
    <t>tgt行 ['33', '', '00:00:01.1', '', '00:00:01.123', '', '00:00:01.12346', '', '00:00:01.1234567']列，源：None 备：d838facdddd11da696d97859332ef8bf</t>
  </si>
  <si>
    <t>tgt行 ['66', '12:00:00', '', '12:00:00.12', '', '12:00:00.1235', '', '12:00:00.123457', '']列，源：None 备：6a23e2d84a673ea572bea213419b26ca</t>
  </si>
  <si>
    <t>src行 ['7', '1900-01-01 18:10:06.000000', '1900-01-01 18:10:06.100000', '1900-01-01 18:10:06.120000', '1900-01-01 18:10:06.123000', '1900-01-01 18:10:06.123500', '1900-01-01 18:10:06.123460', '1900-01-01 18:10:06.123457', '1900-01-01 18:10:06.123456']列，源：ddcf118f1114e9d5a1be09088e0e64c7 备：None</t>
  </si>
  <si>
    <t>tgt行 ['25', '2026-04-1717:15:00']列，源：None 备：44f542edf0a5328585153a7d97d6a2dc</t>
  </si>
  <si>
    <t>src行 ['10', '2026-04-17 17:16:00.000000']列，源：7ff96d08bb7fb7d4d34c355e7e3888a4 备：None</t>
  </si>
  <si>
    <t>src行 ['4', '100', '12345', '123456', '1000000', '', '-1234567890123456789012345', '0.0000000000000000000000008', '1234567890123456789012345678', '-888888.22', '123456789123456789', '-1234567890123456789012345', '0.0000000000000000000000008', '1234567890123456789012345678', '-123456789012.12', '0.00000000000000000000000000000123457', '0.0000000000000000000123457', '203685477.5808', '1234.5678', '0']列，源：b9b23512ed692aea857c4487c4712a53 备：None</t>
  </si>
  <si>
    <t>tgt行 ['168', '2004-12-2423:59:59.990']列，源：None 备：5dc13d83e7d0da6d0dcdcf44e3183553</t>
  </si>
  <si>
    <t>tgt行 ['9', '9999-12-3123:59:59.997']列，源：None 备：669c0adf9771cb18b1cf886e40e9b9d0</t>
  </si>
  <si>
    <t>tgt行 ['375', '9999-12-3123:59:59', '9999-12-3123:59:59.9', '9999-12-3123:59:59.99', '9999-12-3123:59:59.999', '9999-12-3123:59:59.9999', '9999-12-3123:59:59.99999', '9999-12-3123:59:59.999999', '9999-12-3123:59:59.9999999']列，源：None 备：959bf78b1093770b6c9549dda4e6deeb</t>
  </si>
  <si>
    <t>tgt行 ['28', '0001-01-02']列，源：None 备：6fc7e648439931248ef787afeb663d71</t>
  </si>
  <si>
    <t>src行 ['13', '1999-06-06 23:59:59.997000']列，源：b87e85119cbba73e705f42e6433bde46 备：None</t>
  </si>
  <si>
    <t>tgt行 ['34', '', '12:00:00.1', '', '12:00:00.123', '', '12:00:00.12346', '', '12:00:00.1234567']列，源：None 备：20ccb74f2cc2bd12b13a813ca5dafea5</t>
  </si>
  <si>
    <t>src行 ['8', '1900-01-01 18:10:06.000000', '1900-01-01 18:10:06.100000', '1900-01-01 18:10:06.120000', '1900-01-01 18:10:06.123000', '1900-01-01 18:10:06.123500', '1900-01-01 18:10:06.123460', '1900-01-01 18:10:06.123457', '1900-01-01 18:10:06.123456']列，源：6c4d7fadac9e53c067dc685022c0ad10 备：None</t>
  </si>
  <si>
    <t>src行 ['8', '1900-01-01 09:12:34.000000', '1900-01-01 12:30:45.100000', '1900-01-01 09:12:34.120000', '1900-01-01 12:30:45.123000', '1900-01-01 09:12:34.123500', '1900-01-01 12:30:45.123400', '1900-01-01 09:12:34.123457', '1900-01-01 12:30:45.123400']列，源：e2ca4c4d254963f8fd3b70c2da0a8818 备：None</t>
  </si>
  <si>
    <t>tgt行 ['26', '2020-03-0100:00:00']列，源：None 备：c8eaa2d5d9d31f7476e8a3762afa832e</t>
  </si>
  <si>
    <t>src行 ['11', '2026-04-17 17:16:00.000000']列，源：e6d936274f61916af074610ff9667b09 备：None</t>
  </si>
  <si>
    <t>src行 ['5', '100', '0', '123456', '1000000', '', '', '', '', '-888888.22', '', '', '', '', '', '0.00000000000000000000000000000123457', '0.0000000000000000000123457', '203685477.5808', '', '0']列，源：527799eae2d1be956453f570ea498700 备：None</t>
  </si>
  <si>
    <t>tgt行 ['169', '1753-01-0200:00:00.000']列，源：None 备：c9bae9e56379a835e5c02dbdab8925cf</t>
  </si>
  <si>
    <t>src行 ['5', '100', '0', '0', '0', '99999', '', '', '', '-11111.34', '', '', '', '', '', '123.457', '0.0000000000000000000123457', '203685477.5808', '', '1']列，源：ffd9f64e508c3d33ee053812dc759675 备：None</t>
  </si>
  <si>
    <t>src行 ['1', '9999-12-31 23:59:59.997000']列，源：f93710e31c7b5121eaf51fb0d12e9bf2 备：None</t>
  </si>
  <si>
    <t>src行 ['1', '1753-01-01 00:00:00.000000']列，源：3facf51aa65b47f24b9af0f60540cfd9 备：None</t>
  </si>
  <si>
    <t>tgt行 ['377', '2065-05-1114:30:45', '2065-05-1114:30:45.1', '2065-05-1114:30:45.12', '2065-05-1114:30:45.123', '2065-05-1114:30:45.1235', '2065-05-1114:30:45.12346', '2065-05-1114:30:45.123457', '2065-05-1114:30:45.1234567']列，源：None 备：484d74a32d74f8675ce00f80230a566b</t>
  </si>
  <si>
    <t>src行 ['53', '2026-04-17 17:17:33.000000', '2026-04-17 17:17:33.400000', '2026-04-17 17:17:33.410000', '2026-04-17 17:17:33.413000', '2026-04-17 17:17:33.413300', '2026-04-17 17:17:33.413300', '2026-04-17 17:17:33.413301', '2026-04-17 17:17:33.413300']列，源：b8aed5e050708d3ce58e21c897655797 备：None</t>
  </si>
  <si>
    <t>tgt行 ['281', '2068-06-01']列，源：None 备：0194d2dcc6099b0fec8e2a25f27d4f8a</t>
  </si>
  <si>
    <t>src行 ['13', '2025-05-11 12:00:00.000000']列，源：0740297bce9c4a8e481e19182a65bfbd 备：None</t>
  </si>
  <si>
    <t>tgt行 ['35', '00:00:01', '', '00:00:01.12', '', '00:00:01.1235', '', '00:00:01.123457', '']列，源：None 备：c881b57b2b2c20b93a9fb8036717f225</t>
  </si>
  <si>
    <t>src行 ['9', '1900-01-01 18:10:06.000000', '1900-01-01 18:10:06.100000', '1900-01-01 18:10:06.120000', '1900-01-01 18:10:06.123000', '1900-01-01 18:10:06.123500', '1900-01-01 18:10:06.123460', '1900-01-01 18:10:06.123457', '1900-01-01 18:10:06.123456']列，源：c9a07924962ba0a22e493700b7282f43 备：None</t>
  </si>
  <si>
    <t>src行 ['12', '2026-04-17 17:16:00.000000']列，源：8584ba5ffc92d194506f1f8d3d0a5c55 备：None</t>
  </si>
  <si>
    <t>src行 ['12', '1981-05-11 14:31:00.000000']列，源：a5935bbf01433814d9eb34ae68cf98aa 备：None</t>
  </si>
  <si>
    <t>src行 ['6', '100', '255', '123456', '1000000', '', '', '', '', '-888888.22', '', '', '', '', '', '0.00000000000000000000000000000123457', '0.0000000000000000000123457', '203685477.5808', '', '0']列，源：189d47f93bfbb7a1ea830916bf280033 备：None</t>
  </si>
  <si>
    <t>src行 ['6', '100', '0', '0', '0', '', '', '', '', '-888888.22', '', '', '', '', '', '0.00000000000000000000000000000123457', '0.0000000000000000000123457', '203685477.5808', '', '0']列，源：9f9c3cdeef0250b2fd42cef1f56320b9 备：None</t>
  </si>
  <si>
    <t>src行 ['2', '9999-12-31 23:59:59.997000']列，源：933cbf3023bf6e6e7e31cbd5afdf5649 备：None</t>
  </si>
  <si>
    <t>src行 ['2', '1753-01-01 00:00:00.000000']列，源：000c581325c16697a151f97c3988670e 备：None</t>
  </si>
  <si>
    <t>src行 ['54', '0001-01-01 00:00:00.000000', '0001-01-01 00:00:00.000000', '0001-01-01 00:00:00.000000', '0001-01-01 00:00:00.000000', '0001-01-01 00:00:00.000000', '0001-01-01 00:00:00.000000', '0001-01-01 00:00:00.000000', '0001-01-01 00:00:00.000000']列，源：35e57eca967f3b0e582e7491a9d7803f 备：None</t>
  </si>
  <si>
    <t>src行 ['14', '1900-01-01 12:00:00.000000', '', '1900-01-01 12:00:00.120000', '', '1900-01-01 12:00:00.123500', '', '1900-01-01 12:00:00.123457', '']列，源：fb55598d6ee35239ca2504d0c23d3754 备：None</t>
  </si>
  <si>
    <t>tgt行 ['29', '9999-12-30']列，源：None 备：f5823ef0b0ebe62961d78822b85bc196</t>
  </si>
  <si>
    <t>src行 ['14', '2023-12-25 23:59:00.000000']列，源：c0e2d1002afc40380a536f7752dd1fb9 备：None</t>
  </si>
  <si>
    <t>tgt行 ['36', '12:00:00', '', '12:00:00.12', '', '12:00:00.1235', '', '12:00:00.123457', '']列，源：None 备：2b8d03414abb66714415226da2700a21</t>
  </si>
  <si>
    <t>src行 ['10', '1900-01-01 18:10:06.000000', '1900-01-01 18:10:06.100000', '1900-01-01 18:10:06.120000', '1900-01-01 18:10:06.123000', '1900-01-01 18:10:06.123500', '1900-01-01 18:10:06.123460', '1900-01-01 18:10:06.123457', '1900-01-01 18:10:06.123456']列，源：e9fee6de8edc433c5c0f3cc3b2ae107c 备：None</t>
  </si>
  <si>
    <t>src行 ['13', '2026-04-17 17:16:00.000000']列，源：f9fa5c9e705cf26f5cd66c8b8a5c07e3 备：None</t>
  </si>
  <si>
    <t>src行 ['13', '1981-05-11 14:31:00.000000']列，源：ac4172b54b4bbb877f5d9620b3dcb29f 备：None</t>
  </si>
  <si>
    <t>src行 ['7', '100', '32767', '123456', '1000000', '', '', '', '', '-888888.22', '', '', '', '', '', '0.00000000000000000000000000000123457', '0.0000000000000000000123457', '203685477.5808', '', '0']列，源：84419e3139c2e82befe6ed6b219fb3fd 备：None</t>
  </si>
  <si>
    <t>src行 ['5', '2026-04-17 17:16:23.090000']列，源：8fe04d84394e81e96dfbe40df4325fc4 备：None</t>
  </si>
  <si>
    <t>tgt行 ['171', '2023-05-1100:00:00.123']列，源：None 备：5b4cc293af3bf6663d7ae575ae42daed</t>
  </si>
  <si>
    <t>src行 ['5', '2026-04-17 17:16:32.183000']列，源：1512e7563a20eb823d939c09fceb9d3d 备：None</t>
  </si>
  <si>
    <t>src行 ['7', '100', '0', '0', '0', '', '', '', '', '-888888.22', '', '', '', '', '', '0.00000000000000000000000000000123457', '0.0000000000000000000123457', '203685477.5808', '', '0']列，源：45ff75f2240a7d6d3f75880ec928e06c 备：None</t>
  </si>
  <si>
    <t>src行 ['3', '9999-12-31 23:59:59.997000']列，源：5bcf2535e488073778f048c1b93382f8 备：None</t>
  </si>
  <si>
    <t>src行 ['55', '9999-12-31 23:59:59.000000', '9999-12-31 23:59:59.900000', '9999-12-31 23:59:59.990000', '9999-12-31 23:59:59.999000', '9999-12-31 23:59:59.999900', '9999-12-31 23:59:59.999990', '9999-12-31 23:59:59.999999', '9999-12-31 23:59:59.999999']列，源：2887207f530d46efd3464e00d2658d04 备：None</t>
  </si>
  <si>
    <t>src行 ['5', '2026-04-17 16:53:49.210000']列，源：df2c44105a1bda0363b74aaf976df05a 备：None</t>
  </si>
  <si>
    <t>src行 ['11', '1900-01-01 18:10:06.000000', '1900-01-01 18:10:06.100000', '1900-01-01 18:10:06.120000', '1900-01-01 18:10:06.123000', '1900-01-01 18:10:06.123500', '1900-01-01 18:10:06.123460', '1900-01-01 18:10:06.123457', '1900-01-01 18:10:06.123456']列，源：6c2219d01bcc0169bade3e5e0c6f2a42 备：None</t>
  </si>
  <si>
    <t>src行 ['14', '2026-04-17 17:16:00.000000']列，源：768160708ed5054d65717c60b8569c4f 备：None</t>
  </si>
  <si>
    <t>src行 ['14', '1981-05-11 14:31:00.000000']列，源：f207c8413960f84246528b917af63981 备：None</t>
  </si>
  <si>
    <t>src行 ['8', '100', '-32768', '123456', '1000000', '', '', '', '', '-888888.22', '', '', '', '', '', '0.00000000000000000000000000000123457', '0.0000000000000000000123457', '203685477.5808', '', '0']列，源：e94f417b2c9d55c9bcab6b052484cd71 备：None</t>
  </si>
  <si>
    <t>tgt行 ['172', '2024-05-1112:00:00.567']列，源：None 备：9323ce343d795935eafd2a32eaae3fd8</t>
  </si>
  <si>
    <t>src行 ['8', '100', '0', '0', '0', '99999', '', '', '', '-11111.34', '', '', '', '', '', '123.457', '0.0000000000000000000123457', '203685477.5808', '', '1']列，源：e9d988c9e831ea9be1b579034d9c4009 备：None</t>
  </si>
  <si>
    <t>src行 ['4', '1753-01-01 00:00:00.000000']列，源：e95c31923080abf82d6a435ed74b2d66 备：None</t>
  </si>
  <si>
    <t>src行 ['56', '1945-05-11 14:30:45.000000', '1945-05-11 14:30:45.100000', '1945-05-11 14:30:45.120000', '1945-05-11 14:30:45.123000', '1945-05-11 14:30:45.123500', '1945-05-11 14:30:45.123460', '1945-05-11 14:30:45.123457', '1945-05-11 14:30:45.123456']列，源：8024d9e03aac072d2242bb32489650c6 备：None</t>
  </si>
  <si>
    <t>tgt行 ['30', '1990-05-11']列，源：None 备：9a331ede26e6a2557c4b68502078fbd6</t>
  </si>
  <si>
    <t>src行 ['21', '2023-05-11 00:00:00.123000']列，源：e66f5dc8bba26a20a220f1eda9d43404 备：None</t>
  </si>
  <si>
    <t>src行 ['12', '1900-01-01 18:10:06.000000', '1900-01-01 18:10:06.100000', '1900-01-01 18:10:06.120000', '1900-01-01 18:10:06.123000', '1900-01-01 18:10:06.123500', '1900-01-01 18:10:06.123460', '1900-01-01 18:10:06.123457', '1900-01-01 18:10:06.123456']列，源：b30763ac5bfc73ba0df849c8c172a51b 备：None</t>
  </si>
  <si>
    <t>src行 ['9', '100', '12345', '123456', '1000000', '', '', '', '', '-888888.22', '', '', '', '', '', '0.00000000000000000000000000000123457', '0.0000000000000000000123457', '203685477.5808', '', '0']列，源：37b2122c0f048925913c9fd20d693b58 备：None</t>
  </si>
  <si>
    <t>tgt行 ['173', '2025-01-0100:00:00.233']列，源：None 备：9add7337d7cc19a2a2fa4529daa13346</t>
  </si>
  <si>
    <t>src行 ['9', '100', '0', '0', '0', '', '', '', '', '-888888.22', '', '', '', '', '', '0.00000000000000000000000000000123457', '0.0000000000000000000123457', '203685477.5808', '', '0']列，源：64bc257258c52b5c8c4ade92e1228282 备：None</t>
  </si>
  <si>
    <t>src行 ['5', '9999-12-31 23:59:59.997000']列，源：c575c6df4b258b37f77f602108d77465 备：None</t>
  </si>
  <si>
    <t>src行 ['57', '2065-05-11 14:30:45.000000', '2065-05-11 14:30:45.100000', '2065-05-11 14:30:45.120000', '2065-05-11 14:30:45.123000', '2065-05-11 14:30:45.123500', '2065-05-11 14:30:45.123460', '2065-05-11 14:30:45.123457', '2065-05-11 14:30:45.123456']列，源：f7d97c4ea1a09addd1aa0293ea52662d 备：None</t>
  </si>
  <si>
    <t>tgt行 ['31', '2068-06-01']列，源：None 备：d3ed1693bb0272538a49dae49a47b88f</t>
  </si>
  <si>
    <t>src行 ['22', '2024-05-11 12:00:00.567000']列，源：74847a1ce8727884f575f74e2c8ca80b 备：None</t>
  </si>
  <si>
    <t>src行 ['13', '1900-01-01 18:10:06.000000', '1900-01-01 18:10:06.100000', '1900-01-01 18:10:06.120000', '1900-01-01 18:10:06.123000', '1900-01-01 18:10:06.123500', '1900-01-01 18:10:06.123460', '1900-01-01 18:10:06.123457', '1900-01-01 18:10:06.123456']列，源：2223a7f674fc696bed7ba5df0fcad5b5 备：None</t>
  </si>
  <si>
    <t>src行 ['10', '100', '-12345', '123456', '1000000', '', '', '', '', '-888888.22', '', '', '', '', '', '0.00000000000000000000000000000123457', '0.0000000000000000000123457', '203685477.5808', '', '0']列，源：50e00f7acdb87bbd31ce50032ff106da 备：None</t>
  </si>
  <si>
    <t>src行 ['10', '100', '0', '0', '0', '99999', '', '', '', '-11111.34', '', '', '', '', '', '123.457', '0.0000000000000000000123457', '203685477.5808', '', '1']列，源：eae189aabf4579aed267e91f991554bc 备：None</t>
  </si>
  <si>
    <t>src行 ['6', '9999-12-31 23:59:59.997000']列，源：10aaeff474d955dceaaa8852d770208f 备：None</t>
  </si>
  <si>
    <t>tgt行 ['74', '0001-01-0100:00:00', '0001-01-0100:00:00.0', '0001-01-0100:00:00.00', '0001-01-0100:00:00.000', '0001-01-0100:00:00.0000', '0001-01-0100:00:00.00000', '0001-01-0100:00:00.000000', '0001-01-0100:00:00.0000000']列，源：None 备：dda782a0b82b2cd89940b748b37de1e4</t>
  </si>
  <si>
    <t>src行 ['103', '2026-04-17 17:17:33.000000', '2026-04-17 17:17:33.400000', '2026-04-17 17:17:33.410000', '2026-04-17 17:17:33.413000', '2026-04-17 17:17:33.413300', '2026-04-17 17:17:33.413300', '2026-04-17 17:17:33.413301', '2026-04-17 17:17:33.413300']列，源：1757f945055d0282edcf3b32cd6bae0c 备：None</t>
  </si>
  <si>
    <t>src行 ['23', '2025-01-01 00:00:00.233000']列，源：b180c20b6382cfe0326a791df709ae54 备：None</t>
  </si>
  <si>
    <t>src行 ['16', '1900-01-01 12:00:00.000000', '', '1900-01-01 12:00:00.120000', '', '1900-01-01 12:00:00.123500', '', '1900-01-01 12:00:00.123457', '']列，源：b267fdd834a14064063e2afa716ed05d 备：None</t>
  </si>
  <si>
    <t>src行 ['14', '1900-01-01 18:10:06.000000', '1900-01-01 18:10:06.100000', '1900-01-01 18:10:06.120000', '1900-01-01 18:10:06.123000', '1900-01-01 18:10:06.123500', '1900-01-01 18:10:06.123460', '1900-01-01 18:10:06.123457', '1900-01-01 18:10:06.123456']列，源：5cda1ce6f8d286bd84da716ceceda6a4 备：None</t>
  </si>
  <si>
    <t>src行 ['11', '100', '20000', '123456', '1000000', '', '', '', '', '-888888.22', '', '', '', '', '', '0.00000000000000000000000000000123457', '0.0000000000000000000123457', '203685477.5808', '', '0']列，源：520f196fb5a1032c71038622ce048cb8 备：None</t>
  </si>
  <si>
    <t>src行 ['11', '100', '0', '0', '0', '', '', '', '', '-888888.22', '', '', '', '', '', '0.00000000000000000000000000000123457', '0.0000000000000000000123457', '203685477.5808', '', '0']列，源：5d726b167082be220169152c3b2941c4 备：None</t>
  </si>
  <si>
    <t>tgt行 ['214', '2000-05-0123:59:59.993']列，源：None 备：ff2fb3039ecb1b5dcf0f58a1ab78953f</t>
  </si>
  <si>
    <t>src行 ['7', '9999-12-31 23:59:59.997000']列，源：fc86e0b233de911f2e86f554acaf2552 备：None</t>
  </si>
  <si>
    <t>tgt行 ['75', '9999-12-3123:59:59', '9999-12-3123:59:59.9', '9999-12-3123:59:59.99', '9999-12-3123:59:59.999', '9999-12-3123:59:59.9999', '9999-12-3123:59:59.99999', '9999-12-3123:59:59.999999', '9999-12-3123:59:59.9999999']列，源：None 备：e9a6babef9fe5eb462a4f6499141af63</t>
  </si>
  <si>
    <t>src行 ['105', '9999-12-31 23:59:59.000000', '9999-12-31 23:59:59.900000', '9999-12-31 23:59:59.990000', '9999-12-31 23:59:59.999000', '9999-12-31 23:59:59.999900', '9999-12-31 23:59:59.999990', '9999-12-31 23:59:59.999999', '9999-12-31 23:59:59.999999']列，源：ba122ce10ed938af5ac2ab34cb6d1860 备：None</t>
  </si>
  <si>
    <t>tgt行 ['77', '12:30:45', '12:30:45.1', '12:30:45.12', '12:30:45.123', '12:30:45.1230', '12:30:45.12300', '12:30:45.123000', '12:30:45.1230000']列，源：None 备：c0847cfd69812c54d25fdc7b2ef17d8d</t>
  </si>
  <si>
    <t>src行 ['15', '1900-01-01 18:10:06.000000', '1900-01-01 18:10:06.100000', '1900-01-01 18:10:06.120000', '1900-01-01 18:10:06.123000', '1900-01-01 18:10:06.123500', '1900-01-01 18:10:06.123460', '1900-01-01 18:10:06.123457', '1900-01-01 18:10:06.123456']列，源：1359a93e016ccd3e6e201744b84ea0bf 备：None</t>
  </si>
  <si>
    <t>src行 ['15', '1900-01-01 00:00:01.000000', '1900-01-01 05:44:11.100000', '1900-01-01 00:00:01.120000', '1900-01-01 05:44:11.123000', '1900-01-01 00:00:01.123500', '1900-01-01 05:44:11.123460', '1900-01-01 00:00:01.123457', '1900-01-01 05:44:11.123456']列，源：b3169abbf973df70431b01f002bb39da 备：None</t>
  </si>
  <si>
    <t>src行 ['12', '100', '', '123456', '1000000', '', '12345678901234567890123789010000000', '0.1234567890123459012345678901', '123456789012367012345678.1246', '-888888.22', '988', '987654321098765410987654321100000000', '0.9876543210987432109876543211', '987654321098765432105432.1099', '1234567012456.78', '0.00000000000000000000000000000123457', '0.0000000000000000000123457', '203685477.5808', '', '0']列，源：e7d9fa4a3c2d00b38766c1b6c85d6b90 备：None</t>
  </si>
  <si>
    <t>src行 ['10', '1996-03-03 23:59:59.997000']列，源：9d2781fa2114418d9115bcb9caa459e3 备：None</t>
  </si>
  <si>
    <t>tgt行 ['215', '2001-04-0923:59:59.993']列，源：None 备：3d9f42f3b7ccd07e7f0e0b21e3626631</t>
  </si>
  <si>
    <t>src行 ['8', '9999-12-31 23:59:59.997000']列，源：11db9d304b4d0eb8e446ec0f21b25b8e 备：None</t>
  </si>
  <si>
    <t>src行 ['8', '2020-02-29 19:27:31.123000']列，源：54e2407bd047fc9517da70d828dee717 备：None</t>
  </si>
  <si>
    <t>tgt行 ['76', '1945-05-1114:30:45', '1945-05-1114:30:45.1', '1945-05-1114:30:45.12', '1945-05-1114:30:45.123', '1945-05-1114:30:45.1235', '1945-05-1114:30:45.12346', '1945-05-1114:30:45.123457', '1945-05-1114:30:45.1234567']列，源：None 备：bab5065ca6f7099c8199a7c527e6cb04</t>
  </si>
  <si>
    <t>src行 ['106', '1945-05-11 14:30:45.000000', '1945-05-11 14:30:45.100000', '1945-05-11 14:30:45.120000', '1945-05-11 14:30:45.123000', '1945-05-11 14:30:45.123500', '1945-05-11 14:30:45.123460', '1945-05-11 14:30:45.123457', '1945-05-11 14:30:45.123456']列，源：eaf55d7b6ac51d59b7dcb895a377ba27 备：None</t>
  </si>
  <si>
    <t>tgt行 ['78', '12:30:45', '12:30:45.1', '12:30:45.12', '12:30:45.123', '12:30:45.1234', '12:30:45.12340', '12:30:45.123400', '12:30:45.1234000']列，源：None 备：9dc842d01dc9ad92172c4f14f1f765bf</t>
  </si>
  <si>
    <t>src行 ['16', '1900-01-01 18:10:06.000000', '1900-01-01 18:10:06.100000', '1900-01-01 18:10:06.120000', '1900-01-01 18:10:06.123000', '1900-01-01 18:10:06.123500', '1900-01-01 18:10:06.123460', '1900-01-01 18:10:06.123457', '1900-01-01 18:10:06.123456']列，源：d7903e71d3e5cf1c6328657c50720623 备：None</t>
  </si>
  <si>
    <t>src行 ['16', '1900-01-01 12:00:00.000000', '1900-01-01 05:44:11.100000', '1900-01-01 12:00:00.120000', '1900-01-01 05:44:11.123000', '1900-01-01 12:00:00.123500', '1900-01-01 05:44:11.123460', '1900-01-01 12:00:00.123457', '1900-01-01 05:44:11.123456']列，源：dfcd5f8d71cd4750847643de57c1902e 备：None</t>
  </si>
  <si>
    <t>src行 ['13', '100', '', '123456', '1000000', '', '-123456780123456781234589012300000', '-0.4567890123479234567890145679', '-123456789012347890345678.9874', '-888888.22', '-321', '-987654321096543210987654321100000000', '-0.1234569012345671234567890123', '-6543210976543287654321.098765', '-9876543210954.32', '0.00000000000000000000000000000123457', '0.0000000000000000000123457', '203685477.5808', '', '0']列，源：dab700a517a6d0f2e01c6c969a908184 备：None</t>
  </si>
  <si>
    <t>tgt行 ['216', '2002-06-1123:59:59.993']列，源：None 备：40bdb11483e59fce4ff542c0ca4a20e0</t>
  </si>
  <si>
    <t>src行 ['9', '9999-12-31 23:59:59.997000']列，源：f1d8aa51eeb167ff7f9d2bfe702ad156 备：None</t>
  </si>
  <si>
    <t>tgt行 ['77', '2065-05-1114:30:45', '2065-05-1114:30:45.1', '2065-05-1114:30:45.12', '2065-05-1114:30:45.123', '2065-05-1114:30:45.1235', '2065-05-1114:30:45.12346', '2065-05-1114:30:45.123457', '2065-05-1114:30:45.1234567']列，源：None 备：387fb1a8eb7f97cba0e8fbb0c1c78ee4</t>
  </si>
  <si>
    <t>src行 ['107', '2065-05-11 14:30:45.000000', '2065-05-11 14:30:45.100000', '2065-05-11 14:30:45.120000', '2065-05-11 14:30:45.123000', '2065-05-11 14:30:45.123500', '2065-05-11 14:30:45.123460', '2065-05-11 14:30:45.123457', '2065-05-11 14:30:45.123456']列，源：4ddff1a8d781abf33ab7f7595f376b5c 备：None</t>
  </si>
  <si>
    <t>tgt行 ['79', '12:30:45', '12:30:45.1', '12:30:45.12', '12:30:45.123', '12:30:45.1235', '12:30:45.12345', '12:30:45.123450', '12:30:45.1234500']列，源：None 备：055aba1e354c38ab5c82771e0a601059</t>
  </si>
  <si>
    <t>src行 ['14', '100', '', '123456', '1000000', '', '100000000000000000000000000000000', '1', '9999999999999999999999.999999', '-888888.22', '100000000000000', '999999999999999999999', '0.999999999999999999999999999', '999999999999999999999.999999', '9999999999.99', '0.00000000000000000000000000000123457', '0.0000000000000000000123457', '203685477.5808', '', '0']列，源：1afd02188b31e8ce8205374dfa2c5761 备：None</t>
  </si>
  <si>
    <t>tgt行 ['217', '2003-11-0423:59:59.990']列，源：None 备：d68ca6ec819a9f0bbadf1583eb47dda3</t>
  </si>
  <si>
    <t>src行 ['10', '9999-12-31 23:59:59.997000']列，源：4a2e11641cf827e262106554938d15dc 备：None</t>
  </si>
  <si>
    <t>src行 ['203', '2026-04-17 17:17:33.000000', '2026-04-17 17:17:33.400000', '2026-04-17 17:17:33.410000', '2026-04-17 17:17:33.413000', '2026-04-17 17:17:33.413300', '2026-04-17 17:17:33.413300', '2026-04-17 17:17:33.413301', '2026-04-17 17:17:33.413300']列，源：8872a9b28c33cccf3ffde1bd0de9fa50 备：None</t>
  </si>
  <si>
    <t>tgt行 ['77', '1970-01-01']列，源：None 备：c0c8c51c4ee845d5056f616d45c74a4a</t>
  </si>
  <si>
    <t>src行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'-922337203685477.5808', '-214748.3648', '0']列，源：b659add2ebfaba6e7419ac8f2a92f3a4 备：None</t>
  </si>
  <si>
    <t>src行 ['15', '100', '', '123456', '1000000', '', '1', '0.000000000000000000000000001', '0.000000001', '-888888.22', '0', '1', '0.000000000000000000000000000001', '0.000001', '0.01', '0.00000000000000000000000000000123457', '0.0000000000000000000123457', '203685477.5808', '', '0']列，源：a6f9483953ee2f038ee2d1691311705d 备：None</t>
  </si>
  <si>
    <t>tgt行 ['218', '2004-12-2423:59:59.990']列，源：None 备：067d732c947750193f41cd39fe638d9d</t>
  </si>
  <si>
    <t>src行 ['11', '9999-12-31 23:59:59.997000']列，源：e10a867d8a28429701cde92581bb114e 备：None</t>
  </si>
  <si>
    <t>src行 ['3', '2026-04-17 17:17:25.000000', '2026-04-17 17:17:24.600000', '2026-04-17 17:17:24.630000', '2026-04-17 17:17:24.631000', '2026-04-17 17:17:24.630600', '2026-04-17 17:17:24.630650', '2026-04-17 17:17:24.630647', '2026-04-17 17:17:24.630646']列，源：0fee1cd23063df6873affdfe8995c777 备：None</t>
  </si>
  <si>
    <t>src行 ['205', '9999-12-31 23:59:59.000000', '9999-12-31 23:59:59.900000', '9999-12-31 23:59:59.990000', '9999-12-31 23:59:59.999000', '9999-12-31 23:59:59.999900', '9999-12-31 23:59:59.999990', '9999-12-31 23:59:59.999999', '9999-12-31 23:59:59.999999']列，源：c0a6802375bcd96bdf7b05cf84e3ea92 备：None</t>
  </si>
  <si>
    <t>tgt行 ['78', '0001-01-02']列，源：None 备：2f4f02415cc45a763485cabd9879739c</t>
  </si>
  <si>
    <t>tgt行 ['80', '12:30:45', '12:30:45.1', '12:30:45.12', '12:30:45.123', '12:30:45.1235', '12:30:45.12346', '12:30:45.123456', '12:30:45.1234560']列，源：None 备：4a881de916dd032c1bb35fa20ff7f7f6</t>
  </si>
  <si>
    <t>src行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'922337203685477.5807', '214748.3647', '1']列，源：60746e8a8e2bda89d81aab0556b5dd41 备：None</t>
  </si>
  <si>
    <t>src行 ['16', '100', '', '123456', '1000000', '', '', '', '', '-888888.22', '', '', '', '', '', '0.00000000000000000000000000000123457', '0.0000000000000000000123457', '203685477.5808', '1234.5678', '0']列，源：ee0997d76aa4e16741c28b2b538b9a15 备：None</t>
  </si>
  <si>
    <t>src行 ['14', '2000-05-01 23:59:59.993000']列，源：4ea99b1445fad2f0335c0f11e5245cf0 备：None</t>
  </si>
  <si>
    <t>src行 ['16', '100', '0', '0', '0', '', '', '', '', '-888888.22', '', '', '', '', '', '0.00000000000000000000000000000123457', '0.0000000000000000000123457', '203685477.5808', '1234.5678', '0']列，源：4a00f4257a51d5c7ad60a417bf586cb5 备：None</t>
  </si>
  <si>
    <t>src行 ['12', '9999-12-31 23:59:59.997000']列，源：79418bdb4a5e4ebf90438862be3f5caf 备：None</t>
  </si>
  <si>
    <t>src行 ['207', '2065-05-11 14:30:45.000000', '2065-05-11 14:30:45.100000', '2065-05-11 14:30:45.120000', '2065-05-11 14:30:45.123000', '2065-05-11 14:30:45.123500', '2065-05-11 14:30:45.123460', '2065-05-11 14:30:45.123457', '2065-05-11 14:30:45.123456']列，源：8aac367bd006f34c35c9fe2f56fd7732 备：None</t>
  </si>
  <si>
    <t>tgt行 ['79', '9999-12-30']列，源：None 备：8e5bb8f61857cd4bdeee6dd5c8cca1c6</t>
  </si>
  <si>
    <t>src行 ['57', '1970-01-01 00:00:00.000000']列，源：ba7528fa949637991641c4bba45aad05 备：None</t>
  </si>
  <si>
    <t>tgt行 ['81', '12:30:45', '12:30:45.1', '12:30:45.12', '12:30:45.123', '12:30:45.1235', '12:30:45.12346', '12:30:45.123457', '12:30:45.1234567']列，源：None 备：734fc6b7ac56f665f100d884eed72f53</t>
  </si>
  <si>
    <t>src行 ['204', '', '', '', '', '', '', '', '', '', '', '', '', '', '', '0.000000000000000000000000000000000662607', '299792000', '-500000', '1234.5678', '1']列，源：d2b24ae22acb3cc5702d731a88ab619f 备：None</t>
  </si>
  <si>
    <t>src行 ['17', '100', '', '123456', '1000000', '', '', '', '', '-888888.22', '', '', '', '', '', '0.00000000000000000000000000000123457', '0.0000000000000000000123457', '203685477.5808', '-1234.5678', '0']列，源：565a326a4d8685f445a34c49bd545f6b 备：None</t>
  </si>
  <si>
    <t>src行 ['17', '100', '0', '0', '0', '', '', '', '', '-888888.22', '', '', '', '', '', '0.00000000000000000000000000000123457', '0.0000000000000000000123457', '203685477.5808', '-1234.5678', '0']列，源：ca7a099414cc02bf3af23ebfcdd30d19 备：None</t>
  </si>
  <si>
    <t>tgt行 ['220', '9999-12-3023:59:59.997']列，源：None 备：ba57d3940c98a0f0f997daf592355a89</t>
  </si>
  <si>
    <t>src行 ['13', '9999-12-31 23:59:59.997000']列，源：60b4953e59d36e4b5601aaaccf94eab9 备：None</t>
  </si>
  <si>
    <t>src行 ['58', '0001-01-02 00:00:00.000000']列，源：dec2cd6e659cfdc93615d7949b2115d5 备：None</t>
  </si>
  <si>
    <t>tgt行 ['82', '23:59:59', '23:59:59.1', '23:59:59.12', '23:59:59.123', '23:59:59.1235', '23:59:59.12346', '23:59:59.123457', '23:59:59.1234567']列，源：None 备：738e9bbec5c27bb843f42e5b46b956ad</t>
  </si>
  <si>
    <t>src行 ['216', '', '', '', '', '', '', '', '', '', '', '', '', '', '', '123457000000000000000000000000000000000', '340282000000000000000000000000000000000', '123456.789', '1234.5678', '1']列，源：16578542fc8053a2a897d45145e63138 备：None</t>
  </si>
  <si>
    <t>src行 ['18', '100', '', '123456', '1000000', '', '', '', '', '-888888.22', '', '', '', '', '', '0.00000000000000000000000000000123457', '0.0000000000000000000123457', '203685477.5808', '0.0001', '0']列，源：03efc3ca934f49df7145261ed2a249bc 备：None</t>
  </si>
  <si>
    <t>src行 ['18', '100', '0', '0', '0', '', '', '', '', '-888888.22', '', '', '', '', '', '0.00000000000000000000000000000123457', '0.0000000000000000000123457', '203685477.5808', '0.0001', '0']列，源：a43590481b15ac07058733231e6cc00a 备：None</t>
  </si>
  <si>
    <t>tgt行 ['221', '2023-05-1100:00:00.123']列，源：None 备：f627144b50b0f761ac5f3ce55975c352</t>
  </si>
  <si>
    <t>src行 ['14', '9999-12-31 23:59:59.997000']列，源：9d0213d252b672f55eee1cd8e0caf02f 备：None</t>
  </si>
  <si>
    <t>tgt行 ['80', '1990-05-11']列，源：None 备：2a42d0c385922c306caa18cf92514ad8</t>
  </si>
  <si>
    <t>src行 ['59', '9999-12-30 00:00:00.000000']列，源：94ae66b5047c69c1defd3c07a1e804d4 备：None</t>
  </si>
  <si>
    <t>tgt行 ['83', '', '00:00:01.1', '', '00:00:01.123', '', '00:00:01.12346', '', '00:00:01.1234567']列，源：None 备：ffeb47308ae9feb3ce018e03804c7e12</t>
  </si>
  <si>
    <t>tgt行 ['77', '2000-05-1114:30:00']列，源：None 备：4209d9e759c87e0f114fd6cc4309a1b1</t>
  </si>
  <si>
    <t>src行 ['217', '', '', '', '', '', '', '', '', '', '', '', '', '', '', '-123457000000000000000000000000000000000', '-340282000000000000000000000000000000000', '-123456.789', '-1234.5678', '0']列，源：712081c81422328db4091753822b3477 备：None</t>
  </si>
  <si>
    <t>src行 ['19', '100', '', '123456', '1000000', '', '', '', '', '-888888.22', '', '', '', '', '', '0.00000000000000000000000000000123457', '0.0000000000000000000123457', '203685477.5808', '214748.3647', '0']列，源：de0fdb01539d2d84e772fee0f1935683 备：None</t>
  </si>
  <si>
    <t>tgt行 ['356', '2020-02-2919:27:31.123']列，源：None 备：83354faf20fc5df7b995cf22d1d30d70</t>
  </si>
  <si>
    <t>src行 ['19', '100', '0', '0', '0', '99999', '', '', '', '-11111.34', '', '', '', '', '', '123.457', '0.0000000000000000000123457', '203685477.5808', '214748.3647', '1']列，源：3de60706a0e2720b102d064f1cd9d828 备：None</t>
  </si>
  <si>
    <t>tgt行 ['222', '2024-05-1112:00:00.567']列，源：None 备：396eb6a705d846b849ab95771d050fbc</t>
  </si>
  <si>
    <t>src行 ['15', '9999-12-31 23:59:59.997000']列，源：a95d5b601615c4fcf5a3c9caada8ba59 备：None</t>
  </si>
  <si>
    <t>tgt行 ['81', '2068-06-01']列，源：None 备：f6d4efe4582280ba0c520a70e98af770</t>
  </si>
  <si>
    <t>src行 ['60', '1990-05-11 00:00:00.000000']列，源：f666faa5ad3b3769a20cbd94f7ee280d 备：None</t>
  </si>
  <si>
    <t>tgt行 ['84', '', '12:00:00.1', '', '12:00:00.123', '', '12:00:00.12346', '', '12:00:00.1234567']列，源：None 备：a621a3afe87ab0e9950008000a09de6e</t>
  </si>
  <si>
    <t>tgt行 ['78', '2068-05-1114:31:00']列，源：None 备：7ae4386c9d063acd8775ae706b7e94fa</t>
  </si>
  <si>
    <t>src行 ['218', '', '', '', '', '', '', '', '', '', '', '', '', '', '', '0.0000000000000000000000000000000000000123457', '0.0000000000000000000000000000000000000117549', '0.0001', '0.0001', '1']列，源：1cede132e7100c1e37f5e91173e32a3b 备：None</t>
  </si>
  <si>
    <t>src行 ['27', '2000-05-11 14:30:00.000000']列，源：f6b19e12de25f318b6cee386fbe45bab 备：None</t>
  </si>
  <si>
    <t>src行 ['20', '100', '', '123456', '1000000', '', '', '', '', '-888888.22', '', '', '', '', '', '0.00000000000000000000000000000123457', '0.0000000000000000000123457', '203685477.5808', '-214748.3648', '0']列，源：3d4486d7e04e48479437164d96e02c4d 备：None</t>
  </si>
  <si>
    <t>tgt行 ['357', '2000-05-1114:30:29.000']列，源：None 备：6c3314e3c9e8d528cc117dfd32a6b4dc</t>
  </si>
  <si>
    <t>src行 ['20', '100', '0', '0', '0', '', '', '', '', '-888888.22', '', '', '', '', '', '0.00000000000000000000000000000123457', '0.0000000000000000000123457', '203685477.5808', '-214748.3648', '0']列，源：d293ea60c567d2c7e4437f2d62afa5e1 备：None</t>
  </si>
  <si>
    <t>tgt行 ['223', '2025-01-0100:00:00.233']列，源：None 备：1b8f2b1539b7ecdd6bab2434d4785073</t>
  </si>
  <si>
    <t>src行 ['16', '9999-12-31 23:59:59.997000']列，源：5e02c0e462dd1b90c565d1f2e858e28d 备：None</t>
  </si>
  <si>
    <t>src行 ['22', '1900-01-01 00:00:00.000000', '1900-01-01 00:00:00.000000', '1900-01-01 00:00:00.000000', '1900-01-01 00:00:00.000000', '1900-01-01 00:00:00.000000', '1900-01-01 00:00:00.000000', '1900-01-01 00:00:00.000000', '1900-01-01 00:00:00.000000']列，源：68d3f8b815b8674c93a63fe58509d6db 备：None</t>
  </si>
  <si>
    <t>src行 ['61', '2068-06-01 00:00:00.000000']列，源：8e1def76e0092e06287a5612b717cb05 备：None</t>
  </si>
  <si>
    <t>tgt行 ['85', '00:00:01', '', '00:00:01.12', '', '00:00:01.1235', '', '00:00:01.123457', '']列，源：None 备：689a3bbb5a0ff6b523b9a315d06ccf1e</t>
  </si>
  <si>
    <t>tgt行 ['79', '1981-05-1114:31:00']列，源：None 备：7aec17ed6d5f2a6aa4446bd59e2e9feb</t>
  </si>
  <si>
    <t>src行 ['219', '', '', '', '', '', '', '', '', '', '', '', '', '', '', '340282000000000000000000000000000000000', '340282000000000000000000000000000000000', '922337203685477.5807', '214748.3647', '1']列，源：3896ebb5b64e3fc9621c2fa9e6fcbf85 备：None</t>
  </si>
  <si>
    <t>src行 ['28', '2068-05-11 14:31:00.000000']列，源：646921f69f487fd81aa78b24f7216413 备：None</t>
  </si>
  <si>
    <t>src行 ['19', '1753-01-02 00:00:00.000000']列，源：4eaf79b292ab4aa86b2e7552577b81cc 备：None</t>
  </si>
  <si>
    <t>tgt行 ['364', '2000-05-0123:59:59.993']列，源：None 备：9b1e74cd6f7da919daeab0a2ba1f3620</t>
  </si>
  <si>
    <t>tgt行 ['224', '2040-12-2523:59:59.997']列，源：None 备：6555ef2c93bda65422099c744b5cef82</t>
  </si>
  <si>
    <t>src行 ['17', '9999-12-31 23:59:59.997000']列，源：09dfa9736344d422f2c51fad84f9f9dc 备：None</t>
  </si>
  <si>
    <t>src行 ['23', '2026-04-17 17:17:25.000000', '2026-04-17 17:17:24.600000', '2026-04-17 17:17:24.630000', '2026-04-17 17:17:24.631000', '2026-04-17 17:17:24.630600', '2026-04-17 17:17:24.630650', '2026-04-17 17:17:24.630647', '2026-04-17 17:17:24.630646']列，源：ae2abf206c41c1f3cbc00c93b579d8ba 备：None</t>
  </si>
  <si>
    <t>src行 ['102', '1900-01-01 00:00:00.000000']列，源：d21cbfd618353c52b0336c0cc8d0e601 备：None</t>
  </si>
  <si>
    <t>tgt行 ['86', '12:00:00', '', '12:00:00.12', '', '12:00:00.1235', '', '12:00:00.123457', '']列，源：None 备：01f899d02385069bca2256b8938f4add</t>
  </si>
  <si>
    <t>src行 ['220', '', '', '', '', '', '', '', '', '', '', '', '', '', '', '-340282000000000000000000000000000000000', '-340282000000000000000000000000000000000', '-922337203685477.5808', '-214748.3648', '0']列，源：a36578ea60417992ec65efa2126d2f60 备：None</t>
  </si>
  <si>
    <t>src行 ['29', '1981-05-11 14:31:00.000000']列，源：fcf6d843d74f7119955ca55a9ab7b22c 备：None</t>
  </si>
  <si>
    <t>src行 ['20', '9999-12-30 23:59:59.997000']列，源：7dc016722c05032aa452f378ff1485c1 备：None</t>
  </si>
  <si>
    <t>tgt行 ['365', '2001-04-0923:59:59.993']列，源：None 备：bc2f89fa19f43aacf7a5adf0edf30aa3</t>
  </si>
  <si>
    <t>src行 ['18', '9999-12-31 23:59:59.997000']列，源：33f47340b93d74ebe2978d52f3f4c4ad 备：None</t>
  </si>
  <si>
    <t>src行 ['24', '0001-01-01 00:00:00.000000', '0001-01-01 00:00:00.000000', '0001-01-01 00:00:00.000000', '0001-01-01 00:00:00.000000', '0001-01-01 00:00:00.000000', '0001-01-01 00:00:00.000000', '0001-01-01 00:00:00.000000', '0001-01-01 00:00:00.000000']列，源：1639ae06d1a469834b56f310741fe6ed 备：None</t>
  </si>
  <si>
    <t>src行 ['103', '0001-01-01 00:00:00.000000']列，源：fd6f5470c05c1ba2e191e277f6feb0f7 备：None</t>
  </si>
  <si>
    <t>src行 ['57', '1900-01-01 12:30:45.000000', '1900-01-01 12:30:45.100000', '1900-01-01 12:30:45.120000', '1900-01-01 12:30:45.123000', '1900-01-01 12:30:45.123000', '1900-01-01 12:30:45.123000', '1900-01-01 12:30:45.123000', '1900-01-01 12:30:45.123000']列，源：5575776021e0382fab561c856fb97bd3 备：None</t>
  </si>
  <si>
    <t>tgt行 ['80', '2079-06-0523:59:00']列，源：None 备：065d1512134cc61e47f2cdb66549bb83</t>
  </si>
  <si>
    <t>src行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'-922337203685477.5808', '-214748.3648', '0']列，源：c61af52dee95f728dfae741dedd7a008 备：None</t>
  </si>
  <si>
    <t>src行 ['30', '2079-06-05 23:59:00.000000']列，源：4742c57820358c616b9e122c60901173 备：None</t>
  </si>
  <si>
    <t>tgt行 ['366', '2002-06-1123:59:59.993']列，源：None 备：88826a40455d62c672e7bcd37519c597</t>
  </si>
  <si>
    <t>src行 ['19', '9999-12-31 23:59:59.997000']列，源：6661a9f027de5499f45610586364a6b0 备：None</t>
  </si>
  <si>
    <t>src行 ['25', '9999-12-31 23:59:59.000000', '9999-12-31 23:59:59.900000', '9999-12-31 23:59:59.990000', '9999-12-31 23:59:59.999000', '9999-12-31 23:59:59.999900', '9999-12-31 23:59:59.999990', '9999-12-31 23:59:59.999999', '9999-12-31 23:59:59.999999']列，源：2b3425ef9ea92fc22ae7b1f12b4a15ff 备：None</t>
  </si>
  <si>
    <t>src行 ['106', '2020-02-29 00:00:00.000000']列，源：59c5d97337e129a57213b8de607f0d90 备：None</t>
  </si>
  <si>
    <t>src行 ['58', '1900-01-01 12:30:45.000000', '1900-01-01 12:30:45.100000', '1900-01-01 12:30:45.120000', '1900-01-01 12:30:45.123000', '1900-01-01 12:30:45.123400', '1900-01-01 12:30:45.123400', '1900-01-01 12:30:45.123400', '1900-01-01 12:30:45.123400']列，源：fd72c1e68e0cfa3d1b869110dedb496d 备：None</t>
  </si>
  <si>
    <t>tgt行 ['81', '1900-01-0200:00:00']列，源：None 备：b845ad89d8da5a3caa2b225d93730392</t>
  </si>
  <si>
    <t>src行 ['717', '', '', '', '', '', '', '', '', '', '', '', '', '', '', '-123457000000000000000000000000000000000', '-340282000000000000000000000000000000000', '-123456.789', '-1234.5678', '0']列，源：20a4dad25bce02687e7a14dbbe561977 备：None</t>
  </si>
  <si>
    <t>src行 ['31', '1900-01-02 00:00:00.000000']列，源：e9793dc036b981377f92fb568059922c 备：None</t>
  </si>
  <si>
    <t>tgt行 ['367', '2003-11-0423:59:59.990']列，源：None 备：60fc41aea4e6182d1e6deeb0149f26e2</t>
  </si>
  <si>
    <t>src行 ['20', '9999-12-31 23:59:59.997000']列，源：f1eb7ebb2ea06ce0057bdc86f9f6e285 备：None</t>
  </si>
  <si>
    <t>src行 ['20', '2020-02-29 19:27:31.123000']列，源：67010b54045dedf71c9a762ead5ff3da 备：None</t>
  </si>
  <si>
    <t>src行 ['26', '1945-05-11 14:30:45.000000', '1945-05-11 14:30:45.100000', '1945-05-11 14:30:45.120000', '1945-05-11 14:30:45.123000', '1945-05-11 14:30:45.123500', '1945-05-11 14:30:45.123460', '1945-05-11 14:30:45.123457', '1945-05-11 14:30:45.123456']列，源：654697b3c5422be1f4e9c56a0411c97d 备：None</t>
  </si>
  <si>
    <t>src行 ['107', '1970-01-01 00:00:00.000000']列，源：71033629c19648cabbf5b4218585bb7a 备：None</t>
  </si>
  <si>
    <t>src行 ['59', '1900-01-01 12:30:45.000000', '1900-01-01 12:30:45.100000', '1900-01-01 12:30:45.120000', '1900-01-01 12:30:45.123000', '1900-01-01 12:30:45.123500', '1900-01-01 12:30:45.123450', '1900-01-01 12:30:45.123450', '1900-01-01 12:30:45.123450']列，源：1cac37287cb2d0719b664425b058e315 备：None</t>
  </si>
  <si>
    <t>tgt行 ['82', '1990-11-2600:01:00']列，源：None 备：a812f6b667b1b616227bbfa65d90b0f9</t>
  </si>
  <si>
    <t>src行 ['720', '', '', '', '', '', '', '', '', '', '', '', '', '', '', '-340282000000000000000000000000000000000', '-340282000000000000000000000000000000000', '-922337203685477.5808', '-214748.3648', '0']列，源：0891164a8ac2cd1855256dda95d23819 备：None</t>
  </si>
  <si>
    <t>src行 ['32', '1990-11-26 00:01:00.000000']列，源：6ff52bd269525fd55d2753b7ff911403 备：None</t>
  </si>
  <si>
    <t>tgt行 ['368', '2004-12-2423:59:59.990']列，源：None 备：8e86394f13d5d80812c164feca758bda</t>
  </si>
  <si>
    <t>src行 ['21', '9999-12-31 23:59:59.997000']列，源：ed839c28c7212ff0ef047800121e7a89 备：None</t>
  </si>
  <si>
    <t>src行 ['21', '2020-02-29 19:27:31.123000']列，源：25aec866ccdb312f623655b49d86027e 备：None</t>
  </si>
  <si>
    <t>src行 ['27', '2065-05-11 14:30:45.000000', '2065-05-11 14:30:45.100000', '2065-05-11 14:30:45.120000', '2065-05-11 14:30:45.123000', '2065-05-11 14:30:45.123500', '2065-05-11 14:30:45.123460', '2065-05-11 14:30:45.123457', '2065-05-11 14:30:45.123456']列，源：963fc66e04a721cc51940fe4b9a9f038 备：None</t>
  </si>
  <si>
    <t>src行 ['108', '0001-01-02 00:00:00.000000']列，源：70e65639db3fc10e62be8dfdeb257698 备：None</t>
  </si>
  <si>
    <t>src行 ['60', '1900-01-01 12:30:45.000000', '1900-01-01 12:30:45.100000', '1900-01-01 12:30:45.120000', '1900-01-01 12:30:45.123000', '1900-01-01 12:30:45.123500', '1900-01-01 12:30:45.123460', '1900-01-01 12:30:45.123456', '1900-01-01 12:30:45.123456']列，源：14cbdb0825716cb784cb1bfed40ffef1 备：None</t>
  </si>
  <si>
    <t>tgt行 ['83', '2025-05-1112:00:00']列，源：None 备：262126afae49d6b29d83fec728a091cb</t>
  </si>
  <si>
    <t>src行 ['33', '2025-05-11 12:00:00.000000']列，源：6908b29372459207a78e3c856395842f 备：None</t>
  </si>
  <si>
    <t>src行 ['24', '2040-12-25 23:59:59.997000']列，源：de5f0af9b8255bf677475fb32c02c69c 备：None</t>
  </si>
  <si>
    <t>tgt行 ['371', '2023-05-1100:00:00.123']列，源：None 备：497fc6571d589615df85f8d3e6e2cd3f</t>
  </si>
  <si>
    <t>src行 ['22', '9999-12-31 23:59:59.997000']列，源：acb5aa8c97052fee6076ef6975960ffc 备：None</t>
  </si>
  <si>
    <t>src行 ['22', '2020-02-29 19:27:31.123000']列，源：59596797308862eab7930df72c54dac1 备：None</t>
  </si>
  <si>
    <t>src行 ['74', '0001-01-01 00:00:00.000000', '0001-01-01 00:00:00.000000', '0001-01-01 00:00:00.000000', '0001-01-01 00:00:00.000000', '0001-01-01 00:00:00.000000', '0001-01-01 00:00:00.000000', '0001-01-01 00:00:00.000000', '0001-01-01 00:00:00.000000']列，源：fcea14494756718c1173eb10fd3387ed 备：None</t>
  </si>
  <si>
    <t>src行 ['110', '1990-05-11 00:00:00.000000']列，源：075dfe8903d7412c6b1e637430309787 备：None</t>
  </si>
  <si>
    <t>src行 ['61', '1900-01-01 12:30:45.000000', '1900-01-01 12:30:45.100000', '1900-01-01 12:30:45.120000', '1900-01-01 12:30:45.123000', '1900-01-01 12:30:45.123500', '1900-01-01 12:30:45.123460', '1900-01-01 12:30:45.123457', '1900-01-01 12:30:45.123456']列，源：fec2a9ab700ca5431589ed659e9a74ac 备：None</t>
  </si>
  <si>
    <t>tgt行 ['84', '2023-12-2523:59:00']列，源：None 备：fa5ae4c67600cde7109876496c54ad68</t>
  </si>
  <si>
    <t>src行 ['34', '2023-12-25 23:59:00.000000']列，源：2889f796f465ad4be0d9af6624633b52 备：None</t>
  </si>
  <si>
    <t>tgt行 ['372', '2024-05-1112:00:00.567']列，源：None 备：d7a62b95c2a0a21e858893688964ecf2</t>
  </si>
  <si>
    <t>src行 ['23', '9999-12-31 23:59:59.997000']列，源：b20b0590ba0552b0677fe9c8c945eb9e 备：None</t>
  </si>
  <si>
    <t>src行 ['23', '2020-02-29 19:27:31.123000']列，源：c16c04a3a59593bc69120b21a8f54ce8 备：None</t>
  </si>
  <si>
    <t>src行 ['75', '9999-12-31 23:59:59.000000', '9999-12-31 23:59:59.900000', '9999-12-31 23:59:59.990000', '9999-12-31 23:59:59.999000', '9999-12-31 23:59:59.999900', '9999-12-31 23:59:59.999990', '9999-12-31 23:59:59.999999', '9999-12-31 23:59:59.999999']列，源：2dd62143a90bccdb356ee2c99f0c142a 备：None</t>
  </si>
  <si>
    <t>src行 ['204', '9999-12-31 00:00:00.000000']列，源：785c3bb7fcb46c2365f1b74f6243ad3b 备：None</t>
  </si>
  <si>
    <t>src行 ['62', '1900-01-01 23:59:59.000000', '1900-01-01 23:59:59.100000', '1900-01-01 23:59:59.120000', '1900-01-01 23:59:59.123000', '1900-01-01 23:59:59.123500', '1900-01-01 23:59:59.123460', '1900-01-01 23:59:59.123457', '1900-01-01 23:59:59.123456']列，源：480d07488f25fa682ecf8db20e95b72b 备：None</t>
  </si>
  <si>
    <t>src行 ['57', '2000-05-11 14:30:00.000000']列，源：a1681931c25c80ac23bf61735e747909 备：None</t>
  </si>
  <si>
    <t>tgt行 ['373', '2025-01-0100:00:00.233']列，源：None 备：e0332a9f4482e7e8b0ef62df262f2a76</t>
  </si>
  <si>
    <t>src行 ['24', '9999-12-31 23:59:59.997000']列，源：c5f59da913da2bb66b6e4e4a506beb64 备：None</t>
  </si>
  <si>
    <t>src行 ['24', '2020-02-29 19:27:31.123000']列，源：72236c221b40e09b7330363cf0bff678 备：None</t>
  </si>
  <si>
    <t>src行 ['76', '1945-05-11 14:30:45.000000', '1945-05-11 14:30:45.100000', '1945-05-11 14:30:45.120000', '1945-05-11 14:30:45.123000', '1945-05-11 14:30:45.123500', '1945-05-11 14:30:45.123460', '1945-05-11 14:30:45.123457', '1945-05-11 14:30:45.123456']列，源：9436684132e0f8014a8145f8e08f25aa 备：None</t>
  </si>
  <si>
    <t>src行 ['205', '2026-04-17 00:00:00.000000']列，源：17567747091bd80b4a98e5ae4efd845d 备：None</t>
  </si>
  <si>
    <t>src行 ['63', '', '1900-01-01 00:00:01.100000', '', '1900-01-01 00:00:01.123000', '', '1900-01-01 00:00:01.123460', '', '1900-01-01 00:00:01.123456']列，源：facd6d0b9ddb7c5aa6a024fc691e2152 备：None</t>
  </si>
  <si>
    <t>src行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'-340000000000000000000000000000000000000', '-922337203685477.5808', '-214748.3648', '0']列，源：d6a2dfe5baa8f734a830f688232a67fc 备：None</t>
  </si>
  <si>
    <t>src行 ['58', '2068-05-11 14:31:00.000000']列，源：9e1eb5c039b28fd16c29f0e0a3018407 备：None</t>
  </si>
  <si>
    <t>src行 ['77', '2065-05-11 14:30:45.000000', '2065-05-11 14:30:45.100000', '2065-05-11 14:30:45.120000', '2065-05-11 14:30:45.123000', '2065-05-11 14:30:45.123500', '2065-05-11 14:30:45.123460', '2065-05-11 14:30:45.123457', '2065-05-11 14:30:45.123456']列，源：f78d7e4e8b4850fab4befd94dc0e725e 备：None</t>
  </si>
  <si>
    <t>src行 ['209', '9999-12-30 00:00:00.000000']列，源：4d92068db276b37187ae8bbb2c698b85 备：None</t>
  </si>
  <si>
    <t>src行 ['64', '', '1900-01-01 12:00:00.100000', '', '1900-01-01 12:00:00.123000', '', '1900-01-01 12:00:00.123460', '', '1900-01-01 12:00:00.123456']列，源：ce2d1bbd3182aae01d96c0c19f7d3ce1 备：None</t>
  </si>
  <si>
    <t>src行 ['917', '', '', '', '', '', '', '', '', '', '', '', '', '', '', '-123457000000000000000000000000000000000', '-340282000000000000000000000000000000000', '-123456.789', '-1234.5678', '0']列，源：5b14415bc01fccc99ece07c71dcf912e 备：None</t>
  </si>
  <si>
    <t>src行 ['60', '2079-06-05 23:59:00.000000']列，源：c279eaf9fed81d60c56700543d466eb8 备：None</t>
  </si>
  <si>
    <t>tgt行 ['5', '2026-04-1717:16:25.287']列，源：None 备：c4fb2a1a67785a85926dc95d8a23fceb</t>
  </si>
  <si>
    <t>src行 ['123', '2026-04-17 17:17:25.000000', '2026-04-17 17:17:24.600000', '2026-04-17 17:17:24.630000', '2026-04-17 17:17:24.631000', '2026-04-17 17:17:24.630600', '2026-04-17 17:17:24.630650', '2026-04-17 17:17:24.630647', '2026-04-17 17:17:24.630646']列，源：af9fa79fac711815562ee46d4018a1ca 备：None</t>
  </si>
  <si>
    <t>src行 ['211', '2068-06-01 00:00:00.000000']列，源：50b8114729dd16d8742699fc6c37bd4a 备：None</t>
  </si>
  <si>
    <t>src行 ['65', '1900-01-01 00:00:01.000000', '', '1900-01-01 00:00:01.120000', '', '1900-01-01 00:00:01.123500', '', '1900-01-01 00:00:01.123457', '']列，源：63eb8ee4b36512e460dfb40a2fedae2e 备：None</t>
  </si>
  <si>
    <t>src行 ['920', '', '', '', '', '', '', '', '', '', '', '', '', '', '', '-340282000000000000000000000000000000000', '-340282000000000000000000000000000000000', '-922337203685477.5808', '-214748.3648', '0']列，源：919280ab4a627a586a01bcd9672ae9a5 备：None</t>
  </si>
  <si>
    <t>src行 ['63', '2025-05-11 12:00:00.000000']列，源：fabdfad58ab37feeed47f18dc3f5022a 备：None</t>
  </si>
  <si>
    <t>tgt行 ['52', '1900-01-0100:00:00.000']列，源：None 备：8d744d84efc3e5347ec3aa1ee33650bd</t>
  </si>
  <si>
    <t>src行 ['125', '9999-12-31 23:59:59.000000', '9999-12-31 23:59:59.900000', '9999-12-31 23:59:59.990000', '9999-12-31 23:59:59.999000', '9999-12-31 23:59:59.999900', '9999-12-31 23:59:59.999990', '9999-12-31 23:59:59.999999', '9999-12-31 23:59:59.999999']列，源：e9db4a60ffe6f37954933441200cf651 备：None</t>
  </si>
  <si>
    <t>src行 ['22', '1900-01-01 00:00:00.000000']列，源：1e0db39686bff31c101ef35645cdf99f 备：None</t>
  </si>
  <si>
    <t>src行 ['66', '1900-01-01 12:00:00.000000', '', '1900-01-01 12:00:00.120000', '', '1900-01-01 12:00:00.123500', '', '1900-01-01 12:00:00.123457', '']列，源：b701b44a9c15bac81618f0252332c5d8 备：None</t>
  </si>
  <si>
    <t>src行 ['64', '2023-12-25 23:59:00.000000']列，源：0cf16fc0624a60802015dc3756b2998e 备：None</t>
  </si>
  <si>
    <t>tgt行 ['53', '1753-01-0100:00:00.000']列，源：None 备：e919e390b320d77b95cc1081707c168c</t>
  </si>
  <si>
    <t>src行 ['126', '1945-05-11 14:30:45.000000', '1945-05-11 14:30:45.100000', '1945-05-11 14:30:45.120000', '1945-05-11 14:30:45.123000', '1945-05-11 14:30:45.123500', '1945-05-11 14:30:45.123460', '1945-05-11 14:30:45.123457', '1945-05-11 14:30:45.123456']列，源：83f6805f45d815716b265d0d32b515f4 备：None</t>
  </si>
  <si>
    <t>src行 ['23', '0001-01-01 00:00:00.000000']列，源：ccdc5fd2d7268c44868d4ef3a0ce6ba9 备：None</t>
  </si>
  <si>
    <t>src行 ['109', '1900-01-01 12:30:45.000000', '1900-01-01 12:30:45.100000', '1900-01-01 12:30:45.120000', '1900-01-01 12:30:45.123000', '1900-01-01 12:30:45.123500', '1900-01-01 12:30:45.123450', '1900-01-01 12:30:45.123450', '1900-01-01 12:30:45.123450']列，源：8b15eb1684b07c4fe55199bde9a4ba2a 备：None</t>
  </si>
  <si>
    <t>tgt行 ['54', '9999-12-3123:59:59.997']列，源：None 备：091cea1b7b0b534d1d0f39c44e676846</t>
  </si>
  <si>
    <t>src行 ['127', '2065-05-11 14:30:45.000000', '2065-05-11 14:30:45.100000', '2065-05-11 14:30:45.120000', '2065-05-11 14:30:45.123000', '2065-05-11 14:30:45.123500', '2065-05-11 14:30:45.123460', '2065-05-11 14:30:45.123457', '2065-05-11 14:30:45.123456']列，源：e83968e642217ab459eb43c6f0753705 备：None</t>
  </si>
  <si>
    <t>src行 ['24', '9999-12-31 00:00:00.000000']列，源：99a01bca5ba60f03ac5160bd1c2efee1 备：None</t>
  </si>
  <si>
    <t>tgt行 ['55', '2026-04-1717:16:25.287']列，源：None 备：634ce582868d7baaabce12f6796a1640</t>
  </si>
  <si>
    <t>src行 ['175', '9999-12-31 23:59:59.000000', '9999-12-31 23:59:59.900000', '9999-12-31 23:59:59.990000', '9999-12-31 23:59:59.999000', '9999-12-31 23:59:59.999900', '9999-12-31 23:59:59.999990', '9999-12-31 23:59:59.999999', '9999-12-31 23:59:59.999999']列，源：b066c0d855b2879455a240ff97787d24 备：None</t>
  </si>
  <si>
    <t>src行 ['25', '2026-04-17 00:00:00.000000']列，源：2c23c989c3d6b30850a4bca5cafa9754 备：None</t>
  </si>
  <si>
    <t>tgt行 ['56', '2020-02-2919:27:31.123']列，源：None 备：c145bda98c365a30620a9934b36cb91d</t>
  </si>
  <si>
    <t>src行 ['176', '1945-05-11 14:30:45.000000', '1945-05-11 14:30:45.100000', '1945-05-11 14:30:45.120000', '1945-05-11 14:30:45.123000', '1945-05-11 14:30:45.123500', '1945-05-11 14:30:45.123460', '1945-05-11 14:30:45.123457', '1945-05-11 14:30:45.123456']列，源：4f5479b5178da85b487aba2112edad12 备：None</t>
  </si>
  <si>
    <t>src行 ['26', '2020-02-29 00:00:00.000000']列，源：9d0363cf0713a5d0d9f5128c794c47dd 备：None</t>
  </si>
  <si>
    <t>tgt行 ['57', '2000-05-1114:30:29.000']列，源：None 备：dfcee21f95a6df8e74fcd46aee280a11</t>
  </si>
  <si>
    <t>src行 ['177', '2065-05-11 14:30:45.000000', '2065-05-11 14:30:45.100000', '2065-05-11 14:30:45.120000', '2065-05-11 14:30:45.123000', '2065-05-11 14:30:45.123500', '2065-05-11 14:30:45.123460', '2065-05-11 14:30:45.123457', '2065-05-11 14:30:45.123456']列，源：c4f0149c7d50a4d6a3149617af224fd9 备：None</t>
  </si>
  <si>
    <t>src行 ['27', '1970-01-01 00:00:00.000000']列，源：5f74f30e091b465dc47e6c79e5817496 备：None</t>
  </si>
  <si>
    <t>tgt行 ['58', '2068-05-1114:30:30.000']列，源：None 备：41f4634828bfa9355f896e03092c9d54</t>
  </si>
  <si>
    <t>src行 ['223', '2026-04-17 17:17:25.000000', '2026-04-17 17:17:24.600000', '2026-04-17 17:17:24.630000', '2026-04-17 17:17:24.631000', '2026-04-17 17:17:24.630600', '2026-04-17 17:17:24.630650', '2026-04-17 17:17:24.630647', '2026-04-17 17:17:24.630646']列，源：e8b62f51dd96e8bb3c5a84f61bbe17ec 备：None</t>
  </si>
  <si>
    <t>src行 ['28', '0001-01-02 00:00:00.000000']列，源：693b9953e15be73f8de6e3f96c7d4e1d 备：None</t>
  </si>
  <si>
    <t>tgt行 ['59', '1981-05-1114:30:59.000']列，源：None 备：d4ac00d71f6bd7188d7823a5619623d3</t>
  </si>
  <si>
    <t>src行 ['225', '9999-12-31 23:59:59.000000', '9999-12-31 23:59:59.900000', '9999-12-31 23:59:59.990000', '9999-12-31 23:59:59.999000', '9999-12-31 23:59:59.999900', '9999-12-31 23:59:59.999990', '9999-12-31 23:59:59.999999', '9999-12-31 23:59:59.999999']列，源：d495a406b9ffa511e602d766540df3c8 备：None</t>
  </si>
  <si>
    <t>src行 ['29', '9999-12-30 00:00:00.000000']列，源：a4eaba7a5b156e0b16318606e000cc3e 备：None</t>
  </si>
  <si>
    <t>src行 ['227', '2065-05-11 14:30:45.000000', '2065-05-11 14:30:45.100000', '2065-05-11 14:30:45.120000', '2065-05-11 14:30:45.123000', '2065-05-11 14:30:45.123500', '2065-05-11 14:30:45.123460', '2065-05-11 14:30:45.123457', '2065-05-11 14:30:45.123456']列，源：d567772c33b7eabe7a43115e6c1882d4 备：None</t>
  </si>
  <si>
    <t>src行 ['30', '1990-05-11 00:00:00.000000']列，源：bc65dfa5c5a2e1b15fb85cd9577475b2 备：None</t>
  </si>
  <si>
    <t>src行 ['23', '1900-01-01 23:59:59.000000', '1900-01-01 23:59:59.900000', '1900-01-01 23:59:59.990000', '1900-01-01 23:59:59.999000', '1900-01-01 23:59:59.999900', '1900-01-01 23:59:59.999990', '1900-01-01 23:59:59.999999', '1900-01-01 23:59:59.999999']列，源：cef6bed8720c73bc4bd892b3c04921bc 备：None</t>
  </si>
  <si>
    <t>tgt行 ['60', '1996-03-0323:59:59.997']列，源：None 备：51b5996b8403dc3299d7118edf69696f</t>
  </si>
  <si>
    <t>src行 ['275', '9999-12-31 23:59:59.000000', '9999-12-31 23:59:59.900000', '9999-12-31 23:59:59.990000', '9999-12-31 23:59:59.999000', '9999-12-31 23:59:59.999900', '9999-12-31 23:59:59.999990', '9999-12-31 23:59:59.999999', '9999-12-31 23:59:59.999999']列，源：7a172c24e761ff651bef9b4f7206df0b 备：None</t>
  </si>
  <si>
    <t>src行 ['31', '2068-06-01 00:00:00.000000']列，源：f0ac84d56b1b00934b6af508948587f7 备：None</t>
  </si>
  <si>
    <t>src行 ['24', '1900-01-01 12:30:45.000000', '1900-01-01 12:30:45.000000', '1900-01-01 12:30:45.000000', '1900-01-01 12:30:45.000000', '1900-01-01 12:30:45.000000', '1900-01-01 12:30:45.000000', '1900-01-01 12:30:45.000000', '1900-01-01 12:30:45.000000']列，源：32d5673fb91966ad3f22a4ac413adf0a 备：None</t>
  </si>
  <si>
    <t>tgt行 ['61', '1997-04-0423:59:59.997']列，源：None 备：21fb43d71d47abbbfef3d808c015b35f</t>
  </si>
  <si>
    <t>src行 ['277', '2065-05-11 14:30:45.000000', '2065-05-11 14:30:45.100000', '2065-05-11 14:30:45.120000', '2065-05-11 14:30:45.123000', '2065-05-11 14:30:45.123500', '2065-05-11 14:30:45.123460', '2065-05-11 14:30:45.123457', '2065-05-11 14:30:45.123456']列，源：46473fd2ffea5c2abe620e0320e1a137 备：None</t>
  </si>
  <si>
    <t>src行 ['77', '1970-01-01 00:00:00.000000']列，源：e185b109d81feb76d6a30d6982c8f2af 备：None</t>
  </si>
  <si>
    <t>src行 ['25', '1900-01-01 12:30:45.000000', '1900-01-01 12:30:45.100000', '1900-01-01 12:30:45.100000', '1900-01-01 12:30:45.100000', '1900-01-01 12:30:45.100000', '1900-01-01 12:30:45.100000', '1900-01-01 12:30:45.100000', '1900-01-01 12:30:45.100000']列，源：035c46a7e7981ebcf47e4e083f570253 备：None</t>
  </si>
  <si>
    <t>tgt行 ['62', '1998-05-0523:59:59.997']列，源：None 备：a1ff3ab17bb9834315bd42fa433ec2e1</t>
  </si>
  <si>
    <t>src行 ['323', '2026-04-17 17:17:25.000000', '2026-04-17 17:17:24.600000', '2026-04-17 17:17:24.630000', '2026-04-17 17:17:24.631000', '2026-04-17 17:17:24.630600', '2026-04-17 17:17:24.630650', '2026-04-17 17:17:24.630647', '2026-04-17 17:17:24.630646']列，源：6dedb15aec1757cab3fd4d8cca7aabf1 备：None</t>
  </si>
  <si>
    <t>src行 ['78', '0001-01-02 00:00:00.000000']列，源：5c8194a4f90e8927e231b571e6d1b4c9 备：None</t>
  </si>
  <si>
    <t>src行 ['26', '1900-01-01 12:30:45.000000', '1900-01-01 12:30:45.100000', '1900-01-01 12:30:45.120000', '1900-01-01 12:30:45.120000', '1900-01-01 12:30:45.120000', '1900-01-01 12:30:45.120000', '1900-01-01 12:30:45.120000', '1900-01-01 12:30:45.120000']列，源：b5f55146f4f81eb9d2577f009d9fdcb2 备：None</t>
  </si>
  <si>
    <t>src行 ['23', '1900-01-01 00:00:00.000000']列，源：e01d9d07349282f94db357cc655f597d 备：None</t>
  </si>
  <si>
    <t>tgt行 ['63', '1999-06-0623:59:59.997']列，源：None 备：d8a9d12c0e0d36a7086f2ac2e4a96d7c</t>
  </si>
  <si>
    <t>src行 ['325', '9999-12-31 23:59:59.000000', '9999-12-31 23:59:59.900000', '9999-12-31 23:59:59.990000', '9999-12-31 23:59:59.999000', '9999-12-31 23:59:59.999900', '9999-12-31 23:59:59.999990', '9999-12-31 23:59:59.999999', '9999-12-31 23:59:59.999999']列，源：67fc5470e74ae903330fb50ec3ba4931 备：None</t>
  </si>
  <si>
    <t>src行 ['79', '9999-12-30 00:00:00.000000']列，源：1ce8a6eb3d690cbb8321871ef629d390 备：None</t>
  </si>
  <si>
    <t>src行 ['27', '1900-01-01 12:30:45.000000', '1900-01-01 12:30:45.100000', '1900-01-01 12:30:45.120000', '1900-01-01 12:30:45.123000', '1900-01-01 12:30:45.123000', '1900-01-01 12:30:45.123000', '1900-01-01 12:30:45.123000', '1900-01-01 12:30:45.123000']列，源：aca079d7d9917d1a94f90dfb2f8a7788 备：None</t>
  </si>
  <si>
    <t>src行 ['24', '2079-06-06 23:59:00.000000']列，源：aa4b9f4286e537c5c03d03835f8d14ba 备：None</t>
  </si>
  <si>
    <t>tgt行 ['64', '2000-05-0123:59:59.993']列，源：None 备：8a9e75248249a13b188a4f181c48ccb1</t>
  </si>
  <si>
    <t>src行 ['327', '2065-05-11 14:30:45.000000', '2065-05-11 14:30:45.100000', '2065-05-11 14:30:45.120000', '2065-05-11 14:30:45.123000', '2065-05-11 14:30:45.123500', '2065-05-11 14:30:45.123460', '2065-05-11 14:30:45.123457', '2065-05-11 14:30:45.123456']列，源：b25e4727a2f54e0070a747f95a82bf5d 备：None</t>
  </si>
  <si>
    <t>src行 ['80', '1990-05-11 00:00:00.000000']列，源：55ef5be4130b0c091c5234350226a8fe 备：None</t>
  </si>
  <si>
    <t>src行 ['28', '1900-01-01 12:30:45.000000', '1900-01-01 12:30:45.100000', '1900-01-01 12:30:45.120000', '1900-01-01 12:30:45.123000', '1900-01-01 12:30:45.123400', '1900-01-01 12:30:45.123400', '1900-01-01 12:30:45.123400', '1900-01-01 12:30:45.123400']列，源：57f2687ee815eeaa3260bca8c9cef4cb 备：None</t>
  </si>
  <si>
    <t>src行 ['25', '2026-04-17 17:15:00.000000']列，源：c13e1a68dcaa0931978e2d7fb0b43f27 备：None</t>
  </si>
  <si>
    <t>tgt行 ['65', '2001-04-0923:59:59.993']列，源：None 备：533ccab026eccea05122aa4054a8021a</t>
  </si>
  <si>
    <t>src行 ['375', '9999-12-31 23:59:59.000000', '9999-12-31 23:59:59.900000', '9999-12-31 23:59:59.990000', '9999-12-31 23:59:59.999000', '9999-12-31 23:59:59.999900', '9999-12-31 23:59:59.999990', '9999-12-31 23:59:59.999999', '9999-12-31 23:59:59.999999']列，源：681bcc794b3194f8074b03324bf195e4 备：None</t>
  </si>
  <si>
    <t>src行 ['81', '2068-06-01 00:00:00.000000']列，源：167228c0342221a3c5fd9711f5e72f61 备：None</t>
  </si>
  <si>
    <t>src行 ['29', '1900-01-01 12:30:45.000000', '1900-01-01 12:30:45.100000', '1900-01-01 12:30:45.120000', '1900-01-01 12:30:45.123000', '1900-01-01 12:30:45.123500', '1900-01-01 12:30:45.123450', '1900-01-01 12:30:45.123450', '1900-01-01 12:30:45.123450']列，源：42f6ba8956011c4052c6e6c3ac250846 备：None</t>
  </si>
  <si>
    <t>src行 ['26', '2020-03-01 00:00:00.000000']列，源：8508176be6f08ee61a28f77e1e06d459 备：None</t>
  </si>
  <si>
    <t>tgt行 ['66', '2002-06-1123:59:59.993']列，源：None 备：88574d93a10520d12a764eb0b495eff0</t>
  </si>
  <si>
    <t>src行 ['377', '2065-05-11 14:30:45.000000', '2065-05-11 14:30:45.100000', '2065-05-11 14:30:45.120000', '2065-05-11 14:30:45.123000', '2065-05-11 14:30:45.123500', '2065-05-11 14:30:45.123460', '2065-05-11 14:30:45.123457', '2065-05-11 14:30:45.123456']列，源：e1f42e32c93d54e5f2c1ed506193ae95 备：None</t>
  </si>
  <si>
    <t>src行 ['122', '1900-01-01 00:00:00.000000']列，源：1d8c7e1cfc86152aa354c08699d19dfd 备：None</t>
  </si>
  <si>
    <t>src行 ['30', '1900-01-01 12:30:45.000000', '1900-01-01 12:30:45.100000', '1900-01-01 12:30:45.120000', '1900-01-01 12:30:45.123000', '1900-01-01 12:30:45.123500', '1900-01-01 12:30:45.123460', '1900-01-01 12:30:45.123456', '1900-01-01 12:30:45.123456']列，源：58f34fff20573599b195ebe47864af21 备：None</t>
  </si>
  <si>
    <t>tgt行 ['67', '2003-11-0423:59:59.990']列，源：None 备：7ac9c661c373e190efc9845b40db331d</t>
  </si>
  <si>
    <t>src行 ['123', '0001-01-01 00:00:00.000000']列，源：5aa33e52168949e1432a3bc41e7b5d44 备：None</t>
  </si>
  <si>
    <t>src行 ['31', '1900-01-01 12:30:45.000000', '1900-01-01 12:30:45.100000', '1900-01-01 12:30:45.120000', '1900-01-01 12:30:45.123000', '1900-01-01 12:30:45.123500', '1900-01-01 12:30:45.123460', '1900-01-01 12:30:45.123457', '1900-01-01 12:30:45.123456']列，源：fbf27c3f08f2fbaf283d179ee990f7ac 备：None</t>
  </si>
  <si>
    <t>tgt行 ['68', '2004-12-2423:59:59.990']列，源：None 备：9012b39a780e90923b6c76296227919b</t>
  </si>
  <si>
    <t>src行 ['126', '2020-02-29 00:00:00.000000']列，源：e16b3dca00b76d7a53d64e066f2a7ee9 备：None</t>
  </si>
  <si>
    <t>src行 ['32', '1900-01-01 23:59:59.000000', '1900-01-01 23:59:59.100000', '1900-01-01 23:59:59.120000', '1900-01-01 23:59:59.123000', '1900-01-01 23:59:59.123500', '1900-01-01 23:59:59.123460', '1900-01-01 23:59:59.123457', '1900-01-01 23:59:59.123456']列，源：0ccdb3b7188f6c42efbe6c709f1e781f 备：None</t>
  </si>
  <si>
    <t>tgt行 ['69', '1753-01-0200:00:00.000']列，源：None 备：59d2ccc7cb00f1291419eed6810ffff2</t>
  </si>
  <si>
    <t>src行 ['127', '1970-01-01 00:00:00.000000']列，源：cda5862ea89bd028b03adfc85d159eae 备：None</t>
  </si>
  <si>
    <t>src行 ['33', '', '1900-01-01 00:00:01.100000', '', '1900-01-01 00:00:01.123000', '', '1900-01-01 00:00:01.123460', '', '1900-01-01 00:00:01.123456']列，源：f7f1f74fdbce086ab4c805bbcf32edf6 备：None</t>
  </si>
  <si>
    <t>src行 ['128', '0001-01-02 00:00:00.000000']列，源：decbb2b4e1b929d196d9fd06e0ad3651 备：None</t>
  </si>
  <si>
    <t>src行 ['34', '', '1900-01-01 12:00:00.100000', '', '1900-01-01 12:00:00.123000', '', '1900-01-01 12:00:00.123460', '', '1900-01-01 12:00:00.123456']列，源：1103a198de62aef54532d1f0eb79ad98 备：None</t>
  </si>
  <si>
    <t>tgt行 ['70', '9999-12-3023:59:59.997']列，源：None 备：a22d81c6cf9cd7a646fbab0d86aa74f7</t>
  </si>
  <si>
    <t>src行 ['130', '1990-05-11 00:00:00.000000']列，源：ebe27fe253d483f91301adb372952279 备：None</t>
  </si>
  <si>
    <t>src行 ['35', '1900-01-01 00:00:01.000000', '', '1900-01-01 00:00:01.120000', '', '1900-01-01 00:00:01.123500', '', '1900-01-01 00:00:01.123457', '']列，源：6f836fbaf28f3570cccd2d31a1fe4f81 备：None</t>
  </si>
  <si>
    <t>tgt行 ['71', '2023-05-1100:00:00.123']列，源：None 备：9a4606c03b3e2bd0a855fea45bb42410</t>
  </si>
  <si>
    <t>src行 ['177', '1970-01-01 00:00:00.000000']列，源：6df1c40fc2101c43a8b778b785fb005b 备：None</t>
  </si>
  <si>
    <t>src行 ['36', '1900-01-01 12:00:00.000000', '', '1900-01-01 12:00:00.120000', '', '1900-01-01 12:00:00.123500', '', '1900-01-01 12:00:00.123457', '']列，源：d3189cd4b49790f49b5f129dd5f43426 备：None</t>
  </si>
  <si>
    <t>tgt行 ['72', '2024-05-1112:00:00.567']列，源：None 备：562420feba33e421478f775999161676</t>
  </si>
  <si>
    <t>src行 ['178', '0001-01-02 00:00:00.000000']列，源：eb703eeb5e37775e7bea8ef4b37ccb4a 备：None</t>
  </si>
  <si>
    <t>src行 ['77', '1900-01-01 12:30:45.000000', '1900-01-01 12:30:45.100000', '1900-01-01 12:30:45.120000', '1900-01-01 12:30:45.123000', '1900-01-01 12:30:45.123000', '1900-01-01 12:30:45.123000', '1900-01-01 12:30:45.123000', '1900-01-01 12:30:45.123000']列，源：87ddcf973fd29197a91aa0a58947fe36 备：None</t>
  </si>
  <si>
    <t>tgt行 ['73', '2025-01-0100:00:00.233']列，源：None 备：8947b5b98f747ab95991a5af6492bf08</t>
  </si>
  <si>
    <t>src行 ['103', '1753-01-01 00:00:00.000000']列，源：ba994cd77f322ba96ba7e53fa51c6a68 备：None</t>
  </si>
  <si>
    <t>src行 ['180', '1990-05-11 00:00:00.000000']列，源：16539e1f7016a30f90249f9fc4e0f2b7 备：None</t>
  </si>
  <si>
    <t>src行 ['78', '1900-01-01 12:30:45.000000', '1900-01-01 12:30:45.100000', '1900-01-01 12:30:45.120000', '1900-01-01 12:30:45.123000', '1900-01-01 12:30:45.123400', '1900-01-01 12:30:45.123400', '1900-01-01 12:30:45.123400', '1900-01-01 12:30:45.123400']列，源：5c5dbe63af7f0b85eb898da6e58cc210 备：None</t>
  </si>
  <si>
    <t>src行 ['77', '2000-05-11 14:30:00.000000']列，源：a04fd2fa51520133501a8d50f5c2a229 备：None</t>
  </si>
  <si>
    <t>tgt行 ['74', '2040-12-2523:59:59.997']列，源：None 备：4b6990a1c9e8f1ea6fc66eac55aed510</t>
  </si>
  <si>
    <t>src行 ['106', '2020-02-29 19:27:31.123000']列，源：50ddcd328b6e77fdc4497842533ae6e6 备：None</t>
  </si>
  <si>
    <t>src行 ['224', '9999-12-31 00:00:00.000000']列，源：91efcac4fe681dd9e89da3eef7b6fc39 备：None</t>
  </si>
  <si>
    <t>src行 ['79', '1900-01-01 12:30:45.000000', '1900-01-01 12:30:45.100000', '1900-01-01 12:30:45.120000', '1900-01-01 12:30:45.123000', '1900-01-01 12:30:45.123500', '1900-01-01 12:30:45.123450', '1900-01-01 12:30:45.123450', '1900-01-01 12:30:45.123450']列，源：1a9172ac091c50f031df94e11a469ee8 备：None</t>
  </si>
  <si>
    <t>src行 ['78', '2068-05-11 14:31:00.000000']列，源：1f6fabd722fb5e80eccae83bee841cc3 备：None</t>
  </si>
  <si>
    <t>src行 ['107', '2000-05-11 14:30:29.000000']列，源：6655b61dbaeb82c827a39db1553a3711 备：None</t>
  </si>
  <si>
    <t>src行 ['225', '2026-04-17 00:00:00.000000']列，源：15c027a294b5ae13d123d34028f408fa 备：None</t>
  </si>
  <si>
    <t>src行 ['80', '1900-01-01 12:30:45.000000', '1900-01-01 12:30:45.100000', '1900-01-01 12:30:45.120000', '1900-01-01 12:30:45.123000', '1900-01-01 12:30:45.123500', '1900-01-01 12:30:45.123460', '1900-01-01 12:30:45.123456', '1900-01-01 12:30:45.123456']列，源：d133c63aa3f780f9b4751a0b69b44f8d 备：None</t>
  </si>
  <si>
    <t>src行 ['79', '1981-05-11 14:31:00.000000']列，源：4ca59b97b20046833db6ba17c785362d 备：None</t>
  </si>
  <si>
    <t>src行 ['109', '1981-05-11 14:30:59.000000']列，源：4e0e566f4e8b10a32d277ed912a40ec4 备：None</t>
  </si>
  <si>
    <t>src行 ['229', '9999-12-30 00:00:00.000000']列，源：e7841da984d492968bb67f6a03d59650 备：None</t>
  </si>
  <si>
    <t>src行 ['81', '1900-01-01 12:30:45.000000', '1900-01-01 12:30:45.100000', '1900-01-01 12:30:45.120000', '1900-01-01 12:30:45.123000', '1900-01-01 12:30:45.123500', '1900-01-01 12:30:45.123460', '1900-01-01 12:30:45.123457', '1900-01-01 12:30:45.123456']列，源：3b244021211ea0dd5cf3fe7c67704e58 备：None</t>
  </si>
  <si>
    <t>src行 ['80', '2079-06-05 23:59:00.000000']列，源：b924d472e0d3e58fc7b41d1a2289d2b4 备：None</t>
  </si>
  <si>
    <t>src行 ['110', '1996-03-03 23:59:59.997000']列，源：a4a4325b9e715f6695b4a78350db40af 备：None</t>
  </si>
  <si>
    <t>src行 ['231', '2068-06-01 00:00:00.000000']列，源：ab4044b98af529282833f578b46ccf8e 备：None</t>
  </si>
  <si>
    <t>src行 ['82', '1900-01-01 23:59:59.000000', '1900-01-01 23:59:59.100000', '1900-01-01 23:59:59.120000', '1900-01-01 23:59:59.123000', '1900-01-01 23:59:59.123500', '1900-01-01 23:59:59.123460', '1900-01-01 23:59:59.123457', '1900-01-01 23:59:59.123456']列，源：ffd7871c4f0ea7698699edb8de918b38 备：None</t>
  </si>
  <si>
    <t>src行 ['81', '1900-01-02 00:00:00.000000']列，源：8df4d6f30b40c0d5c47218586ef40c33 备：None</t>
  </si>
  <si>
    <t>src行 ['111', '1997-04-04 23:59:59.997000']列，源：ab2b5f48d4f9442ef7f7d3b95d143517 备：None</t>
  </si>
  <si>
    <t>src行 ['279', '9999-12-30 00:00:00.000000']列，源：6f7058cdb84c641e85a5250c71b1096b 备：None</t>
  </si>
  <si>
    <t>src行 ['83', '', '1900-01-01 00:00:01.100000', '', '1900-01-01 00:00:01.123000', '', '1900-01-01 00:00:01.123460', '', '1900-01-01 00:00:01.123456']列，源：7979d1377c04c2d896e86c8b8ac5141d 备：None</t>
  </si>
  <si>
    <t>src行 ['82', '1990-11-26 00:01:00.000000']列，源：92808f7e1a90f8daffbb2256485c7e73 备：None</t>
  </si>
  <si>
    <t>src行 ['112', '1998-05-05 23:59:59.997000']列，源：a51f8a5096bdec5108c829349d135076 备：None</t>
  </si>
  <si>
    <t>src行 ['281', '2068-06-01 00:00:00.000000']列，源：cccdb51e8e08d42725910e6f9492ab52 备：None</t>
  </si>
  <si>
    <t>src行 ['84', '', '1900-01-01 12:00:00.100000', '', '1900-01-01 12:00:00.123000', '', '1900-01-01 12:00:00.123460', '', '1900-01-01 12:00:00.123456']列，源：1caedfd925b4f649fb5d5b281443635e 备：None</t>
  </si>
  <si>
    <t>src行 ['83', '2025-05-11 12:00:00.000000']列，源：c9f1c665db698112947d2d7e4a0397da 备：None</t>
  </si>
  <si>
    <t>src行 ['5', '2026-04-17 17:16:25.287000']列，源：73209ba762a20aae4d39129a2b0937f4 备：None</t>
  </si>
  <si>
    <t>src行 ['113', '1999-06-06 23:59:59.997000']列，源：e0c0d70cee62c1c1f20813f2cc6bd19e 备：None</t>
  </si>
  <si>
    <t>src行 ['85', '1900-01-01 00:00:01.000000', '', '1900-01-01 00:00:01.120000', '', '1900-01-01 00:00:01.123500', '', '1900-01-01 00:00:01.123457', '']列，源：5b72732ab7e727f2fa00501cc6442ab2 备：None</t>
  </si>
  <si>
    <t>src行 ['84', '2023-12-25 23:59:00.000000']列，源：529b1a5d84982c838c9639bf5399a77a 备：None</t>
  </si>
  <si>
    <t>src行 ['114', '2000-05-01 23:59:59.993000']列，源：ccd8aa9ea975c2f20ed044f9695c8a78 备：None</t>
  </si>
  <si>
    <t>src行 ['86', '1900-01-01 12:00:00.000000', '', '1900-01-01 12:00:00.120000', '', '1900-01-01 12:00:00.123500', '', '1900-01-01 12:00:00.123457', '']列，源：5e6bcbe0133a4040cd33de548cd68309 备：None</t>
  </si>
  <si>
    <t>src行 ['124', '2079-06-06 23:59:00.000000']列，源：61a2801a13121c5403690629825963da 备：None</t>
  </si>
  <si>
    <t>src行 ['115', '2001-04-09 23:59:59.993000']列，源：f3b9f07197723fb0ead3d549f284c587 备：None</t>
  </si>
  <si>
    <t>src行 ['129', '1900-01-01 12:30:45.000000', '1900-01-01 12:30:45.100000', '1900-01-01 12:30:45.120000', '1900-01-01 12:30:45.123000', '1900-01-01 12:30:45.123500', '1900-01-01 12:30:45.123450', '1900-01-01 12:30:45.123450', '1900-01-01 12:30:45.123450']列，源：876cb7efeb4cbdfafd53f98013dde110 备：None</t>
  </si>
  <si>
    <t>src行 ['125', '2026-04-17 17:15:00.000000']列，源：3e3672e6255bd6e18d895064c74b00c7 备：None</t>
  </si>
  <si>
    <t>src行 ['116', '2002-06-11 23:59:59.993000']列，源：d39f63f6c96918f90a92979dfa720231 备：None</t>
  </si>
  <si>
    <t>src行 ['179', '1900-01-01 12:30:45.000000', '1900-01-01 12:30:45.100000', '1900-01-01 12:30:45.120000', '1900-01-01 12:30:45.123000', '1900-01-01 12:30:45.123500', '1900-01-01 12:30:45.123450', '1900-01-01 12:30:45.123450', '1900-01-01 12:30:45.123450']列，源：22a12e3823ea945efc9ca7e995c44aaf 备：None</t>
  </si>
  <si>
    <t>src行 ['126', '2020-03-01 00:00:00.000000']列，源：fdab7ff56033fba43be91adc71eeef0c 备：None</t>
  </si>
  <si>
    <t>src行 ['117', '2003-11-04 23:59:59.990000']列，源：07281120e90bed19ac558f5997f49676 备：None</t>
  </si>
  <si>
    <t>src行 ['127', '2000-05-11 14:30:00.000000']列，源：308c4b6d81f1087ecad00d24743d1211 备：None</t>
  </si>
  <si>
    <t>src行 ['118', '2004-12-24 23:59:59.990000']列，源：86b9da7470aa660379ab6dd5836ee048 备：None</t>
  </si>
  <si>
    <t>src行 ['128', '2068-05-11 14:31:00.000000']列，源：6f00f5140e986c33d37c4841ade22c9c 备：None</t>
  </si>
  <si>
    <t>src行 ['119', '1753-01-02 00:00:00.000000']列，源：6bd050127b5fb9bf44ee386cf3639ef8 备：None</t>
  </si>
  <si>
    <t>src行 ['130', '2079-06-05 23:59:00.000000']列，源：bfa7f348bed6b46f67cee7d85cdb7359 备：None</t>
  </si>
  <si>
    <t>src行 ['121', '2023-05-11 00:00:00.123000']列，源：dfda9686a7d40250a574119f146edef5 备：None</t>
  </si>
  <si>
    <t>src行 ['133', '2025-05-11 12:00:00.000000']列，源：ab3c5549da9bd90c36c385044e2198a8 备：None</t>
  </si>
  <si>
    <t>src行 ['122', '2024-05-11 12:00:00.567000']列，源：0e560ef5bef6571960133711b88dec8a 备：None</t>
  </si>
  <si>
    <t>src行 ['134', '2023-12-25 23:59:00.000000']列，源：8b844d1da0ebbe68b5dad5e5e323e8e1 备：None</t>
  </si>
  <si>
    <t>src行 ['123', '2025-01-01 00:00:00.233000']列，源：8026e3d2b83e97061bd5ccb222d39df8 备：None</t>
  </si>
  <si>
    <t>src行 ['177', '2000-05-11 14:30:00.000000']列，源：5be16d20b74e1b779a2b26c3eae176a9 备：None</t>
  </si>
  <si>
    <t>src行 ['214', '2000-05-01 23:59:59.993000']列，源：1502273800ab2bd63902c719da11b628 备：None</t>
  </si>
  <si>
    <t>src行 ['178', '2068-05-11 14:31:00.000000']列，源：e6efb5b74d0f65bacb2f9e4c47ecd786 备：None</t>
  </si>
  <si>
    <t>src行 ['215', '2001-04-09 23:59:59.993000']列，源：dbc9e9a51af18641c6284da8f50680b8 备：None</t>
  </si>
  <si>
    <t>src行 ['180', '2079-06-05 23:59:00.000000']列，源：8a81b187a23a6e5ee5d5572d06401e36 备：None</t>
  </si>
  <si>
    <t>src行 ['216', '2002-06-11 23:59:59.993000']列，源：b4deffa60be536b85713e3ac99cf1daf 备：None</t>
  </si>
  <si>
    <t>src行 ['183', '2025-05-11 12:00:00.000000']列，源：f2c19a02c7b5541c799a400ab55f6592 备：None</t>
  </si>
  <si>
    <t>src行 ['217', '2003-11-04 23:59:59.990000']列，源：5b11846a65041905c03a2a86b2f0262f 备：None</t>
  </si>
  <si>
    <t>src行 ['184', '2023-12-25 23:59:00.000000']列，源：ea51d262da29f39db37c7842475a1bcd 备：None</t>
  </si>
  <si>
    <t>src行 ['218', '2004-12-24 23:59:59.990000']列，源：618906bb6fb9ed4fc5db5c56bfb814c8 备：None</t>
  </si>
  <si>
    <t>src行 ['220', '9999-12-30 23:59:59.997000']列，源：9bc5e5c101d7ff60d247da8ce09838da 备：None</t>
  </si>
  <si>
    <t>src行 ['221', '2023-05-11 00:00:00.123000']列，源：917ba7c267fde8c6fe547ecce0605348 备：None</t>
  </si>
  <si>
    <t>src行 ['222', '2024-05-11 12:00:00.567000']列，源：8f07fdfd3b4f541381683fbf5f3778ac 备：None</t>
  </si>
  <si>
    <t>src行 ['223', '2025-01-01 00:00:00.233000']列，源：81a05cdf03f3717e8b71d19be9e9bb26 备：None</t>
  </si>
  <si>
    <t>src行 ['224', '2040-12-25 23:59:59.997000']列，源：a471faa7dba980f939f80be2ed3e96a0 备：None</t>
  </si>
  <si>
    <t>src行 ['52', '1900-01-01 00:00:00.000000']列，源：447aa6671a27d0335eff7aee032a37e5 备：None</t>
  </si>
  <si>
    <t>src行 ['53', '1753-01-01 00:00:00.000000']列，源：c1a379e7fbd2aa0b854472138f2fe21e 备：None</t>
  </si>
  <si>
    <t>src行 ['54', '9999-12-31 23:59:59.997000']列，源：b8368aa183bd8ed3aa9ec2cacedc0c4d 备：None</t>
  </si>
  <si>
    <t>src行 ['55', '2026-04-17 17:16:25.287000']列，源：ac3bbc2d2b11db5dfb0f682b17c87028 备：None</t>
  </si>
  <si>
    <t>src行 ['56', '2020-02-29 19:27:31.123000']列，源：c03575fb5eda596d17cdd93cb113e34c 备：None</t>
  </si>
  <si>
    <t>src行 ['57', '2000-05-11 14:30:29.000000']列，源：666cee3169ba532b6cbe7476fa072428 备：None</t>
  </si>
  <si>
    <t>src行 ['58', '2068-05-11 14:30:30.000000']列，源：3b2560db9d2285f0ea0dbe2c6a17e640 备：None</t>
  </si>
  <si>
    <t>src行 ['59', '1981-05-11 14:30:59.000000']列，源：92c22ff7fb7bb462a46ee90ef8219125 备：None</t>
  </si>
  <si>
    <t>src行 ['60', '1996-03-03 23:59:59.997000']列，源：5712f7c183095882dbf8553ae8adabdb 备：None</t>
  </si>
  <si>
    <t>src行 ['61', '1997-04-04 23:59:59.997000']列，源：edcb96ebd00cb987789aec2ac2874a1e 备：None</t>
  </si>
  <si>
    <t>src行 ['62', '1998-05-05 23:59:59.997000']列，源：874b961d4e211e1d5fe1f1946965a51a 备：None</t>
  </si>
  <si>
    <t>src行 ['63', '1999-06-06 23:59:59.997000']列，源：80977e61c22e8a94f8bf17f9c52828e4 备：None</t>
  </si>
  <si>
    <t>src行 ['64', '2000-05-01 23:59:59.993000']列，源：4cd97cf5316fa53c09b0ea14fb9d1c97 备：None</t>
  </si>
  <si>
    <t>src行 ['65', '2001-04-09 23:59:59.993000']列，源：363ad4a6e06048169499f845898c5aff 备：None</t>
  </si>
  <si>
    <t>src行 ['66', '2002-06-11 23:59:59.993000']列，源：a6905adc448caa626549d4b5d6fa2d8a 备：None</t>
  </si>
  <si>
    <t>src行 ['67', '2003-11-04 23:59:59.990000']列，源：3dddb33228ea8e615cb46440f2ed8115 备：None</t>
  </si>
  <si>
    <t>src行 ['68', '2004-12-24 23:59:59.990000']列，源：ce9d34aad61251d33815ff849d0673af 备：None</t>
  </si>
  <si>
    <t>src行 ['69', '1753-01-02 00:00:00.000000']列，源：f54e15c9c854c441ef447dbbc2c71928 备：None</t>
  </si>
  <si>
    <t>src行 ['70', '9999-12-30 23:59:59.997000']列，源：1c1038b55cd9016d9868cd193ff5af3d 备：None</t>
  </si>
  <si>
    <t>src行 ['71', '2023-05-11 00:00:00.123000']列，源：0c2a461a8228a92a91a6d2183066d3ff 备：None</t>
  </si>
  <si>
    <t>src行 ['72', '2024-05-11 12:00:00.567000']列，源：914fdfdc0597267dcc28a98f084fe226 备：None</t>
  </si>
  <si>
    <t>src行 ['73', '2025-01-01 00:00:00.233000']列，源：5e48d89dad4162940f9d830a55367ead 备：None</t>
  </si>
  <si>
    <t>src行 ['74', '2040-12-25 23:59:59.997000']列，源：3b87eec6a61852e23cb45aaa0a5b81dc 备：None</t>
  </si>
  <si>
    <t>src行 ['152', '1900-01-01 00:00:00.000000']列，源：d61c45e87b55408bb171ef3ac0151cde 备：None</t>
  </si>
  <si>
    <t>src行 ['153', '1753-01-01 00:00:00.000000']列，源：98e6a13cc5554119c9d628f77142f3db 备：None</t>
  </si>
  <si>
    <t>src行 ['156', '2020-02-29 19:27:31.123000']列，源：22c3b73c21a36edbb5cb75343ffa3d83 备：None</t>
  </si>
  <si>
    <t>src行 ['157', '2000-05-11 14:30:29.000000']列，源：2bbc179adc00501806dfa34fa06ee96d 备：None</t>
  </si>
  <si>
    <t>src行 ['159', '1981-05-11 14:30:59.000000']列，源：1efa51313453dc1a5e3f883c88f42ce4 备：None</t>
  </si>
  <si>
    <t>src行 ['160', '1996-03-03 23:59:59.997000']列，源：80655dfa9476eef1cbc0f06b1fe519a5 备：None</t>
  </si>
  <si>
    <t>src行 ['161', '1997-04-04 23:59:59.997000']列，源：82c2f1e4ac820f00947fdf8817523d43 备：None</t>
  </si>
  <si>
    <t>src行 ['162', '1998-05-05 23:59:59.997000']列，源：0c22962cfb9ec5cc1be7932bce00ddf2 备：None</t>
  </si>
  <si>
    <t>src行 ['163', '1999-06-06 23:59:59.997000']列，源：fb59aaba648205944163021cf2e5dd4c 备：None</t>
  </si>
  <si>
    <t>src行 ['164', '2000-05-01 23:59:59.993000']列，源：91598f44826260200442380f89d32e9a 备：None</t>
  </si>
  <si>
    <t>src行 ['165', '2001-04-09 23:59:59.993000']列，源：c868747631ee075ff3c7ec60b5b4c394 备：None</t>
  </si>
  <si>
    <t>src行 ['166', '2002-06-11 23:59:59.993000']列，源：4d9d04ae0d9f7db6453473b6dece3731 备：None</t>
  </si>
  <si>
    <t>src行 ['167', '2003-11-04 23:59:59.990000']列，源：6cd3ea686318288110bb3501d506d58d 备：None</t>
  </si>
  <si>
    <t>src行 ['168', '2004-12-24 23:59:59.990000']列，源：4cf917f94666313799c28f781a407617 备：None</t>
  </si>
  <si>
    <t>src行 ['169', '1753-01-02 00:00:00.000000']列，源：3b0acee6975b3d7acdf0251dcbcaecff 备：None</t>
  </si>
  <si>
    <t>src行 ['171', '2023-05-11 00:00:00.123000']列，源：178d7a7460100c55b239e50d1667dbf8 备：None</t>
  </si>
  <si>
    <t>src行 ['172', '2024-05-11 12:00:00.567000']列，源：4d25bd34d2cf7499c37e75d9b43bd0bf 备：None</t>
  </si>
  <si>
    <t>src行 ['173', '2025-01-01 00:00:00.233000']列，源：3755eb83705f6eda67dbf81ffbaa403d 备：None</t>
  </si>
  <si>
    <t>src行 ['356', '2020-02-29 19:27:31.123000']列，源：1c00bdddf2141dfb75290a617539c36c 备：None</t>
  </si>
  <si>
    <t>src行 ['357', '2000-05-11 14:30:29.000000']列，源：b757cb32739c31dea3eee04744daf8b0 备：None</t>
  </si>
  <si>
    <t>src行 ['364', '2000-05-01 23:59:59.993000']列，源：ecbbb5659e00344ae9b71e0874b2e817 备：None</t>
  </si>
  <si>
    <t>src行 ['365', '2001-04-09 23:59:59.993000']列，源：b42cee0f7e63dc0a8e9007af597f0010 备：None</t>
  </si>
  <si>
    <t>src行 ['366', '2002-06-11 23:59:59.993000']列，源：6c7b5267569aaeb013e809a653b3494d 备：None</t>
  </si>
  <si>
    <t>src行 ['367', '2003-11-04 23:59:59.990000']列，源：33e88b6f7f0c13a53317199eca863fe9 备：None</t>
  </si>
  <si>
    <t>src行 ['368', '2004-12-24 23:59:59.990000']列，源：dcf70e46832f8e7e8dc462c1caf40193 备：None</t>
  </si>
  <si>
    <t>src行 ['371', '2023-05-11 00:00:00.123000']列，源：12f9223ed5f05cd0f34945ca75c19c8f 备：None</t>
  </si>
  <si>
    <t>src行 ['372', '2024-05-11 12:00:00.567000']列，源：b190080f930ee90852e4396b7734194e 备：None</t>
  </si>
  <si>
    <t>src行 ['373', '2025-01-01 00:00:00.233000']列，源：46fe0f45ecd8010c21e66d82057f5d13 备：None</t>
  </si>
  <si>
    <t>tgt行 ['16', '', '', '', '', '', '', '', '', '', '', '', '', '', '', '123456789000000002003480098325095514112.0000000000000', '340282306073709652508363335590014353408.000000', '123456.789', '1234.5678', '1']列，源：None 备：e9c752ab200791cb925a69c0405a82cb</t>
  </si>
  <si>
    <t>tgt行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'-1.7900000000000e+308', '-339999995214436424907732413799364296704.000000', '-922337203685477.5808', '-214748.3648', '0']列，源：None 备：012072b73dd1fecbb3509d154824df87</t>
  </si>
  <si>
    <t>tgt行 ['17', '', '', '', '', '', '', '', '', '', '', '', '', '', '', '-123456789000000002003480098325095514112.0000000000000', '-340282306073709652508363335590014353408.000000', '-123456.789', '-1234.5678', '0']列，源：None 备：1f5c3a0323c6b7827542c014d419c0d3</t>
  </si>
  <si>
    <t>tgt行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'1.7900000000000e+308', '339999995214436424907732413799364296704.000000', '922337203685477.5807', '214748.3647', '1']列，源：None 备：8be431300058e097edace361cf31dc8b</t>
  </si>
  <si>
    <t>tgt行 ['19', '', '', '', '', '', '', '', '', '', '', '', '', '', '', '340282346600000016151267322115014000640.0000000000000', '340282306073709652508363335590014353408.000000', '922337203685477.5807', '214748.3647', '1']列，源：None 备：3b4529637c14ce9261f980f18b953271</t>
  </si>
  <si>
    <t>src行 ['1', '0', '-32768', '-2147483648', '-9223372036854775808', '-999999999999999999', '-100000000000000000000000000000000000000', '-1', '-10000000000000000000000000000', '-999999999999999.9999', '-999999999999999999', '-100000000000000000000000000000000000000', '-1', '-10000000000000000000000000000', '-9999999999999999.99', '-1.79e+308', '-3.4e+038', '-922337203685477.5808', '-214748.3648', '0']列，源：914f6de3b69458bb8e500609f1380d48 备：None</t>
  </si>
  <si>
    <t>tgt行 ['20', '', '', '', '', '', '', '', '', '', '', '', '', '', '', '-340282346600000016151267322115014000640.0000000000000', '-340282306073709652508363335590014353408.000000', '-922337203685477.5808', '-214748.3648', '0']列，源：None 备：afa121c0075eaf58be638147f093f27a</t>
  </si>
  <si>
    <t>src行 ['2', '255', '32767', '2147483647', '9223372036854775808', '999999999999999999', '100000000000000000000000000000000000000', '1', '10000000000000000000000000000', '999999999999999.9999', '999999999999999999', '100000000000000000000000000000000000000', '1', '10000000000000000000000000000', '9999999999999999.99', '1.79e+308', '3.4e+038', '922337203685477.5807', '214748.3647', '1']列，源：13b9a01e289354696e4b49cfa55efcb2 备：None</t>
  </si>
  <si>
    <t>src行 ['16', '', '', '', '', '', '', '', '', '', '', '', '', '', '', '1.23457e+038', '3.40282e+038', '123456.789', '1234.5678', '1']列，源：9ec25acd5b0f33a1016aecc1125b775a 备：None</t>
  </si>
  <si>
    <t>src行 ['17', '', '', '', '', '', '', '', '', '', '', '', '', '', '', '-1.23457e+038', '-3.40282e+038', '-123456.789', '-1234.5678', '0']列，源：139a474a81576e07b351b6dc496ee61a 备：None</t>
  </si>
  <si>
    <t>src行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'299792000', '-500000', '1234.5678', '1']列，源：cc491763497b76bf8ed1556ce1de2478 备：None</t>
  </si>
  <si>
    <t>src行 ['19', '', '', '', '', '', '', '', '', '', '', '', '', '', '', '3.40282e+038', '3.40282e+038', '922337203685477.5807', '214748.3647', '1']列，源：852114d5bccf1658d9a27f46b66cf929 备：None</t>
  </si>
  <si>
    <t>tgt行 ['201', '', '', '', '', '', '', '', '', '', '', '', '', '', '', '-1.7900000000000e+308', '-339999995214436424907732413799364296704.000000', '-922337203685477.5808', '-214748.3648', '0']列，源：None 备：c790cc2c4c247a2d3eb57cf7427a302c</t>
  </si>
  <si>
    <t>src行 ['20', '', '', '', '', '', '', '', '', '', '', '', '', '', '', '-3.40282e+038', '-3.40282e+038', '-922337203685477.5808', '-214748.3648', '0']列，源：7744c2ec1a4e99af22881093a9aa189e 备：None</t>
  </si>
  <si>
    <t>tgt行 ['202', '', '', '', '', '', '', '', '', '', '', '', '', '', '', '1.7900000000000e+308', '339999995214436424907732413799364296704.000000', '922337203685477.5807', '214748.3647', '1']列，源：None 备：29eccd3071e2b7a6d28b4fdbcf27440f</t>
  </si>
  <si>
    <t>tgt行 ['216', '', '', '', '', '', '', '', '', '', '', '', '', '', '', '123456789000000002003480098325095514112.0000000000000', '340282306073709652508363335590014353408.000000', '123456.789', '1234.5678', '1']列，源：None 备：72fd05be9cbd56c1632d3c90c92303b3</t>
  </si>
  <si>
    <t>src行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'299792000', '-500000', '1234.5678', '1']列，源：8feb8862b495399588f89958458069ad 备：None</t>
  </si>
  <si>
    <t>tgt行 ['217', '', '', '', '', '', '', '', '', '', '', '', '', '', '', '-123456789000000002003480098325095514112.0000000000000', '-340282306073709652508363335590014353408.000000', '-123456.789', '-1234.5678', '0']列，源：None 备：7f064c04a1c80e38531d76791bb0aefa</t>
  </si>
  <si>
    <t>tgt行 ['219', '', '', '', '', '', '', '', '', '', '', '', '', '', '', '340282346600000016151267322115014000640.0000000000000', '340282306073709652508363335590014353408.000000', '922337203685477.5807', '214748.3647', '1']列，源：None 备：d8d71095b468f6566bff2f4e6e263e8c</t>
  </si>
  <si>
    <t>tgt行 ['220', '', '', '', '', '', '', '', '', '', '', '', '', '', '', '-340282346600000016151267322115014000640.0000000000000', '-340282306073709652508363335590014353408.000000', '-922337203685477.5808', '-214748.3648', '0']列，源：None 备：cab1014600f6150ab857215c288b84e6</t>
  </si>
  <si>
    <t>tgt行 ['701', '', '', '', '', '', '', '', '', '', '', '', '', '', '', '-1.7900000000000e+308', '-339999995214436424907732413799364296704.000000', '-922337203685477.5808', '-214748.3648', '0']列，源：None 备：8d6991f68247c19162b2ab475a43932c</t>
  </si>
  <si>
    <t>tgt行 ['717', '', '', '', '', '', '', '', '', '', '', '', '', '', '', '-123456789000000002003480098325095514112.0000000000000', '-340282306073709652508363335590014353408.000000', '-123456.789', '-1234.5678', '0']列，源：None 备：5aa6d3509a6e96335592aa13064f7b2b</t>
  </si>
  <si>
    <t>tgt行 ['720', '', '', '', '', '', '', '', '', '', '', '', '', '', '', '-340282346600000016151267322115014000640.0000000000000', '-340282306073709652508363335590014353408.000000', '-922337203685477.5808', '-214748.3648', '0']列，源：None 备：a5770d6ea894d34fc2e555a029bb572c</t>
  </si>
  <si>
    <t>tgt行 ['901', '', '', '', '', '', '', '', '', '', '', '', '', '', '', '-1.7900000000000e+308', '-339999995214436424907732413799364296704.000000', '-922337203685477.5808', '-214748.3648', '0']列，源：None 备：e5d82b3210cfee25b054e322c0960bdf</t>
  </si>
  <si>
    <t>tgt行 ['917', '', '', '', '', '', '', '', '', '', '', '', '', '', '', '-123456789000000002003480098325095514112.0000000000000', '-340282306073709652508363335590014353408.000000', '-123456.789', '-1234.5678', '0']列，源：None 备：5587b4a69d418d74006e906f6dea63b2</t>
  </si>
  <si>
    <t>tgt行 ['920', '', '', '', '', '', '', '', '', '', '', '', '', '', '', '-340282346600000016151267322115014000640.0000000000000', '-340282306073709652508363335590014353408.000000', '-922337203685477.5808', '-214748.3648', '0']列，源：None 备：261df1282086508dcd7c934b9b5527eb</t>
  </si>
  <si>
    <t>src行 ['201', '', '', '', '', '', '', '', '', '', '', '', '', '', '', '-1.79e+308', '-3.4e+038', '-922337203685477.5808', '-214748.3648', '0']列，源：73edcdc794c20602130073f87dfab993 备：None</t>
  </si>
  <si>
    <t>src行 ['202', '', '', '', '', '', '', '', '', '', '', '', '', '', '', '1.79e+308', '3.4e+038', '922337203685477.5807', '214748.3647', '1']列，源：637404bc8965bb77c35efe389fdaf016 备：None</t>
  </si>
  <si>
    <t>src行 ['204', '', '', '', '', '', '', '', '', '', '', '', '', '', '', '0', '299792000', '-500000', '1234.5678', '1']列，源：4eea71c38bc64d83cd1d0e9fda41d850 备：None</t>
  </si>
  <si>
    <t>src行 ['216', '', '', '', '', '', '', '', '', '', '', '', '', '', '', '1.23457e+038', '3.40282e+038', '123456.789', '1234.5678', '1']列，源：9c942af4115319924d765bdc78fbf7ff 备：None</t>
  </si>
  <si>
    <t>src行 ['217', '', '', '', '', '', '', '', '', '', '', '', '', '', '', '-1.23457e+038', '-3.40282e+038', '-123456.789', '-1234.5678', '0']列，源：55a99e79234edbf5a63ef4259caaeddb 备：None</t>
  </si>
  <si>
    <t>src行 ['219', '', '', '', '', '', '', '', '', '', '', '', '', '', '', '3.40282e+038', '3.40282e+038', '922337203685477.5807', '214748.3647', '1']列，源：0a7afae48bd652d35751f5b05bf7fda5 备：None</t>
  </si>
  <si>
    <t>src行 ['220', '', '', '', '', '', '', '', '', '', '', '', '', '', '', '-3.40282e+038', '-3.40282e+038', '-922337203685477.5808', '-214748.3648', '0']列，源：9f635f1288ced94d26aa49b385022f1c 备：None</t>
  </si>
  <si>
    <t>src行 ['701', '', '', '', '', '', '', '', '', '', '', '', '', '', '', '-1.79e+308', '-3.4e+038', '-922337203685477.5808', '-214748.3648', '0']列，源：2e44feee25c05d3c0aa4f4659b4d1854 备：None</t>
  </si>
  <si>
    <t>src行 ['717', '', '', '', '', '', '', '', '', '', '', '', '', '', '', '-1.23457e+038', '-3.40282e+038', '-123456.789', '-1234.5678', '0']列，源：947218dd423b705dade02c82912e9860 备：None</t>
  </si>
  <si>
    <t>src行 ['720', '', '', '', '', '', '', '', '', '', '', '', '', '', '', '-3.40282e+038', '-3.40282e+038', '-922337203685477.5808', '-214748.3648', '0']列，源：92a201f8ef918345a13b76194cad8b57 备：None</t>
  </si>
  <si>
    <t>src行 ['901', '', '', '', '', '', '', '', '', '', '', '', '', '', '', '-1.79e+308', '-3.4e+038', '-922337203685477.5808', '-214748.3648', '0']列，源：242e3ad3683e04d407289c36f4a0b02a 备：None</t>
  </si>
  <si>
    <t>src行 ['917', '', '', '', '', '', '', '', '', '', '', '', '', '', '', '-1.23457e+038', '-3.40282e+038', '-123456.789', '-1234.5678', '0']列，源：daf8048a7b576714d332e7a13974c652 备：None</t>
  </si>
  <si>
    <t>src行 ['920', '', '', '', '', '', '', '', '', '', '', '', '', '', '', '-3.40282e+038', '-3.40282e+038', '-922337203685477.5808', '-214748.3648', '0']列，源：118f0e2f2c4088be03d3de9f3918277e 备：None</t>
  </si>
  <si>
    <t>sqlserver -- 2026042016hbase</t>
  </si>
  <si>
    <t>tgt行 ['1', 'POINT(-5 5)']列，源：None 备：54b1086e7c0f4cfce26e198e01f7fd9b</t>
  </si>
  <si>
    <t>tgt行 ['1', 'POINT(31.2397 121.4998)']列，源：None 备：b7a17d706ccb61273eb1fc2ffdad46b1</t>
  </si>
  <si>
    <t>tgt行 ['1', '100', '-1', '222222', '500000000', '99999', '-100000000000000000000000000000000000000', '-1', '-10000000000000000000000000000', '-11111.34', '-999999999999999999', '-100000000000000000000000000000000000000', '-1', '-10000000000000000000000000000', '-9999999999999999.99', '123.457', '0', '203685477.5808', '-214748.3648', '1']列，源：None 备：4dcd838732b83f8bce7d43bdca025b9d</t>
  </si>
  <si>
    <t>tgt行 ['2', 'LINESTRING(0 0,5 5,5 10,0 15)']列，源：None 备：d51406f636f18f0fda494bdda73a9f52</t>
  </si>
  <si>
    <t>tgt行 ['2', 'LINESTRING(116.3 39.9,116.4 39.8,116.5 39.7)']列，源：None 备：54033f6226a32c4df47cdfcfa866a2f9</t>
  </si>
  <si>
    <t>tgt行 ['2', '255', '32767', '2147483647', '9223372036854775807', '999999999999999999', '100000000000000000000000000000000000000', '1', '10000000000000000000000000000', '999999999999999.9999', '999999999999999999', '100000000000000000000000000000000000000', '1', '10000000000000000000000000000', '9999999999999999.99', '1.79e308', '3.4e38', '922337203685477.5807', '214748.3647', '1']列，源：None 备：4adc77715fbe71a309c6d543a433dd3a</t>
  </si>
  <si>
    <t>tgt行 ['2', '2020-02-29 00:00:00.000000', '1900-01-01 23:59:59.999999', '2046-05-11 14:30:45.123456', '1971-05-11 00:00:00.000000', '0', '-32768', '-2147483648', '2023-10-01 14:30:00.000000', '-3.4e+38', '-922337203685477.5808', '9999-12-30 23:59:59.997000', '-1.79e+308', '0', '-1000000000000000', 'A7B0C3D4-E8F9-4A5B-6C7D-8E9F0A1B2C3D', '2026-04-20 00:00:00.000000', '-9223372036854775808', '0x3132333435363738393031323334353637383930', '$TooLong英255Val方&amp;', '0xBAA3D3A2B7BDC8EDBCFEB9C9B7DDB9ABCBBE', '$TooLong英255Val方&amp; ', '$TooLong英255Val方&amp;', '$TooLong英255Val方&amp;   ']列，源：None 备：7fceaf4216b444ff14201e47d593dd66</t>
  </si>
  <si>
    <t>tgt行 ['1', '2046-05-11 00:00:00.000000', '1900-01-01 18:10:06.123456', '2012-05-11 14:30:45.123456', '1999-05-11 15:30:45.123456', '255', '32767', '2147483647', '2012-10-01 14:30:00.000000', '0', '922337203685477.5807', '2000-05-01 23:59:59.993000', '6.62607e-34', '1', '123456789012.1234', 'B6B0C3D4-E8F9-4A5B-6C7D-8E9F0A1B2C3E', '1234.5678', '1234567890123', '0x7661726961626C65206C656E6774682062696E61', '这是一个中文字符串', '0xBAA32324255E262A2D3D0000000000000000', '*TEST英255Val方&amp;    ', '*TEST英255Val方&amp;', '&amp;TooLong英255Val方!   ']列，源：None 备：30365404c36c8ea1b4103cdf5e017279</t>
  </si>
  <si>
    <t>tgt行 ['3', '2034-02-21 00:00:00.000000', '1900-01-01 03:59:59.999999', '2012-05-11 14:30:45.123456', '1991-05-11 00:00:00.000000', '10', '-12768', '-147483648', '2013-10-01 14:30:00.000000', '-1.4e+38', '-122337203685477.5808', '1999-12-30 23:59:59.997000', '-1.79e+30', '1', '-2000000000000', 'C1B0C3D4-E8F9-4A5B-6C7D-8E9F0A1B2C3D', '2026-04-20 00:00:00.000000', '-1223372036854775808', '0x31313131313031323334353637383930', '!TooLong英255Val方&amp;', '0x4023D3A2B7BDC8EDBCFEB9C9B7DDB9ABCBBE0000', '*TooLong英255Val方&amp; ', '~Long英255Val方&amp;', '`Long英255Val方&amp;      ']列，源：None 备：07959677602265a48b6b96b3c85c1fcd</t>
  </si>
  <si>
    <t>tgt行 ['4', '2054-02-21 00:00:00.000000', '1900-01-01 23:19:59.999999', '2002-05-11 14:30:45.123456', '1991-05-11 00:00:00.000000', '77', '1768-04-20 00:00:00.000000', '-17483648', '2023-09-01 14:30:00.000000', '-1.4e+38', '-12337203685477.5808', '1995-12-30 23:59:59.997000', '-1.79e+30', '0', '-2000000000000', 'C1B0C3D4-E8F9-4A5B-6C7D-8E9F0A1B2C3D', '2026-04-20 00:00:00.000000', '-1223372036854775808', '0x31313131313031323334353637383930', '!TooLong英255Val方&amp;', '0x4023D3A2B7BDC8EDBCFEB9C9B7DDB9ABCBBE0000', '*TooLong英255Val方&amp; ', '~Long英255Val方&amp;', '`Long英255Val方&amp;      ']列，源：None 备：41322eb6bcc0a2829d9c3877bae7b55e</t>
  </si>
  <si>
    <t>tgt行 ['10', '100', '0', '0', '0', '99999', '', '', '', '-11111.34', '', '', '', '', '', '123.457', '0', '203685477.5808', '', '1']列，源：None 备：f9373c5fb4917285279d5f922bd66875</t>
  </si>
  <si>
    <t>tgt行 ['4', 'MULTIPOINT((0 0),(10 10),(20 20))']列，源：None 备：8a5d7c3c62003c49adc50302d7dec61a</t>
  </si>
  <si>
    <t>tgt行 ['4', 'MULTIPOINT((100 50),(120 60),(140 55))']列，源：None 备：365ff4dad94396f7256784da89dd35cb</t>
  </si>
  <si>
    <t>src行 ['18', '', '', '', '', '', '', '', '', '', '', '', '', '', '', '1.23457e-38', '1.17549e-38', '0.0001', '0.0001', '1']列，源：40f313e2843d91cdaec4db3c13b68f0b 备：None</t>
  </si>
  <si>
    <t>src行 ['2', '255', '32767', '2147483647', '9223372036854775808', '999999999999999999', '100000000000000000000000000000000000000', '1', '10000000000000000000000000000', '999999999999999.9999', '999999999999999999', '100000000000000000000000000000000000000', '1', '10000000000000000000000000000', '9999999999999999.99', '1.79e308', '3.4e38', '922337203685477.5807', '214748.3647', '1']列，源：0767ecb7d9343925c01bd2713df60fea 备：None</t>
  </si>
  <si>
    <t>tgt行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'2.99792e8', '-500000', '1234.5678', '1']列，源：None 备：0b3e0e2d93fa6bec58e92fa090f20220</t>
  </si>
  <si>
    <t>src行 ['2', '2020-02-29 00:00:00.000000', '1900-01-01 23:59:00.000000', '1900-01-01 14:30:00.000000', '1900-01-01 00:00:00.000000', '0', '-32768', '-2147483648', '1900-01-01 14:30:00.000000', '-3.4e+038', '-922337203685477.58', '1900-01-01 23:59:00.000000', '-1.79e+308', '0', '-1000000000000000', 'A7B0C3D4-E8F9-4A5B-6C7D-8E9F0A1B2C3D', '2026-04-20 00:00:00.000000', '-9223372036854775808', '0x3132333435363738393031323334353637383930', '$TooLong英255Val方&amp;', '0xC9CFBAA3D3A2B7BDC8EDBCFEB9C9B7DDB9ABCBBE', '$TooLong英255Val方&amp; ', '$TooLong英255Val方&amp;', '$TooLong英255Val方&amp;   ']列，源：828ef96b47468893c348f39021befc2f 备：None</t>
  </si>
  <si>
    <t>src行 ['1', '2046-05-11 00:00:00.000000', '1900-01-01 18:10:00.000000', '1900-01-01 14:30:00.000000', '1900-01-01 15:30:00.000000', '255', '32767', '2147483647', '1900-01-01 14:30:00.000000', '0', '922337203685477.5807', '1900-01-01 23:59:00.000000', '6.62607e-034', '1', '123456789012.1234', 'B6B0C3D4-E8F9-4A5B-6C7D-8E9F0A1B2C3E', '1234.5678', '1234567890123', '0x7661726961626C65206C656E6774682062696E61', '这是一个中文字符串', '0xC9CFBAA32324255E262A2D3D0000000000000000', '*TEST英255Val方&amp;    ', '*TEST英255Val方&amp;', '&amp;TooLong英255Val方!   ']列，源：054795287ef58f57211052b2939e1b61 备：None</t>
  </si>
  <si>
    <t>src行 ['3', '2034-02-21 00:00:00.000000', '1900-01-01 03:59:00.000000', '1900-01-01 14:30:00.000000', '1900-01-01 00:00:00.000000', '10', '-12768', '-147483648', '1900-01-01 14:30:00.000000', '-1.4e+038', '-122337203685477.58', '1900-01-01 23:59:00.000000', '-1.79e+030', '1', '-2000000000000', 'C1B0C3D4-E8F9-4A5B-6C7D-8E9F0A1B2C3D', '2026-04-20 00:00:00.000000', '-1223372036854775808', '0x31313131313031323334353637383930', '!TooLong英255Val方&amp;', '0x4023D3A2B7BDC8EDBCFEB9C9B7DDB9ABCBBE0000', '*TooLong英255Val方&amp; ', '~Long英255Val方&amp;', '`Long英255Val方&amp;      ']列，源：de3775a0083e5222e0bd7a85626e9fab 备：None</t>
  </si>
  <si>
    <t>src行 ['4', '2054-02-21 00:00:00.000000', '1900-01-01 23:19:00.000000', '1900-01-01 14:30:00.000000', '1900-01-01 00:00:00.000000', '77', '1768-04-20 00:00:00.000000', '-17483648', '1900-01-01 14:30:00.000000', '-1.4e+038', '-12337203685477.58', '1900-01-01 23:59:00.000000', '-1.79e+030', '0', '-2000000000000', 'C1B0C3D4-E8F9-4A5B-6C7D-8E9F0A1B2C3D', '2026-04-20 00:00:00.000000', '-1223372036854775808', '0x31313131313031323334353637383930', '!TooLong英255Val方&amp;', '0x4023D3A2B7BDC8EDBCFEB9C9B7DDB9ABCBBE0000', '*TooLong英255Val方&amp; ', '~Long英255Val方&amp;', '`Long英255Val方&amp;      ']列，源：d475f466534856d01cb7b6ce36309550 备：None</t>
  </si>
  <si>
    <t>tgt行 ['3', 'POLYGON((0 0,10 0,10 10,0 10,0 0))']列，源：None 备：4a06c787f97761bdf87a810b3d5f08fe</t>
  </si>
  <si>
    <t>tgt行 ['3', 'POLYGON((114.05 22.54,114.06 22.54,114.06 22.55,114.05 22.55,114.05 22.54))']列，源：None 备：aea8edcd01b1ece57a9a76fb75bfaa54</t>
  </si>
  <si>
    <t>tgt行 ['6', 'MULTIPOLYGON(((0 0,5 0,5 5,0 5,0 0)),((10 10,15 10,15 15,10 15,10 10)))']列，源：None 备：a671c686f22b8c7b56033308a1fd8f28</t>
  </si>
  <si>
    <t>tgt行 ['6', 'CURVEPOLYGON(CIRCULARSTRING(0 0,5 5,10 0,5 -5,0 0))']列，源：None 备：d6f2ef8b6225dc81edd158979cf82c88</t>
  </si>
  <si>
    <t>tgt行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'2.99792e8', '-500000', '1234.5678', '1']列，源：None 备：061ccb7c7c3ce36ce440f21368bc524f</t>
  </si>
  <si>
    <t>tgt行 ['204', '', '', '', '', '', '', '', '', '', '', '', '', '', '', '0', '2.99792e8', '-500000', '1234.5678', '1']列，源：None 备：d3f71b9c8922e5f03b801997e86af4b6</t>
  </si>
  <si>
    <t>tgt行 ['8', 'CURVEPOLYGON(CIRCULARSTRING(0 0,5 5,10 0,5 -5,0 0))']列，源：None 备：ec9ec98e9fc2719e3dd7810ace277ede</t>
  </si>
  <si>
    <t>src行 ['2', 'LINESTRING (116.3 39.9, 116.4 39.8, 116.5 39.7)']列，源：e490502f8d74636e3ba2ce0d34d386c8 备：None</t>
  </si>
  <si>
    <t>src行 ['5', '123', '12345', '1234567890', '1234567890123456', '123456789123456789', '-1234567890123456789012345', '0.0000000000000000000000008', '1234567890123456789012345678', '-123456789012.1234', '123456789123456789', '-1234567890123456789012345', '0.0000000000000000000000008', '1234567890123456789012345678', '-123456789012.12', '6.62607e-34', '2.99792e8', '-500000', '1234.5678', '1']列，源：c6e593562c3caa31e4435a012b742421 备：None</t>
  </si>
  <si>
    <t>tgt行 ['5', 'MULTILINESTRING((0 0,10 10),(5 0,5 10))']列，源：None 备：1cb3912b6e9297a5297616aa2516cd46</t>
  </si>
  <si>
    <t>tgt行 ['5', 'MULTIPOLYGON(((0 0,5 0,5 5,0 5,0 0)),((10 10,15 10,15 15,10 15,10 10)))']列，源：None 备：15fedfeff1b296c5acd671a844d41cdd</t>
  </si>
  <si>
    <t>src行 ['2', 'LINESTRING (0 0, 5 5, 5 10, 0 15)']列，源：1032701efd600073953c0d4d0e01de01 备：None</t>
  </si>
  <si>
    <t>src行 ['4', 'MULTIPOINT ((100 50), (120 60), (140 55))']列，源：7b2cf90824549f3939545d1b1645e2a8 备：None</t>
  </si>
  <si>
    <t>src行 ['1', 'POINT (31.2397 121.4998)']列，源：a2828a5d2bf1355e3d42650f2daf3d4c 备：None</t>
  </si>
  <si>
    <t>src行 ['4', 'MULTIPOINT ((0 0), (10 10), (20 20))']列，源：999ceeeb372c194b7ba6cf164ecc7284 备：None</t>
  </si>
  <si>
    <t>src行 ['6', 'CURVEPOLYGON (CIRCULARSTRING (0 0, 5 5, 10 0, 5 -5, 0 0))']列，源：bb3049ff771cdf8f212a943dc19b66b7 备：None</t>
  </si>
  <si>
    <t>src行 ['11', '', '', '', '', '', '', '', '', '', '', '', '', '', '', '2.23e-308', '1.18e-38', '', '', '']列，源：180603585418dd9fc779811e1e41a72c 备：None</t>
  </si>
  <si>
    <t>src行 ['4', '123', '12345', '1234567890', '1234567890123456', '123456789123456789', '-1234567890123456789012345', '0.0000000000000000000000008', '1234567890123456789012345678', '-123456789012.1234', '123456789123456789', '-1234567890123456789012345', '0.0000000000000000000000008', '1234567890123456789012345678', '-123456789012.12', '6.62607e-34', '2.99792e8', '-500000', '1234.5678', '1']列，源：6a35cd6daa9c0c91a4147ec28b754c37 备：None</t>
  </si>
  <si>
    <t>src行 ['1', 'POINT (-5 5)']列，源：e96ec87f8998d66e38f359e3293050a6 备：None</t>
  </si>
  <si>
    <t>src行 ['6', 'MULTIPOLYGON (((0 0, 5 0, 5 5, 0 5, 0 0)), ((10 10, 15 10, 15 15, 10 15, 10 10)))']列，源：448dd5abd99f27868253ce1cf2df5a24 备：None</t>
  </si>
  <si>
    <t>src行 ['3', 'POLYGON ((114.05 22.54, 114.06 22.54, 114.06 22.55, 114.05 22.55, 114.05 22.54))']列，源：25de53c46384a22a71da113737eef81e 备：None</t>
  </si>
  <si>
    <t>src行 ['8', 'CURVEPOLYGON (CIRCULARSTRING (0 0, 5 5, 10 0, 5 -5, 0 0))']列，源：55d428a40086af43d2b5cdcbc5e4fa18 备：None</t>
  </si>
  <si>
    <t>src行 ['3', 'POLYGON ((0 0, 10 0, 10 10, 0 10, 0 0))']列，源：014c5ed4613ee32861a39fca78334464 备：None</t>
  </si>
  <si>
    <t>src行 ['5', 'MULTIPOLYGON (((0 0, 5 0, 5 5, 0 5, 0 0)), ((10 10, 15 10, 15 15, 10 15, 10 10)))']列，源：e3a5f52d4f0668f57b927bfce7b5f072 备：None</t>
  </si>
  <si>
    <t>src行 ['5', 'MULTILINESTRING ((0 0, 10 10), (5 0, 5 10))']列，源：f111e31363094cc198c00d676f7e40bb 备：None</t>
  </si>
  <si>
    <t>tgt行 ['19', '100', '0', '0', '0', '99999', '', '', '', '-11111.34', '', '', '', '', '', '123.457', '0', '203685477.5808', '214748.3647', '1']列，源：None 备：b34d805821a6f9768d9f3cd049313865</t>
  </si>
  <si>
    <t>tgt行 ['2', '100', '32767', '123456', '1000000', '99999', '100000000000000000000000000000000000000', '1', '10000000000000000000000000000', '-11111.34', '999999999999999999', '100000000000000000000000000000000000000', '1', '10000000000000000000000000000', '9999999999999999.99', '123.457', '0', '203685477.5808', '214748.3647', '1']列，源：None 备：a4b8d9d74f47885ebe8457acec5275b7</t>
  </si>
  <si>
    <t>tgt行 ['3', '100', '0', '0', '0', '99999', '', '', '', '-11111.34', '', '', '', '', '', '123.457', '0', '203685477.5808', '', '1']列，源：None 备：6fefe60a9a5215f92b0de0f785c099fe</t>
  </si>
  <si>
    <t>src行 ['204', '', '', '', '', '', '', '', '', '', '', '', '', '', '', '6.62607e-34', '2.99792e8', '-500000', '1234.5678', '1']列，源：9e207206d0e7121a382964d493006e27 备：None</t>
  </si>
  <si>
    <t>tgt行 ['5', '100', '0', '0', '0', '99999', '', '', '', '-11111.34', '', '', '', '', '', '123.457', '0', '203685477.5808', '', '1']列，源：None 备：6f4b6f5108500a62f1d25016374e060f</t>
  </si>
  <si>
    <t>src行 ['218', '', '', '', '', '', '', '', '', '', '', '', '', '', '', '1.23457e-38', '1.17549e-38', '0.0001', '0.0001', '1']列，源：7afcb7d753f81869f68afb4e2b38c766 备：None</t>
  </si>
  <si>
    <t>tgt行 ['8', '100', '0', '0', '0', '99999', '', '', '', '-11111.34', '', '', '', '', '', '123.457', '0', '203685477.5808', '', '1']列，源：None 备：0b3bfa12d06e108909801626ab548441</t>
  </si>
  <si>
    <t>src行 ['1', '100', '-32768', '123456', '1000000', '', '-100000000000000000000000000000000000000', '-1', '-10000000000000000000000000000', '-888888.22', '-999999999999999999', '-100000000000000000000000000000000000000', '-1', '-10000000000000000000000000000', '-9999999999999999.99', '1.23457e-30', '1.23457e-20', '203685477.5808', '-214748.3648', '0']列，源：9ee4aa83b267119115f30b06449fb949 备：None</t>
  </si>
  <si>
    <t>src行 ['1', '100', '-1', '222222', '500000000', '99999', '-100000000000000000000000000000000000000', '-1', '-10000000000000000000000000000', '-11111.34', '-999999999999999999', '-100000000000000000000000000000000000000', '-1', '-10000000000000000000000000000', '-9999999999999999.99', '123.457', '1.23457e-20', '203685477.5808', '-214748.3648', '1']列，源：01d5f293db4ce912481a88101da21ace 备：None</t>
  </si>
  <si>
    <t>src行 ['2', '100', '32767', '123456', '1000000', '', '100000000000000000000000000000000000000', '1', '10000000000000000000000000000', '-888888.22', '999999999999999999', '100000000000000000000000000000000000000', '1', '10000000000000000000000000000', '9999999999999999.99', '1.23457e-30', '1.23457e-20', '203685477.5808', '214748.3647', '0']列，源：cf698cbd3d249059d7d0832a6e98a1d2 备：None</t>
  </si>
  <si>
    <t>src行 ['2', '100', '32767', '123456', '1000000', '99999', '100000000000000000000000000000000000000', '1', '10000000000000000000000000000', '-11111.34', '999999999999999999', '100000000000000000000000000000000000000', '1', '10000000000000000000000000000', '9999999999999999.99', '123.457', '1.23457e-20', '203685477.5808', '214748.3647', '1']列，源：9aee65a287d874c27275b764063d8300 备：None</t>
  </si>
  <si>
    <t>src行 ['3', '100', '', '123456', '1000000', '', '', '', '', '-888888.22', '', '', '', '', '', '1.23457e-30', '1.23457e-20', '203685477.5808', '', '0']列，源：82e6ea1e400026d4cf2c2ee480304f90 备：None</t>
  </si>
  <si>
    <t>src行 ['3', '100', '0', '0', '0', '99999', '', '', '', '-11111.34', '', '', '', '', '', '123.457', '1.23457e-20', '203685477.5808', '', '1']列，源：a5a35c0f2e267548b2fd5f49f7a51a9c 备：None</t>
  </si>
  <si>
    <t>src行 ['4', '100', '12345', '123456', '1000000', '', '-1234567890123456789012345', '0.0000000000000000000000008', '1234567890123456789012345678', '-888888.22', '123456789123456789', '-1234567890123456789012345', '0.0000000000000000000000008', '1234567890123456789012345678', '-123456789012.12', '1.23457e-30', '1.23457e-20', '203685477.5808', '1234.5678', '0']列，源：912906f0b97f88a60cfcd9efb10efaf5 备：None</t>
  </si>
  <si>
    <t>src行 ['5', '100', '0', '123456', '1000000', '', '', '', '', '-888888.22', '', '', '', '', '', '1.23457e-30', '1.23457e-20', '203685477.5808', '', '0']列，源：83dec4122913e517202e7b570e759e59 备：None</t>
  </si>
  <si>
    <t>src行 ['5', '100', '0', '0', '0', '99999', '', '', '', '-11111.34', '', '', '', '', '', '123.457', '1.23457e-20', '203685477.5808', '', '1']列，源：a8911beafb386686fa70993f13814878 备：None</t>
  </si>
  <si>
    <t>src行 ['6', '100', '255', '123456', '1000000', '', '', '', '', '-888888.22', '', '', '', '', '', '1.23457e-30', '1.23457e-20', '203685477.5808', '', '0']列，源：6a42f328538895704b235029a0b9dfb8 备：None</t>
  </si>
  <si>
    <t>src行 ['6', '100', '0', '0', '0', '', '', '', '', '-888888.22', '', '', '', '', '', '1.23457e-30', '1.23457e-20', '203685477.5808', '', '0']列，源：09a2e0736f55dfefead717e2898198a9 备：None</t>
  </si>
  <si>
    <t>src行 ['7', '100', '32767', '123456', '1000000', '', '', '', '', '-888888.22', '', '', '', '', '', '1.23457e-30', '1.23457e-20', '203685477.5808', '', '0']列，源：58238af55ce1a16065053d96cdf34a87 备：None</t>
  </si>
  <si>
    <t>src行 ['7', '100', '0', '0', '0', '', '', '', '', '-888888.22', '', '', '', '', '', '1.23457e-30', '1.23457e-20', '203685477.5808', '', '0']列，源：da58ed4057d60836474488cc56f91e6b 备：None</t>
  </si>
  <si>
    <t>src行 ['8', '100', '-32768', '123456', '1000000', '', '', '', '', '-888888.22', '', '', '', '', '', '1.23457e-30', '1.23457e-20', '203685477.5808', '', '0']列，源：bc27ec83da37ab173b5f36c985b77ac0 备：None</t>
  </si>
  <si>
    <t>src行 ['8', '100', '0', '0', '0', '99999', '', '', '', '-11111.34', '', '', '', '', '', '123.457', '1.23457e-20', '203685477.5808', '', '1']列，源：bc2452a024490b3b56a5819f88235ec3 备：None</t>
  </si>
  <si>
    <t>src行 ['9', '100', '12345', '123456', '1000000', '', '', '', '', '-888888.22', '', '', '', '', '', '1.23457e-30', '1.23457e-20', '203685477.5808', '', '0']列，源：cfc3d12b0220c12c087f162a6213440b 备：None</t>
  </si>
  <si>
    <t>src行 ['9', '100', '0', '0', '0', '', '', '', '', '-888888.22', '', '', '', '', '', '1.23457e-30', '1.23457e-20', '203685477.5808', '', '0']列，源：eb44a94f994d0618b364a9fbc4e87f03 备：None</t>
  </si>
  <si>
    <t>src行 ['10', '100', '-12345', '123456', '1000000', '', '', '', '', '-888888.22', '', '', '', '', '', '1.23457e-30', '1.23457e-20', '203685477.5808', '', '0']列，源：8fa4d7a4472a3503abf32dfb38cb8e2a 备：None</t>
  </si>
  <si>
    <t>src行 ['10', '100', '0', '0', '0', '99999', '', '', '', '-11111.34', '', '', '', '', '', '123.457', '1.23457e-20', '203685477.5808', '', '1']列，源：acff41a1bc9b6c71de1f34b04be34f22 备：None</t>
  </si>
  <si>
    <t>src行 ['11', '100', '20000', '123456', '1000000', '', '', '', '', '-888888.22', '', '', '', '', '', '1.23457e-30', '1.23457e-20', '203685477.5808', '', '0']列，源：091f296242752c05b0899d4231662c16 备：None</t>
  </si>
  <si>
    <t>src行 ['11', '100', '0', '0', '0', '', '', '', '', '-888888.22', '', '', '', '', '', '1.23457e-30', '1.23457e-20', '203685477.5808', '', '0']列，源：67a99fcb3d9e4dc328f354caab4cd4fb 备：None</t>
  </si>
  <si>
    <t>src行 ['12', '100', '', '123456', '1000000', '', '12345678901234567890123789010000000', '0.1234567890123459012345678901', '123456789012367012345678.1246', '-888888.22', '988', '987654321098765410987654321100000000', '0.9876543210987432109876543211', '987654321098765432105432.1099', '1234567012456.78', '1.23457e-30', '1.23457e-20', '203685477.5808', '', '0']列，源：054378f4caa883ba5b71305a4767f0e1 备：None</t>
  </si>
  <si>
    <t>src行 ['13', '100', '', '123456', '1000000', '', '-123456780123456781234589012300000', '-0.4567890123479234567890145679', '-123456789012347890345678.9874', '-888888.22', '-321', '-987654321096543210987654321100000000', '-0.1234569012345671234567890123', '-6543210976543287654321.098765', '-9876543210954.32', '1.23457e-30', '1.23457e-20', '203685477.5808', '', '0']列，源：5929afe3249fcd43de854507f9ad0928 备：None</t>
  </si>
  <si>
    <t>src行 ['14', '100', '', '123456', '1000000', '', '100000000000000000000000000000000', '1', '9999999999999999999999.999999', '-888888.22', '100000000000000', '999999999999999999999', '0.999999999999999999999999999', '999999999999999999999.999999', '9999999999.99', '1.23457e-30', '1.23457e-20', '203685477.5808', '', '0']列，源：a8087e920d9aa2277bb7bc5c65ec2177 备：None</t>
  </si>
  <si>
    <t>src行 ['15', '100', '', '123456', '1000000', '', '1', '0.000000000000000000000000001', '0.000000001', '-888888.22', '0', '1', '0.000000000000000000000000000001', '0.000001', '0.01', '1.23457e-30', '1.23457e-20', '203685477.5808', '', '0']列，源：42b6f501036cc230acc38826a9ac4e9a 备：None</t>
  </si>
  <si>
    <t>src行 ['16', '100', '', '123456', '1000000', '', '', '', '', '-888888.22', '', '', '', '', '', '1.23457e-30', '1.23457e-20', '203685477.5808', '1234.5678', '0']列，源：fe557a71dbb110d54d84dda2cb453108 备：None</t>
  </si>
  <si>
    <t>src行 ['16', '100', '0', '0', '0', '', '', '', '', '-888888.22', '', '', '', '', '', '1.23457e-30', '1.23457e-20', '203685477.5808', '1234.5678', '0']列，源：b6e20cbfc1afef4d13a8dd823f2ec51e 备：None</t>
  </si>
  <si>
    <t>src行 ['17', '100', '', '123456', '1000000', '', '', '', '', '-888888.22', '', '', '', '', '', '1.23457e-30', '1.23457e-20', '203685477.5808', '-1234.5678', '0']列，源：fae7440ebdbc53fad5d47eb9dd19a6a4 备：None</t>
  </si>
  <si>
    <t>src行 ['17', '100', '0', '0', '0', '', '', '', '', '-888888.22', '', '', '', '', '', '1.23457e-30', '1.23457e-20', '203685477.5808', '-1234.5678', '0']列，源：c166b27b13cd7807f088c4e11a3800cf 备：None</t>
  </si>
  <si>
    <t>src行 ['18', '100', '', '123456', '1000000', '', '', '', '', '-888888.22', '', '', '', '', '', '1.23457e-30', '1.23457e-20', '203685477.5808', '0.0001', '0']列，源：8c86579e4fe3107c3dc7a5199b075eff 备：None</t>
  </si>
  <si>
    <t>src行 ['18', '100', '0', '0', '0', '', '', '', '', '-888888.22', '', '', '', '', '', '1.23457e-30', '1.23457e-20', '203685477.5808', '0.0001', '0']列，源：9bc82377c90bf23c895d0790baf15c7d 备：None</t>
  </si>
  <si>
    <t>src行 ['19', '100', '', '123456', '1000000', '', '', '', '', '-888888.22', '', '', '', '', '', '1.23457e-30', '1.23457e-20', '203685477.5808', '214748.3647', '0']列，源：d80ddd6684115a7566050fa74ceb39a9 备：None</t>
  </si>
  <si>
    <t>src行 ['19', '100', '0', '0', '0', '99999', '', '', '', '-11111.34', '', '', '', '', '', '123.457', '1.23457e-20', '203685477.5808', '214748.3647', '1']列，源：06950814492f05dc89709021868ad176 备：None</t>
  </si>
  <si>
    <t>src行 ['20', '100', '', '123456', '1000000', '', '', '', '', '-888888.22', '', '', '', '', '', '1.23457e-30', '1.23457e-20', '203685477.5808', '-214748.3648', '0']列，源：5f10c8b235e36d4bc0af9bdd93559c51 备：None</t>
  </si>
  <si>
    <t>src行 ['20', '100', '0', '0', '0', '', '', '', '', '-888888.22', '', '', '', '', '', '1.23457e-30', '1.23457e-20', '203685477.5808', '-214748.3648', '0']列，源：0782340f49b1b649e2d9bf6bbfee6151 备：None</t>
  </si>
  <si>
    <t>tgt行 ['2', '2020-02-29 00:00:00.000000', '2026-04-20 23:59:59.999999', '2046-05-11 14:30:45.123456', '1971-05-11 00:00:00.000000', '0', '-32768', '-2147483648', '2023-10-01 14:30:00.000000',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'$TooLong英255Val方&amp;   ']列，源：None 备：9a2cbbf5686cce15f1138a0ccaf746c4</t>
  </si>
  <si>
    <t>tgt行 ['1', '2046-05-11 00:00:00.000000', '2026-04-20 18:10:06.123456', '2012-05-11 14:30:45.123456', '1999-05-11 15:30:45.123456', '255', '32767', '2147483647', '2012-10-01 14:30:00.000000', '0', '922337203685477.5807', '2000-05-01 23:59:59.993000', '6.62607e-34', '1', '123456789012.1234', 'B6B0C3D4-E8F9-4A5B-6C7D-8E9F0A1B2C3E', '1234.5678', '1234567890123', '0x7661726961626C65206C656E6774682062696E61', '这是一个中文字符串', '0xBAA32324255E262A2D3D0000000000000000', '*TEST英255Val方&amp;    ', '*TEST英255Val方&amp;', '&amp;TooLong英255Val方!   ']列，源：None 备：2ed4310c58cf7da728e66f70d4eee631</t>
  </si>
  <si>
    <t>tgt行 ['3', '2034-02-21 00:00:00.000000', '2026-04-20 03:59:59.999999', '2012-05-11 14:30:45.123456', '1991-05-11 00:00:00.000000', '10', '-12768', '-147483648', '2013-10-01 14:30:00.000000', '-1.4e+38', '-122337203685477.5808', '1999-12-30 23:59:59.997000', '-1.79e+30', '1', '-2000000000000', 'C1B0C3D4-E8F9-4A5B-6C7D-8E9F0A1B2C3D', '2026-04-20 11:47:48.364800', '-1223372036854775808', '0x31313131313031323334353637383930', '!TooLong英255Val方&amp;', '0x4023D3A2B7BDC8EDBCFEB9C9B7DDB9ABCBBE0000', '*TooLong英255Val方&amp; ', '~Long英255Val方&amp;', '`Long英255Val方&amp;      ']列，源：None 备：ae3d15189ee1b13560204d5dcc858afb</t>
  </si>
  <si>
    <t>tgt行 ['4', '2054-02-21 00:00:00.000000', '2026-04-20 23:19:59.999999', '2002-05-11 14:30:45.123456', '1991-05-11 00:00:00.000000', '77', '1768-04-20 00:00:00.000000', '-17483648', '2023-09-01 14:30:00.000000', '-1.4e+38', '-12337203685477.5808', '1995-12-30 23:59:59.997000', '-1.79e+30', '0', '-2000000000000', 'C1B0C3D4-E8F9-4A5B-6C7D-8E9F0A1B2C3D', '2026-04-20 11:47:48.364800', '-1223372036854775808', '0x31313131313031323334353637383930', '!TooLong英255Val方&amp;', '0x4023D3A2B7BDC8EDBCFEB9C9B7DDB9ABCBBE0000', '*TooLong英255Val方&amp; ', '~Long英255Val方&amp;', '`Long英255Val方&amp;      ']列，源：None 备：77606930f394e1b92b624c6a350e50e8</t>
  </si>
  <si>
    <t>src行 ['2', '2020-02-29 00:00:00.000000', '2026-04-20 23:59:00.000000', '2046-05-11 14:30:00.000000', '1971-05-11 00:00:00.000000',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'$TooLong英255Val方&amp;   ']列，源：d1dce2821cf1b3270d86400b76bc0eeb 备：None</t>
  </si>
  <si>
    <t>src行 ['1', '2046-05-11 00:00:00.000000', '2026-04-20 18:10:00.000000', '2012-05-11 14:30:00.000000', '1999-05-11 15:30:00.000000', '255', '32767', '2147483647', '2012-10-01 14:30:00.000000', '0', '922337203685477.5807', '2000-05-01 23:59:00.000000', '6.62607e-034', '1', '123456789012.1234', 'B6B0C3D4-E8F9-4A5B-6C7D-8E9F0A1B2C3E', '1234.5678', '1234567890123', '0x7661726961626C65206C656E6774682062696E61', '这是一个中文字符串', '0xC9CFBAA32324255E262A2D3D0000000000000000', '*TEST英255Val方&amp;    ', '*TEST英255Val方&amp;', '&amp;TooLong英255Val方!   ']列，源：7a6968f0f64381dc67d552466da6b363 备：None</t>
  </si>
  <si>
    <t>src行 ['3', '2034-02-21 00:00:00.000000', '2026-04-20 03:59:00.000000', '2012-05-11 14:30:00.000000', '1991-05-11 00:00:00.000000', '10', '-12768', '-147483648', '2013-10-01 14:30:00.000000', '-1.4e+038', '-122337203685477.58', '1999-12-30 23:59:00.000000', '-1.79e+030', '1', '-2000000000000', 'C1B0C3D4-E8F9-4A5B-6C7D-8E9F0A1B2C3D', '2026-04-20 11:47:48.360000', '-1223372036854775808', '0x31313131313031323334353637383930', '!TooLong英255Val方&amp;', '0x4023D3A2B7BDC8EDBCFEB9C9B7DDB9ABCBBE0000', '*TooLong英255Val方&amp; ', '~Long英255Val方&amp;', '`Long英255Val方&amp;      ']列，源：f26c5431dd7b44d46c81c05c4effecb4 备：None</t>
  </si>
  <si>
    <t>src行 ['4', '2054-02-21 00:00:00.000000', '2026-04-20 23:19:00.000000', '2002-05-11 14:30:00.000000', '1991-05-11 00:00:00.000000', '77', '1768-04-20 00:00:00.000000', '-17483648', '2023-09-01 14:30:00.000000', '-1.4e+038', '-12337203685477.58', '1995-12-30 23:59:00.000000', '-1.79e+030', '0', '-2000000000000', 'C1B0C3D4-E8F9-4A5B-6C7D-8E9F0A1B2C3D', '2026-04-20 11:47:48.360000', '-1223372036854775808', '0x31313131313031323334353637383930', '!TooLong英255Val方&amp;', '0x4023D3A2B7BDC8EDBCFEB9C9B7DDB9ABCBBE0000', '*TooLong英255Val方&amp; ', '~Long英255Val方&amp;', '`Long英255Val方&amp;      ']列，源：2f6f7ebe9c6a94fb8b076128400b65d5 备：None</t>
  </si>
  <si>
    <t>sqlserver -- 2026042017hbase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</si>
</sst>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rgb="FF0000FF"/>
      <name val="宋体"/>
      <charset val="134"/>
      <scheme val="minor"/>
    </font>
    <font>
      <u/>
      <sz val="11"/>
      <color rgb="FF0000FF"/>
      <name val="宋体"/>
      <charset val="0"/>
      <scheme val="minor"/>
    </font>
    <font>
      <sz val="11"/>
      <color rgb="FF800080"/>
      <name val="宋体"/>
      <charset val="134"/>
      <scheme val="minor"/>
    </font>
    <font>
      <sz val="11"/>
      <name val="宋体"/>
      <charset val="134"/>
      <scheme val="minor"/>
    </font>
    <font>
      <sz val="11"/>
      <color theme="4" tint="0.6"/>
      <name val="宋体"/>
      <charset val="134"/>
      <scheme val="minor"/>
    </font>
    <font>
      <sz val="11"/>
      <color theme="9"/>
      <name val="宋体"/>
      <charset val="134"/>
      <scheme val="minor"/>
    </font>
    <font>
      <b/>
      <sz val="11"/>
      <color theme="1"/>
      <name val="宋体"/>
      <charset val="134"/>
      <scheme val="minor"/>
    </font>
    <font>
      <sz val="10"/>
      <color rgb="FF008000"/>
      <name val="Courier New"/>
      <charset val="134"/>
    </font>
    <font>
      <sz val="10.5"/>
      <color rgb="FF4F4F4F"/>
      <name val="Arial"/>
      <charset val="134"/>
    </font>
    <font>
      <sz val="11"/>
      <color rgb="FFFF0000"/>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11" fillId="0" borderId="0">
      <alignment vertical="center"/>
    </xf>
    <xf numFmtId="0" fontId="0" fillId="5" borderId="1">
      <alignment vertical="center"/>
    </xf>
    <xf numFmtId="0" fontId="12" fillId="0" borderId="0">
      <alignment vertical="center"/>
    </xf>
    <xf numFmtId="0" fontId="13" fillId="0" borderId="0">
      <alignment vertical="center"/>
    </xf>
    <xf numFmtId="0" fontId="14" fillId="0" borderId="0">
      <alignment vertical="center"/>
    </xf>
    <xf numFmtId="0" fontId="15" fillId="0" borderId="2">
      <alignment vertical="center"/>
    </xf>
    <xf numFmtId="0" fontId="16" fillId="0" borderId="2">
      <alignment vertical="center"/>
    </xf>
    <xf numFmtId="0" fontId="17" fillId="0" borderId="3">
      <alignment vertical="center"/>
    </xf>
    <xf numFmtId="0" fontId="17" fillId="0" borderId="0">
      <alignment vertical="center"/>
    </xf>
    <xf numFmtId="0" fontId="18" fillId="6" borderId="4">
      <alignment vertical="center"/>
    </xf>
    <xf numFmtId="0" fontId="19" fillId="7" borderId="5">
      <alignment vertical="center"/>
    </xf>
    <xf numFmtId="0" fontId="20" fillId="7" borderId="4">
      <alignment vertical="center"/>
    </xf>
    <xf numFmtId="0" fontId="21" fillId="8" borderId="6">
      <alignment vertical="center"/>
    </xf>
    <xf numFmtId="0" fontId="22" fillId="0" borderId="7">
      <alignment vertical="center"/>
    </xf>
    <xf numFmtId="0" fontId="23" fillId="0" borderId="8">
      <alignment vertical="center"/>
    </xf>
    <xf numFmtId="0" fontId="24" fillId="9" borderId="0">
      <alignment vertical="center"/>
    </xf>
    <xf numFmtId="0" fontId="25" fillId="10" borderId="0">
      <alignment vertical="center"/>
    </xf>
    <xf numFmtId="0" fontId="26" fillId="11" borderId="0">
      <alignment vertical="center"/>
    </xf>
    <xf numFmtId="0" fontId="27" fillId="12" borderId="0">
      <alignment vertical="center"/>
    </xf>
    <xf numFmtId="0" fontId="28" fillId="13" borderId="0">
      <alignment vertical="center"/>
    </xf>
    <xf numFmtId="0" fontId="28" fillId="14" borderId="0">
      <alignment vertical="center"/>
    </xf>
    <xf numFmtId="0" fontId="27" fillId="15" borderId="0">
      <alignment vertical="center"/>
    </xf>
    <xf numFmtId="0" fontId="27" fillId="16" borderId="0">
      <alignment vertical="center"/>
    </xf>
    <xf numFmtId="0" fontId="28" fillId="17" borderId="0">
      <alignment vertical="center"/>
    </xf>
    <xf numFmtId="0" fontId="28" fillId="18" borderId="0">
      <alignment vertical="center"/>
    </xf>
    <xf numFmtId="0" fontId="27" fillId="19" borderId="0">
      <alignment vertical="center"/>
    </xf>
    <xf numFmtId="0" fontId="27" fillId="20" borderId="0">
      <alignment vertical="center"/>
    </xf>
    <xf numFmtId="0" fontId="28" fillId="21" borderId="0">
      <alignment vertical="center"/>
    </xf>
    <xf numFmtId="0" fontId="28" fillId="22" borderId="0">
      <alignment vertical="center"/>
    </xf>
    <xf numFmtId="0" fontId="27" fillId="23" borderId="0">
      <alignment vertical="center"/>
    </xf>
    <xf numFmtId="0" fontId="27" fillId="24" borderId="0">
      <alignment vertical="center"/>
    </xf>
    <xf numFmtId="0" fontId="28" fillId="25" borderId="0">
      <alignment vertical="center"/>
    </xf>
    <xf numFmtId="0" fontId="28" fillId="26" borderId="0">
      <alignment vertical="center"/>
    </xf>
    <xf numFmtId="0" fontId="27" fillId="27" borderId="0">
      <alignment vertical="center"/>
    </xf>
    <xf numFmtId="0" fontId="27" fillId="28" borderId="0">
      <alignment vertical="center"/>
    </xf>
    <xf numFmtId="0" fontId="28" fillId="29" borderId="0">
      <alignment vertical="center"/>
    </xf>
    <xf numFmtId="0" fontId="28" fillId="30" borderId="0">
      <alignment vertical="center"/>
    </xf>
    <xf numFmtId="0" fontId="27" fillId="31" borderId="0">
      <alignment vertical="center"/>
    </xf>
    <xf numFmtId="0" fontId="27" fillId="32" borderId="0">
      <alignment vertical="center"/>
    </xf>
    <xf numFmtId="0" fontId="28" fillId="33" borderId="0">
      <alignment vertical="center"/>
    </xf>
    <xf numFmtId="0" fontId="28" fillId="34" borderId="0">
      <alignment vertical="center"/>
    </xf>
    <xf numFmtId="0" fontId="27" fillId="35" borderId="0">
      <alignment vertical="center"/>
    </xf>
  </cellStyleXfs>
  <cellXfs count="19">
    <xf numFmtId="0" fontId="0" fillId="0" borderId="0" xfId="0" applyAlignment="1">
      <alignment vertical="center"/>
    </xf>
    <xf numFmtId="0" fontId="1" fillId="0" borderId="0" xfId="0" applyFont="1" applyAlignment="1"/>
    <xf numFmtId="0" fontId="0" fillId="0" borderId="0" xfId="0" applyAlignment="1"/>
    <xf numFmtId="0" fontId="2" fillId="0" borderId="0" xfId="6" applyAlignment="1">
      <alignment vertical="center"/>
    </xf>
    <xf numFmtId="0" fontId="3" fillId="0" borderId="0" xfId="0" applyFont="1" applyAlignment="1"/>
    <xf numFmtId="49" fontId="0" fillId="0" borderId="0" xfId="0" applyNumberFormat="1" applyAlignment="1">
      <alignment vertical="center"/>
    </xf>
    <xf numFmtId="0" fontId="4" fillId="2" borderId="0" xfId="0" applyFont="1" applyFill="1" applyAlignment="1">
      <alignment vertical="center"/>
    </xf>
    <xf numFmtId="0" fontId="5"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4" fillId="0" borderId="0" xfId="0" applyFont="1" applyAlignment="1">
      <alignment vertical="center"/>
    </xf>
    <xf numFmtId="0" fontId="6" fillId="0" borderId="0" xfId="0" applyFont="1" applyAlignment="1">
      <alignment vertical="center"/>
    </xf>
    <xf numFmtId="0" fontId="7" fillId="0" borderId="0" xfId="0" applyFont="1" applyAlignment="1">
      <alignment horizontal="center" vertical="center"/>
    </xf>
    <xf numFmtId="49" fontId="0" fillId="0" borderId="0" xfId="0" applyNumberFormat="1" applyAlignment="1"/>
    <xf numFmtId="0" fontId="8" fillId="0" borderId="0" xfId="0" applyFont="1" applyAlignment="1">
      <alignment vertical="center" wrapText="1"/>
    </xf>
    <xf numFmtId="0" fontId="0" fillId="0" borderId="0" xfId="0" applyAlignment="1">
      <alignment horizontal="left" vertical="center" wrapText="1"/>
    </xf>
    <xf numFmtId="0" fontId="9" fillId="0" borderId="0" xfId="0" applyFont="1" applyAlignment="1">
      <alignment vertical="center"/>
    </xf>
    <xf numFmtId="0" fontId="0" fillId="0" borderId="0" xfId="0" applyAlignment="1">
      <alignment wrapText="1"/>
    </xf>
    <xf numFmtId="0" fontId="10"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L85"/>
  <sheetViews>
    <sheetView topLeftCell="A61" workbookViewId="0">
      <selection activeCell="I64" sqref="I64"/>
    </sheetView>
  </sheetViews>
  <sheetFormatPr defaultColWidth="9" defaultRowHeight="13.5"/>
  <cols>
    <col min="1" max="1" width="29.125" style="2" customWidth="1"/>
    <col min="2" max="2" width="49.875" style="2" customWidth="1"/>
    <col min="3" max="3" width="29.125" style="2" customWidth="1"/>
    <col min="5" max="5" width="24.875" style="2" customWidth="1"/>
    <col min="6" max="6" width="26.125" style="2" customWidth="1"/>
    <col min="12" max="12" width="41.625" style="2" customWidth="1"/>
  </cols>
  <sheetData>
    <row r="1" spans="1:6">
      <c r="C1" t="s">
        <v>0</v>
      </c>
      <c r="D1" t="s">
        <v>1</v>
      </c>
      <c r="E1" t="s">
        <v>2</v>
      </c>
    </row>
    <row r="2" spans="1:6">
      <c r="A2" t="s">
        <v>3</v>
      </c>
      <c r="B2" t="s">
        <v>4</v>
      </c>
      <c r="F2" t="s">
        <v>5</v>
      </c>
    </row>
    <row r="3" spans="1:6">
      <c r="A3" t="s">
        <v>6</v>
      </c>
      <c r="B3"/>
      <c r="C3" t="s">
        <v>7</v>
      </c>
      <c r="D3" t="s">
        <v>8</v>
      </c>
      <c r="E3">
        <v>1</v>
      </c>
      <c r="F3" s="6" t="s">
        <v>9</v>
      </c>
    </row>
    <row r="4" spans="1:6">
      <c r="B4" s="7" t="s">
        <v>10</v>
      </c>
      <c r="E4">
        <v>2</v>
      </c>
      <c r="F4" s="6" t="s">
        <v>11</v>
      </c>
    </row>
    <row r="5" spans="1:6">
      <c r="A5" t="s">
        <v>12</v>
      </c>
      <c r="B5" s="7" t="s">
        <v>13</v>
      </c>
      <c r="E5">
        <v>3</v>
      </c>
      <c r="F5" s="6" t="s">
        <v>14</v>
      </c>
    </row>
    <row r="6" spans="1:6">
      <c r="E6">
        <v>4</v>
      </c>
      <c r="F6" s="6" t="s">
        <v>15</v>
      </c>
    </row>
    <row r="7" spans="1:6">
      <c r="A7" t="s">
        <v>16</v>
      </c>
    </row>
    <row r="8" spans="1:6">
      <c r="A8" t="s">
        <v>17</v>
      </c>
    </row>
    <row r="9" spans="1:6">
      <c r="A9" s="8" t="s">
        <v>18</v>
      </c>
    </row>
    <row r="10" spans="1:6">
      <c r="A10" t="s">
        <v>19</v>
      </c>
    </row>
    <row r="11" spans="1:6">
      <c r="A11" t="s">
        <v>20</v>
      </c>
    </row>
    <row r="12" spans="1:6">
      <c r="A12" t="s">
        <v>21</v>
      </c>
    </row>
    <row r="14" spans="1:6">
      <c r="A14" t="s">
        <v>22</v>
      </c>
      <c r="B14" t="s">
        <v>23</v>
      </c>
      <c r="E14" t="s">
        <v>24</v>
      </c>
    </row>
    <row r="15" spans="1:6">
      <c r="B15" t="s">
        <v>25</v>
      </c>
    </row>
    <row r="16" spans="1:6">
      <c r="B16" t="s">
        <v>26</v>
      </c>
    </row>
    <row r="19" spans="1:12">
      <c r="B19" t="s">
        <v>27</v>
      </c>
    </row>
    <row r="20" spans="1:12">
      <c r="B20" s="9" t="s">
        <v>28</v>
      </c>
      <c r="E20" s="10" t="s">
        <v>12</v>
      </c>
      <c r="F20" s="10" t="s">
        <v>3</v>
      </c>
      <c r="G20" s="10" t="s">
        <v>29</v>
      </c>
      <c r="H20" s="10" t="s">
        <v>18</v>
      </c>
      <c r="I20" s="10" t="s">
        <v>21</v>
      </c>
      <c r="J20" s="11" t="s">
        <v>30</v>
      </c>
      <c r="K20">
        <v>1</v>
      </c>
      <c r="L20" t="s">
        <v>31</v>
      </c>
    </row>
    <row r="21" spans="1:12">
      <c r="B21" t="s">
        <v>24</v>
      </c>
      <c r="K21">
        <v>2</v>
      </c>
      <c r="L21" t="s">
        <v>32</v>
      </c>
    </row>
    <row r="22" spans="1:12">
      <c r="A22" t="s">
        <v>33</v>
      </c>
      <c r="K22">
        <v>3</v>
      </c>
      <c r="L22" t="s">
        <v>34</v>
      </c>
    </row>
    <row r="23" spans="1:12">
      <c r="A23" t="s">
        <v>35</v>
      </c>
      <c r="B23" t="s">
        <v>36</v>
      </c>
      <c r="K23">
        <v>4</v>
      </c>
      <c r="L23" t="s">
        <v>37</v>
      </c>
    </row>
    <row r="24" spans="1:12">
      <c r="A24"/>
      <c r="K24">
        <v>5</v>
      </c>
    </row>
    <row r="25" spans="1:12">
      <c r="A25" t="s">
        <v>38</v>
      </c>
      <c r="B25" t="s">
        <v>39</v>
      </c>
      <c r="K25">
        <v>6</v>
      </c>
    </row>
    <row r="26" spans="1:12">
      <c r="A26" t="s">
        <v>40</v>
      </c>
    </row>
    <row r="28" spans="1:12">
      <c r="A28" s="12" t="s">
        <v>33</v>
      </c>
      <c r="C28" s="12" t="s">
        <v>41</v>
      </c>
      <c r="D28" t="s">
        <v>42</v>
      </c>
      <c r="E28" t="s">
        <v>43</v>
      </c>
      <c r="F28" t="s">
        <v>44</v>
      </c>
      <c r="G28" t="s">
        <v>45</v>
      </c>
      <c r="H28" t="s">
        <v>46</v>
      </c>
    </row>
    <row r="29" spans="1:12">
      <c r="A29" t="s">
        <v>35</v>
      </c>
      <c r="B29" t="s">
        <v>36</v>
      </c>
      <c r="C29" t="s">
        <v>47</v>
      </c>
    </row>
    <row r="30" spans="1:12">
      <c r="A30" t="s">
        <v>38</v>
      </c>
      <c r="B30" t="s">
        <v>39</v>
      </c>
      <c r="C30" t="s">
        <v>48</v>
      </c>
    </row>
    <row r="31" spans="1:12">
      <c r="A31" t="s">
        <v>40</v>
      </c>
    </row>
    <row r="32" spans="1:12">
      <c r="A32" t="s">
        <v>49</v>
      </c>
    </row>
    <row r="33" spans="1:10">
      <c r="A33" t="s">
        <v>50</v>
      </c>
    </row>
    <row r="35" spans="1:10">
      <c r="A35" t="s">
        <v>51</v>
      </c>
      <c r="B35" t="s">
        <v>52</v>
      </c>
    </row>
    <row r="36" spans="1:10">
      <c r="A36" t="s">
        <v>53</v>
      </c>
      <c r="B36" s="13" t="s">
        <v>54</v>
      </c>
    </row>
    <row r="37" spans="1:10">
      <c r="A37" t="s">
        <v>55</v>
      </c>
      <c r="B37" t="s">
        <v>56</v>
      </c>
    </row>
    <row r="38" spans="1:10">
      <c r="A38" t="s">
        <v>57</v>
      </c>
      <c r="B38" t="s">
        <v>58</v>
      </c>
    </row>
    <row r="39" spans="1:10">
      <c r="B39"/>
      <c r="F39" t="s">
        <v>59</v>
      </c>
      <c r="H39" t="s">
        <v>60</v>
      </c>
      <c r="I39" t="s">
        <v>61</v>
      </c>
    </row>
    <row r="40" spans="1:10">
      <c r="A40" t="s">
        <v>62</v>
      </c>
      <c r="C40" t="s">
        <v>63</v>
      </c>
      <c r="D40" t="s">
        <v>64</v>
      </c>
      <c r="G40" t="s">
        <v>65</v>
      </c>
      <c r="H40" t="s">
        <v>66</v>
      </c>
    </row>
    <row r="41" spans="1:10">
      <c r="A41" t="s">
        <v>67</v>
      </c>
      <c r="B41" s="13"/>
      <c r="C41" t="s">
        <v>68</v>
      </c>
      <c r="D41" t="s">
        <v>12</v>
      </c>
      <c r="G41" t="s">
        <v>69</v>
      </c>
      <c r="J41" t="s">
        <v>70</v>
      </c>
    </row>
    <row r="42" spans="1:10">
      <c r="A42" t="s">
        <v>71</v>
      </c>
      <c r="C42" t="s">
        <v>72</v>
      </c>
      <c r="D42" t="s">
        <v>3</v>
      </c>
      <c r="G42" s="14" t="s">
        <v>73</v>
      </c>
      <c r="J42" t="s">
        <v>74</v>
      </c>
    </row>
    <row r="43" spans="1:10">
      <c r="A43" t="s">
        <v>75</v>
      </c>
      <c r="C43" t="s">
        <v>76</v>
      </c>
      <c r="D43" t="s">
        <v>6</v>
      </c>
    </row>
    <row r="44" spans="1:10">
      <c r="A44" t="s">
        <v>77</v>
      </c>
      <c r="D44" t="s">
        <v>78</v>
      </c>
    </row>
    <row r="45" spans="1:10">
      <c r="A45" t="s">
        <v>79</v>
      </c>
      <c r="C45" t="s">
        <v>80</v>
      </c>
      <c r="D45" t="s">
        <v>81</v>
      </c>
    </row>
    <row r="46" spans="1:10">
      <c r="C46" t="s">
        <v>82</v>
      </c>
    </row>
    <row r="47" spans="1:10">
      <c r="C47" t="s">
        <v>83</v>
      </c>
    </row>
    <row r="49" spans="1:3">
      <c r="B49" t="s">
        <v>84</v>
      </c>
      <c r="C49"/>
    </row>
    <row r="50" ht="130" customHeight="1" spans="1:3">
      <c r="B50" s="15" t="s">
        <v>85</v>
      </c>
      <c r="C50" t="s">
        <v>86</v>
      </c>
    </row>
    <row r="51" spans="1:3">
      <c r="A51" t="s">
        <v>87</v>
      </c>
      <c r="B51" t="s">
        <v>88</v>
      </c>
    </row>
    <row r="52" spans="1:3">
      <c r="A52" t="s">
        <v>89</v>
      </c>
      <c r="B52" t="s">
        <v>90</v>
      </c>
      <c r="C52" t="s">
        <v>91</v>
      </c>
    </row>
    <row r="53" spans="1:3">
      <c r="A53" t="s">
        <v>92</v>
      </c>
      <c r="C53" t="s">
        <v>93</v>
      </c>
    </row>
    <row r="54" spans="1:3">
      <c r="A54" t="s">
        <v>94</v>
      </c>
      <c r="C54" t="s">
        <v>95</v>
      </c>
    </row>
    <row r="55" spans="1:3">
      <c r="A55" t="s">
        <v>96</v>
      </c>
      <c r="B55" t="s">
        <v>97</v>
      </c>
    </row>
    <row r="56" spans="1:3">
      <c r="A56" t="s">
        <v>98</v>
      </c>
      <c r="B56" s="16" t="s">
        <v>99</v>
      </c>
    </row>
    <row r="57" spans="1:3">
      <c r="A57" t="s">
        <v>100</v>
      </c>
      <c r="B57" t="s">
        <v>101</v>
      </c>
      <c r="C57" t="s">
        <v>102</v>
      </c>
    </row>
    <row r="58" spans="1:3">
      <c r="A58" t="s">
        <v>103</v>
      </c>
      <c r="C58" t="s">
        <v>104</v>
      </c>
    </row>
    <row r="59" spans="1:3">
      <c r="A59" t="s">
        <v>105</v>
      </c>
      <c r="C59" t="s">
        <v>106</v>
      </c>
    </row>
    <row r="60" spans="1:3">
      <c r="A60" t="s">
        <v>107</v>
      </c>
      <c r="C60" t="s">
        <v>108</v>
      </c>
    </row>
    <row r="61" ht="175.5" customHeight="1" spans="1:3">
      <c r="A61" t="s">
        <v>109</v>
      </c>
      <c r="C61" s="17" t="s">
        <v>110</v>
      </c>
    </row>
    <row r="62" spans="1:3">
      <c r="A62" t="s">
        <v>111</v>
      </c>
      <c r="B62" t="s">
        <v>112</v>
      </c>
      <c r="C62" t="s">
        <v>113</v>
      </c>
    </row>
    <row r="63" spans="1:3">
      <c r="A63" t="s">
        <v>114</v>
      </c>
      <c r="B63" t="s">
        <v>115</v>
      </c>
      <c r="C63" t="s">
        <v>116</v>
      </c>
    </row>
    <row r="64" spans="1:3">
      <c r="A64" t="s">
        <v>117</v>
      </c>
      <c r="B64" t="s">
        <v>118</v>
      </c>
      <c r="C64" t="s">
        <v>119</v>
      </c>
    </row>
    <row r="65" spans="1:6">
      <c r="A65" t="s">
        <v>120</v>
      </c>
      <c r="B65" t="s">
        <v>121</v>
      </c>
      <c r="C65" t="s">
        <v>122</v>
      </c>
    </row>
    <row r="66" spans="1:6">
      <c r="A66" t="s">
        <v>123</v>
      </c>
      <c r="C66" t="s">
        <v>124</v>
      </c>
    </row>
    <row r="67" spans="1:6">
      <c r="A67" t="s">
        <v>125</v>
      </c>
    </row>
    <row r="68" spans="1:6">
      <c r="C68" t="s">
        <v>126</v>
      </c>
    </row>
    <row r="69" spans="1:6">
      <c r="A69" t="s">
        <v>127</v>
      </c>
      <c r="C69" t="s">
        <v>128</v>
      </c>
      <c r="D69" t="s">
        <v>129</v>
      </c>
      <c r="E69" t="s">
        <v>130</v>
      </c>
      <c r="F69" t="s">
        <v>131</v>
      </c>
    </row>
    <row r="70" spans="1:6">
      <c r="A70" t="s">
        <v>132</v>
      </c>
      <c r="D70">
        <v>1</v>
      </c>
      <c r="E70" t="s">
        <v>133</v>
      </c>
      <c r="F70" s="18" t="s">
        <v>134</v>
      </c>
    </row>
    <row r="71" spans="1:6">
      <c r="A71" t="s">
        <v>135</v>
      </c>
      <c r="F71" t="s">
        <v>136</v>
      </c>
    </row>
    <row r="72" spans="1:6">
      <c r="A72" t="s">
        <v>137</v>
      </c>
      <c r="D72">
        <v>2</v>
      </c>
      <c r="E72" t="s">
        <v>138</v>
      </c>
      <c r="F72" t="s">
        <v>139</v>
      </c>
    </row>
    <row r="73" spans="1:6">
      <c r="A73"/>
      <c r="F73" t="s">
        <v>140</v>
      </c>
    </row>
    <row r="74" spans="1:6">
      <c r="A74" t="s">
        <v>141</v>
      </c>
      <c r="D74">
        <v>3</v>
      </c>
      <c r="E74" t="s">
        <v>142</v>
      </c>
      <c r="F74" t="s">
        <v>143</v>
      </c>
    </row>
    <row r="75" spans="1:6">
      <c r="A75" t="s">
        <v>144</v>
      </c>
      <c r="F75" t="s">
        <v>145</v>
      </c>
    </row>
    <row r="76" spans="1:6">
      <c r="A76" t="s">
        <v>146</v>
      </c>
    </row>
    <row r="77" spans="1:6">
      <c r="A77" t="s">
        <v>147</v>
      </c>
    </row>
    <row r="79" spans="1:6">
      <c r="A79" t="s">
        <v>148</v>
      </c>
    </row>
    <row r="80" spans="1:6">
      <c r="A80" t="s">
        <v>149</v>
      </c>
    </row>
    <row r="81" spans="1:1">
      <c r="A81" t="s">
        <v>150</v>
      </c>
    </row>
    <row r="82" spans="1:1">
      <c r="A82" t="s">
        <v>151</v>
      </c>
    </row>
    <row r="83" spans="1:1">
      <c r="A83" t="s">
        <v>152</v>
      </c>
    </row>
    <row r="84" spans="1:1">
      <c r="A84" t="s">
        <v>153</v>
      </c>
    </row>
    <row r="85" spans="1:1">
      <c r="A85" t="s">
        <v>154</v>
      </c>
    </row>
  </sheetData>
  <mergeCells count="3">
    <mergeCell ref="B35:E35"/>
    <mergeCell ref="B36:E36"/>
    <mergeCell ref="B37:E37"/>
  </mergeCells>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392"/>
  <sheetViews>
    <sheetView topLeftCell="AR1" workbookViewId="0">
      <selection activeCell="A1" sqref="A1"/>
    </sheetView>
  </sheetViews>
  <sheetFormatPr defaultColWidth="9" defaultRowHeight="13.5"/>
  <sheetData>
    <row r="1" spans="1:67">
      <c r="A1" t="s">
        <v>155</v>
      </c>
      <c r="E1" t="s">
        <v>156</v>
      </c>
    </row>
    <row r="2" spans="1:67">
      <c r="A2" t="s">
        <v>157</v>
      </c>
      <c r="B2" t="s">
        <v>158</v>
      </c>
      <c r="C2" t="s">
        <v>159</v>
      </c>
      <c r="D2" t="s">
        <v>160</v>
      </c>
      <c r="E2" t="s">
        <v>161</v>
      </c>
      <c r="F2" t="s">
        <v>162</v>
      </c>
      <c r="G2" t="s">
        <v>163</v>
      </c>
      <c r="H2" t="s">
        <v>164</v>
      </c>
      <c r="I2" t="s">
        <v>165</v>
      </c>
      <c r="J2" t="s">
        <v>166</v>
      </c>
      <c r="K2" t="s">
        <v>167</v>
      </c>
      <c r="W2" t="s">
        <v>168</v>
      </c>
      <c r="Y2" s="1" t="str">
        <f>HYPERLINK("#2026042000hbase1!W43","info_varbinary_dml_batch1_pk_urp1")</f>
        <v>info_varbinary_dml_batch1_pk_urp1</v>
      </c>
      <c r="Z2" s="1" t="str">
        <f>HYPERLINK("#2026042000hbase1!W71","info_geometry_dml_single_pk_urp")</f>
        <v>info_geometry_dml_single_pk_urp</v>
      </c>
      <c r="AA2" s="1" t="str">
        <f>HYPERLINK("#2026042000hbase1!W111","info_xml_dml_single_pk_urp")</f>
        <v>info_xml_dml_single_pk_urp</v>
      </c>
      <c r="AB2" s="1" t="str">
        <f>HYPERLINK("#2026042000hbase1!W117","info_varbinary_dml_batch1_pk_urp2")</f>
        <v>info_varbinary_dml_batch1_pk_urp2</v>
      </c>
      <c r="AC2" s="1" t="str">
        <f>HYPERLINK("#2026042000hbase1!W240","info_geometry_dml_single_pk")</f>
        <v>info_geometry_dml_single_pk</v>
      </c>
      <c r="AD2" s="1" t="str">
        <f>HYPERLINK("#2026042000hbase1!W307","info_int_dml_batch1_pk_drp2")</f>
        <v>info_int_dml_batch1_pk_drp2</v>
      </c>
      <c r="AE2" s="1" t="str">
        <f>HYPERLINK("#2026042000hbase1!W328","info_binary_dml_batch1_pk_irp1")</f>
        <v>info_binary_dml_batch1_pk_irp1</v>
      </c>
      <c r="AF2" s="1" t="str">
        <f>HYPERLINK("#2026042000hbase1!W343","info_int_dml_batch1_pk")</f>
        <v>info_int_dml_batch1_pk</v>
      </c>
      <c r="AG2" s="1" t="str">
        <f>HYPERLINK("#2026042000hbase1!W370","info_hierarchyid_dml_single_pk_irp")</f>
        <v>info_hierarchyid_dml_single_pk_irp</v>
      </c>
      <c r="AH2" s="1" t="str">
        <f>HYPERLINK("#2026042000hbase1!W433","info_binary_dml_batch1_pk_irp2")</f>
        <v>info_binary_dml_batch1_pk_irp2</v>
      </c>
      <c r="AI2" s="1" t="str">
        <f>HYPERLINK("#2026042000hbase1!W471","info_binary_dml_batch2_pk_irp1")</f>
        <v>info_binary_dml_batch2_pk_irp1</v>
      </c>
      <c r="AJ2" s="1" t="str">
        <f>HYPERLINK("#2026042000hbase1!W514","info_binary_dml_batch2_pk_irp2")</f>
        <v>info_binary_dml_batch2_pk_irp2</v>
      </c>
      <c r="AK2" s="1" t="str">
        <f>HYPERLINK("#2026042000hbase1!W650","info_binary_dml_batch1_pk_urp1")</f>
        <v>info_binary_dml_batch1_pk_urp1</v>
      </c>
      <c r="AL2" s="1" t="str">
        <f>HYPERLINK("#2026042000hbase1!W673","info_binary_dml_batch1_pk_urp2")</f>
        <v>info_binary_dml_batch1_pk_urp2</v>
      </c>
      <c r="AM2" s="1" t="str">
        <f>HYPERLINK("#2026042000hbase1!W688","info_int_dml_single_pk_irp")</f>
        <v>info_int_dml_single_pk_irp</v>
      </c>
      <c r="AN2" s="1" t="str">
        <f>HYPERLINK("#2026042000hbase1!W738","info_char_dml_batch1_pk_drp2")</f>
        <v>info_char_dml_batch1_pk_drp2</v>
      </c>
      <c r="AO2" s="1" t="str">
        <f>HYPERLINK("#2026042000hbase1!W746","info_int_dml_single_pk_urp")</f>
        <v>info_int_dml_single_pk_urp</v>
      </c>
      <c r="AP2" s="1" t="str">
        <f>HYPERLINK("#2026042000hbase1!W793","info_char_dml_single_pk_irp")</f>
        <v>info_char_dml_single_pk_irp</v>
      </c>
      <c r="AQ2" s="1" t="str">
        <f>HYPERLINK("#2026042000hbase1!W804","info_binary_dml_batch1_pk_drp2")</f>
        <v>info_binary_dml_batch1_pk_drp2</v>
      </c>
      <c r="AR2" s="1" t="str">
        <f>HYPERLINK("#2026042000hbase1!W812","info_int_dml_single_pk_drp")</f>
        <v>info_int_dml_single_pk_drp</v>
      </c>
      <c r="AS2" s="1" t="str">
        <f>HYPERLINK("#2026042000hbase1!W837","info_char_dml_batch1_pk_urp1")</f>
        <v>info_char_dml_batch1_pk_urp1</v>
      </c>
      <c r="AT2" s="1" t="str">
        <f>HYPERLINK("#2026042000hbase1!W868","info_timestamp_dml_single_pk_irp")</f>
        <v>info_timestamp_dml_single_pk_irp</v>
      </c>
      <c r="AU2" s="1" t="str">
        <f>HYPERLINK("#2026042000hbase1!W871","info_char_dml_batch1_pk_urp2")</f>
        <v>info_char_dml_batch1_pk_urp2</v>
      </c>
      <c r="AV2" s="1" t="str">
        <f>HYPERLINK("#2026042000hbase1!W876","info_char_dml_single_pk_urp")</f>
        <v>info_char_dml_single_pk_urp</v>
      </c>
      <c r="AW2" s="1" t="str">
        <f>HYPERLINK("#2026042000hbase1!W886","info_char_dml_single_pk_drp")</f>
        <v>info_char_dml_single_pk_drp</v>
      </c>
      <c r="AX2" s="1" t="str">
        <f>HYPERLINK("#2026042000hbase1!W927","info_timestamp_dml_single_pk_drp")</f>
        <v>info_timestamp_dml_single_pk_drp</v>
      </c>
      <c r="AY2" s="1" t="str">
        <f>HYPERLINK("#2026042000hbase1!W940","info_binary_dml_batch1_pk")</f>
        <v>info_binary_dml_batch1_pk</v>
      </c>
      <c r="AZ2" s="1" t="str">
        <f>HYPERLINK("#2026042000hbase1!W964","info_sql_variant_dml_single_pk_irp")</f>
        <v>info_sql_variant_dml_single_pk_irp</v>
      </c>
      <c r="BA2" s="1" t="str">
        <f>HYPERLINK("#2026042000hbase1!W1013","info_char_dml_single_pk")</f>
        <v>info_char_dml_single_pk</v>
      </c>
      <c r="BB2" s="1" t="str">
        <f>HYPERLINK("#2026042000hbase1!W1018","info_varbinary_dml_batch1_pk_irp1")</f>
        <v>info_varbinary_dml_batch1_pk_irp1</v>
      </c>
      <c r="BC2" s="1" t="str">
        <f>HYPERLINK("#2026042000hbase1!W1023","info_geography_dml_single_pk_irp")</f>
        <v>info_geography_dml_single_pk_irp</v>
      </c>
      <c r="BD2" s="1" t="str">
        <f>HYPERLINK("#2026042000hbase1!W1047","info_varbinary_dml_batch1_pk_irp2")</f>
        <v>info_varbinary_dml_batch1_pk_irp2</v>
      </c>
      <c r="BE2" s="1" t="str">
        <f>HYPERLINK("#2026042000hbase1!W1052","info_sql_variant_dml_single_pk_urp")</f>
        <v>info_sql_variant_dml_single_pk_urp</v>
      </c>
      <c r="BF2" s="1" t="str">
        <f>HYPERLINK("#2026042000hbase1!W1084","info_sql_variant_dml_single_pk_drp")</f>
        <v>info_sql_variant_dml_single_pk_drp</v>
      </c>
      <c r="BG2" s="1" t="str">
        <f>HYPERLINK("#2026042000hbase1!W1110","info_int_dml_batch1_pk_irp1")</f>
        <v>info_int_dml_batch1_pk_irp1</v>
      </c>
      <c r="BH2" s="1" t="str">
        <f>HYPERLINK("#2026042000hbase1!W1149","info_geography_dml_single_pk_urp")</f>
        <v>info_geography_dml_single_pk_urp</v>
      </c>
      <c r="BI2" s="1" t="str">
        <f>HYPERLINK("#2026042000hbase1!W1162","info_varbinary_dml_batch2_pk_irp1")</f>
        <v>info_varbinary_dml_batch2_pk_irp1</v>
      </c>
      <c r="BJ2" s="1" t="str">
        <f>HYPERLINK("#2026042000hbase1!W1177","info_sql_variant_dml_single_pk")</f>
        <v>info_sql_variant_dml_single_pk</v>
      </c>
      <c r="BK2" s="1" t="str">
        <f>HYPERLINK("#2026042000hbase1!W1242","info_int_dml_batch1_pk_irp2")</f>
        <v>info_int_dml_batch1_pk_irp2</v>
      </c>
      <c r="BL2" s="1" t="str">
        <f>HYPERLINK("#2026042000hbase1!W1281","info_geography_dml_single_pk_drp")</f>
        <v>info_geography_dml_single_pk_drp</v>
      </c>
      <c r="BM2" s="1" t="str">
        <f>HYPERLINK("#2026042000hbase1!W1307","info_int_dml_batch2_pk_irp1")</f>
        <v>info_int_dml_batch2_pk_irp1</v>
      </c>
      <c r="BN2" s="1" t="str">
        <f>HYPERLINK("#2026042000hbase1!W1328","info_varbinary_dml_batch2_pk_irp2")</f>
        <v>info_varbinary_dml_batch2_pk_irp2</v>
      </c>
      <c r="BO2" s="1" t="str">
        <f>HYPERLINK("#2026042000hbase1!W1364","info_int_dml_batch2_pk_irp2")</f>
        <v>info_int_dml_batch2_pk_irp2</v>
      </c>
    </row>
    <row r="3" spans="1:67">
      <c r="A3" t="s">
        <v>169</v>
      </c>
      <c r="K3" t="s">
        <v>170</v>
      </c>
      <c r="W3" t="s">
        <v>171</v>
      </c>
      <c r="X3" t="str">
        <f>A3</f>
        <v>info_text_dml_single_pk_irp</v>
      </c>
      <c r="Y3" t="s">
        <v>172</v>
      </c>
      <c r="Z3" t="s">
        <v>173</v>
      </c>
      <c r="AA3" t="s">
        <v>174</v>
      </c>
      <c r="AB3" t="s">
        <v>172</v>
      </c>
      <c r="AC3" t="s">
        <v>175</v>
      </c>
      <c r="AD3" t="s">
        <v>176</v>
      </c>
      <c r="AE3" t="s">
        <v>172</v>
      </c>
      <c r="AF3" t="s">
        <v>176</v>
      </c>
      <c r="AG3" t="s">
        <v>177</v>
      </c>
      <c r="AH3" t="s">
        <v>172</v>
      </c>
      <c r="AI3" t="s">
        <v>172</v>
      </c>
      <c r="AJ3" t="s">
        <v>172</v>
      </c>
      <c r="AK3" t="s">
        <v>178</v>
      </c>
      <c r="AL3" t="s">
        <v>178</v>
      </c>
      <c r="AM3" t="s">
        <v>179</v>
      </c>
      <c r="AN3" t="s">
        <v>180</v>
      </c>
      <c r="AO3" t="s">
        <v>179</v>
      </c>
      <c r="AP3" t="s">
        <v>181</v>
      </c>
      <c r="AQ3" t="s">
        <v>182</v>
      </c>
      <c r="AR3" t="s">
        <v>179</v>
      </c>
      <c r="AS3" t="s">
        <v>183</v>
      </c>
      <c r="AT3" t="s">
        <v>184</v>
      </c>
      <c r="AU3" t="s">
        <v>180</v>
      </c>
      <c r="AV3" t="s">
        <v>185</v>
      </c>
      <c r="AW3" t="s">
        <v>186</v>
      </c>
      <c r="AX3" t="s">
        <v>187</v>
      </c>
      <c r="AY3" t="s">
        <v>188</v>
      </c>
      <c r="AZ3" t="s">
        <v>189</v>
      </c>
      <c r="BA3" t="s">
        <v>186</v>
      </c>
      <c r="BB3" t="s">
        <v>172</v>
      </c>
      <c r="BC3" t="s">
        <v>190</v>
      </c>
      <c r="BD3" t="s">
        <v>172</v>
      </c>
      <c r="BE3" t="s">
        <v>191</v>
      </c>
      <c r="BF3" t="s">
        <v>192</v>
      </c>
      <c r="BG3" t="s">
        <v>179</v>
      </c>
      <c r="BH3" t="s">
        <v>193</v>
      </c>
      <c r="BI3" t="s">
        <v>172</v>
      </c>
      <c r="BJ3" t="s">
        <v>194</v>
      </c>
      <c r="BK3" t="s">
        <v>179</v>
      </c>
      <c r="BL3" t="s">
        <v>195</v>
      </c>
      <c r="BM3" t="s">
        <v>179</v>
      </c>
      <c r="BN3" t="s">
        <v>172</v>
      </c>
      <c r="BO3" t="s">
        <v>179</v>
      </c>
    </row>
    <row r="4" spans="1:67">
      <c r="B4" t="s">
        <v>196</v>
      </c>
      <c r="C4" t="s">
        <v>197</v>
      </c>
      <c r="D4" t="s">
        <v>197</v>
      </c>
      <c r="E4" t="s">
        <v>197</v>
      </c>
      <c r="F4" t="s">
        <v>197</v>
      </c>
      <c r="G4" t="s">
        <v>197</v>
      </c>
      <c r="H4" t="s">
        <v>197</v>
      </c>
      <c r="I4" t="s">
        <v>198</v>
      </c>
      <c r="J4" t="s">
        <v>199</v>
      </c>
      <c r="K4" t="s">
        <v>200</v>
      </c>
      <c r="Y4" t="s">
        <v>201</v>
      </c>
      <c r="Z4" t="s">
        <v>175</v>
      </c>
      <c r="AA4" t="s">
        <v>202</v>
      </c>
      <c r="AB4" t="s">
        <v>201</v>
      </c>
      <c r="AC4" t="s">
        <v>203</v>
      </c>
      <c r="AD4" t="s">
        <v>204</v>
      </c>
      <c r="AE4" t="s">
        <v>205</v>
      </c>
      <c r="AF4" t="s">
        <v>204</v>
      </c>
      <c r="AG4" t="s">
        <v>206</v>
      </c>
      <c r="AH4" t="s">
        <v>207</v>
      </c>
      <c r="AI4" t="s">
        <v>205</v>
      </c>
      <c r="AJ4" t="s">
        <v>208</v>
      </c>
      <c r="AK4" t="s">
        <v>209</v>
      </c>
      <c r="AL4" t="s">
        <v>210</v>
      </c>
      <c r="AM4" t="s">
        <v>211</v>
      </c>
      <c r="AN4" t="s">
        <v>212</v>
      </c>
      <c r="AO4" t="s">
        <v>211</v>
      </c>
      <c r="AP4" t="s">
        <v>213</v>
      </c>
      <c r="AQ4" t="s">
        <v>214</v>
      </c>
      <c r="AR4" t="s">
        <v>211</v>
      </c>
      <c r="AS4" t="s">
        <v>215</v>
      </c>
      <c r="AT4" t="s">
        <v>216</v>
      </c>
      <c r="AU4" t="s">
        <v>217</v>
      </c>
      <c r="AV4" t="s">
        <v>186</v>
      </c>
      <c r="AW4" t="s">
        <v>218</v>
      </c>
      <c r="AX4" t="s">
        <v>219</v>
      </c>
      <c r="AY4" t="s">
        <v>220</v>
      </c>
      <c r="AZ4" t="s">
        <v>221</v>
      </c>
      <c r="BA4" t="s">
        <v>218</v>
      </c>
      <c r="BB4" t="s">
        <v>201</v>
      </c>
      <c r="BC4" t="s">
        <v>195</v>
      </c>
      <c r="BD4" t="s">
        <v>222</v>
      </c>
      <c r="BE4" t="s">
        <v>223</v>
      </c>
      <c r="BF4" t="s">
        <v>224</v>
      </c>
      <c r="BG4" t="s">
        <v>176</v>
      </c>
      <c r="BH4" t="s">
        <v>225</v>
      </c>
      <c r="BI4" t="s">
        <v>201</v>
      </c>
      <c r="BJ4" t="s">
        <v>226</v>
      </c>
      <c r="BK4" t="s">
        <v>176</v>
      </c>
      <c r="BL4" t="s">
        <v>227</v>
      </c>
      <c r="BM4" t="s">
        <v>176</v>
      </c>
      <c r="BN4" t="s">
        <v>228</v>
      </c>
      <c r="BO4" t="s">
        <v>176</v>
      </c>
    </row>
    <row r="5" spans="1:67">
      <c r="B5" t="s">
        <v>197</v>
      </c>
      <c r="C5" t="s">
        <v>197</v>
      </c>
      <c r="D5" t="s">
        <v>197</v>
      </c>
      <c r="E5" t="s">
        <v>197</v>
      </c>
      <c r="F5" t="s">
        <v>197</v>
      </c>
      <c r="G5" t="s">
        <v>197</v>
      </c>
      <c r="H5" t="s">
        <v>197</v>
      </c>
      <c r="I5" t="s">
        <v>197</v>
      </c>
      <c r="J5" t="s">
        <v>197</v>
      </c>
      <c r="K5" t="s">
        <v>229</v>
      </c>
      <c r="Y5" t="s">
        <v>182</v>
      </c>
      <c r="Z5" t="s">
        <v>230</v>
      </c>
      <c r="AA5" t="s">
        <v>231</v>
      </c>
      <c r="AB5" t="s">
        <v>182</v>
      </c>
      <c r="AD5" t="s">
        <v>232</v>
      </c>
      <c r="AE5" t="s">
        <v>233</v>
      </c>
      <c r="AF5" t="s">
        <v>232</v>
      </c>
      <c r="AG5" t="s">
        <v>234</v>
      </c>
      <c r="AH5" t="s">
        <v>235</v>
      </c>
      <c r="AI5" t="s">
        <v>233</v>
      </c>
      <c r="AJ5" t="s">
        <v>236</v>
      </c>
      <c r="AK5" t="s">
        <v>237</v>
      </c>
      <c r="AL5" t="s">
        <v>237</v>
      </c>
      <c r="AM5" t="s">
        <v>238</v>
      </c>
      <c r="AN5" t="s">
        <v>239</v>
      </c>
      <c r="AO5" t="s">
        <v>238</v>
      </c>
      <c r="AP5" t="s">
        <v>240</v>
      </c>
      <c r="AQ5" t="s">
        <v>241</v>
      </c>
      <c r="AR5" t="s">
        <v>238</v>
      </c>
      <c r="AS5" t="s">
        <v>242</v>
      </c>
      <c r="AT5" t="s">
        <v>219</v>
      </c>
      <c r="AU5" t="s">
        <v>212</v>
      </c>
      <c r="AV5" t="s">
        <v>218</v>
      </c>
      <c r="AW5" t="s">
        <v>243</v>
      </c>
      <c r="AY5" t="s">
        <v>244</v>
      </c>
      <c r="AZ5" t="s">
        <v>245</v>
      </c>
      <c r="BA5" t="s">
        <v>243</v>
      </c>
      <c r="BB5" t="s">
        <v>182</v>
      </c>
      <c r="BC5" t="s">
        <v>227</v>
      </c>
      <c r="BD5" t="s">
        <v>246</v>
      </c>
      <c r="BE5" t="s">
        <v>247</v>
      </c>
      <c r="BG5" t="s">
        <v>204</v>
      </c>
      <c r="BH5" t="s">
        <v>248</v>
      </c>
      <c r="BI5" t="s">
        <v>182</v>
      </c>
      <c r="BK5" t="s">
        <v>204</v>
      </c>
      <c r="BL5" t="s">
        <v>249</v>
      </c>
      <c r="BM5" t="s">
        <v>204</v>
      </c>
      <c r="BN5" t="s">
        <v>250</v>
      </c>
      <c r="BO5" t="s">
        <v>204</v>
      </c>
    </row>
    <row r="6" spans="1:67">
      <c r="B6" t="s">
        <v>197</v>
      </c>
      <c r="C6" t="s">
        <v>197</v>
      </c>
      <c r="D6" t="s">
        <v>197</v>
      </c>
      <c r="E6" t="s">
        <v>197</v>
      </c>
      <c r="F6" t="s">
        <v>197</v>
      </c>
      <c r="G6" t="s">
        <v>197</v>
      </c>
      <c r="H6" t="s">
        <v>197</v>
      </c>
      <c r="I6" t="s">
        <v>197</v>
      </c>
      <c r="J6" t="s">
        <v>197</v>
      </c>
      <c r="K6" t="s">
        <v>251</v>
      </c>
      <c r="Y6" t="s">
        <v>252</v>
      </c>
      <c r="Z6" t="s">
        <v>253</v>
      </c>
      <c r="AA6" t="s">
        <v>254</v>
      </c>
      <c r="AB6" t="s">
        <v>252</v>
      </c>
      <c r="AD6" t="s">
        <v>255</v>
      </c>
      <c r="AE6" t="s">
        <v>256</v>
      </c>
      <c r="AF6" t="s">
        <v>255</v>
      </c>
      <c r="AG6" t="s">
        <v>257</v>
      </c>
      <c r="AH6" t="s">
        <v>246</v>
      </c>
      <c r="AI6" t="s">
        <v>256</v>
      </c>
      <c r="AJ6" t="s">
        <v>250</v>
      </c>
      <c r="AK6" t="s">
        <v>188</v>
      </c>
      <c r="AL6" t="s">
        <v>188</v>
      </c>
      <c r="AM6" t="s">
        <v>258</v>
      </c>
      <c r="AN6" t="s">
        <v>259</v>
      </c>
      <c r="AO6" t="s">
        <v>258</v>
      </c>
      <c r="AP6" t="s">
        <v>260</v>
      </c>
      <c r="AQ6" t="s">
        <v>261</v>
      </c>
      <c r="AR6" t="s">
        <v>258</v>
      </c>
      <c r="AS6" t="s">
        <v>262</v>
      </c>
      <c r="AT6" t="s">
        <v>263</v>
      </c>
      <c r="AU6" t="s">
        <v>264</v>
      </c>
      <c r="AV6" t="s">
        <v>265</v>
      </c>
      <c r="AW6" t="s">
        <v>266</v>
      </c>
      <c r="AY6" t="s">
        <v>267</v>
      </c>
      <c r="AZ6" t="s">
        <v>268</v>
      </c>
      <c r="BA6" t="s">
        <v>266</v>
      </c>
      <c r="BB6" t="s">
        <v>269</v>
      </c>
      <c r="BC6" t="s">
        <v>270</v>
      </c>
      <c r="BD6" t="s">
        <v>271</v>
      </c>
      <c r="BE6" t="s">
        <v>272</v>
      </c>
      <c r="BG6" t="s">
        <v>232</v>
      </c>
      <c r="BH6" t="s">
        <v>273</v>
      </c>
      <c r="BI6" t="s">
        <v>274</v>
      </c>
      <c r="BK6" t="s">
        <v>232</v>
      </c>
      <c r="BL6" t="s">
        <v>275</v>
      </c>
      <c r="BM6" t="s">
        <v>232</v>
      </c>
      <c r="BN6" t="s">
        <v>276</v>
      </c>
      <c r="BO6" t="s">
        <v>232</v>
      </c>
    </row>
    <row r="7" spans="1:67">
      <c r="A7" t="s">
        <v>277</v>
      </c>
      <c r="K7" t="s">
        <v>278</v>
      </c>
      <c r="W7" t="s">
        <v>171</v>
      </c>
      <c r="X7" t="str">
        <f>A7</f>
        <v>info_datetimeoffset_dml_single_pk_urp</v>
      </c>
      <c r="Y7" t="s">
        <v>269</v>
      </c>
      <c r="Z7" t="s">
        <v>203</v>
      </c>
      <c r="AB7" t="s">
        <v>269</v>
      </c>
      <c r="AD7" t="s">
        <v>279</v>
      </c>
      <c r="AE7" t="s">
        <v>182</v>
      </c>
      <c r="AF7" t="s">
        <v>279</v>
      </c>
      <c r="AH7" t="s">
        <v>280</v>
      </c>
      <c r="AI7" t="s">
        <v>182</v>
      </c>
      <c r="AJ7" t="s">
        <v>281</v>
      </c>
      <c r="AK7" t="s">
        <v>282</v>
      </c>
      <c r="AL7" t="s">
        <v>256</v>
      </c>
      <c r="AP7" t="s">
        <v>283</v>
      </c>
      <c r="AS7" t="s">
        <v>284</v>
      </c>
      <c r="AU7" t="s">
        <v>285</v>
      </c>
      <c r="AV7" t="s">
        <v>286</v>
      </c>
      <c r="BB7" t="s">
        <v>287</v>
      </c>
      <c r="BC7" t="s">
        <v>288</v>
      </c>
      <c r="BD7" t="s">
        <v>289</v>
      </c>
      <c r="BG7" t="s">
        <v>211</v>
      </c>
      <c r="BI7" t="s">
        <v>269</v>
      </c>
      <c r="BK7" t="s">
        <v>211</v>
      </c>
      <c r="BM7" t="s">
        <v>211</v>
      </c>
      <c r="BN7" t="s">
        <v>290</v>
      </c>
      <c r="BO7" t="s">
        <v>211</v>
      </c>
    </row>
    <row r="8" spans="1:67">
      <c r="B8" t="s">
        <v>196</v>
      </c>
      <c r="C8" t="s">
        <v>197</v>
      </c>
      <c r="D8" t="s">
        <v>197</v>
      </c>
      <c r="E8" t="s">
        <v>197</v>
      </c>
      <c r="F8" t="s">
        <v>197</v>
      </c>
      <c r="G8" t="s">
        <v>197</v>
      </c>
      <c r="H8" t="s">
        <v>197</v>
      </c>
      <c r="I8" t="s">
        <v>291</v>
      </c>
      <c r="J8" t="s">
        <v>199</v>
      </c>
      <c r="K8" t="s">
        <v>200</v>
      </c>
      <c r="Y8" t="s">
        <v>287</v>
      </c>
      <c r="Z8" t="s">
        <v>292</v>
      </c>
      <c r="AB8" t="s">
        <v>287</v>
      </c>
      <c r="AD8" t="s">
        <v>293</v>
      </c>
      <c r="AE8" t="s">
        <v>214</v>
      </c>
      <c r="AF8" t="s">
        <v>293</v>
      </c>
      <c r="AH8" t="s">
        <v>294</v>
      </c>
      <c r="AI8" t="s">
        <v>214</v>
      </c>
      <c r="AJ8" t="s">
        <v>295</v>
      </c>
      <c r="AK8" t="s">
        <v>296</v>
      </c>
      <c r="AL8" t="s">
        <v>182</v>
      </c>
      <c r="AP8" t="s">
        <v>243</v>
      </c>
      <c r="AS8" t="s">
        <v>297</v>
      </c>
      <c r="AU8" t="s">
        <v>239</v>
      </c>
      <c r="AV8" t="s">
        <v>298</v>
      </c>
      <c r="BB8" t="s">
        <v>299</v>
      </c>
      <c r="BC8" t="s">
        <v>249</v>
      </c>
      <c r="BD8" t="s">
        <v>300</v>
      </c>
      <c r="BG8" t="s">
        <v>255</v>
      </c>
      <c r="BI8" t="s">
        <v>287</v>
      </c>
      <c r="BK8" t="s">
        <v>255</v>
      </c>
      <c r="BM8" t="s">
        <v>255</v>
      </c>
      <c r="BN8" t="s">
        <v>295</v>
      </c>
      <c r="BO8" t="s">
        <v>255</v>
      </c>
    </row>
    <row r="9" spans="1:67">
      <c r="B9" t="s">
        <v>197</v>
      </c>
      <c r="C9" t="s">
        <v>197</v>
      </c>
      <c r="D9" t="s">
        <v>197</v>
      </c>
      <c r="E9" t="s">
        <v>197</v>
      </c>
      <c r="F9" t="s">
        <v>197</v>
      </c>
      <c r="G9" t="s">
        <v>197</v>
      </c>
      <c r="H9" t="s">
        <v>197</v>
      </c>
      <c r="I9" t="s">
        <v>197</v>
      </c>
      <c r="J9" t="s">
        <v>197</v>
      </c>
      <c r="K9" t="s">
        <v>301</v>
      </c>
      <c r="Y9" t="s">
        <v>299</v>
      </c>
      <c r="AB9" t="s">
        <v>299</v>
      </c>
      <c r="AD9" t="s">
        <v>302</v>
      </c>
      <c r="AE9" t="s">
        <v>287</v>
      </c>
      <c r="AF9" t="s">
        <v>302</v>
      </c>
      <c r="AH9" t="s">
        <v>289</v>
      </c>
      <c r="AI9" t="s">
        <v>287</v>
      </c>
      <c r="AJ9" t="s">
        <v>303</v>
      </c>
      <c r="AK9" t="s">
        <v>304</v>
      </c>
      <c r="AL9" t="s">
        <v>305</v>
      </c>
      <c r="AP9" t="s">
        <v>306</v>
      </c>
      <c r="AS9" t="s">
        <v>307</v>
      </c>
      <c r="AU9" t="s">
        <v>308</v>
      </c>
      <c r="AV9" t="s">
        <v>309</v>
      </c>
      <c r="BB9" t="s">
        <v>310</v>
      </c>
      <c r="BC9" t="s">
        <v>275</v>
      </c>
      <c r="BD9" t="s">
        <v>311</v>
      </c>
      <c r="BG9" t="s">
        <v>312</v>
      </c>
      <c r="BI9" t="s">
        <v>299</v>
      </c>
      <c r="BK9" t="s">
        <v>313</v>
      </c>
      <c r="BM9" t="s">
        <v>312</v>
      </c>
      <c r="BN9" t="s">
        <v>201</v>
      </c>
      <c r="BO9" t="s">
        <v>313</v>
      </c>
    </row>
    <row r="10" spans="1:67">
      <c r="B10" t="s">
        <v>197</v>
      </c>
      <c r="C10" t="s">
        <v>197</v>
      </c>
      <c r="D10" t="s">
        <v>197</v>
      </c>
      <c r="E10" t="s">
        <v>197</v>
      </c>
      <c r="F10" t="s">
        <v>197</v>
      </c>
      <c r="G10" t="s">
        <v>197</v>
      </c>
      <c r="H10" t="s">
        <v>197</v>
      </c>
      <c r="I10" t="s">
        <v>197</v>
      </c>
      <c r="J10" t="s">
        <v>197</v>
      </c>
      <c r="K10" t="s">
        <v>314</v>
      </c>
      <c r="Y10" t="s">
        <v>310</v>
      </c>
      <c r="AB10" t="s">
        <v>310</v>
      </c>
      <c r="AD10" t="s">
        <v>315</v>
      </c>
      <c r="AE10" t="s">
        <v>316</v>
      </c>
      <c r="AF10" t="s">
        <v>315</v>
      </c>
      <c r="AH10" t="s">
        <v>205</v>
      </c>
      <c r="AI10" t="s">
        <v>316</v>
      </c>
      <c r="AJ10" t="s">
        <v>317</v>
      </c>
      <c r="AK10" t="s">
        <v>318</v>
      </c>
      <c r="AL10" t="s">
        <v>214</v>
      </c>
      <c r="AP10" t="s">
        <v>266</v>
      </c>
      <c r="AS10" t="s">
        <v>319</v>
      </c>
      <c r="AU10" t="s">
        <v>259</v>
      </c>
      <c r="AV10" t="s">
        <v>320</v>
      </c>
      <c r="BB10" t="s">
        <v>241</v>
      </c>
      <c r="BC10" t="s">
        <v>321</v>
      </c>
      <c r="BD10" t="s">
        <v>322</v>
      </c>
      <c r="BG10" t="s">
        <v>238</v>
      </c>
      <c r="BI10" t="s">
        <v>310</v>
      </c>
      <c r="BK10" t="s">
        <v>323</v>
      </c>
      <c r="BM10" t="s">
        <v>238</v>
      </c>
      <c r="BN10" t="s">
        <v>182</v>
      </c>
      <c r="BO10" t="s">
        <v>323</v>
      </c>
    </row>
    <row r="11" spans="1:67">
      <c r="B11" t="s">
        <v>197</v>
      </c>
      <c r="C11" t="s">
        <v>197</v>
      </c>
      <c r="D11" t="s">
        <v>197</v>
      </c>
      <c r="E11" t="s">
        <v>197</v>
      </c>
      <c r="F11" t="s">
        <v>197</v>
      </c>
      <c r="G11" t="s">
        <v>197</v>
      </c>
      <c r="H11" t="s">
        <v>197</v>
      </c>
      <c r="I11" t="s">
        <v>197</v>
      </c>
      <c r="J11" t="s">
        <v>197</v>
      </c>
      <c r="K11" t="s">
        <v>324</v>
      </c>
      <c r="Y11" t="s">
        <v>241</v>
      </c>
      <c r="AB11" t="s">
        <v>241</v>
      </c>
      <c r="AE11" t="s">
        <v>325</v>
      </c>
      <c r="AH11" t="s">
        <v>326</v>
      </c>
      <c r="AI11" t="s">
        <v>325</v>
      </c>
      <c r="AJ11" t="s">
        <v>205</v>
      </c>
      <c r="AK11" t="s">
        <v>327</v>
      </c>
      <c r="AL11" t="s">
        <v>220</v>
      </c>
      <c r="AP11" t="s">
        <v>328</v>
      </c>
      <c r="AS11" t="s">
        <v>329</v>
      </c>
      <c r="AU11" t="s">
        <v>330</v>
      </c>
      <c r="AV11" t="s">
        <v>243</v>
      </c>
      <c r="BB11" t="s">
        <v>331</v>
      </c>
      <c r="BD11" t="s">
        <v>332</v>
      </c>
      <c r="BG11" t="s">
        <v>258</v>
      </c>
      <c r="BI11" t="s">
        <v>241</v>
      </c>
      <c r="BK11" t="s">
        <v>333</v>
      </c>
      <c r="BM11" t="s">
        <v>258</v>
      </c>
      <c r="BN11" t="s">
        <v>334</v>
      </c>
      <c r="BO11" t="s">
        <v>333</v>
      </c>
    </row>
    <row r="12" spans="1:67">
      <c r="B12" t="s">
        <v>197</v>
      </c>
      <c r="C12" t="s">
        <v>197</v>
      </c>
      <c r="D12" t="s">
        <v>197</v>
      </c>
      <c r="E12" t="s">
        <v>197</v>
      </c>
      <c r="F12" t="s">
        <v>197</v>
      </c>
      <c r="G12" t="s">
        <v>197</v>
      </c>
      <c r="H12" t="s">
        <v>197</v>
      </c>
      <c r="I12" t="s">
        <v>197</v>
      </c>
      <c r="J12" t="s">
        <v>197</v>
      </c>
      <c r="K12" t="s">
        <v>335</v>
      </c>
      <c r="Y12" t="s">
        <v>336</v>
      </c>
      <c r="AB12" t="s">
        <v>336</v>
      </c>
      <c r="AE12" t="s">
        <v>337</v>
      </c>
      <c r="AH12" t="s">
        <v>338</v>
      </c>
      <c r="AI12" t="s">
        <v>337</v>
      </c>
      <c r="AJ12" t="s">
        <v>233</v>
      </c>
      <c r="AK12" t="s">
        <v>339</v>
      </c>
      <c r="AL12" t="s">
        <v>340</v>
      </c>
      <c r="AP12" t="s">
        <v>341</v>
      </c>
      <c r="AS12" t="s">
        <v>342</v>
      </c>
      <c r="AU12" t="s">
        <v>343</v>
      </c>
      <c r="AV12" t="s">
        <v>266</v>
      </c>
      <c r="BB12" t="s">
        <v>344</v>
      </c>
      <c r="BD12" t="s">
        <v>345</v>
      </c>
      <c r="BG12" t="s">
        <v>346</v>
      </c>
      <c r="BI12" t="s">
        <v>347</v>
      </c>
      <c r="BK12" t="s">
        <v>348</v>
      </c>
      <c r="BM12" t="s">
        <v>346</v>
      </c>
      <c r="BN12" t="s">
        <v>349</v>
      </c>
      <c r="BO12" t="s">
        <v>348</v>
      </c>
    </row>
    <row r="13" spans="1:67">
      <c r="B13" t="s">
        <v>197</v>
      </c>
      <c r="C13" t="s">
        <v>197</v>
      </c>
      <c r="D13" t="s">
        <v>197</v>
      </c>
      <c r="E13" t="s">
        <v>197</v>
      </c>
      <c r="F13" t="s">
        <v>197</v>
      </c>
      <c r="G13" t="s">
        <v>197</v>
      </c>
      <c r="H13" t="s">
        <v>197</v>
      </c>
      <c r="I13" t="s">
        <v>197</v>
      </c>
      <c r="J13" t="s">
        <v>197</v>
      </c>
      <c r="K13" t="s">
        <v>350</v>
      </c>
      <c r="Y13" t="s">
        <v>331</v>
      </c>
      <c r="AB13" t="s">
        <v>331</v>
      </c>
      <c r="AE13" t="s">
        <v>351</v>
      </c>
      <c r="AH13" t="s">
        <v>352</v>
      </c>
      <c r="AI13" t="s">
        <v>351</v>
      </c>
      <c r="AJ13" t="s">
        <v>256</v>
      </c>
      <c r="AK13" t="s">
        <v>353</v>
      </c>
      <c r="AL13" t="s">
        <v>353</v>
      </c>
      <c r="AS13" t="s">
        <v>354</v>
      </c>
      <c r="AV13" t="s">
        <v>355</v>
      </c>
      <c r="BB13" t="s">
        <v>356</v>
      </c>
      <c r="BD13" t="s">
        <v>357</v>
      </c>
      <c r="BG13" t="s">
        <v>279</v>
      </c>
      <c r="BI13" t="s">
        <v>331</v>
      </c>
      <c r="BK13" t="s">
        <v>358</v>
      </c>
      <c r="BM13" t="s">
        <v>279</v>
      </c>
      <c r="BN13" t="s">
        <v>359</v>
      </c>
      <c r="BO13" t="s">
        <v>358</v>
      </c>
    </row>
    <row r="14" spans="1:67">
      <c r="B14" t="s">
        <v>197</v>
      </c>
      <c r="C14" t="s">
        <v>197</v>
      </c>
      <c r="D14" t="s">
        <v>197</v>
      </c>
      <c r="E14" t="s">
        <v>197</v>
      </c>
      <c r="F14" t="s">
        <v>197</v>
      </c>
      <c r="G14" t="s">
        <v>197</v>
      </c>
      <c r="H14" t="s">
        <v>197</v>
      </c>
      <c r="I14" t="s">
        <v>197</v>
      </c>
      <c r="J14" t="s">
        <v>197</v>
      </c>
      <c r="K14" t="s">
        <v>360</v>
      </c>
      <c r="Y14" t="s">
        <v>344</v>
      </c>
      <c r="AB14" t="s">
        <v>344</v>
      </c>
      <c r="AE14" t="s">
        <v>241</v>
      </c>
      <c r="AH14" t="s">
        <v>311</v>
      </c>
      <c r="AI14" t="s">
        <v>241</v>
      </c>
      <c r="AJ14" t="s">
        <v>182</v>
      </c>
      <c r="AK14" t="s">
        <v>361</v>
      </c>
      <c r="AL14" t="s">
        <v>361</v>
      </c>
      <c r="AS14" t="s">
        <v>362</v>
      </c>
      <c r="AV14" t="s">
        <v>363</v>
      </c>
      <c r="BB14" t="s">
        <v>364</v>
      </c>
      <c r="BD14" t="s">
        <v>201</v>
      </c>
      <c r="BG14" t="s">
        <v>293</v>
      </c>
      <c r="BI14" t="s">
        <v>344</v>
      </c>
      <c r="BK14" t="s">
        <v>365</v>
      </c>
      <c r="BM14" t="s">
        <v>293</v>
      </c>
      <c r="BN14" t="s">
        <v>366</v>
      </c>
      <c r="BO14" t="s">
        <v>365</v>
      </c>
    </row>
    <row r="15" spans="1:67">
      <c r="B15" t="s">
        <v>197</v>
      </c>
      <c r="C15" t="s">
        <v>197</v>
      </c>
      <c r="D15" t="s">
        <v>197</v>
      </c>
      <c r="E15" t="s">
        <v>197</v>
      </c>
      <c r="F15" t="s">
        <v>197</v>
      </c>
      <c r="G15" t="s">
        <v>197</v>
      </c>
      <c r="H15" t="s">
        <v>197</v>
      </c>
      <c r="I15" t="s">
        <v>197</v>
      </c>
      <c r="J15" t="s">
        <v>197</v>
      </c>
      <c r="K15" t="s">
        <v>367</v>
      </c>
      <c r="Y15" t="s">
        <v>356</v>
      </c>
      <c r="AB15" t="s">
        <v>356</v>
      </c>
      <c r="AE15" t="s">
        <v>261</v>
      </c>
      <c r="AH15" t="s">
        <v>368</v>
      </c>
      <c r="AI15" t="s">
        <v>261</v>
      </c>
      <c r="AJ15" t="s">
        <v>369</v>
      </c>
      <c r="AK15" t="s">
        <v>244</v>
      </c>
      <c r="AL15" t="s">
        <v>244</v>
      </c>
      <c r="AV15" t="s">
        <v>370</v>
      </c>
      <c r="BD15" t="s">
        <v>182</v>
      </c>
      <c r="BG15" t="s">
        <v>302</v>
      </c>
      <c r="BI15" t="s">
        <v>356</v>
      </c>
      <c r="BK15" t="s">
        <v>371</v>
      </c>
      <c r="BM15" t="s">
        <v>302</v>
      </c>
      <c r="BN15" t="s">
        <v>372</v>
      </c>
      <c r="BO15" t="s">
        <v>371</v>
      </c>
    </row>
    <row r="16" spans="1:67">
      <c r="B16" t="s">
        <v>197</v>
      </c>
      <c r="C16" t="s">
        <v>197</v>
      </c>
      <c r="D16" t="s">
        <v>197</v>
      </c>
      <c r="E16" t="s">
        <v>197</v>
      </c>
      <c r="F16" t="s">
        <v>197</v>
      </c>
      <c r="G16" t="s">
        <v>197</v>
      </c>
      <c r="H16" t="s">
        <v>197</v>
      </c>
      <c r="I16" t="s">
        <v>197</v>
      </c>
      <c r="J16" t="s">
        <v>197</v>
      </c>
      <c r="K16" t="s">
        <v>373</v>
      </c>
      <c r="Y16" t="s">
        <v>364</v>
      </c>
      <c r="AB16" t="s">
        <v>364</v>
      </c>
      <c r="AE16" t="s">
        <v>344</v>
      </c>
      <c r="AH16" t="s">
        <v>374</v>
      </c>
      <c r="AI16" t="s">
        <v>344</v>
      </c>
      <c r="AJ16" t="s">
        <v>375</v>
      </c>
      <c r="AK16" t="s">
        <v>376</v>
      </c>
      <c r="AL16" t="s">
        <v>351</v>
      </c>
      <c r="AV16" t="s">
        <v>377</v>
      </c>
      <c r="BD16" t="s">
        <v>269</v>
      </c>
      <c r="BG16" t="s">
        <v>315</v>
      </c>
      <c r="BI16" t="s">
        <v>364</v>
      </c>
      <c r="BK16" t="s">
        <v>378</v>
      </c>
      <c r="BM16" t="s">
        <v>315</v>
      </c>
      <c r="BN16" t="s">
        <v>379</v>
      </c>
      <c r="BO16" t="s">
        <v>378</v>
      </c>
    </row>
    <row r="17" spans="1:67">
      <c r="A17" t="s">
        <v>380</v>
      </c>
      <c r="K17" t="s">
        <v>381</v>
      </c>
      <c r="W17" t="s">
        <v>171</v>
      </c>
      <c r="X17" t="str">
        <f>A17</f>
        <v>info_geometry_dml_single_pk_irp</v>
      </c>
      <c r="AE17" t="s">
        <v>382</v>
      </c>
      <c r="AH17" t="s">
        <v>332</v>
      </c>
      <c r="AI17" t="s">
        <v>382</v>
      </c>
      <c r="AJ17" t="s">
        <v>349</v>
      </c>
      <c r="AK17" t="s">
        <v>383</v>
      </c>
      <c r="AL17" t="s">
        <v>241</v>
      </c>
      <c r="BD17" t="s">
        <v>384</v>
      </c>
      <c r="BK17" t="s">
        <v>312</v>
      </c>
      <c r="BN17" t="s">
        <v>274</v>
      </c>
      <c r="BO17" t="s">
        <v>312</v>
      </c>
    </row>
    <row r="18" spans="1:67">
      <c r="B18" t="s">
        <v>196</v>
      </c>
      <c r="C18" t="s">
        <v>197</v>
      </c>
      <c r="D18" t="s">
        <v>197</v>
      </c>
      <c r="E18" t="s">
        <v>197</v>
      </c>
      <c r="F18" t="s">
        <v>197</v>
      </c>
      <c r="G18" t="s">
        <v>197</v>
      </c>
      <c r="H18" t="s">
        <v>197</v>
      </c>
      <c r="I18" t="s">
        <v>385</v>
      </c>
      <c r="J18" t="s">
        <v>199</v>
      </c>
      <c r="K18" t="s">
        <v>200</v>
      </c>
      <c r="AE18" t="s">
        <v>364</v>
      </c>
      <c r="AH18" t="s">
        <v>386</v>
      </c>
      <c r="AI18" t="s">
        <v>364</v>
      </c>
      <c r="AJ18" t="s">
        <v>387</v>
      </c>
      <c r="AK18" t="s">
        <v>388</v>
      </c>
      <c r="AL18" t="s">
        <v>389</v>
      </c>
      <c r="BD18" t="s">
        <v>390</v>
      </c>
      <c r="BK18" t="s">
        <v>391</v>
      </c>
      <c r="BN18" t="s">
        <v>392</v>
      </c>
      <c r="BO18" t="s">
        <v>391</v>
      </c>
    </row>
    <row r="19" spans="1:67">
      <c r="B19" t="s">
        <v>197</v>
      </c>
      <c r="C19" t="s">
        <v>197</v>
      </c>
      <c r="D19" t="s">
        <v>197</v>
      </c>
      <c r="E19" t="s">
        <v>197</v>
      </c>
      <c r="F19" t="s">
        <v>197</v>
      </c>
      <c r="G19" t="s">
        <v>197</v>
      </c>
      <c r="H19" t="s">
        <v>197</v>
      </c>
      <c r="I19" t="s">
        <v>197</v>
      </c>
      <c r="J19" t="s">
        <v>197</v>
      </c>
      <c r="K19" t="s">
        <v>393</v>
      </c>
      <c r="AH19" t="s">
        <v>233</v>
      </c>
      <c r="AJ19" t="s">
        <v>372</v>
      </c>
      <c r="AK19" t="s">
        <v>394</v>
      </c>
      <c r="AL19" t="s">
        <v>261</v>
      </c>
      <c r="BD19" t="s">
        <v>395</v>
      </c>
      <c r="BK19" t="s">
        <v>396</v>
      </c>
      <c r="BN19" t="s">
        <v>269</v>
      </c>
      <c r="BO19" t="s">
        <v>396</v>
      </c>
    </row>
    <row r="20" spans="1:67">
      <c r="A20" t="s">
        <v>397</v>
      </c>
      <c r="K20" t="s">
        <v>398</v>
      </c>
      <c r="W20" t="s">
        <v>171</v>
      </c>
      <c r="X20" t="str">
        <f>A20</f>
        <v>info_nvarchar_dml_batch1_pk_urp1</v>
      </c>
      <c r="AH20" t="s">
        <v>357</v>
      </c>
      <c r="AJ20" t="s">
        <v>399</v>
      </c>
      <c r="AK20" t="s">
        <v>400</v>
      </c>
      <c r="AL20" t="s">
        <v>267</v>
      </c>
      <c r="BD20" t="s">
        <v>401</v>
      </c>
      <c r="BK20" t="s">
        <v>402</v>
      </c>
      <c r="BN20" t="s">
        <v>287</v>
      </c>
      <c r="BO20" t="s">
        <v>402</v>
      </c>
    </row>
    <row r="21" spans="1:67">
      <c r="B21" t="s">
        <v>196</v>
      </c>
      <c r="C21" t="s">
        <v>197</v>
      </c>
      <c r="D21" t="s">
        <v>197</v>
      </c>
      <c r="E21" t="s">
        <v>197</v>
      </c>
      <c r="F21" t="s">
        <v>197</v>
      </c>
      <c r="G21" t="s">
        <v>197</v>
      </c>
      <c r="H21" t="s">
        <v>197</v>
      </c>
      <c r="I21" t="s">
        <v>403</v>
      </c>
      <c r="J21" t="s">
        <v>199</v>
      </c>
      <c r="K21" t="s">
        <v>200</v>
      </c>
      <c r="AH21" t="s">
        <v>256</v>
      </c>
      <c r="AJ21" t="s">
        <v>392</v>
      </c>
      <c r="AK21" t="s">
        <v>404</v>
      </c>
      <c r="AL21" t="s">
        <v>405</v>
      </c>
      <c r="BD21" t="s">
        <v>406</v>
      </c>
      <c r="BK21" t="s">
        <v>407</v>
      </c>
      <c r="BN21" t="s">
        <v>299</v>
      </c>
      <c r="BO21" t="s">
        <v>238</v>
      </c>
    </row>
    <row r="22" spans="1:67">
      <c r="B22" t="s">
        <v>197</v>
      </c>
      <c r="C22" t="s">
        <v>197</v>
      </c>
      <c r="D22" t="s">
        <v>197</v>
      </c>
      <c r="E22" t="s">
        <v>197</v>
      </c>
      <c r="F22" t="s">
        <v>197</v>
      </c>
      <c r="G22" t="s">
        <v>197</v>
      </c>
      <c r="H22" t="s">
        <v>197</v>
      </c>
      <c r="I22" t="s">
        <v>197</v>
      </c>
      <c r="J22" t="s">
        <v>197</v>
      </c>
      <c r="K22" t="s">
        <v>408</v>
      </c>
      <c r="AH22" t="s">
        <v>182</v>
      </c>
      <c r="AJ22" t="s">
        <v>214</v>
      </c>
      <c r="AK22" t="s">
        <v>409</v>
      </c>
      <c r="AL22" t="s">
        <v>410</v>
      </c>
      <c r="BD22" t="s">
        <v>287</v>
      </c>
      <c r="BK22" t="s">
        <v>411</v>
      </c>
      <c r="BN22" t="s">
        <v>310</v>
      </c>
      <c r="BO22" t="s">
        <v>258</v>
      </c>
    </row>
    <row r="23" spans="1:67">
      <c r="B23" t="s">
        <v>197</v>
      </c>
      <c r="C23" t="s">
        <v>197</v>
      </c>
      <c r="D23" t="s">
        <v>197</v>
      </c>
      <c r="E23" t="s">
        <v>197</v>
      </c>
      <c r="F23" t="s">
        <v>197</v>
      </c>
      <c r="G23" t="s">
        <v>197</v>
      </c>
      <c r="H23" t="s">
        <v>197</v>
      </c>
      <c r="I23" t="s">
        <v>197</v>
      </c>
      <c r="J23" t="s">
        <v>197</v>
      </c>
      <c r="K23" t="s">
        <v>412</v>
      </c>
      <c r="AH23" t="s">
        <v>413</v>
      </c>
      <c r="AJ23" t="s">
        <v>287</v>
      </c>
      <c r="BD23" t="s">
        <v>414</v>
      </c>
      <c r="BK23" t="s">
        <v>415</v>
      </c>
      <c r="BN23" t="s">
        <v>241</v>
      </c>
      <c r="BO23" t="s">
        <v>346</v>
      </c>
    </row>
    <row r="24" spans="1:67">
      <c r="B24" t="s">
        <v>197</v>
      </c>
      <c r="C24" t="s">
        <v>197</v>
      </c>
      <c r="D24" t="s">
        <v>197</v>
      </c>
      <c r="E24" t="s">
        <v>197</v>
      </c>
      <c r="F24" t="s">
        <v>197</v>
      </c>
      <c r="G24" t="s">
        <v>197</v>
      </c>
      <c r="H24" t="s">
        <v>197</v>
      </c>
      <c r="I24" t="s">
        <v>197</v>
      </c>
      <c r="J24" t="s">
        <v>197</v>
      </c>
      <c r="K24" t="s">
        <v>416</v>
      </c>
      <c r="AH24" t="s">
        <v>214</v>
      </c>
      <c r="AJ24" t="s">
        <v>316</v>
      </c>
      <c r="BD24" t="s">
        <v>299</v>
      </c>
      <c r="BK24" t="s">
        <v>238</v>
      </c>
      <c r="BN24" t="s">
        <v>347</v>
      </c>
      <c r="BO24" t="s">
        <v>279</v>
      </c>
    </row>
    <row r="25" spans="1:67">
      <c r="A25" t="s">
        <v>417</v>
      </c>
      <c r="K25" t="s">
        <v>418</v>
      </c>
      <c r="W25" t="s">
        <v>171</v>
      </c>
      <c r="X25" t="str">
        <f>A25</f>
        <v>info_sdt_dml_batch2_pk_irp2</v>
      </c>
      <c r="AH25" t="s">
        <v>419</v>
      </c>
      <c r="AJ25" t="s">
        <v>325</v>
      </c>
      <c r="BD25" t="s">
        <v>310</v>
      </c>
      <c r="BK25" t="s">
        <v>258</v>
      </c>
      <c r="BN25" t="s">
        <v>331</v>
      </c>
      <c r="BO25" t="s">
        <v>293</v>
      </c>
    </row>
    <row r="26" spans="1:67">
      <c r="B26" t="s">
        <v>196</v>
      </c>
      <c r="C26" t="s">
        <v>197</v>
      </c>
      <c r="D26" t="s">
        <v>197</v>
      </c>
      <c r="E26" t="s">
        <v>197</v>
      </c>
      <c r="F26" t="s">
        <v>197</v>
      </c>
      <c r="G26" t="s">
        <v>197</v>
      </c>
      <c r="H26" t="s">
        <v>197</v>
      </c>
      <c r="I26" t="s">
        <v>420</v>
      </c>
      <c r="J26" t="s">
        <v>199</v>
      </c>
      <c r="K26" t="s">
        <v>200</v>
      </c>
      <c r="AH26" t="s">
        <v>421</v>
      </c>
      <c r="AJ26" t="s">
        <v>337</v>
      </c>
      <c r="BD26" t="s">
        <v>241</v>
      </c>
      <c r="BK26" t="s">
        <v>346</v>
      </c>
      <c r="BN26" t="s">
        <v>344</v>
      </c>
      <c r="BO26" t="s">
        <v>302</v>
      </c>
    </row>
    <row r="27" spans="1:67">
      <c r="B27" t="s">
        <v>197</v>
      </c>
      <c r="C27" t="s">
        <v>197</v>
      </c>
      <c r="D27" t="s">
        <v>197</v>
      </c>
      <c r="E27" t="s">
        <v>197</v>
      </c>
      <c r="F27" t="s">
        <v>197</v>
      </c>
      <c r="G27" t="s">
        <v>197</v>
      </c>
      <c r="H27" t="s">
        <v>197</v>
      </c>
      <c r="I27" t="s">
        <v>197</v>
      </c>
      <c r="J27" t="s">
        <v>197</v>
      </c>
      <c r="K27" t="s">
        <v>422</v>
      </c>
      <c r="AH27" t="s">
        <v>390</v>
      </c>
      <c r="AJ27" t="s">
        <v>351</v>
      </c>
      <c r="BD27" t="s">
        <v>331</v>
      </c>
      <c r="BK27" t="s">
        <v>279</v>
      </c>
      <c r="BN27" t="s">
        <v>356</v>
      </c>
      <c r="BO27" t="s">
        <v>315</v>
      </c>
    </row>
    <row r="28" spans="1:67">
      <c r="A28" t="s">
        <v>423</v>
      </c>
      <c r="K28" t="s">
        <v>424</v>
      </c>
      <c r="W28" t="s">
        <v>171</v>
      </c>
      <c r="X28" t="str">
        <f>A28</f>
        <v>info_varchar_dml_batch1_pk_drp1</v>
      </c>
      <c r="AH28" t="s">
        <v>425</v>
      </c>
      <c r="AJ28" t="s">
        <v>241</v>
      </c>
      <c r="BD28" t="s">
        <v>344</v>
      </c>
      <c r="BK28" t="s">
        <v>293</v>
      </c>
      <c r="BN28" t="s">
        <v>364</v>
      </c>
      <c r="BO28" t="s">
        <v>426</v>
      </c>
    </row>
    <row r="29" spans="1:67">
      <c r="B29" t="s">
        <v>196</v>
      </c>
      <c r="C29" t="s">
        <v>197</v>
      </c>
      <c r="D29" t="s">
        <v>197</v>
      </c>
      <c r="E29" t="s">
        <v>197</v>
      </c>
      <c r="F29" t="s">
        <v>197</v>
      </c>
      <c r="G29" t="s">
        <v>197</v>
      </c>
      <c r="H29" t="s">
        <v>197</v>
      </c>
      <c r="I29" t="s">
        <v>427</v>
      </c>
      <c r="J29" t="s">
        <v>199</v>
      </c>
      <c r="K29" t="s">
        <v>200</v>
      </c>
      <c r="AH29" t="s">
        <v>428</v>
      </c>
      <c r="AJ29" t="s">
        <v>261</v>
      </c>
      <c r="BD29" t="s">
        <v>356</v>
      </c>
      <c r="BK29" t="s">
        <v>302</v>
      </c>
      <c r="BN29" t="s">
        <v>429</v>
      </c>
      <c r="BO29" t="s">
        <v>430</v>
      </c>
    </row>
    <row r="30" spans="1:67">
      <c r="B30" t="s">
        <v>197</v>
      </c>
      <c r="C30" t="s">
        <v>197</v>
      </c>
      <c r="D30" t="s">
        <v>197</v>
      </c>
      <c r="E30" t="s">
        <v>197</v>
      </c>
      <c r="F30" t="s">
        <v>197</v>
      </c>
      <c r="G30" t="s">
        <v>197</v>
      </c>
      <c r="H30" t="s">
        <v>197</v>
      </c>
      <c r="I30" t="s">
        <v>197</v>
      </c>
      <c r="J30" t="s">
        <v>197</v>
      </c>
      <c r="K30" t="s">
        <v>431</v>
      </c>
      <c r="AH30" t="s">
        <v>401</v>
      </c>
      <c r="AJ30" t="s">
        <v>344</v>
      </c>
      <c r="BD30" t="s">
        <v>364</v>
      </c>
      <c r="BK30" t="s">
        <v>315</v>
      </c>
      <c r="BN30" t="s">
        <v>432</v>
      </c>
      <c r="BO30" t="s">
        <v>433</v>
      </c>
    </row>
    <row r="31" spans="1:67">
      <c r="B31" t="s">
        <v>197</v>
      </c>
      <c r="C31" t="s">
        <v>197</v>
      </c>
      <c r="D31" t="s">
        <v>197</v>
      </c>
      <c r="E31" t="s">
        <v>197</v>
      </c>
      <c r="F31" t="s">
        <v>197</v>
      </c>
      <c r="G31" t="s">
        <v>197</v>
      </c>
      <c r="H31" t="s">
        <v>197</v>
      </c>
      <c r="I31" t="s">
        <v>197</v>
      </c>
      <c r="J31" t="s">
        <v>197</v>
      </c>
      <c r="K31" t="s">
        <v>434</v>
      </c>
      <c r="AH31" t="s">
        <v>435</v>
      </c>
      <c r="AJ31" t="s">
        <v>382</v>
      </c>
      <c r="BD31" t="s">
        <v>436</v>
      </c>
      <c r="BK31" t="s">
        <v>426</v>
      </c>
      <c r="BN31" t="s">
        <v>437</v>
      </c>
      <c r="BO31" t="s">
        <v>438</v>
      </c>
    </row>
    <row r="32" spans="1:67">
      <c r="B32" t="s">
        <v>197</v>
      </c>
      <c r="C32" t="s">
        <v>197</v>
      </c>
      <c r="D32" t="s">
        <v>197</v>
      </c>
      <c r="E32" t="s">
        <v>197</v>
      </c>
      <c r="F32" t="s">
        <v>197</v>
      </c>
      <c r="G32" t="s">
        <v>197</v>
      </c>
      <c r="H32" t="s">
        <v>197</v>
      </c>
      <c r="I32" t="s">
        <v>197</v>
      </c>
      <c r="J32" t="s">
        <v>197</v>
      </c>
      <c r="K32" t="s">
        <v>439</v>
      </c>
      <c r="AH32" t="s">
        <v>287</v>
      </c>
      <c r="AJ32" t="s">
        <v>364</v>
      </c>
      <c r="BD32" t="s">
        <v>440</v>
      </c>
      <c r="BK32" t="s">
        <v>430</v>
      </c>
      <c r="BN32" t="s">
        <v>441</v>
      </c>
      <c r="BO32" t="s">
        <v>442</v>
      </c>
    </row>
    <row r="33" spans="1:67">
      <c r="K33" t="s">
        <v>443</v>
      </c>
      <c r="AH33" t="s">
        <v>414</v>
      </c>
      <c r="AJ33" t="s">
        <v>444</v>
      </c>
      <c r="BD33" t="s">
        <v>445</v>
      </c>
      <c r="BK33" t="s">
        <v>433</v>
      </c>
      <c r="BN33" t="s">
        <v>446</v>
      </c>
      <c r="BO33" t="s">
        <v>447</v>
      </c>
    </row>
    <row r="34" spans="1:67">
      <c r="A34" t="s">
        <v>448</v>
      </c>
      <c r="K34" t="s">
        <v>449</v>
      </c>
      <c r="W34" t="s">
        <v>171</v>
      </c>
      <c r="X34" t="str">
        <f>A34</f>
        <v>info_sdt_dml_batch1_pk_urp1</v>
      </c>
      <c r="AH34" t="s">
        <v>316</v>
      </c>
      <c r="AJ34" t="s">
        <v>450</v>
      </c>
      <c r="BD34" t="s">
        <v>451</v>
      </c>
      <c r="BK34" t="s">
        <v>438</v>
      </c>
      <c r="BN34" t="s">
        <v>452</v>
      </c>
      <c r="BO34" t="s">
        <v>453</v>
      </c>
    </row>
    <row r="35" spans="1:67">
      <c r="B35" t="s">
        <v>196</v>
      </c>
      <c r="C35" t="s">
        <v>197</v>
      </c>
      <c r="D35" t="s">
        <v>197</v>
      </c>
      <c r="E35" t="s">
        <v>197</v>
      </c>
      <c r="F35" t="s">
        <v>197</v>
      </c>
      <c r="G35" t="s">
        <v>197</v>
      </c>
      <c r="H35" t="s">
        <v>197</v>
      </c>
      <c r="I35" t="s">
        <v>454</v>
      </c>
      <c r="J35" t="s">
        <v>199</v>
      </c>
      <c r="K35" t="s">
        <v>200</v>
      </c>
      <c r="AH35" t="s">
        <v>325</v>
      </c>
      <c r="AJ35" t="s">
        <v>432</v>
      </c>
      <c r="BD35" t="s">
        <v>455</v>
      </c>
      <c r="BK35" t="s">
        <v>442</v>
      </c>
      <c r="BN35" t="s">
        <v>456</v>
      </c>
      <c r="BO35" t="s">
        <v>457</v>
      </c>
    </row>
    <row r="36" spans="1:67">
      <c r="B36" t="s">
        <v>197</v>
      </c>
      <c r="C36" t="s">
        <v>197</v>
      </c>
      <c r="D36" t="s">
        <v>197</v>
      </c>
      <c r="E36" t="s">
        <v>197</v>
      </c>
      <c r="F36" t="s">
        <v>197</v>
      </c>
      <c r="G36" t="s">
        <v>197</v>
      </c>
      <c r="H36" t="s">
        <v>197</v>
      </c>
      <c r="I36" t="s">
        <v>197</v>
      </c>
      <c r="J36" t="s">
        <v>197</v>
      </c>
      <c r="K36" t="s">
        <v>422</v>
      </c>
      <c r="AH36" t="s">
        <v>337</v>
      </c>
      <c r="AJ36" t="s">
        <v>458</v>
      </c>
      <c r="BD36" t="s">
        <v>459</v>
      </c>
      <c r="BK36" t="s">
        <v>447</v>
      </c>
      <c r="BN36" t="s">
        <v>460</v>
      </c>
      <c r="BO36" t="s">
        <v>461</v>
      </c>
    </row>
    <row r="37" spans="1:67">
      <c r="A37" t="s">
        <v>462</v>
      </c>
      <c r="K37" t="s">
        <v>463</v>
      </c>
      <c r="W37" t="s">
        <v>171</v>
      </c>
      <c r="X37" t="str">
        <f>A37</f>
        <v>info_xml_dml_single_pk_irp</v>
      </c>
      <c r="AH37" t="s">
        <v>351</v>
      </c>
      <c r="AJ37" t="s">
        <v>446</v>
      </c>
      <c r="BD37" t="s">
        <v>464</v>
      </c>
      <c r="BK37" t="s">
        <v>453</v>
      </c>
      <c r="BN37" t="s">
        <v>465</v>
      </c>
      <c r="BO37" t="s">
        <v>466</v>
      </c>
    </row>
    <row r="38" spans="1:67">
      <c r="B38" t="s">
        <v>196</v>
      </c>
      <c r="C38" t="s">
        <v>197</v>
      </c>
      <c r="D38" t="s">
        <v>197</v>
      </c>
      <c r="E38" t="s">
        <v>197</v>
      </c>
      <c r="F38" t="s">
        <v>197</v>
      </c>
      <c r="G38" t="s">
        <v>197</v>
      </c>
      <c r="H38" t="s">
        <v>197</v>
      </c>
      <c r="I38" t="s">
        <v>467</v>
      </c>
      <c r="J38" t="s">
        <v>199</v>
      </c>
      <c r="K38" t="s">
        <v>200</v>
      </c>
      <c r="AH38" t="s">
        <v>241</v>
      </c>
      <c r="AJ38" t="s">
        <v>468</v>
      </c>
      <c r="BD38" t="s">
        <v>469</v>
      </c>
      <c r="BK38" t="s">
        <v>457</v>
      </c>
      <c r="BN38" t="s">
        <v>470</v>
      </c>
      <c r="BO38" t="s">
        <v>471</v>
      </c>
    </row>
    <row r="39" spans="1:67">
      <c r="B39" t="s">
        <v>197</v>
      </c>
      <c r="C39" t="s">
        <v>197</v>
      </c>
      <c r="D39" t="s">
        <v>197</v>
      </c>
      <c r="E39" t="s">
        <v>197</v>
      </c>
      <c r="F39" t="s">
        <v>197</v>
      </c>
      <c r="G39" t="s">
        <v>197</v>
      </c>
      <c r="H39" t="s">
        <v>197</v>
      </c>
      <c r="I39" t="s">
        <v>197</v>
      </c>
      <c r="J39" t="s">
        <v>197</v>
      </c>
      <c r="K39" t="s">
        <v>472</v>
      </c>
      <c r="AH39" t="s">
        <v>473</v>
      </c>
      <c r="AJ39" t="s">
        <v>456</v>
      </c>
      <c r="BD39" t="s">
        <v>474</v>
      </c>
      <c r="BK39" t="s">
        <v>461</v>
      </c>
      <c r="BN39" t="s">
        <v>475</v>
      </c>
    </row>
    <row r="40" spans="1:67">
      <c r="A40" t="s">
        <v>476</v>
      </c>
      <c r="K40" t="s">
        <v>477</v>
      </c>
      <c r="W40" t="s">
        <v>171</v>
      </c>
      <c r="X40" t="str">
        <f>A40</f>
        <v>info_sdt_dml_batch1_pk_urp2</v>
      </c>
      <c r="AH40" t="s">
        <v>261</v>
      </c>
      <c r="AJ40" t="s">
        <v>478</v>
      </c>
      <c r="BD40" t="s">
        <v>479</v>
      </c>
      <c r="BK40" t="s">
        <v>466</v>
      </c>
      <c r="BN40" t="s">
        <v>480</v>
      </c>
    </row>
    <row r="41" spans="1:67">
      <c r="B41" t="s">
        <v>196</v>
      </c>
      <c r="C41" t="s">
        <v>197</v>
      </c>
      <c r="D41" t="s">
        <v>197</v>
      </c>
      <c r="E41" t="s">
        <v>197</v>
      </c>
      <c r="F41" t="s">
        <v>197</v>
      </c>
      <c r="G41" t="s">
        <v>197</v>
      </c>
      <c r="H41" t="s">
        <v>197</v>
      </c>
      <c r="I41" t="s">
        <v>481</v>
      </c>
      <c r="J41" t="s">
        <v>199</v>
      </c>
      <c r="K41" t="s">
        <v>200</v>
      </c>
      <c r="AH41" t="s">
        <v>344</v>
      </c>
      <c r="AJ41" t="s">
        <v>482</v>
      </c>
      <c r="BD41" t="s">
        <v>483</v>
      </c>
      <c r="BK41" t="s">
        <v>471</v>
      </c>
    </row>
    <row r="42" spans="1:67">
      <c r="B42" t="s">
        <v>197</v>
      </c>
      <c r="C42" t="s">
        <v>197</v>
      </c>
      <c r="D42" t="s">
        <v>197</v>
      </c>
      <c r="E42" t="s">
        <v>197</v>
      </c>
      <c r="F42" t="s">
        <v>197</v>
      </c>
      <c r="G42" t="s">
        <v>197</v>
      </c>
      <c r="H42" t="s">
        <v>197</v>
      </c>
      <c r="I42" t="s">
        <v>197</v>
      </c>
      <c r="J42" t="s">
        <v>197</v>
      </c>
      <c r="K42" t="s">
        <v>422</v>
      </c>
      <c r="AH42" t="s">
        <v>382</v>
      </c>
      <c r="AJ42" t="s">
        <v>465</v>
      </c>
      <c r="BD42" t="s">
        <v>484</v>
      </c>
      <c r="BK42" t="s">
        <v>485</v>
      </c>
    </row>
    <row r="43" spans="1:67">
      <c r="A43" t="s">
        <v>486</v>
      </c>
      <c r="K43" t="s">
        <v>487</v>
      </c>
      <c r="W43" s="1" t="str">
        <f>HYPERLINK("#2026042000hbase1!Y2","NO 源备存在差异，共14个")</f>
        <v>NO 源备存在差异，共14个</v>
      </c>
      <c r="X43" t="str">
        <f>A43</f>
        <v>info_varbinary_dml_batch1_pk_urp1</v>
      </c>
      <c r="AH43" t="s">
        <v>364</v>
      </c>
      <c r="AJ43" t="s">
        <v>488</v>
      </c>
      <c r="BD43" t="s">
        <v>489</v>
      </c>
      <c r="BK43" t="s">
        <v>490</v>
      </c>
    </row>
    <row r="44" spans="1:67">
      <c r="B44" t="s">
        <v>196</v>
      </c>
      <c r="C44" t="s">
        <v>197</v>
      </c>
      <c r="D44" t="s">
        <v>197</v>
      </c>
      <c r="E44" t="s">
        <v>197</v>
      </c>
      <c r="F44" t="s">
        <v>197</v>
      </c>
      <c r="G44" t="s">
        <v>197</v>
      </c>
      <c r="H44" t="s">
        <v>197</v>
      </c>
      <c r="I44" t="s">
        <v>491</v>
      </c>
      <c r="J44" t="s">
        <v>199</v>
      </c>
      <c r="K44" t="s">
        <v>200</v>
      </c>
      <c r="AH44" t="s">
        <v>492</v>
      </c>
      <c r="AJ44" t="s">
        <v>480</v>
      </c>
      <c r="BD44" t="s">
        <v>493</v>
      </c>
      <c r="BK44" t="s">
        <v>494</v>
      </c>
    </row>
    <row r="45" spans="1:67">
      <c r="B45" t="s">
        <v>197</v>
      </c>
      <c r="C45" t="s">
        <v>197</v>
      </c>
      <c r="D45" t="s">
        <v>197</v>
      </c>
      <c r="E45" t="s">
        <v>197</v>
      </c>
      <c r="F45" t="s">
        <v>197</v>
      </c>
      <c r="G45" t="s">
        <v>197</v>
      </c>
      <c r="H45" t="s">
        <v>197</v>
      </c>
      <c r="I45" t="s">
        <v>197</v>
      </c>
      <c r="J45" t="s">
        <v>197</v>
      </c>
      <c r="K45" t="s">
        <v>495</v>
      </c>
      <c r="AH45" t="s">
        <v>496</v>
      </c>
      <c r="AJ45" t="s">
        <v>497</v>
      </c>
      <c r="BD45" t="s">
        <v>498</v>
      </c>
    </row>
    <row r="46" spans="1:67">
      <c r="B46" t="s">
        <v>197</v>
      </c>
      <c r="C46" t="s">
        <v>197</v>
      </c>
      <c r="D46" t="s">
        <v>197</v>
      </c>
      <c r="E46" t="s">
        <v>197</v>
      </c>
      <c r="F46" t="s">
        <v>197</v>
      </c>
      <c r="G46" t="s">
        <v>197</v>
      </c>
      <c r="H46" t="s">
        <v>197</v>
      </c>
      <c r="I46" t="s">
        <v>197</v>
      </c>
      <c r="J46" t="s">
        <v>197</v>
      </c>
      <c r="K46" t="s">
        <v>499</v>
      </c>
      <c r="AH46" t="s">
        <v>500</v>
      </c>
      <c r="AJ46" t="s">
        <v>501</v>
      </c>
      <c r="BD46" t="s">
        <v>502</v>
      </c>
    </row>
    <row r="47" spans="1:67">
      <c r="B47" t="s">
        <v>197</v>
      </c>
      <c r="C47" t="s">
        <v>197</v>
      </c>
      <c r="D47" t="s">
        <v>197</v>
      </c>
      <c r="E47" t="s">
        <v>197</v>
      </c>
      <c r="F47" t="s">
        <v>197</v>
      </c>
      <c r="G47" t="s">
        <v>197</v>
      </c>
      <c r="H47" t="s">
        <v>197</v>
      </c>
      <c r="I47" t="s">
        <v>197</v>
      </c>
      <c r="J47" t="s">
        <v>197</v>
      </c>
      <c r="K47" t="s">
        <v>503</v>
      </c>
      <c r="AH47" t="s">
        <v>440</v>
      </c>
    </row>
    <row r="48" spans="1:67">
      <c r="A48" t="s">
        <v>504</v>
      </c>
      <c r="K48" t="s">
        <v>505</v>
      </c>
      <c r="W48" t="s">
        <v>171</v>
      </c>
      <c r="X48" t="str">
        <f>A48</f>
        <v>info_sdt_dml_batch1_pk_drp1</v>
      </c>
      <c r="AH48" t="s">
        <v>506</v>
      </c>
    </row>
    <row r="49" spans="1:34">
      <c r="B49" t="s">
        <v>196</v>
      </c>
      <c r="C49" t="s">
        <v>197</v>
      </c>
      <c r="D49" t="s">
        <v>197</v>
      </c>
      <c r="E49" t="s">
        <v>197</v>
      </c>
      <c r="F49" t="s">
        <v>197</v>
      </c>
      <c r="G49" t="s">
        <v>197</v>
      </c>
      <c r="H49" t="s">
        <v>197</v>
      </c>
      <c r="I49" t="s">
        <v>507</v>
      </c>
      <c r="J49" t="s">
        <v>199</v>
      </c>
      <c r="K49" t="s">
        <v>200</v>
      </c>
      <c r="AH49" t="s">
        <v>508</v>
      </c>
    </row>
    <row r="50" spans="1:34">
      <c r="B50" t="s">
        <v>197</v>
      </c>
      <c r="C50" t="s">
        <v>197</v>
      </c>
      <c r="D50" t="s">
        <v>197</v>
      </c>
      <c r="E50" t="s">
        <v>197</v>
      </c>
      <c r="F50" t="s">
        <v>197</v>
      </c>
      <c r="G50" t="s">
        <v>197</v>
      </c>
      <c r="H50" t="s">
        <v>197</v>
      </c>
      <c r="I50" t="s">
        <v>197</v>
      </c>
      <c r="J50" t="s">
        <v>197</v>
      </c>
      <c r="K50" t="s">
        <v>422</v>
      </c>
      <c r="AH50" t="s">
        <v>451</v>
      </c>
    </row>
    <row r="51" spans="1:34">
      <c r="K51" t="s">
        <v>443</v>
      </c>
      <c r="AH51" t="s">
        <v>509</v>
      </c>
    </row>
    <row r="52" spans="1:34">
      <c r="A52" t="s">
        <v>510</v>
      </c>
      <c r="K52" t="s">
        <v>511</v>
      </c>
      <c r="W52" t="s">
        <v>171</v>
      </c>
      <c r="X52" t="str">
        <f>A52</f>
        <v>info_nchar_dml_single_pk_irp</v>
      </c>
      <c r="AH52" t="s">
        <v>459</v>
      </c>
    </row>
    <row r="53" spans="1:34">
      <c r="B53" t="s">
        <v>196</v>
      </c>
      <c r="C53" t="s">
        <v>197</v>
      </c>
      <c r="D53" t="s">
        <v>197</v>
      </c>
      <c r="E53" t="s">
        <v>197</v>
      </c>
      <c r="F53" t="s">
        <v>197</v>
      </c>
      <c r="G53" t="s">
        <v>197</v>
      </c>
      <c r="H53" t="s">
        <v>197</v>
      </c>
      <c r="I53" t="s">
        <v>512</v>
      </c>
      <c r="J53" t="s">
        <v>199</v>
      </c>
      <c r="K53" t="s">
        <v>200</v>
      </c>
      <c r="AH53" t="s">
        <v>513</v>
      </c>
    </row>
    <row r="54" spans="1:34">
      <c r="B54" t="s">
        <v>197</v>
      </c>
      <c r="C54" t="s">
        <v>197</v>
      </c>
      <c r="D54" t="s">
        <v>197</v>
      </c>
      <c r="E54" t="s">
        <v>197</v>
      </c>
      <c r="F54" t="s">
        <v>197</v>
      </c>
      <c r="G54" t="s">
        <v>197</v>
      </c>
      <c r="H54" t="s">
        <v>197</v>
      </c>
      <c r="I54" t="s">
        <v>197</v>
      </c>
      <c r="J54" t="s">
        <v>197</v>
      </c>
      <c r="K54" t="s">
        <v>514</v>
      </c>
      <c r="AH54" t="s">
        <v>515</v>
      </c>
    </row>
    <row r="55" spans="1:34">
      <c r="B55" t="s">
        <v>197</v>
      </c>
      <c r="C55" t="s">
        <v>197</v>
      </c>
      <c r="D55" t="s">
        <v>197</v>
      </c>
      <c r="E55" t="s">
        <v>197</v>
      </c>
      <c r="F55" t="s">
        <v>197</v>
      </c>
      <c r="G55" t="s">
        <v>197</v>
      </c>
      <c r="H55" t="s">
        <v>197</v>
      </c>
      <c r="I55" t="s">
        <v>197</v>
      </c>
      <c r="J55" t="s">
        <v>197</v>
      </c>
      <c r="K55" t="s">
        <v>516</v>
      </c>
      <c r="AH55" t="s">
        <v>469</v>
      </c>
    </row>
    <row r="56" spans="1:34">
      <c r="B56" t="s">
        <v>197</v>
      </c>
      <c r="C56" t="s">
        <v>197</v>
      </c>
      <c r="D56" t="s">
        <v>197</v>
      </c>
      <c r="E56" t="s">
        <v>197</v>
      </c>
      <c r="F56" t="s">
        <v>197</v>
      </c>
      <c r="G56" t="s">
        <v>197</v>
      </c>
      <c r="H56" t="s">
        <v>197</v>
      </c>
      <c r="I56" t="s">
        <v>197</v>
      </c>
      <c r="J56" t="s">
        <v>197</v>
      </c>
      <c r="K56" t="s">
        <v>517</v>
      </c>
      <c r="AH56" t="s">
        <v>518</v>
      </c>
    </row>
    <row r="57" spans="1:34">
      <c r="A57" t="s">
        <v>519</v>
      </c>
      <c r="K57" t="s">
        <v>520</v>
      </c>
      <c r="W57" t="s">
        <v>171</v>
      </c>
      <c r="X57" t="str">
        <f>A57</f>
        <v>info_datetimeoffset_dml_single_pk_drp</v>
      </c>
      <c r="AH57" t="s">
        <v>521</v>
      </c>
    </row>
    <row r="58" spans="1:34">
      <c r="B58" t="s">
        <v>196</v>
      </c>
      <c r="C58" t="s">
        <v>197</v>
      </c>
      <c r="D58" t="s">
        <v>197</v>
      </c>
      <c r="E58" t="s">
        <v>197</v>
      </c>
      <c r="F58" t="s">
        <v>197</v>
      </c>
      <c r="G58" t="s">
        <v>197</v>
      </c>
      <c r="H58" t="s">
        <v>197</v>
      </c>
      <c r="I58" t="s">
        <v>522</v>
      </c>
      <c r="J58" t="s">
        <v>199</v>
      </c>
      <c r="K58" t="s">
        <v>200</v>
      </c>
      <c r="AH58" t="s">
        <v>479</v>
      </c>
    </row>
    <row r="59" spans="1:34">
      <c r="B59" t="s">
        <v>197</v>
      </c>
      <c r="C59" t="s">
        <v>197</v>
      </c>
      <c r="D59" t="s">
        <v>197</v>
      </c>
      <c r="E59" t="s">
        <v>197</v>
      </c>
      <c r="F59" t="s">
        <v>197</v>
      </c>
      <c r="G59" t="s">
        <v>197</v>
      </c>
      <c r="H59" t="s">
        <v>197</v>
      </c>
      <c r="I59" t="s">
        <v>197</v>
      </c>
      <c r="J59" t="s">
        <v>197</v>
      </c>
      <c r="K59" t="s">
        <v>301</v>
      </c>
      <c r="AH59" t="s">
        <v>523</v>
      </c>
    </row>
    <row r="60" spans="1:34">
      <c r="B60" t="s">
        <v>197</v>
      </c>
      <c r="C60" t="s">
        <v>197</v>
      </c>
      <c r="D60" t="s">
        <v>197</v>
      </c>
      <c r="E60" t="s">
        <v>197</v>
      </c>
      <c r="F60" t="s">
        <v>197</v>
      </c>
      <c r="G60" t="s">
        <v>197</v>
      </c>
      <c r="H60" t="s">
        <v>197</v>
      </c>
      <c r="I60" t="s">
        <v>197</v>
      </c>
      <c r="J60" t="s">
        <v>197</v>
      </c>
      <c r="K60" t="s">
        <v>314</v>
      </c>
      <c r="AH60" t="s">
        <v>484</v>
      </c>
    </row>
    <row r="61" spans="1:34">
      <c r="B61" t="s">
        <v>197</v>
      </c>
      <c r="C61" t="s">
        <v>197</v>
      </c>
      <c r="D61" t="s">
        <v>197</v>
      </c>
      <c r="E61" t="s">
        <v>197</v>
      </c>
      <c r="F61" t="s">
        <v>197</v>
      </c>
      <c r="G61" t="s">
        <v>197</v>
      </c>
      <c r="H61" t="s">
        <v>197</v>
      </c>
      <c r="I61" t="s">
        <v>197</v>
      </c>
      <c r="J61" t="s">
        <v>197</v>
      </c>
      <c r="K61" t="s">
        <v>324</v>
      </c>
      <c r="AH61" t="s">
        <v>524</v>
      </c>
    </row>
    <row r="62" spans="1:34">
      <c r="B62" t="s">
        <v>197</v>
      </c>
      <c r="C62" t="s">
        <v>197</v>
      </c>
      <c r="D62" t="s">
        <v>197</v>
      </c>
      <c r="E62" t="s">
        <v>197</v>
      </c>
      <c r="F62" t="s">
        <v>197</v>
      </c>
      <c r="G62" t="s">
        <v>197</v>
      </c>
      <c r="H62" t="s">
        <v>197</v>
      </c>
      <c r="I62" t="s">
        <v>197</v>
      </c>
      <c r="J62" t="s">
        <v>197</v>
      </c>
      <c r="K62" t="s">
        <v>335</v>
      </c>
      <c r="AH62" t="s">
        <v>525</v>
      </c>
    </row>
    <row r="63" spans="1:34">
      <c r="B63" t="s">
        <v>197</v>
      </c>
      <c r="C63" t="s">
        <v>197</v>
      </c>
      <c r="D63" t="s">
        <v>197</v>
      </c>
      <c r="E63" t="s">
        <v>197</v>
      </c>
      <c r="F63" t="s">
        <v>197</v>
      </c>
      <c r="G63" t="s">
        <v>197</v>
      </c>
      <c r="H63" t="s">
        <v>197</v>
      </c>
      <c r="I63" t="s">
        <v>197</v>
      </c>
      <c r="J63" t="s">
        <v>197</v>
      </c>
      <c r="K63" t="s">
        <v>350</v>
      </c>
      <c r="AH63" t="s">
        <v>493</v>
      </c>
    </row>
    <row r="64" spans="1:34">
      <c r="B64" t="s">
        <v>197</v>
      </c>
      <c r="C64" t="s">
        <v>197</v>
      </c>
      <c r="D64" t="s">
        <v>197</v>
      </c>
      <c r="E64" t="s">
        <v>197</v>
      </c>
      <c r="F64" t="s">
        <v>197</v>
      </c>
      <c r="G64" t="s">
        <v>197</v>
      </c>
      <c r="H64" t="s">
        <v>197</v>
      </c>
      <c r="I64" t="s">
        <v>197</v>
      </c>
      <c r="J64" t="s">
        <v>197</v>
      </c>
      <c r="K64" t="s">
        <v>360</v>
      </c>
      <c r="AH64" t="s">
        <v>526</v>
      </c>
    </row>
    <row r="65" spans="1:34">
      <c r="B65" t="s">
        <v>197</v>
      </c>
      <c r="C65" t="s">
        <v>197</v>
      </c>
      <c r="D65" t="s">
        <v>197</v>
      </c>
      <c r="E65" t="s">
        <v>197</v>
      </c>
      <c r="F65" t="s">
        <v>197</v>
      </c>
      <c r="G65" t="s">
        <v>197</v>
      </c>
      <c r="H65" t="s">
        <v>197</v>
      </c>
      <c r="I65" t="s">
        <v>197</v>
      </c>
      <c r="J65" t="s">
        <v>197</v>
      </c>
      <c r="K65" t="s">
        <v>367</v>
      </c>
      <c r="AH65" t="s">
        <v>527</v>
      </c>
    </row>
    <row r="66" spans="1:34">
      <c r="B66" t="s">
        <v>197</v>
      </c>
      <c r="C66" t="s">
        <v>197</v>
      </c>
      <c r="D66" t="s">
        <v>197</v>
      </c>
      <c r="E66" t="s">
        <v>197</v>
      </c>
      <c r="F66" t="s">
        <v>197</v>
      </c>
      <c r="G66" t="s">
        <v>197</v>
      </c>
      <c r="H66" t="s">
        <v>197</v>
      </c>
      <c r="I66" t="s">
        <v>197</v>
      </c>
      <c r="J66" t="s">
        <v>197</v>
      </c>
      <c r="K66" t="s">
        <v>373</v>
      </c>
      <c r="AH66" t="s">
        <v>502</v>
      </c>
    </row>
    <row r="67" spans="1:34">
      <c r="A67" t="s">
        <v>528</v>
      </c>
      <c r="K67" t="s">
        <v>529</v>
      </c>
      <c r="W67" t="s">
        <v>171</v>
      </c>
      <c r="X67" t="str">
        <f>A67</f>
        <v>info_text_dml_single_pk_urp</v>
      </c>
    </row>
    <row r="68" spans="1:34">
      <c r="B68" t="s">
        <v>196</v>
      </c>
      <c r="C68" t="s">
        <v>197</v>
      </c>
      <c r="D68" t="s">
        <v>197</v>
      </c>
      <c r="E68" t="s">
        <v>197</v>
      </c>
      <c r="F68" t="s">
        <v>197</v>
      </c>
      <c r="G68" t="s">
        <v>197</v>
      </c>
      <c r="H68" t="s">
        <v>197</v>
      </c>
      <c r="I68" t="s">
        <v>530</v>
      </c>
      <c r="J68" t="s">
        <v>199</v>
      </c>
      <c r="K68" t="s">
        <v>200</v>
      </c>
    </row>
    <row r="69" spans="1:34">
      <c r="B69" t="s">
        <v>197</v>
      </c>
      <c r="C69" t="s">
        <v>197</v>
      </c>
      <c r="D69" t="s">
        <v>197</v>
      </c>
      <c r="E69" t="s">
        <v>197</v>
      </c>
      <c r="F69" t="s">
        <v>197</v>
      </c>
      <c r="G69" t="s">
        <v>197</v>
      </c>
      <c r="H69" t="s">
        <v>197</v>
      </c>
      <c r="I69" t="s">
        <v>197</v>
      </c>
      <c r="J69" t="s">
        <v>197</v>
      </c>
      <c r="K69" t="s">
        <v>229</v>
      </c>
    </row>
    <row r="70" spans="1:34">
      <c r="B70" t="s">
        <v>197</v>
      </c>
      <c r="C70" t="s">
        <v>197</v>
      </c>
      <c r="D70" t="s">
        <v>197</v>
      </c>
      <c r="E70" t="s">
        <v>197</v>
      </c>
      <c r="F70" t="s">
        <v>197</v>
      </c>
      <c r="G70" t="s">
        <v>197</v>
      </c>
      <c r="H70" t="s">
        <v>197</v>
      </c>
      <c r="I70" t="s">
        <v>197</v>
      </c>
      <c r="J70" t="s">
        <v>197</v>
      </c>
      <c r="K70" t="s">
        <v>251</v>
      </c>
    </row>
    <row r="71" spans="1:34">
      <c r="A71" t="s">
        <v>531</v>
      </c>
      <c r="K71" t="s">
        <v>532</v>
      </c>
      <c r="W71" s="1" t="str">
        <f>HYPERLINK("#2026042000hbase1!Z2","NO 源备存在差异，共6个")</f>
        <v>NO 源备存在差异，共6个</v>
      </c>
      <c r="X71" t="str">
        <f>A71</f>
        <v>info_geometry_dml_single_pk_urp</v>
      </c>
    </row>
    <row r="72" spans="1:34">
      <c r="B72" t="s">
        <v>196</v>
      </c>
      <c r="C72" t="s">
        <v>197</v>
      </c>
      <c r="D72" t="s">
        <v>197</v>
      </c>
      <c r="E72" t="s">
        <v>197</v>
      </c>
      <c r="F72" t="s">
        <v>197</v>
      </c>
      <c r="G72" t="s">
        <v>197</v>
      </c>
      <c r="H72" t="s">
        <v>197</v>
      </c>
      <c r="I72" t="s">
        <v>533</v>
      </c>
      <c r="J72" t="s">
        <v>199</v>
      </c>
      <c r="K72" t="s">
        <v>200</v>
      </c>
    </row>
    <row r="73" spans="1:34">
      <c r="B73" t="s">
        <v>197</v>
      </c>
      <c r="C73" t="s">
        <v>197</v>
      </c>
      <c r="D73" t="s">
        <v>197</v>
      </c>
      <c r="E73" t="s">
        <v>197</v>
      </c>
      <c r="F73" t="s">
        <v>197</v>
      </c>
      <c r="G73" t="s">
        <v>197</v>
      </c>
      <c r="H73" t="s">
        <v>197</v>
      </c>
      <c r="I73" t="s">
        <v>197</v>
      </c>
      <c r="J73" t="s">
        <v>197</v>
      </c>
      <c r="K73" t="s">
        <v>393</v>
      </c>
    </row>
    <row r="74" spans="1:34">
      <c r="A74" t="s">
        <v>534</v>
      </c>
      <c r="K74" t="s">
        <v>535</v>
      </c>
      <c r="W74" t="s">
        <v>171</v>
      </c>
      <c r="X74" t="str">
        <f>A74</f>
        <v>info_sdt_dml_batch1_pk_drp2</v>
      </c>
    </row>
    <row r="75" spans="1:34">
      <c r="B75" t="s">
        <v>196</v>
      </c>
      <c r="C75" t="s">
        <v>197</v>
      </c>
      <c r="D75" t="s">
        <v>197</v>
      </c>
      <c r="E75" t="s">
        <v>197</v>
      </c>
      <c r="F75" t="s">
        <v>197</v>
      </c>
      <c r="G75" t="s">
        <v>197</v>
      </c>
      <c r="H75" t="s">
        <v>197</v>
      </c>
      <c r="I75" t="s">
        <v>536</v>
      </c>
      <c r="J75" t="s">
        <v>199</v>
      </c>
      <c r="K75" t="s">
        <v>200</v>
      </c>
    </row>
    <row r="76" spans="1:34">
      <c r="B76" t="s">
        <v>197</v>
      </c>
      <c r="C76" t="s">
        <v>197</v>
      </c>
      <c r="D76" t="s">
        <v>197</v>
      </c>
      <c r="E76" t="s">
        <v>197</v>
      </c>
      <c r="F76" t="s">
        <v>197</v>
      </c>
      <c r="G76" t="s">
        <v>197</v>
      </c>
      <c r="H76" t="s">
        <v>197</v>
      </c>
      <c r="I76" t="s">
        <v>197</v>
      </c>
      <c r="J76" t="s">
        <v>197</v>
      </c>
      <c r="K76" t="s">
        <v>422</v>
      </c>
    </row>
    <row r="77" spans="1:34">
      <c r="A77" t="s">
        <v>537</v>
      </c>
      <c r="K77" t="s">
        <v>538</v>
      </c>
      <c r="W77" t="s">
        <v>171</v>
      </c>
      <c r="X77" t="str">
        <f>A77</f>
        <v>info_nvarchar_dml_batch2_pk_urp2</v>
      </c>
    </row>
    <row r="78" spans="1:34">
      <c r="B78" t="s">
        <v>196</v>
      </c>
      <c r="C78" t="s">
        <v>197</v>
      </c>
      <c r="D78" t="s">
        <v>197</v>
      </c>
      <c r="E78" t="s">
        <v>197</v>
      </c>
      <c r="F78" t="s">
        <v>197</v>
      </c>
      <c r="G78" t="s">
        <v>197</v>
      </c>
      <c r="H78" t="s">
        <v>197</v>
      </c>
      <c r="I78" t="s">
        <v>539</v>
      </c>
      <c r="J78" t="s">
        <v>199</v>
      </c>
      <c r="K78" t="s">
        <v>200</v>
      </c>
    </row>
    <row r="79" spans="1:34">
      <c r="B79" t="s">
        <v>197</v>
      </c>
      <c r="C79" t="s">
        <v>197</v>
      </c>
      <c r="D79" t="s">
        <v>197</v>
      </c>
      <c r="E79" t="s">
        <v>197</v>
      </c>
      <c r="F79" t="s">
        <v>197</v>
      </c>
      <c r="G79" t="s">
        <v>197</v>
      </c>
      <c r="H79" t="s">
        <v>197</v>
      </c>
      <c r="I79" t="s">
        <v>197</v>
      </c>
      <c r="J79" t="s">
        <v>197</v>
      </c>
      <c r="K79" t="s">
        <v>408</v>
      </c>
    </row>
    <row r="80" spans="1:34">
      <c r="B80" t="s">
        <v>197</v>
      </c>
      <c r="C80" t="s">
        <v>197</v>
      </c>
      <c r="D80" t="s">
        <v>197</v>
      </c>
      <c r="E80" t="s">
        <v>197</v>
      </c>
      <c r="F80" t="s">
        <v>197</v>
      </c>
      <c r="G80" t="s">
        <v>197</v>
      </c>
      <c r="H80" t="s">
        <v>197</v>
      </c>
      <c r="I80" t="s">
        <v>197</v>
      </c>
      <c r="J80" t="s">
        <v>197</v>
      </c>
      <c r="K80" t="s">
        <v>412</v>
      </c>
    </row>
    <row r="81" spans="1:24">
      <c r="B81" t="s">
        <v>197</v>
      </c>
      <c r="C81" t="s">
        <v>197</v>
      </c>
      <c r="D81" t="s">
        <v>197</v>
      </c>
      <c r="E81" t="s">
        <v>197</v>
      </c>
      <c r="F81" t="s">
        <v>197</v>
      </c>
      <c r="G81" t="s">
        <v>197</v>
      </c>
      <c r="H81" t="s">
        <v>197</v>
      </c>
      <c r="I81" t="s">
        <v>197</v>
      </c>
      <c r="J81" t="s">
        <v>197</v>
      </c>
      <c r="K81" t="s">
        <v>416</v>
      </c>
    </row>
    <row r="82" spans="1:24">
      <c r="A82" t="s">
        <v>540</v>
      </c>
      <c r="K82" t="s">
        <v>541</v>
      </c>
      <c r="W82" t="s">
        <v>171</v>
      </c>
      <c r="X82" t="str">
        <f>A82</f>
        <v>info_varchar_dml_batch1_pk_drp2</v>
      </c>
    </row>
    <row r="83" spans="1:24">
      <c r="B83" t="s">
        <v>196</v>
      </c>
      <c r="C83" t="s">
        <v>197</v>
      </c>
      <c r="D83" t="s">
        <v>197</v>
      </c>
      <c r="E83" t="s">
        <v>197</v>
      </c>
      <c r="F83" t="s">
        <v>197</v>
      </c>
      <c r="G83" t="s">
        <v>197</v>
      </c>
      <c r="H83" t="s">
        <v>197</v>
      </c>
      <c r="I83" t="s">
        <v>542</v>
      </c>
      <c r="J83" t="s">
        <v>199</v>
      </c>
      <c r="K83" t="s">
        <v>200</v>
      </c>
    </row>
    <row r="84" spans="1:24">
      <c r="B84" t="s">
        <v>197</v>
      </c>
      <c r="C84" t="s">
        <v>197</v>
      </c>
      <c r="D84" t="s">
        <v>197</v>
      </c>
      <c r="E84" t="s">
        <v>197</v>
      </c>
      <c r="F84" t="s">
        <v>197</v>
      </c>
      <c r="G84" t="s">
        <v>197</v>
      </c>
      <c r="H84" t="s">
        <v>197</v>
      </c>
      <c r="I84" t="s">
        <v>197</v>
      </c>
      <c r="J84" t="s">
        <v>197</v>
      </c>
      <c r="K84" t="s">
        <v>431</v>
      </c>
    </row>
    <row r="85" spans="1:24">
      <c r="B85" t="s">
        <v>197</v>
      </c>
      <c r="C85" t="s">
        <v>197</v>
      </c>
      <c r="D85" t="s">
        <v>197</v>
      </c>
      <c r="E85" t="s">
        <v>197</v>
      </c>
      <c r="F85" t="s">
        <v>197</v>
      </c>
      <c r="G85" t="s">
        <v>197</v>
      </c>
      <c r="H85" t="s">
        <v>197</v>
      </c>
      <c r="I85" t="s">
        <v>197</v>
      </c>
      <c r="J85" t="s">
        <v>197</v>
      </c>
      <c r="K85" t="s">
        <v>434</v>
      </c>
    </row>
    <row r="86" spans="1:24">
      <c r="B86" t="s">
        <v>197</v>
      </c>
      <c r="C86" t="s">
        <v>197</v>
      </c>
      <c r="D86" t="s">
        <v>197</v>
      </c>
      <c r="E86" t="s">
        <v>197</v>
      </c>
      <c r="F86" t="s">
        <v>197</v>
      </c>
      <c r="G86" t="s">
        <v>197</v>
      </c>
      <c r="H86" t="s">
        <v>197</v>
      </c>
      <c r="I86" t="s">
        <v>197</v>
      </c>
      <c r="J86" t="s">
        <v>197</v>
      </c>
      <c r="K86" t="s">
        <v>439</v>
      </c>
    </row>
    <row r="87" spans="1:24">
      <c r="A87" t="s">
        <v>543</v>
      </c>
      <c r="K87" t="s">
        <v>544</v>
      </c>
      <c r="W87" t="s">
        <v>171</v>
      </c>
      <c r="X87" t="str">
        <f>A87</f>
        <v>info_sdt_dml_batch1_pk</v>
      </c>
    </row>
    <row r="88" spans="1:24">
      <c r="B88" t="s">
        <v>196</v>
      </c>
      <c r="C88" t="s">
        <v>197</v>
      </c>
      <c r="D88" t="s">
        <v>197</v>
      </c>
      <c r="E88" t="s">
        <v>197</v>
      </c>
      <c r="F88" t="s">
        <v>197</v>
      </c>
      <c r="G88" t="s">
        <v>197</v>
      </c>
      <c r="H88" t="s">
        <v>197</v>
      </c>
      <c r="I88" t="s">
        <v>545</v>
      </c>
      <c r="J88" t="s">
        <v>199</v>
      </c>
      <c r="K88" t="s">
        <v>200</v>
      </c>
    </row>
    <row r="89" spans="1:24">
      <c r="B89" t="s">
        <v>197</v>
      </c>
      <c r="C89" t="s">
        <v>197</v>
      </c>
      <c r="D89" t="s">
        <v>197</v>
      </c>
      <c r="E89" t="s">
        <v>197</v>
      </c>
      <c r="F89" t="s">
        <v>197</v>
      </c>
      <c r="G89" t="s">
        <v>197</v>
      </c>
      <c r="H89" t="s">
        <v>197</v>
      </c>
      <c r="I89" t="s">
        <v>197</v>
      </c>
      <c r="J89" t="s">
        <v>197</v>
      </c>
      <c r="K89" t="s">
        <v>422</v>
      </c>
    </row>
    <row r="90" spans="1:24">
      <c r="A90" t="s">
        <v>546</v>
      </c>
      <c r="K90" t="s">
        <v>547</v>
      </c>
      <c r="W90" t="s">
        <v>171</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568</v>
      </c>
      <c r="K111" t="s">
        <v>569</v>
      </c>
      <c r="W111" s="1" t="str">
        <f>HYPERLINK("#2026042000hbase1!AA2","NO 源备存在差异，共4个")</f>
        <v>NO 源备存在差异，共4个</v>
      </c>
      <c r="X111" t="str">
        <f>A111</f>
        <v>info_xml_dml_single_pk_urp</v>
      </c>
    </row>
    <row r="112" spans="1:24">
      <c r="B112" t="s">
        <v>196</v>
      </c>
      <c r="C112" t="s">
        <v>197</v>
      </c>
      <c r="D112" t="s">
        <v>197</v>
      </c>
      <c r="E112" t="s">
        <v>197</v>
      </c>
      <c r="F112" t="s">
        <v>197</v>
      </c>
      <c r="G112" t="s">
        <v>197</v>
      </c>
      <c r="H112" t="s">
        <v>197</v>
      </c>
      <c r="I112" t="s">
        <v>570</v>
      </c>
      <c r="J112" t="s">
        <v>199</v>
      </c>
      <c r="K112" t="s">
        <v>200</v>
      </c>
    </row>
    <row r="113" spans="1:24">
      <c r="B113" t="s">
        <v>197</v>
      </c>
      <c r="C113" t="s">
        <v>197</v>
      </c>
      <c r="D113" t="s">
        <v>197</v>
      </c>
      <c r="E113" t="s">
        <v>197</v>
      </c>
      <c r="F113" t="s">
        <v>197</v>
      </c>
      <c r="G113" t="s">
        <v>197</v>
      </c>
      <c r="H113" t="s">
        <v>197</v>
      </c>
      <c r="I113" t="s">
        <v>197</v>
      </c>
      <c r="J113" t="s">
        <v>197</v>
      </c>
      <c r="K113" t="s">
        <v>472</v>
      </c>
    </row>
    <row r="114" spans="1:24">
      <c r="A114" t="s">
        <v>571</v>
      </c>
      <c r="K114" t="s">
        <v>572</v>
      </c>
      <c r="W114" t="s">
        <v>171</v>
      </c>
      <c r="X114" t="str">
        <f>A114</f>
        <v>info_datetime_dml_batch1_pk_irp1</v>
      </c>
    </row>
    <row r="115" spans="1:24">
      <c r="B115" t="s">
        <v>196</v>
      </c>
      <c r="C115" t="s">
        <v>197</v>
      </c>
      <c r="D115" t="s">
        <v>197</v>
      </c>
      <c r="E115" t="s">
        <v>197</v>
      </c>
      <c r="F115" t="s">
        <v>197</v>
      </c>
      <c r="G115" t="s">
        <v>197</v>
      </c>
      <c r="H115" t="s">
        <v>197</v>
      </c>
      <c r="I115" t="s">
        <v>573</v>
      </c>
      <c r="J115" t="s">
        <v>199</v>
      </c>
      <c r="K115" t="s">
        <v>200</v>
      </c>
    </row>
    <row r="116" spans="1:24">
      <c r="B116" t="s">
        <v>197</v>
      </c>
      <c r="C116" t="s">
        <v>197</v>
      </c>
      <c r="D116" t="s">
        <v>197</v>
      </c>
      <c r="E116" t="s">
        <v>197</v>
      </c>
      <c r="F116" t="s">
        <v>197</v>
      </c>
      <c r="G116" t="s">
        <v>197</v>
      </c>
      <c r="H116" t="s">
        <v>197</v>
      </c>
      <c r="I116" t="s">
        <v>197</v>
      </c>
      <c r="J116" t="s">
        <v>197</v>
      </c>
      <c r="K116" t="s">
        <v>574</v>
      </c>
    </row>
    <row r="117" spans="1:24">
      <c r="A117" t="s">
        <v>575</v>
      </c>
      <c r="K117" t="s">
        <v>576</v>
      </c>
      <c r="W117" s="1" t="str">
        <f>HYPERLINK("#2026042000hbase1!AB2","NO 源备存在差异，共14个")</f>
        <v>NO 源备存在差异，共14个</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593</v>
      </c>
      <c r="K148" t="s">
        <v>594</v>
      </c>
      <c r="W148" t="s">
        <v>171</v>
      </c>
      <c r="X148" t="str">
        <f>A148</f>
        <v>info_int_dml_batch1_pk_urp2</v>
      </c>
    </row>
    <row r="149" spans="1:24">
      <c r="B149" t="s">
        <v>196</v>
      </c>
      <c r="C149" t="s">
        <v>197</v>
      </c>
      <c r="D149" t="s">
        <v>197</v>
      </c>
      <c r="E149" t="s">
        <v>197</v>
      </c>
      <c r="F149" t="s">
        <v>197</v>
      </c>
      <c r="G149" t="s">
        <v>197</v>
      </c>
      <c r="H149" t="s">
        <v>197</v>
      </c>
      <c r="I149" t="s">
        <v>595</v>
      </c>
      <c r="J149" t="s">
        <v>199</v>
      </c>
      <c r="K149" t="s">
        <v>200</v>
      </c>
    </row>
    <row r="150" spans="1:24">
      <c r="B150" t="s">
        <v>197</v>
      </c>
      <c r="C150" t="s">
        <v>197</v>
      </c>
      <c r="D150" t="s">
        <v>197</v>
      </c>
      <c r="E150" t="s">
        <v>197</v>
      </c>
      <c r="F150" t="s">
        <v>197</v>
      </c>
      <c r="G150" t="s">
        <v>197</v>
      </c>
      <c r="H150" t="s">
        <v>197</v>
      </c>
      <c r="I150" t="s">
        <v>197</v>
      </c>
      <c r="J150" t="s">
        <v>197</v>
      </c>
      <c r="K150" t="s">
        <v>549</v>
      </c>
    </row>
    <row r="151" spans="1:24">
      <c r="B151" t="s">
        <v>197</v>
      </c>
      <c r="C151" t="s">
        <v>197</v>
      </c>
      <c r="D151" t="s">
        <v>197</v>
      </c>
      <c r="E151" t="s">
        <v>197</v>
      </c>
      <c r="F151" t="s">
        <v>197</v>
      </c>
      <c r="G151" t="s">
        <v>197</v>
      </c>
      <c r="H151" t="s">
        <v>197</v>
      </c>
      <c r="I151" t="s">
        <v>197</v>
      </c>
      <c r="J151" t="s">
        <v>197</v>
      </c>
      <c r="K151" t="s">
        <v>550</v>
      </c>
    </row>
    <row r="152" spans="1:24">
      <c r="B152" t="s">
        <v>197</v>
      </c>
      <c r="C152" t="s">
        <v>197</v>
      </c>
      <c r="D152" t="s">
        <v>197</v>
      </c>
      <c r="E152" t="s">
        <v>197</v>
      </c>
      <c r="F152" t="s">
        <v>197</v>
      </c>
      <c r="G152" t="s">
        <v>197</v>
      </c>
      <c r="H152" t="s">
        <v>197</v>
      </c>
      <c r="I152" t="s">
        <v>197</v>
      </c>
      <c r="J152" t="s">
        <v>197</v>
      </c>
      <c r="K152" t="s">
        <v>551</v>
      </c>
    </row>
    <row r="153" spans="1:24">
      <c r="B153" t="s">
        <v>197</v>
      </c>
      <c r="C153" t="s">
        <v>197</v>
      </c>
      <c r="D153" t="s">
        <v>197</v>
      </c>
      <c r="E153" t="s">
        <v>197</v>
      </c>
      <c r="F153" t="s">
        <v>197</v>
      </c>
      <c r="G153" t="s">
        <v>197</v>
      </c>
      <c r="H153" t="s">
        <v>197</v>
      </c>
      <c r="I153" t="s">
        <v>197</v>
      </c>
      <c r="J153" t="s">
        <v>197</v>
      </c>
      <c r="K153" t="s">
        <v>552</v>
      </c>
    </row>
    <row r="154" spans="1:24">
      <c r="B154" t="s">
        <v>197</v>
      </c>
      <c r="C154" t="s">
        <v>197</v>
      </c>
      <c r="D154" t="s">
        <v>197</v>
      </c>
      <c r="E154" t="s">
        <v>197</v>
      </c>
      <c r="F154" t="s">
        <v>197</v>
      </c>
      <c r="G154" t="s">
        <v>197</v>
      </c>
      <c r="H154" t="s">
        <v>197</v>
      </c>
      <c r="I154" t="s">
        <v>197</v>
      </c>
      <c r="J154" t="s">
        <v>197</v>
      </c>
      <c r="K154" t="s">
        <v>553</v>
      </c>
    </row>
    <row r="155" spans="1:24">
      <c r="B155" t="s">
        <v>197</v>
      </c>
      <c r="C155" t="s">
        <v>197</v>
      </c>
      <c r="D155" t="s">
        <v>197</v>
      </c>
      <c r="E155" t="s">
        <v>197</v>
      </c>
      <c r="F155" t="s">
        <v>197</v>
      </c>
      <c r="G155" t="s">
        <v>197</v>
      </c>
      <c r="H155" t="s">
        <v>197</v>
      </c>
      <c r="I155" t="s">
        <v>197</v>
      </c>
      <c r="J155" t="s">
        <v>197</v>
      </c>
      <c r="K155" t="s">
        <v>554</v>
      </c>
    </row>
    <row r="156" spans="1:24">
      <c r="B156" t="s">
        <v>197</v>
      </c>
      <c r="C156" t="s">
        <v>197</v>
      </c>
      <c r="D156" t="s">
        <v>197</v>
      </c>
      <c r="E156" t="s">
        <v>197</v>
      </c>
      <c r="F156" t="s">
        <v>197</v>
      </c>
      <c r="G156" t="s">
        <v>197</v>
      </c>
      <c r="H156" t="s">
        <v>197</v>
      </c>
      <c r="I156" t="s">
        <v>197</v>
      </c>
      <c r="J156" t="s">
        <v>197</v>
      </c>
      <c r="K156" t="s">
        <v>555</v>
      </c>
    </row>
    <row r="157" spans="1:24">
      <c r="B157" t="s">
        <v>197</v>
      </c>
      <c r="C157" t="s">
        <v>197</v>
      </c>
      <c r="D157" t="s">
        <v>197</v>
      </c>
      <c r="E157" t="s">
        <v>197</v>
      </c>
      <c r="F157" t="s">
        <v>197</v>
      </c>
      <c r="G157" t="s">
        <v>197</v>
      </c>
      <c r="H157" t="s">
        <v>197</v>
      </c>
      <c r="I157" t="s">
        <v>197</v>
      </c>
      <c r="J157" t="s">
        <v>197</v>
      </c>
      <c r="K157" t="s">
        <v>556</v>
      </c>
    </row>
    <row r="158" spans="1:24">
      <c r="B158" t="s">
        <v>197</v>
      </c>
      <c r="C158" t="s">
        <v>197</v>
      </c>
      <c r="D158" t="s">
        <v>197</v>
      </c>
      <c r="E158" t="s">
        <v>197</v>
      </c>
      <c r="F158" t="s">
        <v>197</v>
      </c>
      <c r="G158" t="s">
        <v>197</v>
      </c>
      <c r="H158" t="s">
        <v>197</v>
      </c>
      <c r="I158" t="s">
        <v>197</v>
      </c>
      <c r="J158" t="s">
        <v>197</v>
      </c>
      <c r="K158" t="s">
        <v>557</v>
      </c>
    </row>
    <row r="159" spans="1:24">
      <c r="B159" t="s">
        <v>197</v>
      </c>
      <c r="C159" t="s">
        <v>197</v>
      </c>
      <c r="D159" t="s">
        <v>197</v>
      </c>
      <c r="E159" t="s">
        <v>197</v>
      </c>
      <c r="F159" t="s">
        <v>197</v>
      </c>
      <c r="G159" t="s">
        <v>197</v>
      </c>
      <c r="H159" t="s">
        <v>197</v>
      </c>
      <c r="I159" t="s">
        <v>197</v>
      </c>
      <c r="J159" t="s">
        <v>197</v>
      </c>
      <c r="K159" t="s">
        <v>558</v>
      </c>
    </row>
    <row r="160" spans="1:24">
      <c r="B160" t="s">
        <v>197</v>
      </c>
      <c r="C160" t="s">
        <v>197</v>
      </c>
      <c r="D160" t="s">
        <v>197</v>
      </c>
      <c r="E160" t="s">
        <v>197</v>
      </c>
      <c r="F160" t="s">
        <v>197</v>
      </c>
      <c r="G160" t="s">
        <v>197</v>
      </c>
      <c r="H160" t="s">
        <v>197</v>
      </c>
      <c r="I160" t="s">
        <v>197</v>
      </c>
      <c r="J160" t="s">
        <v>197</v>
      </c>
      <c r="K160" t="s">
        <v>559</v>
      </c>
    </row>
    <row r="161" spans="1:24">
      <c r="B161" t="s">
        <v>197</v>
      </c>
      <c r="C161" t="s">
        <v>197</v>
      </c>
      <c r="D161" t="s">
        <v>197</v>
      </c>
      <c r="E161" t="s">
        <v>197</v>
      </c>
      <c r="F161" t="s">
        <v>197</v>
      </c>
      <c r="G161" t="s">
        <v>197</v>
      </c>
      <c r="H161" t="s">
        <v>197</v>
      </c>
      <c r="I161" t="s">
        <v>197</v>
      </c>
      <c r="J161" t="s">
        <v>197</v>
      </c>
      <c r="K161" t="s">
        <v>560</v>
      </c>
    </row>
    <row r="162" spans="1:24">
      <c r="B162" t="s">
        <v>197</v>
      </c>
      <c r="C162" t="s">
        <v>197</v>
      </c>
      <c r="D162" t="s">
        <v>197</v>
      </c>
      <c r="E162" t="s">
        <v>197</v>
      </c>
      <c r="F162" t="s">
        <v>197</v>
      </c>
      <c r="G162" t="s">
        <v>197</v>
      </c>
      <c r="H162" t="s">
        <v>197</v>
      </c>
      <c r="I162" t="s">
        <v>197</v>
      </c>
      <c r="J162" t="s">
        <v>197</v>
      </c>
      <c r="K162" t="s">
        <v>561</v>
      </c>
    </row>
    <row r="163" spans="1:24">
      <c r="B163" t="s">
        <v>197</v>
      </c>
      <c r="C163" t="s">
        <v>197</v>
      </c>
      <c r="D163" t="s">
        <v>197</v>
      </c>
      <c r="E163" t="s">
        <v>197</v>
      </c>
      <c r="F163" t="s">
        <v>197</v>
      </c>
      <c r="G163" t="s">
        <v>197</v>
      </c>
      <c r="H163" t="s">
        <v>197</v>
      </c>
      <c r="I163" t="s">
        <v>197</v>
      </c>
      <c r="J163" t="s">
        <v>197</v>
      </c>
      <c r="K163" t="s">
        <v>562</v>
      </c>
    </row>
    <row r="164" spans="1:24">
      <c r="B164" t="s">
        <v>197</v>
      </c>
      <c r="C164" t="s">
        <v>197</v>
      </c>
      <c r="D164" t="s">
        <v>197</v>
      </c>
      <c r="E164" t="s">
        <v>197</v>
      </c>
      <c r="F164" t="s">
        <v>197</v>
      </c>
      <c r="G164" t="s">
        <v>197</v>
      </c>
      <c r="H164" t="s">
        <v>197</v>
      </c>
      <c r="I164" t="s">
        <v>197</v>
      </c>
      <c r="J164" t="s">
        <v>197</v>
      </c>
      <c r="K164" t="s">
        <v>563</v>
      </c>
    </row>
    <row r="165" spans="1:24">
      <c r="B165" t="s">
        <v>197</v>
      </c>
      <c r="C165" t="s">
        <v>197</v>
      </c>
      <c r="D165" t="s">
        <v>197</v>
      </c>
      <c r="E165" t="s">
        <v>197</v>
      </c>
      <c r="F165" t="s">
        <v>197</v>
      </c>
      <c r="G165" t="s">
        <v>197</v>
      </c>
      <c r="H165" t="s">
        <v>197</v>
      </c>
      <c r="I165" t="s">
        <v>197</v>
      </c>
      <c r="J165" t="s">
        <v>197</v>
      </c>
      <c r="K165" t="s">
        <v>564</v>
      </c>
    </row>
    <row r="166" spans="1:24">
      <c r="B166" t="s">
        <v>197</v>
      </c>
      <c r="C166" t="s">
        <v>197</v>
      </c>
      <c r="D166" t="s">
        <v>197</v>
      </c>
      <c r="E166" t="s">
        <v>197</v>
      </c>
      <c r="F166" t="s">
        <v>197</v>
      </c>
      <c r="G166" t="s">
        <v>197</v>
      </c>
      <c r="H166" t="s">
        <v>197</v>
      </c>
      <c r="I166" t="s">
        <v>197</v>
      </c>
      <c r="J166" t="s">
        <v>197</v>
      </c>
      <c r="K166" t="s">
        <v>565</v>
      </c>
    </row>
    <row r="167" spans="1:24">
      <c r="B167" t="s">
        <v>197</v>
      </c>
      <c r="C167" t="s">
        <v>197</v>
      </c>
      <c r="D167" t="s">
        <v>197</v>
      </c>
      <c r="E167" t="s">
        <v>197</v>
      </c>
      <c r="F167" t="s">
        <v>197</v>
      </c>
      <c r="G167" t="s">
        <v>197</v>
      </c>
      <c r="H167" t="s">
        <v>197</v>
      </c>
      <c r="I167" t="s">
        <v>197</v>
      </c>
      <c r="J167" t="s">
        <v>197</v>
      </c>
      <c r="K167" t="s">
        <v>566</v>
      </c>
    </row>
    <row r="168" spans="1:24">
      <c r="B168" t="s">
        <v>197</v>
      </c>
      <c r="C168" t="s">
        <v>197</v>
      </c>
      <c r="D168" t="s">
        <v>197</v>
      </c>
      <c r="E168" t="s">
        <v>197</v>
      </c>
      <c r="F168" t="s">
        <v>197</v>
      </c>
      <c r="G168" t="s">
        <v>197</v>
      </c>
      <c r="H168" t="s">
        <v>197</v>
      </c>
      <c r="I168" t="s">
        <v>197</v>
      </c>
      <c r="J168" t="s">
        <v>197</v>
      </c>
      <c r="K168" t="s">
        <v>567</v>
      </c>
    </row>
    <row r="169" spans="1:24">
      <c r="A169" t="s">
        <v>596</v>
      </c>
      <c r="K169" t="s">
        <v>597</v>
      </c>
      <c r="W169" t="s">
        <v>171</v>
      </c>
      <c r="X169" t="str">
        <f>A169</f>
        <v>info_text_dml_single_pk</v>
      </c>
    </row>
    <row r="170" spans="1:24">
      <c r="B170" t="s">
        <v>196</v>
      </c>
      <c r="C170" t="s">
        <v>197</v>
      </c>
      <c r="D170" t="s">
        <v>197</v>
      </c>
      <c r="E170" t="s">
        <v>197</v>
      </c>
      <c r="F170" t="s">
        <v>197</v>
      </c>
      <c r="G170" t="s">
        <v>197</v>
      </c>
      <c r="H170" t="s">
        <v>197</v>
      </c>
      <c r="I170" t="s">
        <v>598</v>
      </c>
      <c r="J170" t="s">
        <v>199</v>
      </c>
      <c r="K170" t="s">
        <v>200</v>
      </c>
    </row>
    <row r="171" spans="1:24">
      <c r="B171" t="s">
        <v>197</v>
      </c>
      <c r="C171" t="s">
        <v>197</v>
      </c>
      <c r="D171" t="s">
        <v>197</v>
      </c>
      <c r="E171" t="s">
        <v>197</v>
      </c>
      <c r="F171" t="s">
        <v>197</v>
      </c>
      <c r="G171" t="s">
        <v>197</v>
      </c>
      <c r="H171" t="s">
        <v>197</v>
      </c>
      <c r="I171" t="s">
        <v>197</v>
      </c>
      <c r="J171" t="s">
        <v>197</v>
      </c>
      <c r="K171" t="s">
        <v>229</v>
      </c>
    </row>
    <row r="172" spans="1:24">
      <c r="B172" t="s">
        <v>197</v>
      </c>
      <c r="C172" t="s">
        <v>197</v>
      </c>
      <c r="D172" t="s">
        <v>197</v>
      </c>
      <c r="E172" t="s">
        <v>197</v>
      </c>
      <c r="F172" t="s">
        <v>197</v>
      </c>
      <c r="G172" t="s">
        <v>197</v>
      </c>
      <c r="H172" t="s">
        <v>197</v>
      </c>
      <c r="I172" t="s">
        <v>197</v>
      </c>
      <c r="J172" t="s">
        <v>197</v>
      </c>
      <c r="K172" t="s">
        <v>251</v>
      </c>
    </row>
    <row r="173" spans="1:24">
      <c r="K173" t="s">
        <v>443</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606</v>
      </c>
      <c r="K182" t="s">
        <v>607</v>
      </c>
      <c r="W182" t="s">
        <v>171</v>
      </c>
      <c r="X182" t="str">
        <f>A182</f>
        <v>info_xml_dml_single_pk_drp</v>
      </c>
    </row>
    <row r="183" spans="1:24">
      <c r="B183" t="s">
        <v>196</v>
      </c>
      <c r="C183" t="s">
        <v>197</v>
      </c>
      <c r="D183" t="s">
        <v>197</v>
      </c>
      <c r="E183" t="s">
        <v>197</v>
      </c>
      <c r="F183" t="s">
        <v>197</v>
      </c>
      <c r="G183" t="s">
        <v>197</v>
      </c>
      <c r="H183" t="s">
        <v>197</v>
      </c>
      <c r="I183" t="s">
        <v>608</v>
      </c>
      <c r="J183" t="s">
        <v>199</v>
      </c>
      <c r="K183" t="s">
        <v>200</v>
      </c>
    </row>
    <row r="184" spans="1:24">
      <c r="B184" t="s">
        <v>197</v>
      </c>
      <c r="C184" t="s">
        <v>197</v>
      </c>
      <c r="D184" t="s">
        <v>197</v>
      </c>
      <c r="E184" t="s">
        <v>197</v>
      </c>
      <c r="F184" t="s">
        <v>197</v>
      </c>
      <c r="G184" t="s">
        <v>197</v>
      </c>
      <c r="H184" t="s">
        <v>197</v>
      </c>
      <c r="I184" t="s">
        <v>197</v>
      </c>
      <c r="J184" t="s">
        <v>197</v>
      </c>
      <c r="K184" t="s">
        <v>472</v>
      </c>
    </row>
    <row r="185" spans="1:24">
      <c r="A185" t="s">
        <v>609</v>
      </c>
      <c r="K185" t="s">
        <v>610</v>
      </c>
      <c r="W185" t="s">
        <v>171</v>
      </c>
      <c r="X185" t="str">
        <f>A185</f>
        <v>info_nchar_dml_single_pk_urp</v>
      </c>
    </row>
    <row r="186" spans="1:24">
      <c r="B186" t="s">
        <v>196</v>
      </c>
      <c r="C186" t="s">
        <v>197</v>
      </c>
      <c r="D186" t="s">
        <v>197</v>
      </c>
      <c r="E186" t="s">
        <v>197</v>
      </c>
      <c r="F186" t="s">
        <v>197</v>
      </c>
      <c r="G186" t="s">
        <v>197</v>
      </c>
      <c r="H186" t="s">
        <v>197</v>
      </c>
      <c r="I186" t="s">
        <v>611</v>
      </c>
      <c r="J186" t="s">
        <v>199</v>
      </c>
      <c r="K186" t="s">
        <v>200</v>
      </c>
    </row>
    <row r="187" spans="1:24">
      <c r="B187" t="s">
        <v>197</v>
      </c>
      <c r="C187" t="s">
        <v>197</v>
      </c>
      <c r="D187" t="s">
        <v>197</v>
      </c>
      <c r="E187" t="s">
        <v>197</v>
      </c>
      <c r="F187" t="s">
        <v>197</v>
      </c>
      <c r="G187" t="s">
        <v>197</v>
      </c>
      <c r="H187" t="s">
        <v>197</v>
      </c>
      <c r="I187" t="s">
        <v>197</v>
      </c>
      <c r="J187" t="s">
        <v>197</v>
      </c>
      <c r="K187" t="s">
        <v>514</v>
      </c>
    </row>
    <row r="188" spans="1:24">
      <c r="B188" t="s">
        <v>197</v>
      </c>
      <c r="C188" t="s">
        <v>197</v>
      </c>
      <c r="D188" t="s">
        <v>197</v>
      </c>
      <c r="E188" t="s">
        <v>197</v>
      </c>
      <c r="F188" t="s">
        <v>197</v>
      </c>
      <c r="G188" t="s">
        <v>197</v>
      </c>
      <c r="H188" t="s">
        <v>197</v>
      </c>
      <c r="I188" t="s">
        <v>197</v>
      </c>
      <c r="J188" t="s">
        <v>197</v>
      </c>
      <c r="K188" t="s">
        <v>516</v>
      </c>
    </row>
    <row r="189" spans="1:24">
      <c r="B189" t="s">
        <v>197</v>
      </c>
      <c r="C189" t="s">
        <v>197</v>
      </c>
      <c r="D189" t="s">
        <v>197</v>
      </c>
      <c r="E189" t="s">
        <v>197</v>
      </c>
      <c r="F189" t="s">
        <v>197</v>
      </c>
      <c r="G189" t="s">
        <v>197</v>
      </c>
      <c r="H189" t="s">
        <v>197</v>
      </c>
      <c r="I189" t="s">
        <v>197</v>
      </c>
      <c r="J189" t="s">
        <v>197</v>
      </c>
      <c r="K189" t="s">
        <v>612</v>
      </c>
    </row>
    <row r="190" spans="1:24">
      <c r="A190" t="s">
        <v>613</v>
      </c>
      <c r="K190" t="s">
        <v>614</v>
      </c>
      <c r="W190" t="s">
        <v>171</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1" t="str">
        <f>HYPERLINK("#2026042000hbase1!AC2","NO 源备存在差异，共2个")</f>
        <v>NO 源备存在差异，共2个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646</v>
      </c>
      <c r="K247" t="s">
        <v>647</v>
      </c>
      <c r="W247" t="s">
        <v>171</v>
      </c>
      <c r="X247" t="str">
        <f>A247</f>
        <v>info_nchar_dml_batch1_pk_irp1</v>
      </c>
    </row>
    <row r="248" spans="1:24">
      <c r="B248" t="s">
        <v>196</v>
      </c>
      <c r="C248" t="s">
        <v>197</v>
      </c>
      <c r="D248" t="s">
        <v>197</v>
      </c>
      <c r="E248" t="s">
        <v>197</v>
      </c>
      <c r="F248" t="s">
        <v>197</v>
      </c>
      <c r="G248" t="s">
        <v>197</v>
      </c>
      <c r="H248" t="s">
        <v>197</v>
      </c>
      <c r="I248" t="s">
        <v>648</v>
      </c>
      <c r="J248" t="s">
        <v>199</v>
      </c>
      <c r="K248" t="s">
        <v>200</v>
      </c>
    </row>
    <row r="249" spans="1:24">
      <c r="B249" t="s">
        <v>197</v>
      </c>
      <c r="C249" t="s">
        <v>197</v>
      </c>
      <c r="D249" t="s">
        <v>197</v>
      </c>
      <c r="E249" t="s">
        <v>197</v>
      </c>
      <c r="F249" t="s">
        <v>197</v>
      </c>
      <c r="G249" t="s">
        <v>197</v>
      </c>
      <c r="H249" t="s">
        <v>197</v>
      </c>
      <c r="I249" t="s">
        <v>197</v>
      </c>
      <c r="J249" t="s">
        <v>197</v>
      </c>
      <c r="K249" t="s">
        <v>514</v>
      </c>
    </row>
    <row r="250" spans="1:24">
      <c r="B250" t="s">
        <v>197</v>
      </c>
      <c r="C250" t="s">
        <v>197</v>
      </c>
      <c r="D250" t="s">
        <v>197</v>
      </c>
      <c r="E250" t="s">
        <v>197</v>
      </c>
      <c r="F250" t="s">
        <v>197</v>
      </c>
      <c r="G250" t="s">
        <v>197</v>
      </c>
      <c r="H250" t="s">
        <v>197</v>
      </c>
      <c r="I250" t="s">
        <v>197</v>
      </c>
      <c r="J250" t="s">
        <v>197</v>
      </c>
      <c r="K250" t="s">
        <v>516</v>
      </c>
    </row>
    <row r="251" spans="1:24">
      <c r="B251" t="s">
        <v>197</v>
      </c>
      <c r="C251" t="s">
        <v>197</v>
      </c>
      <c r="D251" t="s">
        <v>197</v>
      </c>
      <c r="E251" t="s">
        <v>197</v>
      </c>
      <c r="F251" t="s">
        <v>197</v>
      </c>
      <c r="G251" t="s">
        <v>197</v>
      </c>
      <c r="H251" t="s">
        <v>197</v>
      </c>
      <c r="I251" t="s">
        <v>197</v>
      </c>
      <c r="J251" t="s">
        <v>197</v>
      </c>
      <c r="K251" t="s">
        <v>517</v>
      </c>
    </row>
    <row r="252" spans="1:24">
      <c r="A252" t="s">
        <v>649</v>
      </c>
      <c r="K252" t="s">
        <v>650</v>
      </c>
      <c r="W252" t="s">
        <v>171</v>
      </c>
      <c r="X252" t="str">
        <f>A252</f>
        <v>info_datetime_dml_batch1_pk_drp2</v>
      </c>
    </row>
    <row r="253" spans="1:24">
      <c r="B253" t="s">
        <v>196</v>
      </c>
      <c r="C253" t="s">
        <v>197</v>
      </c>
      <c r="D253" t="s">
        <v>197</v>
      </c>
      <c r="E253" t="s">
        <v>197</v>
      </c>
      <c r="F253" t="s">
        <v>197</v>
      </c>
      <c r="G253" t="s">
        <v>197</v>
      </c>
      <c r="H253" t="s">
        <v>197</v>
      </c>
      <c r="I253" t="s">
        <v>651</v>
      </c>
      <c r="J253" t="s">
        <v>199</v>
      </c>
      <c r="K253" t="s">
        <v>200</v>
      </c>
    </row>
    <row r="254" spans="1:24">
      <c r="B254" t="s">
        <v>197</v>
      </c>
      <c r="C254" t="s">
        <v>197</v>
      </c>
      <c r="D254" t="s">
        <v>197</v>
      </c>
      <c r="E254" t="s">
        <v>197</v>
      </c>
      <c r="F254" t="s">
        <v>197</v>
      </c>
      <c r="G254" t="s">
        <v>197</v>
      </c>
      <c r="H254" t="s">
        <v>197</v>
      </c>
      <c r="I254" t="s">
        <v>197</v>
      </c>
      <c r="J254" t="s">
        <v>197</v>
      </c>
      <c r="K254" t="s">
        <v>574</v>
      </c>
    </row>
    <row r="255" spans="1:24">
      <c r="A255" t="s">
        <v>652</v>
      </c>
      <c r="K255" t="s">
        <v>653</v>
      </c>
      <c r="W255" t="s">
        <v>171</v>
      </c>
      <c r="X255" t="str">
        <f>A255</f>
        <v>info_nvarchar_dml_batch1_pk</v>
      </c>
    </row>
    <row r="256" spans="1:24">
      <c r="B256" t="s">
        <v>196</v>
      </c>
      <c r="C256" t="s">
        <v>197</v>
      </c>
      <c r="D256" t="s">
        <v>197</v>
      </c>
      <c r="E256" t="s">
        <v>197</v>
      </c>
      <c r="F256" t="s">
        <v>197</v>
      </c>
      <c r="G256" t="s">
        <v>197</v>
      </c>
      <c r="H256" t="s">
        <v>197</v>
      </c>
      <c r="I256" t="s">
        <v>654</v>
      </c>
      <c r="J256" t="s">
        <v>199</v>
      </c>
      <c r="K256" t="s">
        <v>200</v>
      </c>
    </row>
    <row r="257" spans="1:24">
      <c r="B257" t="s">
        <v>197</v>
      </c>
      <c r="C257" t="s">
        <v>197</v>
      </c>
      <c r="D257" t="s">
        <v>197</v>
      </c>
      <c r="E257" t="s">
        <v>197</v>
      </c>
      <c r="F257" t="s">
        <v>197</v>
      </c>
      <c r="G257" t="s">
        <v>197</v>
      </c>
      <c r="H257" t="s">
        <v>197</v>
      </c>
      <c r="I257" t="s">
        <v>197</v>
      </c>
      <c r="J257" t="s">
        <v>197</v>
      </c>
      <c r="K257" t="s">
        <v>408</v>
      </c>
    </row>
    <row r="258" spans="1:24">
      <c r="B258" t="s">
        <v>197</v>
      </c>
      <c r="C258" t="s">
        <v>197</v>
      </c>
      <c r="D258" t="s">
        <v>197</v>
      </c>
      <c r="E258" t="s">
        <v>197</v>
      </c>
      <c r="F258" t="s">
        <v>197</v>
      </c>
      <c r="G258" t="s">
        <v>197</v>
      </c>
      <c r="H258" t="s">
        <v>197</v>
      </c>
      <c r="I258" t="s">
        <v>197</v>
      </c>
      <c r="J258" t="s">
        <v>197</v>
      </c>
      <c r="K258" t="s">
        <v>412</v>
      </c>
    </row>
    <row r="259" spans="1:24">
      <c r="B259" t="s">
        <v>197</v>
      </c>
      <c r="C259" t="s">
        <v>197</v>
      </c>
      <c r="D259" t="s">
        <v>197</v>
      </c>
      <c r="E259" t="s">
        <v>197</v>
      </c>
      <c r="F259" t="s">
        <v>197</v>
      </c>
      <c r="G259" t="s">
        <v>197</v>
      </c>
      <c r="H259" t="s">
        <v>197</v>
      </c>
      <c r="I259" t="s">
        <v>197</v>
      </c>
      <c r="J259" t="s">
        <v>197</v>
      </c>
      <c r="K259" t="s">
        <v>605</v>
      </c>
    </row>
    <row r="260" spans="1:24">
      <c r="A260" t="s">
        <v>655</v>
      </c>
      <c r="K260" t="s">
        <v>656</v>
      </c>
      <c r="W260" t="s">
        <v>171</v>
      </c>
      <c r="X260" t="str">
        <f>A260</f>
        <v>info_datetime_dml_batch1_pk</v>
      </c>
    </row>
    <row r="261" spans="1:24">
      <c r="B261" t="s">
        <v>196</v>
      </c>
      <c r="C261" t="s">
        <v>197</v>
      </c>
      <c r="D261" t="s">
        <v>197</v>
      </c>
      <c r="E261" t="s">
        <v>197</v>
      </c>
      <c r="F261" t="s">
        <v>197</v>
      </c>
      <c r="G261" t="s">
        <v>197</v>
      </c>
      <c r="H261" t="s">
        <v>197</v>
      </c>
      <c r="I261" t="s">
        <v>657</v>
      </c>
      <c r="J261" t="s">
        <v>199</v>
      </c>
      <c r="K261" t="s">
        <v>200</v>
      </c>
    </row>
    <row r="262" spans="1:24">
      <c r="B262" t="s">
        <v>197</v>
      </c>
      <c r="C262" t="s">
        <v>197</v>
      </c>
      <c r="D262" t="s">
        <v>197</v>
      </c>
      <c r="E262" t="s">
        <v>197</v>
      </c>
      <c r="F262" t="s">
        <v>197</v>
      </c>
      <c r="G262" t="s">
        <v>197</v>
      </c>
      <c r="H262" t="s">
        <v>197</v>
      </c>
      <c r="I262" t="s">
        <v>197</v>
      </c>
      <c r="J262" t="s">
        <v>197</v>
      </c>
      <c r="K262" t="s">
        <v>574</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685</v>
      </c>
      <c r="K307" t="s">
        <v>686</v>
      </c>
      <c r="W307" s="1" t="str">
        <f>HYPERLINK("#2026042000hbase1!AD2","NO 源备存在差异，共8个")</f>
        <v>NO 源备存在差异，共8个</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s="1" t="str">
        <f>HYPERLINK("#2026042000hbase1!AE2","NO 源备存在差异，共16个")</f>
        <v>NO 源备存在差异，共16个</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697</v>
      </c>
      <c r="K343" t="s">
        <v>698</v>
      </c>
      <c r="W343" s="1" t="str">
        <f>HYPERLINK("#2026042000hbase1!AF2","NO 源备存在差异，共8个")</f>
        <v>NO 源备存在差异，共8个</v>
      </c>
      <c r="X343" t="str">
        <f>A343</f>
        <v>info_int_dml_batch1_pk</v>
      </c>
    </row>
    <row r="344" spans="1:24">
      <c r="B344" t="s">
        <v>196</v>
      </c>
      <c r="C344" t="s">
        <v>197</v>
      </c>
      <c r="D344" t="s">
        <v>197</v>
      </c>
      <c r="E344" t="s">
        <v>197</v>
      </c>
      <c r="F344" t="s">
        <v>197</v>
      </c>
      <c r="G344" t="s">
        <v>197</v>
      </c>
      <c r="H344" t="s">
        <v>197</v>
      </c>
      <c r="I344" t="s">
        <v>699</v>
      </c>
      <c r="J344" t="s">
        <v>199</v>
      </c>
      <c r="K344" t="s">
        <v>200</v>
      </c>
    </row>
    <row r="345" spans="1:24">
      <c r="B345" t="s">
        <v>197</v>
      </c>
      <c r="C345" t="s">
        <v>197</v>
      </c>
      <c r="D345" t="s">
        <v>197</v>
      </c>
      <c r="E345" t="s">
        <v>197</v>
      </c>
      <c r="F345" t="s">
        <v>197</v>
      </c>
      <c r="G345" t="s">
        <v>197</v>
      </c>
      <c r="H345" t="s">
        <v>197</v>
      </c>
      <c r="I345" t="s">
        <v>197</v>
      </c>
      <c r="J345" t="s">
        <v>197</v>
      </c>
      <c r="K345" t="s">
        <v>549</v>
      </c>
    </row>
    <row r="346" spans="1:24">
      <c r="B346" t="s">
        <v>197</v>
      </c>
      <c r="C346" t="s">
        <v>197</v>
      </c>
      <c r="D346" t="s">
        <v>197</v>
      </c>
      <c r="E346" t="s">
        <v>197</v>
      </c>
      <c r="F346" t="s">
        <v>197</v>
      </c>
      <c r="G346" t="s">
        <v>197</v>
      </c>
      <c r="H346" t="s">
        <v>197</v>
      </c>
      <c r="I346" t="s">
        <v>197</v>
      </c>
      <c r="J346" t="s">
        <v>197</v>
      </c>
      <c r="K346" t="s">
        <v>550</v>
      </c>
    </row>
    <row r="347" spans="1:24">
      <c r="B347" t="s">
        <v>197</v>
      </c>
      <c r="C347" t="s">
        <v>197</v>
      </c>
      <c r="D347" t="s">
        <v>197</v>
      </c>
      <c r="E347" t="s">
        <v>197</v>
      </c>
      <c r="F347" t="s">
        <v>197</v>
      </c>
      <c r="G347" t="s">
        <v>197</v>
      </c>
      <c r="H347" t="s">
        <v>197</v>
      </c>
      <c r="I347" t="s">
        <v>197</v>
      </c>
      <c r="J347" t="s">
        <v>197</v>
      </c>
      <c r="K347" t="s">
        <v>551</v>
      </c>
    </row>
    <row r="348" spans="1:24">
      <c r="B348" t="s">
        <v>197</v>
      </c>
      <c r="C348" t="s">
        <v>197</v>
      </c>
      <c r="D348" t="s">
        <v>197</v>
      </c>
      <c r="E348" t="s">
        <v>197</v>
      </c>
      <c r="F348" t="s">
        <v>197</v>
      </c>
      <c r="G348" t="s">
        <v>197</v>
      </c>
      <c r="H348" t="s">
        <v>197</v>
      </c>
      <c r="I348" t="s">
        <v>197</v>
      </c>
      <c r="J348" t="s">
        <v>197</v>
      </c>
      <c r="K348" t="s">
        <v>552</v>
      </c>
    </row>
    <row r="349" spans="1:24">
      <c r="B349" t="s">
        <v>197</v>
      </c>
      <c r="C349" t="s">
        <v>197</v>
      </c>
      <c r="D349" t="s">
        <v>197</v>
      </c>
      <c r="E349" t="s">
        <v>197</v>
      </c>
      <c r="F349" t="s">
        <v>197</v>
      </c>
      <c r="G349" t="s">
        <v>197</v>
      </c>
      <c r="H349" t="s">
        <v>197</v>
      </c>
      <c r="I349" t="s">
        <v>197</v>
      </c>
      <c r="J349" t="s">
        <v>197</v>
      </c>
      <c r="K349" t="s">
        <v>553</v>
      </c>
    </row>
    <row r="350" spans="1:24">
      <c r="B350" t="s">
        <v>197</v>
      </c>
      <c r="C350" t="s">
        <v>197</v>
      </c>
      <c r="D350" t="s">
        <v>197</v>
      </c>
      <c r="E350" t="s">
        <v>197</v>
      </c>
      <c r="F350" t="s">
        <v>197</v>
      </c>
      <c r="G350" t="s">
        <v>197</v>
      </c>
      <c r="H350" t="s">
        <v>197</v>
      </c>
      <c r="I350" t="s">
        <v>197</v>
      </c>
      <c r="J350" t="s">
        <v>197</v>
      </c>
      <c r="K350" t="s">
        <v>554</v>
      </c>
    </row>
    <row r="351" spans="1:24">
      <c r="B351" t="s">
        <v>197</v>
      </c>
      <c r="C351" t="s">
        <v>197</v>
      </c>
      <c r="D351" t="s">
        <v>197</v>
      </c>
      <c r="E351" t="s">
        <v>197</v>
      </c>
      <c r="F351" t="s">
        <v>197</v>
      </c>
      <c r="G351" t="s">
        <v>197</v>
      </c>
      <c r="H351" t="s">
        <v>197</v>
      </c>
      <c r="I351" t="s">
        <v>197</v>
      </c>
      <c r="J351" t="s">
        <v>197</v>
      </c>
      <c r="K351" t="s">
        <v>555</v>
      </c>
    </row>
    <row r="352" spans="1:24">
      <c r="B352" t="s">
        <v>197</v>
      </c>
      <c r="C352" t="s">
        <v>197</v>
      </c>
      <c r="D352" t="s">
        <v>197</v>
      </c>
      <c r="E352" t="s">
        <v>197</v>
      </c>
      <c r="F352" t="s">
        <v>197</v>
      </c>
      <c r="G352" t="s">
        <v>197</v>
      </c>
      <c r="H352" t="s">
        <v>197</v>
      </c>
      <c r="I352" t="s">
        <v>197</v>
      </c>
      <c r="J352" t="s">
        <v>197</v>
      </c>
      <c r="K352" t="s">
        <v>556</v>
      </c>
    </row>
    <row r="353" spans="1:24">
      <c r="B353" t="s">
        <v>197</v>
      </c>
      <c r="C353" t="s">
        <v>197</v>
      </c>
      <c r="D353" t="s">
        <v>197</v>
      </c>
      <c r="E353" t="s">
        <v>197</v>
      </c>
      <c r="F353" t="s">
        <v>197</v>
      </c>
      <c r="G353" t="s">
        <v>197</v>
      </c>
      <c r="H353" t="s">
        <v>197</v>
      </c>
      <c r="I353" t="s">
        <v>197</v>
      </c>
      <c r="J353" t="s">
        <v>197</v>
      </c>
      <c r="K353" t="s">
        <v>557</v>
      </c>
    </row>
    <row r="354" spans="1:24">
      <c r="B354" t="s">
        <v>197</v>
      </c>
      <c r="C354" t="s">
        <v>197</v>
      </c>
      <c r="D354" t="s">
        <v>197</v>
      </c>
      <c r="E354" t="s">
        <v>197</v>
      </c>
      <c r="F354" t="s">
        <v>197</v>
      </c>
      <c r="G354" t="s">
        <v>197</v>
      </c>
      <c r="H354" t="s">
        <v>197</v>
      </c>
      <c r="I354" t="s">
        <v>197</v>
      </c>
      <c r="J354" t="s">
        <v>197</v>
      </c>
      <c r="K354" t="s">
        <v>558</v>
      </c>
    </row>
    <row r="355" spans="1:24">
      <c r="B355" t="s">
        <v>197</v>
      </c>
      <c r="C355" t="s">
        <v>197</v>
      </c>
      <c r="D355" t="s">
        <v>197</v>
      </c>
      <c r="E355" t="s">
        <v>197</v>
      </c>
      <c r="F355" t="s">
        <v>197</v>
      </c>
      <c r="G355" t="s">
        <v>197</v>
      </c>
      <c r="H355" t="s">
        <v>197</v>
      </c>
      <c r="I355" t="s">
        <v>197</v>
      </c>
      <c r="J355" t="s">
        <v>197</v>
      </c>
      <c r="K355" t="s">
        <v>559</v>
      </c>
    </row>
    <row r="356" spans="1:24">
      <c r="B356" t="s">
        <v>197</v>
      </c>
      <c r="C356" t="s">
        <v>197</v>
      </c>
      <c r="D356" t="s">
        <v>197</v>
      </c>
      <c r="E356" t="s">
        <v>197</v>
      </c>
      <c r="F356" t="s">
        <v>197</v>
      </c>
      <c r="G356" t="s">
        <v>197</v>
      </c>
      <c r="H356" t="s">
        <v>197</v>
      </c>
      <c r="I356" t="s">
        <v>197</v>
      </c>
      <c r="J356" t="s">
        <v>197</v>
      </c>
      <c r="K356" t="s">
        <v>560</v>
      </c>
    </row>
    <row r="357" spans="1:24">
      <c r="B357" t="s">
        <v>197</v>
      </c>
      <c r="C357" t="s">
        <v>197</v>
      </c>
      <c r="D357" t="s">
        <v>197</v>
      </c>
      <c r="E357" t="s">
        <v>197</v>
      </c>
      <c r="F357" t="s">
        <v>197</v>
      </c>
      <c r="G357" t="s">
        <v>197</v>
      </c>
      <c r="H357" t="s">
        <v>197</v>
      </c>
      <c r="I357" t="s">
        <v>197</v>
      </c>
      <c r="J357" t="s">
        <v>197</v>
      </c>
      <c r="K357" t="s">
        <v>561</v>
      </c>
    </row>
    <row r="358" spans="1:24">
      <c r="B358" t="s">
        <v>197</v>
      </c>
      <c r="C358" t="s">
        <v>197</v>
      </c>
      <c r="D358" t="s">
        <v>197</v>
      </c>
      <c r="E358" t="s">
        <v>197</v>
      </c>
      <c r="F358" t="s">
        <v>197</v>
      </c>
      <c r="G358" t="s">
        <v>197</v>
      </c>
      <c r="H358" t="s">
        <v>197</v>
      </c>
      <c r="I358" t="s">
        <v>197</v>
      </c>
      <c r="J358" t="s">
        <v>197</v>
      </c>
      <c r="K358" t="s">
        <v>562</v>
      </c>
    </row>
    <row r="359" spans="1:24">
      <c r="B359" t="s">
        <v>197</v>
      </c>
      <c r="C359" t="s">
        <v>197</v>
      </c>
      <c r="D359" t="s">
        <v>197</v>
      </c>
      <c r="E359" t="s">
        <v>197</v>
      </c>
      <c r="F359" t="s">
        <v>197</v>
      </c>
      <c r="G359" t="s">
        <v>197</v>
      </c>
      <c r="H359" t="s">
        <v>197</v>
      </c>
      <c r="I359" t="s">
        <v>197</v>
      </c>
      <c r="J359" t="s">
        <v>197</v>
      </c>
      <c r="K359" t="s">
        <v>563</v>
      </c>
    </row>
    <row r="360" spans="1:24">
      <c r="B360" t="s">
        <v>197</v>
      </c>
      <c r="C360" t="s">
        <v>197</v>
      </c>
      <c r="D360" t="s">
        <v>197</v>
      </c>
      <c r="E360" t="s">
        <v>197</v>
      </c>
      <c r="F360" t="s">
        <v>197</v>
      </c>
      <c r="G360" t="s">
        <v>197</v>
      </c>
      <c r="H360" t="s">
        <v>197</v>
      </c>
      <c r="I360" t="s">
        <v>197</v>
      </c>
      <c r="J360" t="s">
        <v>197</v>
      </c>
      <c r="K360" t="s">
        <v>564</v>
      </c>
    </row>
    <row r="361" spans="1:24">
      <c r="B361" t="s">
        <v>197</v>
      </c>
      <c r="C361" t="s">
        <v>197</v>
      </c>
      <c r="D361" t="s">
        <v>197</v>
      </c>
      <c r="E361" t="s">
        <v>197</v>
      </c>
      <c r="F361" t="s">
        <v>197</v>
      </c>
      <c r="G361" t="s">
        <v>197</v>
      </c>
      <c r="H361" t="s">
        <v>197</v>
      </c>
      <c r="I361" t="s">
        <v>197</v>
      </c>
      <c r="J361" t="s">
        <v>197</v>
      </c>
      <c r="K361" t="s">
        <v>565</v>
      </c>
    </row>
    <row r="362" spans="1:24">
      <c r="B362" t="s">
        <v>197</v>
      </c>
      <c r="C362" t="s">
        <v>197</v>
      </c>
      <c r="D362" t="s">
        <v>197</v>
      </c>
      <c r="E362" t="s">
        <v>197</v>
      </c>
      <c r="F362" t="s">
        <v>197</v>
      </c>
      <c r="G362" t="s">
        <v>197</v>
      </c>
      <c r="H362" t="s">
        <v>197</v>
      </c>
      <c r="I362" t="s">
        <v>197</v>
      </c>
      <c r="J362" t="s">
        <v>197</v>
      </c>
      <c r="K362" t="s">
        <v>566</v>
      </c>
    </row>
    <row r="363" spans="1:24">
      <c r="B363" t="s">
        <v>197</v>
      </c>
      <c r="C363" t="s">
        <v>197</v>
      </c>
      <c r="D363" t="s">
        <v>197</v>
      </c>
      <c r="E363" t="s">
        <v>197</v>
      </c>
      <c r="F363" t="s">
        <v>197</v>
      </c>
      <c r="G363" t="s">
        <v>197</v>
      </c>
      <c r="H363" t="s">
        <v>197</v>
      </c>
      <c r="I363" t="s">
        <v>197</v>
      </c>
      <c r="J363" t="s">
        <v>197</v>
      </c>
      <c r="K363" t="s">
        <v>567</v>
      </c>
    </row>
    <row r="364" spans="1:24">
      <c r="A364" t="s">
        <v>700</v>
      </c>
      <c r="K364" t="s">
        <v>701</v>
      </c>
      <c r="W364" t="s">
        <v>171</v>
      </c>
      <c r="X364" t="str">
        <f>A364</f>
        <v>info_char_dml_batch2_pk_irp1</v>
      </c>
    </row>
    <row r="365" spans="1:24">
      <c r="B365" t="s">
        <v>196</v>
      </c>
      <c r="C365" t="s">
        <v>197</v>
      </c>
      <c r="D365" t="s">
        <v>197</v>
      </c>
      <c r="E365" t="s">
        <v>197</v>
      </c>
      <c r="F365" t="s">
        <v>197</v>
      </c>
      <c r="G365" t="s">
        <v>197</v>
      </c>
      <c r="H365" t="s">
        <v>197</v>
      </c>
      <c r="I365" t="s">
        <v>702</v>
      </c>
      <c r="J365" t="s">
        <v>199</v>
      </c>
      <c r="K365" t="s">
        <v>200</v>
      </c>
    </row>
    <row r="366" spans="1:24">
      <c r="B366" t="s">
        <v>197</v>
      </c>
      <c r="C366" t="s">
        <v>197</v>
      </c>
      <c r="D366" t="s">
        <v>197</v>
      </c>
      <c r="E366" t="s">
        <v>197</v>
      </c>
      <c r="F366" t="s">
        <v>197</v>
      </c>
      <c r="G366" t="s">
        <v>197</v>
      </c>
      <c r="H366" t="s">
        <v>197</v>
      </c>
      <c r="I366" t="s">
        <v>197</v>
      </c>
      <c r="J366" t="s">
        <v>197</v>
      </c>
      <c r="K366" t="s">
        <v>622</v>
      </c>
    </row>
    <row r="367" spans="1:24">
      <c r="B367" t="s">
        <v>197</v>
      </c>
      <c r="C367" t="s">
        <v>197</v>
      </c>
      <c r="D367" t="s">
        <v>197</v>
      </c>
      <c r="E367" t="s">
        <v>197</v>
      </c>
      <c r="F367" t="s">
        <v>197</v>
      </c>
      <c r="G367" t="s">
        <v>197</v>
      </c>
      <c r="H367" t="s">
        <v>197</v>
      </c>
      <c r="I367" t="s">
        <v>197</v>
      </c>
      <c r="J367" t="s">
        <v>197</v>
      </c>
      <c r="K367" t="s">
        <v>623</v>
      </c>
    </row>
    <row r="368" spans="1:24">
      <c r="B368" t="s">
        <v>197</v>
      </c>
      <c r="C368" t="s">
        <v>197</v>
      </c>
      <c r="D368" t="s">
        <v>197</v>
      </c>
      <c r="E368" t="s">
        <v>197</v>
      </c>
      <c r="F368" t="s">
        <v>197</v>
      </c>
      <c r="G368" t="s">
        <v>197</v>
      </c>
      <c r="H368" t="s">
        <v>197</v>
      </c>
      <c r="I368" t="s">
        <v>197</v>
      </c>
      <c r="J368" t="s">
        <v>197</v>
      </c>
      <c r="K368" t="s">
        <v>624</v>
      </c>
    </row>
    <row r="369" spans="1:24">
      <c r="K369" t="s">
        <v>443</v>
      </c>
    </row>
    <row r="370" spans="1:24">
      <c r="A370" t="s">
        <v>703</v>
      </c>
      <c r="K370" t="s">
        <v>704</v>
      </c>
      <c r="W370" s="1" t="str">
        <f>HYPERLINK("#2026042000hbase1!AG2","NO 源备存在差异，共4个")</f>
        <v>NO 源备存在差异，共4个</v>
      </c>
      <c r="X370" t="str">
        <f>A370</f>
        <v>info_hierarchyid_dml_single_pk_irp</v>
      </c>
    </row>
    <row r="371" spans="1:24">
      <c r="B371" t="s">
        <v>196</v>
      </c>
      <c r="C371" t="s">
        <v>197</v>
      </c>
      <c r="D371" t="s">
        <v>197</v>
      </c>
      <c r="E371" t="s">
        <v>197</v>
      </c>
      <c r="F371" t="s">
        <v>197</v>
      </c>
      <c r="G371" t="s">
        <v>197</v>
      </c>
      <c r="H371" t="s">
        <v>197</v>
      </c>
      <c r="I371" t="s">
        <v>705</v>
      </c>
      <c r="J371" t="s">
        <v>199</v>
      </c>
      <c r="K371" t="s">
        <v>200</v>
      </c>
    </row>
    <row r="372" spans="1:24">
      <c r="B372" t="s">
        <v>197</v>
      </c>
      <c r="C372" t="s">
        <v>197</v>
      </c>
      <c r="D372" t="s">
        <v>197</v>
      </c>
      <c r="E372" t="s">
        <v>197</v>
      </c>
      <c r="F372" t="s">
        <v>197</v>
      </c>
      <c r="G372" t="s">
        <v>197</v>
      </c>
      <c r="H372" t="s">
        <v>197</v>
      </c>
      <c r="I372" t="s">
        <v>197</v>
      </c>
      <c r="J372" t="s">
        <v>197</v>
      </c>
      <c r="K372" t="s">
        <v>706</v>
      </c>
    </row>
    <row r="373" spans="1:24">
      <c r="A373" t="s">
        <v>707</v>
      </c>
      <c r="K373" t="s">
        <v>708</v>
      </c>
      <c r="W373" t="s">
        <v>171</v>
      </c>
      <c r="X373" t="str">
        <f>A373</f>
        <v>info_datetime2_dml_batch1_pk_urp1</v>
      </c>
    </row>
    <row r="374" spans="1:24">
      <c r="B374" t="s">
        <v>196</v>
      </c>
      <c r="C374" t="s">
        <v>197</v>
      </c>
      <c r="D374" t="s">
        <v>197</v>
      </c>
      <c r="E374" t="s">
        <v>197</v>
      </c>
      <c r="F374" t="s">
        <v>197</v>
      </c>
      <c r="G374" t="s">
        <v>197</v>
      </c>
      <c r="H374" t="s">
        <v>197</v>
      </c>
      <c r="I374" t="s">
        <v>709</v>
      </c>
      <c r="J374" t="s">
        <v>199</v>
      </c>
      <c r="K374" t="s">
        <v>200</v>
      </c>
    </row>
    <row r="375" spans="1:24">
      <c r="B375" t="s">
        <v>197</v>
      </c>
      <c r="C375" t="s">
        <v>197</v>
      </c>
      <c r="D375" t="s">
        <v>197</v>
      </c>
      <c r="E375" t="s">
        <v>197</v>
      </c>
      <c r="F375" t="s">
        <v>197</v>
      </c>
      <c r="G375" t="s">
        <v>197</v>
      </c>
      <c r="H375" t="s">
        <v>197</v>
      </c>
      <c r="I375" t="s">
        <v>197</v>
      </c>
      <c r="J375" t="s">
        <v>197</v>
      </c>
      <c r="K375" t="s">
        <v>667</v>
      </c>
    </row>
    <row r="376" spans="1:24">
      <c r="B376" t="s">
        <v>197</v>
      </c>
      <c r="C376" t="s">
        <v>197</v>
      </c>
      <c r="D376" t="s">
        <v>197</v>
      </c>
      <c r="E376" t="s">
        <v>197</v>
      </c>
      <c r="F376" t="s">
        <v>197</v>
      </c>
      <c r="G376" t="s">
        <v>197</v>
      </c>
      <c r="H376" t="s">
        <v>197</v>
      </c>
      <c r="I376" t="s">
        <v>197</v>
      </c>
      <c r="J376" t="s">
        <v>197</v>
      </c>
      <c r="K376" t="s">
        <v>668</v>
      </c>
    </row>
    <row r="377" spans="1:24">
      <c r="B377" t="s">
        <v>197</v>
      </c>
      <c r="C377" t="s">
        <v>197</v>
      </c>
      <c r="D377" t="s">
        <v>197</v>
      </c>
      <c r="E377" t="s">
        <v>197</v>
      </c>
      <c r="F377" t="s">
        <v>197</v>
      </c>
      <c r="G377" t="s">
        <v>197</v>
      </c>
      <c r="H377" t="s">
        <v>197</v>
      </c>
      <c r="I377" t="s">
        <v>197</v>
      </c>
      <c r="J377" t="s">
        <v>197</v>
      </c>
      <c r="K377" t="s">
        <v>669</v>
      </c>
    </row>
    <row r="378" spans="1:24">
      <c r="B378" t="s">
        <v>197</v>
      </c>
      <c r="C378" t="s">
        <v>197</v>
      </c>
      <c r="D378" t="s">
        <v>197</v>
      </c>
      <c r="E378" t="s">
        <v>197</v>
      </c>
      <c r="F378" t="s">
        <v>197</v>
      </c>
      <c r="G378" t="s">
        <v>197</v>
      </c>
      <c r="H378" t="s">
        <v>197</v>
      </c>
      <c r="I378" t="s">
        <v>197</v>
      </c>
      <c r="J378" t="s">
        <v>197</v>
      </c>
      <c r="K378" t="s">
        <v>670</v>
      </c>
    </row>
    <row r="379" spans="1:24">
      <c r="B379" t="s">
        <v>197</v>
      </c>
      <c r="C379" t="s">
        <v>197</v>
      </c>
      <c r="D379" t="s">
        <v>197</v>
      </c>
      <c r="E379" t="s">
        <v>197</v>
      </c>
      <c r="F379" t="s">
        <v>197</v>
      </c>
      <c r="G379" t="s">
        <v>197</v>
      </c>
      <c r="H379" t="s">
        <v>197</v>
      </c>
      <c r="I379" t="s">
        <v>197</v>
      </c>
      <c r="J379" t="s">
        <v>197</v>
      </c>
      <c r="K379" t="s">
        <v>671</v>
      </c>
    </row>
    <row r="380" spans="1:24">
      <c r="B380" t="s">
        <v>197</v>
      </c>
      <c r="C380" t="s">
        <v>197</v>
      </c>
      <c r="D380" t="s">
        <v>197</v>
      </c>
      <c r="E380" t="s">
        <v>197</v>
      </c>
      <c r="F380" t="s">
        <v>197</v>
      </c>
      <c r="G380" t="s">
        <v>197</v>
      </c>
      <c r="H380" t="s">
        <v>197</v>
      </c>
      <c r="I380" t="s">
        <v>197</v>
      </c>
      <c r="J380" t="s">
        <v>197</v>
      </c>
      <c r="K380" t="s">
        <v>672</v>
      </c>
    </row>
    <row r="381" spans="1:24">
      <c r="B381" t="s">
        <v>197</v>
      </c>
      <c r="C381" t="s">
        <v>197</v>
      </c>
      <c r="D381" t="s">
        <v>197</v>
      </c>
      <c r="E381" t="s">
        <v>197</v>
      </c>
      <c r="F381" t="s">
        <v>197</v>
      </c>
      <c r="G381" t="s">
        <v>197</v>
      </c>
      <c r="H381" t="s">
        <v>197</v>
      </c>
      <c r="I381" t="s">
        <v>197</v>
      </c>
      <c r="J381" t="s">
        <v>197</v>
      </c>
      <c r="K381" t="s">
        <v>673</v>
      </c>
    </row>
    <row r="382" spans="1:24">
      <c r="B382" t="s">
        <v>197</v>
      </c>
      <c r="C382" t="s">
        <v>197</v>
      </c>
      <c r="D382" t="s">
        <v>197</v>
      </c>
      <c r="E382" t="s">
        <v>197</v>
      </c>
      <c r="F382" t="s">
        <v>197</v>
      </c>
      <c r="G382" t="s">
        <v>197</v>
      </c>
      <c r="H382" t="s">
        <v>197</v>
      </c>
      <c r="I382" t="s">
        <v>197</v>
      </c>
      <c r="J382" t="s">
        <v>197</v>
      </c>
      <c r="K382" t="s">
        <v>674</v>
      </c>
    </row>
    <row r="383" spans="1:24">
      <c r="A383" t="s">
        <v>710</v>
      </c>
      <c r="K383" t="s">
        <v>711</v>
      </c>
      <c r="W383" t="s">
        <v>171</v>
      </c>
      <c r="X383" t="str">
        <f>A383</f>
        <v>info_char_dml_batch2_pk_irp2</v>
      </c>
    </row>
    <row r="384" spans="1:24">
      <c r="B384" t="s">
        <v>196</v>
      </c>
      <c r="C384" t="s">
        <v>197</v>
      </c>
      <c r="D384" t="s">
        <v>197</v>
      </c>
      <c r="E384" t="s">
        <v>197</v>
      </c>
      <c r="F384" t="s">
        <v>197</v>
      </c>
      <c r="G384" t="s">
        <v>197</v>
      </c>
      <c r="H384" t="s">
        <v>197</v>
      </c>
      <c r="I384" t="s">
        <v>712</v>
      </c>
      <c r="J384" t="s">
        <v>199</v>
      </c>
      <c r="K384" t="s">
        <v>200</v>
      </c>
    </row>
    <row r="385" spans="1:24">
      <c r="B385" t="s">
        <v>197</v>
      </c>
      <c r="C385" t="s">
        <v>197</v>
      </c>
      <c r="D385" t="s">
        <v>197</v>
      </c>
      <c r="E385" t="s">
        <v>197</v>
      </c>
      <c r="F385" t="s">
        <v>197</v>
      </c>
      <c r="G385" t="s">
        <v>197</v>
      </c>
      <c r="H385" t="s">
        <v>197</v>
      </c>
      <c r="I385" t="s">
        <v>197</v>
      </c>
      <c r="J385" t="s">
        <v>197</v>
      </c>
      <c r="K385" t="s">
        <v>622</v>
      </c>
    </row>
    <row r="386" spans="1:24">
      <c r="B386" t="s">
        <v>197</v>
      </c>
      <c r="C386" t="s">
        <v>197</v>
      </c>
      <c r="D386" t="s">
        <v>197</v>
      </c>
      <c r="E386" t="s">
        <v>197</v>
      </c>
      <c r="F386" t="s">
        <v>197</v>
      </c>
      <c r="G386" t="s">
        <v>197</v>
      </c>
      <c r="H386" t="s">
        <v>197</v>
      </c>
      <c r="I386" t="s">
        <v>197</v>
      </c>
      <c r="J386" t="s">
        <v>197</v>
      </c>
      <c r="K386" t="s">
        <v>623</v>
      </c>
    </row>
    <row r="387" spans="1:24">
      <c r="B387" t="s">
        <v>197</v>
      </c>
      <c r="C387" t="s">
        <v>197</v>
      </c>
      <c r="D387" t="s">
        <v>197</v>
      </c>
      <c r="E387" t="s">
        <v>197</v>
      </c>
      <c r="F387" t="s">
        <v>197</v>
      </c>
      <c r="G387" t="s">
        <v>197</v>
      </c>
      <c r="H387" t="s">
        <v>197</v>
      </c>
      <c r="I387" t="s">
        <v>197</v>
      </c>
      <c r="J387" t="s">
        <v>197</v>
      </c>
      <c r="K387" t="s">
        <v>624</v>
      </c>
    </row>
    <row r="388" spans="1:24">
      <c r="K388" t="s">
        <v>443</v>
      </c>
    </row>
    <row r="389" spans="1:24">
      <c r="A389" t="s">
        <v>713</v>
      </c>
      <c r="K389" t="s">
        <v>714</v>
      </c>
      <c r="W389" t="s">
        <v>171</v>
      </c>
      <c r="X389" t="str">
        <f>A389</f>
        <v>info_nchar_dml_batch1_pk_irp2</v>
      </c>
    </row>
    <row r="390" spans="1:24">
      <c r="B390" t="s">
        <v>196</v>
      </c>
      <c r="C390" t="s">
        <v>197</v>
      </c>
      <c r="D390" t="s">
        <v>197</v>
      </c>
      <c r="E390" t="s">
        <v>197</v>
      </c>
      <c r="F390" t="s">
        <v>197</v>
      </c>
      <c r="G390" t="s">
        <v>197</v>
      </c>
      <c r="H390" t="s">
        <v>197</v>
      </c>
      <c r="I390" t="s">
        <v>715</v>
      </c>
      <c r="J390" t="s">
        <v>199</v>
      </c>
      <c r="K390" t="s">
        <v>200</v>
      </c>
    </row>
    <row r="391" spans="1:24">
      <c r="B391" t="s">
        <v>197</v>
      </c>
      <c r="C391" t="s">
        <v>197</v>
      </c>
      <c r="D391" t="s">
        <v>197</v>
      </c>
      <c r="E391" t="s">
        <v>197</v>
      </c>
      <c r="F391" t="s">
        <v>197</v>
      </c>
      <c r="G391" t="s">
        <v>197</v>
      </c>
      <c r="H391" t="s">
        <v>197</v>
      </c>
      <c r="I391" t="s">
        <v>197</v>
      </c>
      <c r="J391" t="s">
        <v>197</v>
      </c>
      <c r="K391" t="s">
        <v>514</v>
      </c>
    </row>
    <row r="392" spans="1:24">
      <c r="B392" t="s">
        <v>197</v>
      </c>
      <c r="C392" t="s">
        <v>197</v>
      </c>
      <c r="D392" t="s">
        <v>197</v>
      </c>
      <c r="E392" t="s">
        <v>197</v>
      </c>
      <c r="F392" t="s">
        <v>197</v>
      </c>
      <c r="G392" t="s">
        <v>197</v>
      </c>
      <c r="H392" t="s">
        <v>197</v>
      </c>
      <c r="I392" t="s">
        <v>197</v>
      </c>
      <c r="J392" t="s">
        <v>197</v>
      </c>
      <c r="K392" t="s">
        <v>516</v>
      </c>
    </row>
    <row r="393" spans="1:24">
      <c r="B393" t="s">
        <v>197</v>
      </c>
      <c r="C393" t="s">
        <v>197</v>
      </c>
      <c r="D393" t="s">
        <v>197</v>
      </c>
      <c r="E393" t="s">
        <v>197</v>
      </c>
      <c r="F393" t="s">
        <v>197</v>
      </c>
      <c r="G393" t="s">
        <v>197</v>
      </c>
      <c r="H393" t="s">
        <v>197</v>
      </c>
      <c r="I393" t="s">
        <v>197</v>
      </c>
      <c r="J393" t="s">
        <v>197</v>
      </c>
      <c r="K393" t="s">
        <v>612</v>
      </c>
    </row>
    <row r="394" spans="1:24">
      <c r="A394" t="s">
        <v>716</v>
      </c>
      <c r="K394" t="s">
        <v>717</v>
      </c>
      <c r="W394" t="s">
        <v>171</v>
      </c>
      <c r="X394" t="str">
        <f>A394</f>
        <v>info_date_dml_single_pk_urp</v>
      </c>
    </row>
    <row r="395" spans="1:24">
      <c r="B395" t="s">
        <v>196</v>
      </c>
      <c r="C395" t="s">
        <v>197</v>
      </c>
      <c r="D395" t="s">
        <v>197</v>
      </c>
      <c r="E395" t="s">
        <v>197</v>
      </c>
      <c r="F395" t="s">
        <v>197</v>
      </c>
      <c r="G395" t="s">
        <v>197</v>
      </c>
      <c r="H395" t="s">
        <v>197</v>
      </c>
      <c r="I395" t="s">
        <v>718</v>
      </c>
      <c r="J395" t="s">
        <v>199</v>
      </c>
      <c r="K395" t="s">
        <v>200</v>
      </c>
    </row>
    <row r="396" spans="1:24">
      <c r="B396" t="s">
        <v>197</v>
      </c>
      <c r="C396" t="s">
        <v>197</v>
      </c>
      <c r="D396" t="s">
        <v>197</v>
      </c>
      <c r="E396" t="s">
        <v>197</v>
      </c>
      <c r="F396" t="s">
        <v>197</v>
      </c>
      <c r="G396" t="s">
        <v>197</v>
      </c>
      <c r="H396" t="s">
        <v>197</v>
      </c>
      <c r="I396" t="s">
        <v>197</v>
      </c>
      <c r="J396" t="s">
        <v>197</v>
      </c>
      <c r="K396" t="s">
        <v>678</v>
      </c>
    </row>
    <row r="397" spans="1:24">
      <c r="A397" t="s">
        <v>719</v>
      </c>
      <c r="K397" t="s">
        <v>720</v>
      </c>
      <c r="W397" t="s">
        <v>171</v>
      </c>
      <c r="X397" t="str">
        <f>A397</f>
        <v>info_datetime2_dml_batch1_pk_urp2</v>
      </c>
    </row>
    <row r="398" spans="1:24">
      <c r="B398" t="s">
        <v>196</v>
      </c>
      <c r="C398" t="s">
        <v>197</v>
      </c>
      <c r="D398" t="s">
        <v>197</v>
      </c>
      <c r="E398" t="s">
        <v>197</v>
      </c>
      <c r="F398" t="s">
        <v>197</v>
      </c>
      <c r="G398" t="s">
        <v>197</v>
      </c>
      <c r="H398" t="s">
        <v>197</v>
      </c>
      <c r="I398" t="s">
        <v>721</v>
      </c>
      <c r="J398" t="s">
        <v>199</v>
      </c>
      <c r="K398" t="s">
        <v>200</v>
      </c>
    </row>
    <row r="399" spans="1:24">
      <c r="B399" t="s">
        <v>197</v>
      </c>
      <c r="C399" t="s">
        <v>197</v>
      </c>
      <c r="D399" t="s">
        <v>197</v>
      </c>
      <c r="E399" t="s">
        <v>197</v>
      </c>
      <c r="F399" t="s">
        <v>197</v>
      </c>
      <c r="G399" t="s">
        <v>197</v>
      </c>
      <c r="H399" t="s">
        <v>197</v>
      </c>
      <c r="I399" t="s">
        <v>197</v>
      </c>
      <c r="J399" t="s">
        <v>197</v>
      </c>
      <c r="K399" t="s">
        <v>667</v>
      </c>
    </row>
    <row r="400" spans="1:24">
      <c r="B400" t="s">
        <v>197</v>
      </c>
      <c r="C400" t="s">
        <v>197</v>
      </c>
      <c r="D400" t="s">
        <v>197</v>
      </c>
      <c r="E400" t="s">
        <v>197</v>
      </c>
      <c r="F400" t="s">
        <v>197</v>
      </c>
      <c r="G400" t="s">
        <v>197</v>
      </c>
      <c r="H400" t="s">
        <v>197</v>
      </c>
      <c r="I400" t="s">
        <v>197</v>
      </c>
      <c r="J400" t="s">
        <v>197</v>
      </c>
      <c r="K400" t="s">
        <v>668</v>
      </c>
    </row>
    <row r="401" spans="1:24">
      <c r="B401" t="s">
        <v>197</v>
      </c>
      <c r="C401" t="s">
        <v>197</v>
      </c>
      <c r="D401" t="s">
        <v>197</v>
      </c>
      <c r="E401" t="s">
        <v>197</v>
      </c>
      <c r="F401" t="s">
        <v>197</v>
      </c>
      <c r="G401" t="s">
        <v>197</v>
      </c>
      <c r="H401" t="s">
        <v>197</v>
      </c>
      <c r="I401" t="s">
        <v>197</v>
      </c>
      <c r="J401" t="s">
        <v>197</v>
      </c>
      <c r="K401" t="s">
        <v>669</v>
      </c>
    </row>
    <row r="402" spans="1:24">
      <c r="B402" t="s">
        <v>197</v>
      </c>
      <c r="C402" t="s">
        <v>197</v>
      </c>
      <c r="D402" t="s">
        <v>197</v>
      </c>
      <c r="E402" t="s">
        <v>197</v>
      </c>
      <c r="F402" t="s">
        <v>197</v>
      </c>
      <c r="G402" t="s">
        <v>197</v>
      </c>
      <c r="H402" t="s">
        <v>197</v>
      </c>
      <c r="I402" t="s">
        <v>197</v>
      </c>
      <c r="J402" t="s">
        <v>197</v>
      </c>
      <c r="K402" t="s">
        <v>670</v>
      </c>
    </row>
    <row r="403" spans="1:24">
      <c r="B403" t="s">
        <v>197</v>
      </c>
      <c r="C403" t="s">
        <v>197</v>
      </c>
      <c r="D403" t="s">
        <v>197</v>
      </c>
      <c r="E403" t="s">
        <v>197</v>
      </c>
      <c r="F403" t="s">
        <v>197</v>
      </c>
      <c r="G403" t="s">
        <v>197</v>
      </c>
      <c r="H403" t="s">
        <v>197</v>
      </c>
      <c r="I403" t="s">
        <v>197</v>
      </c>
      <c r="J403" t="s">
        <v>197</v>
      </c>
      <c r="K403" t="s">
        <v>671</v>
      </c>
    </row>
    <row r="404" spans="1:24">
      <c r="B404" t="s">
        <v>197</v>
      </c>
      <c r="C404" t="s">
        <v>197</v>
      </c>
      <c r="D404" t="s">
        <v>197</v>
      </c>
      <c r="E404" t="s">
        <v>197</v>
      </c>
      <c r="F404" t="s">
        <v>197</v>
      </c>
      <c r="G404" t="s">
        <v>197</v>
      </c>
      <c r="H404" t="s">
        <v>197</v>
      </c>
      <c r="I404" t="s">
        <v>197</v>
      </c>
      <c r="J404" t="s">
        <v>197</v>
      </c>
      <c r="K404" t="s">
        <v>672</v>
      </c>
    </row>
    <row r="405" spans="1:24">
      <c r="B405" t="s">
        <v>197</v>
      </c>
      <c r="C405" t="s">
        <v>197</v>
      </c>
      <c r="D405" t="s">
        <v>197</v>
      </c>
      <c r="E405" t="s">
        <v>197</v>
      </c>
      <c r="F405" t="s">
        <v>197</v>
      </c>
      <c r="G405" t="s">
        <v>197</v>
      </c>
      <c r="H405" t="s">
        <v>197</v>
      </c>
      <c r="I405" t="s">
        <v>197</v>
      </c>
      <c r="J405" t="s">
        <v>197</v>
      </c>
      <c r="K405" t="s">
        <v>673</v>
      </c>
    </row>
    <row r="406" spans="1:24">
      <c r="B406" t="s">
        <v>197</v>
      </c>
      <c r="C406" t="s">
        <v>197</v>
      </c>
      <c r="D406" t="s">
        <v>197</v>
      </c>
      <c r="E406" t="s">
        <v>197</v>
      </c>
      <c r="F406" t="s">
        <v>197</v>
      </c>
      <c r="G406" t="s">
        <v>197</v>
      </c>
      <c r="H406" t="s">
        <v>197</v>
      </c>
      <c r="I406" t="s">
        <v>197</v>
      </c>
      <c r="J406" t="s">
        <v>197</v>
      </c>
      <c r="K406" t="s">
        <v>674</v>
      </c>
    </row>
    <row r="407" spans="1:24">
      <c r="A407" t="s">
        <v>722</v>
      </c>
      <c r="K407" t="s">
        <v>723</v>
      </c>
      <c r="W407" t="s">
        <v>171</v>
      </c>
      <c r="X407" t="str">
        <f>A407</f>
        <v>info_varcharmax_dml_batch1_pk_irp1</v>
      </c>
    </row>
    <row r="408" spans="1:24">
      <c r="B408" t="s">
        <v>196</v>
      </c>
      <c r="C408" t="s">
        <v>197</v>
      </c>
      <c r="D408" t="s">
        <v>197</v>
      </c>
      <c r="E408" t="s">
        <v>197</v>
      </c>
      <c r="F408" t="s">
        <v>197</v>
      </c>
      <c r="G408" t="s">
        <v>197</v>
      </c>
      <c r="H408" t="s">
        <v>197</v>
      </c>
      <c r="I408" t="s">
        <v>724</v>
      </c>
      <c r="J408" t="s">
        <v>199</v>
      </c>
      <c r="K408" t="s">
        <v>200</v>
      </c>
    </row>
    <row r="409" spans="1:24">
      <c r="B409" t="s">
        <v>197</v>
      </c>
      <c r="C409" t="s">
        <v>197</v>
      </c>
      <c r="D409" t="s">
        <v>197</v>
      </c>
      <c r="E409" t="s">
        <v>197</v>
      </c>
      <c r="F409" t="s">
        <v>197</v>
      </c>
      <c r="G409" t="s">
        <v>197</v>
      </c>
      <c r="H409" t="s">
        <v>197</v>
      </c>
      <c r="I409" t="s">
        <v>197</v>
      </c>
      <c r="J409" t="s">
        <v>197</v>
      </c>
      <c r="K409" t="s">
        <v>725</v>
      </c>
    </row>
    <row r="410" spans="1:24">
      <c r="B410" t="s">
        <v>197</v>
      </c>
      <c r="C410" t="s">
        <v>197</v>
      </c>
      <c r="D410" t="s">
        <v>197</v>
      </c>
      <c r="E410" t="s">
        <v>197</v>
      </c>
      <c r="F410" t="s">
        <v>197</v>
      </c>
      <c r="G410" t="s">
        <v>197</v>
      </c>
      <c r="H410" t="s">
        <v>197</v>
      </c>
      <c r="I410" t="s">
        <v>197</v>
      </c>
      <c r="J410" t="s">
        <v>197</v>
      </c>
      <c r="K410" t="s">
        <v>726</v>
      </c>
    </row>
    <row r="411" spans="1:24">
      <c r="K411" t="s">
        <v>443</v>
      </c>
    </row>
    <row r="412" spans="1:24">
      <c r="A412" t="s">
        <v>727</v>
      </c>
      <c r="K412" t="s">
        <v>728</v>
      </c>
      <c r="W412" t="s">
        <v>171</v>
      </c>
      <c r="X412" t="str">
        <f>A412</f>
        <v>info_nvarchar_dml_single_pk_irp</v>
      </c>
    </row>
    <row r="413" spans="1:24">
      <c r="B413" t="s">
        <v>196</v>
      </c>
      <c r="C413" t="s">
        <v>197</v>
      </c>
      <c r="D413" t="s">
        <v>197</v>
      </c>
      <c r="E413" t="s">
        <v>197</v>
      </c>
      <c r="F413" t="s">
        <v>197</v>
      </c>
      <c r="G413" t="s">
        <v>197</v>
      </c>
      <c r="H413" t="s">
        <v>197</v>
      </c>
      <c r="I413" t="s">
        <v>729</v>
      </c>
      <c r="J413" t="s">
        <v>199</v>
      </c>
      <c r="K413" t="s">
        <v>200</v>
      </c>
    </row>
    <row r="414" spans="1:24">
      <c r="B414" t="s">
        <v>197</v>
      </c>
      <c r="C414" t="s">
        <v>197</v>
      </c>
      <c r="D414" t="s">
        <v>197</v>
      </c>
      <c r="E414" t="s">
        <v>197</v>
      </c>
      <c r="F414" t="s">
        <v>197</v>
      </c>
      <c r="G414" t="s">
        <v>197</v>
      </c>
      <c r="H414" t="s">
        <v>197</v>
      </c>
      <c r="I414" t="s">
        <v>197</v>
      </c>
      <c r="J414" t="s">
        <v>197</v>
      </c>
      <c r="K414" t="s">
        <v>408</v>
      </c>
    </row>
    <row r="415" spans="1:24">
      <c r="B415" t="s">
        <v>197</v>
      </c>
      <c r="C415" t="s">
        <v>197</v>
      </c>
      <c r="D415" t="s">
        <v>197</v>
      </c>
      <c r="E415" t="s">
        <v>197</v>
      </c>
      <c r="F415" t="s">
        <v>197</v>
      </c>
      <c r="G415" t="s">
        <v>197</v>
      </c>
      <c r="H415" t="s">
        <v>197</v>
      </c>
      <c r="I415" t="s">
        <v>197</v>
      </c>
      <c r="J415" t="s">
        <v>197</v>
      </c>
      <c r="K415" t="s">
        <v>412</v>
      </c>
    </row>
    <row r="416" spans="1:24">
      <c r="B416" t="s">
        <v>197</v>
      </c>
      <c r="C416" t="s">
        <v>197</v>
      </c>
      <c r="D416" t="s">
        <v>197</v>
      </c>
      <c r="E416" t="s">
        <v>197</v>
      </c>
      <c r="F416" t="s">
        <v>197</v>
      </c>
      <c r="G416" t="s">
        <v>197</v>
      </c>
      <c r="H416" t="s">
        <v>197</v>
      </c>
      <c r="I416" t="s">
        <v>197</v>
      </c>
      <c r="J416" t="s">
        <v>197</v>
      </c>
      <c r="K416" t="s">
        <v>730</v>
      </c>
    </row>
    <row r="417" spans="1:24">
      <c r="A417" t="s">
        <v>731</v>
      </c>
      <c r="K417" t="s">
        <v>732</v>
      </c>
      <c r="W417" t="s">
        <v>171</v>
      </c>
      <c r="X417" t="str">
        <f>A417</f>
        <v>info_datetime2_dml_batch1_pk_drp1</v>
      </c>
    </row>
    <row r="418" spans="1:24">
      <c r="B418" t="s">
        <v>196</v>
      </c>
      <c r="C418" t="s">
        <v>197</v>
      </c>
      <c r="D418" t="s">
        <v>197</v>
      </c>
      <c r="E418" t="s">
        <v>197</v>
      </c>
      <c r="F418" t="s">
        <v>197</v>
      </c>
      <c r="G418" t="s">
        <v>197</v>
      </c>
      <c r="H418" t="s">
        <v>197</v>
      </c>
      <c r="I418" t="s">
        <v>733</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K427" t="s">
        <v>443</v>
      </c>
    </row>
    <row r="428" spans="1:24">
      <c r="A428" t="s">
        <v>734</v>
      </c>
      <c r="K428" t="s">
        <v>735</v>
      </c>
      <c r="W428" t="s">
        <v>171</v>
      </c>
      <c r="X428" t="str">
        <f>A428</f>
        <v>info_varcharmax_dml_batch1_pk_irp2</v>
      </c>
    </row>
    <row r="429" spans="1:24">
      <c r="B429" t="s">
        <v>196</v>
      </c>
      <c r="C429" t="s">
        <v>197</v>
      </c>
      <c r="D429" t="s">
        <v>197</v>
      </c>
      <c r="E429" t="s">
        <v>197</v>
      </c>
      <c r="F429" t="s">
        <v>197</v>
      </c>
      <c r="G429" t="s">
        <v>197</v>
      </c>
      <c r="H429" t="s">
        <v>197</v>
      </c>
      <c r="I429" t="s">
        <v>736</v>
      </c>
      <c r="J429" t="s">
        <v>199</v>
      </c>
      <c r="K429" t="s">
        <v>200</v>
      </c>
    </row>
    <row r="430" spans="1:24">
      <c r="B430" t="s">
        <v>197</v>
      </c>
      <c r="C430" t="s">
        <v>197</v>
      </c>
      <c r="D430" t="s">
        <v>197</v>
      </c>
      <c r="E430" t="s">
        <v>197</v>
      </c>
      <c r="F430" t="s">
        <v>197</v>
      </c>
      <c r="G430" t="s">
        <v>197</v>
      </c>
      <c r="H430" t="s">
        <v>197</v>
      </c>
      <c r="I430" t="s">
        <v>197</v>
      </c>
      <c r="J430" t="s">
        <v>197</v>
      </c>
      <c r="K430" t="s">
        <v>725</v>
      </c>
    </row>
    <row r="431" spans="1:24">
      <c r="B431" t="s">
        <v>197</v>
      </c>
      <c r="C431" t="s">
        <v>197</v>
      </c>
      <c r="D431" t="s">
        <v>197</v>
      </c>
      <c r="E431" t="s">
        <v>197</v>
      </c>
      <c r="F431" t="s">
        <v>197</v>
      </c>
      <c r="G431" t="s">
        <v>197</v>
      </c>
      <c r="H431" t="s">
        <v>197</v>
      </c>
      <c r="I431" t="s">
        <v>197</v>
      </c>
      <c r="J431" t="s">
        <v>197</v>
      </c>
      <c r="K431" t="s">
        <v>726</v>
      </c>
    </row>
    <row r="432" spans="1:24">
      <c r="K432" t="s">
        <v>443</v>
      </c>
    </row>
    <row r="433" spans="1:24">
      <c r="A433" t="s">
        <v>737</v>
      </c>
      <c r="K433" t="s">
        <v>738</v>
      </c>
      <c r="W433" s="1" t="str">
        <f>HYPERLINK("#2026042000hbase1!AH2","NO 源备存在差异，共64个")</f>
        <v>NO 源备存在差异，共64个</v>
      </c>
      <c r="X433" t="str">
        <f>A433</f>
        <v>info_binary_dml_batch1_pk_irp2</v>
      </c>
    </row>
    <row r="434" spans="1:24">
      <c r="B434" t="s">
        <v>196</v>
      </c>
      <c r="C434" t="s">
        <v>197</v>
      </c>
      <c r="D434" t="s">
        <v>197</v>
      </c>
      <c r="E434" t="s">
        <v>197</v>
      </c>
      <c r="F434" t="s">
        <v>197</v>
      </c>
      <c r="G434" t="s">
        <v>197</v>
      </c>
      <c r="H434" t="s">
        <v>197</v>
      </c>
      <c r="I434" t="s">
        <v>739</v>
      </c>
      <c r="J434" t="s">
        <v>199</v>
      </c>
      <c r="K434" t="s">
        <v>200</v>
      </c>
    </row>
    <row r="435" spans="1:24">
      <c r="B435" t="s">
        <v>197</v>
      </c>
      <c r="C435" t="s">
        <v>197</v>
      </c>
      <c r="D435" t="s">
        <v>197</v>
      </c>
      <c r="E435" t="s">
        <v>197</v>
      </c>
      <c r="F435" t="s">
        <v>197</v>
      </c>
      <c r="G435" t="s">
        <v>197</v>
      </c>
      <c r="H435" t="s">
        <v>197</v>
      </c>
      <c r="I435" t="s">
        <v>197</v>
      </c>
      <c r="J435" t="s">
        <v>197</v>
      </c>
      <c r="K435" t="s">
        <v>691</v>
      </c>
    </row>
    <row r="436" spans="1:24">
      <c r="B436" t="s">
        <v>197</v>
      </c>
      <c r="C436" t="s">
        <v>197</v>
      </c>
      <c r="D436" t="s">
        <v>197</v>
      </c>
      <c r="E436" t="s">
        <v>197</v>
      </c>
      <c r="F436" t="s">
        <v>197</v>
      </c>
      <c r="G436" t="s">
        <v>197</v>
      </c>
      <c r="H436" t="s">
        <v>197</v>
      </c>
      <c r="I436" t="s">
        <v>197</v>
      </c>
      <c r="J436" t="s">
        <v>197</v>
      </c>
      <c r="K436" t="s">
        <v>692</v>
      </c>
    </row>
    <row r="437" spans="1:24">
      <c r="B437" t="s">
        <v>197</v>
      </c>
      <c r="C437" t="s">
        <v>197</v>
      </c>
      <c r="D437" t="s">
        <v>197</v>
      </c>
      <c r="E437" t="s">
        <v>197</v>
      </c>
      <c r="F437" t="s">
        <v>197</v>
      </c>
      <c r="G437" t="s">
        <v>197</v>
      </c>
      <c r="H437" t="s">
        <v>197</v>
      </c>
      <c r="I437" t="s">
        <v>197</v>
      </c>
      <c r="J437" t="s">
        <v>197</v>
      </c>
      <c r="K437" t="s">
        <v>693</v>
      </c>
    </row>
    <row r="438" spans="1:24">
      <c r="A438" t="s">
        <v>740</v>
      </c>
      <c r="K438" t="s">
        <v>741</v>
      </c>
      <c r="W438" t="s">
        <v>171</v>
      </c>
      <c r="X438" t="str">
        <f>A438</f>
        <v>info_datetime2_dml_batch1_pk_drp2</v>
      </c>
    </row>
    <row r="439" spans="1:24">
      <c r="B439" t="s">
        <v>196</v>
      </c>
      <c r="C439" t="s">
        <v>197</v>
      </c>
      <c r="D439" t="s">
        <v>197</v>
      </c>
      <c r="E439" t="s">
        <v>197</v>
      </c>
      <c r="F439" t="s">
        <v>197</v>
      </c>
      <c r="G439" t="s">
        <v>197</v>
      </c>
      <c r="H439" t="s">
        <v>197</v>
      </c>
      <c r="I439" t="s">
        <v>742</v>
      </c>
      <c r="J439" t="s">
        <v>199</v>
      </c>
      <c r="K439" t="s">
        <v>200</v>
      </c>
    </row>
    <row r="440" spans="1:24">
      <c r="B440" t="s">
        <v>197</v>
      </c>
      <c r="C440" t="s">
        <v>197</v>
      </c>
      <c r="D440" t="s">
        <v>197</v>
      </c>
      <c r="E440" t="s">
        <v>197</v>
      </c>
      <c r="F440" t="s">
        <v>197</v>
      </c>
      <c r="G440" t="s">
        <v>197</v>
      </c>
      <c r="H440" t="s">
        <v>197</v>
      </c>
      <c r="I440" t="s">
        <v>197</v>
      </c>
      <c r="J440" t="s">
        <v>197</v>
      </c>
      <c r="K440" t="s">
        <v>667</v>
      </c>
    </row>
    <row r="441" spans="1:24">
      <c r="B441" t="s">
        <v>197</v>
      </c>
      <c r="C441" t="s">
        <v>197</v>
      </c>
      <c r="D441" t="s">
        <v>197</v>
      </c>
      <c r="E441" t="s">
        <v>197</v>
      </c>
      <c r="F441" t="s">
        <v>197</v>
      </c>
      <c r="G441" t="s">
        <v>197</v>
      </c>
      <c r="H441" t="s">
        <v>197</v>
      </c>
      <c r="I441" t="s">
        <v>197</v>
      </c>
      <c r="J441" t="s">
        <v>197</v>
      </c>
      <c r="K441" t="s">
        <v>668</v>
      </c>
    </row>
    <row r="442" spans="1:24">
      <c r="B442" t="s">
        <v>197</v>
      </c>
      <c r="C442" t="s">
        <v>197</v>
      </c>
      <c r="D442" t="s">
        <v>197</v>
      </c>
      <c r="E442" t="s">
        <v>197</v>
      </c>
      <c r="F442" t="s">
        <v>197</v>
      </c>
      <c r="G442" t="s">
        <v>197</v>
      </c>
      <c r="H442" t="s">
        <v>197</v>
      </c>
      <c r="I442" t="s">
        <v>197</v>
      </c>
      <c r="J442" t="s">
        <v>197</v>
      </c>
      <c r="K442" t="s">
        <v>669</v>
      </c>
    </row>
    <row r="443" spans="1:24">
      <c r="B443" t="s">
        <v>197</v>
      </c>
      <c r="C443" t="s">
        <v>197</v>
      </c>
      <c r="D443" t="s">
        <v>197</v>
      </c>
      <c r="E443" t="s">
        <v>197</v>
      </c>
      <c r="F443" t="s">
        <v>197</v>
      </c>
      <c r="G443" t="s">
        <v>197</v>
      </c>
      <c r="H443" t="s">
        <v>197</v>
      </c>
      <c r="I443" t="s">
        <v>197</v>
      </c>
      <c r="J443" t="s">
        <v>197</v>
      </c>
      <c r="K443" t="s">
        <v>670</v>
      </c>
    </row>
    <row r="444" spans="1:24">
      <c r="B444" t="s">
        <v>197</v>
      </c>
      <c r="C444" t="s">
        <v>197</v>
      </c>
      <c r="D444" t="s">
        <v>197</v>
      </c>
      <c r="E444" t="s">
        <v>197</v>
      </c>
      <c r="F444" t="s">
        <v>197</v>
      </c>
      <c r="G444" t="s">
        <v>197</v>
      </c>
      <c r="H444" t="s">
        <v>197</v>
      </c>
      <c r="I444" t="s">
        <v>197</v>
      </c>
      <c r="J444" t="s">
        <v>197</v>
      </c>
      <c r="K444" t="s">
        <v>671</v>
      </c>
    </row>
    <row r="445" spans="1:24">
      <c r="B445" t="s">
        <v>197</v>
      </c>
      <c r="C445" t="s">
        <v>197</v>
      </c>
      <c r="D445" t="s">
        <v>197</v>
      </c>
      <c r="E445" t="s">
        <v>197</v>
      </c>
      <c r="F445" t="s">
        <v>197</v>
      </c>
      <c r="G445" t="s">
        <v>197</v>
      </c>
      <c r="H445" t="s">
        <v>197</v>
      </c>
      <c r="I445" t="s">
        <v>197</v>
      </c>
      <c r="J445" t="s">
        <v>197</v>
      </c>
      <c r="K445" t="s">
        <v>672</v>
      </c>
    </row>
    <row r="446" spans="1:24">
      <c r="B446" t="s">
        <v>197</v>
      </c>
      <c r="C446" t="s">
        <v>197</v>
      </c>
      <c r="D446" t="s">
        <v>197</v>
      </c>
      <c r="E446" t="s">
        <v>197</v>
      </c>
      <c r="F446" t="s">
        <v>197</v>
      </c>
      <c r="G446" t="s">
        <v>197</v>
      </c>
      <c r="H446" t="s">
        <v>197</v>
      </c>
      <c r="I446" t="s">
        <v>197</v>
      </c>
      <c r="J446" t="s">
        <v>197</v>
      </c>
      <c r="K446" t="s">
        <v>673</v>
      </c>
    </row>
    <row r="447" spans="1:24">
      <c r="B447" t="s">
        <v>197</v>
      </c>
      <c r="C447" t="s">
        <v>197</v>
      </c>
      <c r="D447" t="s">
        <v>197</v>
      </c>
      <c r="E447" t="s">
        <v>197</v>
      </c>
      <c r="F447" t="s">
        <v>197</v>
      </c>
      <c r="G447" t="s">
        <v>197</v>
      </c>
      <c r="H447" t="s">
        <v>197</v>
      </c>
      <c r="I447" t="s">
        <v>197</v>
      </c>
      <c r="J447" t="s">
        <v>197</v>
      </c>
      <c r="K447" t="s">
        <v>674</v>
      </c>
    </row>
    <row r="448" spans="1:24">
      <c r="A448" t="s">
        <v>743</v>
      </c>
      <c r="K448" t="s">
        <v>744</v>
      </c>
      <c r="W448" t="s">
        <v>171</v>
      </c>
      <c r="X448" t="str">
        <f>A448</f>
        <v>info_hierarchyid_dml_single_pk_urp</v>
      </c>
    </row>
    <row r="449" spans="1:24">
      <c r="B449" t="s">
        <v>196</v>
      </c>
      <c r="C449" t="s">
        <v>197</v>
      </c>
      <c r="D449" t="s">
        <v>197</v>
      </c>
      <c r="E449" t="s">
        <v>197</v>
      </c>
      <c r="F449" t="s">
        <v>197</v>
      </c>
      <c r="G449" t="s">
        <v>197</v>
      </c>
      <c r="H449" t="s">
        <v>197</v>
      </c>
      <c r="I449" t="s">
        <v>745</v>
      </c>
      <c r="J449" t="s">
        <v>199</v>
      </c>
      <c r="K449" t="s">
        <v>200</v>
      </c>
    </row>
    <row r="450" spans="1:24">
      <c r="B450" t="s">
        <v>197</v>
      </c>
      <c r="C450" t="s">
        <v>197</v>
      </c>
      <c r="D450" t="s">
        <v>197</v>
      </c>
      <c r="E450" t="s">
        <v>197</v>
      </c>
      <c r="F450" t="s">
        <v>197</v>
      </c>
      <c r="G450" t="s">
        <v>197</v>
      </c>
      <c r="H450" t="s">
        <v>197</v>
      </c>
      <c r="I450" t="s">
        <v>197</v>
      </c>
      <c r="J450" t="s">
        <v>197</v>
      </c>
      <c r="K450" t="s">
        <v>706</v>
      </c>
    </row>
    <row r="451" spans="1:24">
      <c r="A451" t="s">
        <v>746</v>
      </c>
      <c r="K451" t="s">
        <v>747</v>
      </c>
      <c r="W451" t="s">
        <v>171</v>
      </c>
      <c r="X451" t="str">
        <f>A451</f>
        <v>info_nvarchar_dml_single_pk_urp</v>
      </c>
    </row>
    <row r="452" spans="1:24">
      <c r="B452" t="s">
        <v>196</v>
      </c>
      <c r="C452" t="s">
        <v>197</v>
      </c>
      <c r="D452" t="s">
        <v>197</v>
      </c>
      <c r="E452" t="s">
        <v>197</v>
      </c>
      <c r="F452" t="s">
        <v>197</v>
      </c>
      <c r="G452" t="s">
        <v>197</v>
      </c>
      <c r="H452" t="s">
        <v>197</v>
      </c>
      <c r="I452" t="s">
        <v>748</v>
      </c>
      <c r="J452" t="s">
        <v>199</v>
      </c>
      <c r="K452" t="s">
        <v>200</v>
      </c>
    </row>
    <row r="453" spans="1:24">
      <c r="B453" t="s">
        <v>197</v>
      </c>
      <c r="C453" t="s">
        <v>197</v>
      </c>
      <c r="D453" t="s">
        <v>197</v>
      </c>
      <c r="E453" t="s">
        <v>197</v>
      </c>
      <c r="F453" t="s">
        <v>197</v>
      </c>
      <c r="G453" t="s">
        <v>197</v>
      </c>
      <c r="H453" t="s">
        <v>197</v>
      </c>
      <c r="I453" t="s">
        <v>197</v>
      </c>
      <c r="J453" t="s">
        <v>197</v>
      </c>
      <c r="K453" t="s">
        <v>408</v>
      </c>
    </row>
    <row r="454" spans="1:24">
      <c r="B454" t="s">
        <v>197</v>
      </c>
      <c r="C454" t="s">
        <v>197</v>
      </c>
      <c r="D454" t="s">
        <v>197</v>
      </c>
      <c r="E454" t="s">
        <v>197</v>
      </c>
      <c r="F454" t="s">
        <v>197</v>
      </c>
      <c r="G454" t="s">
        <v>197</v>
      </c>
      <c r="H454" t="s">
        <v>197</v>
      </c>
      <c r="I454" t="s">
        <v>197</v>
      </c>
      <c r="J454" t="s">
        <v>197</v>
      </c>
      <c r="K454" t="s">
        <v>412</v>
      </c>
    </row>
    <row r="455" spans="1:24">
      <c r="B455" t="s">
        <v>197</v>
      </c>
      <c r="C455" t="s">
        <v>197</v>
      </c>
      <c r="D455" t="s">
        <v>197</v>
      </c>
      <c r="E455" t="s">
        <v>197</v>
      </c>
      <c r="F455" t="s">
        <v>197</v>
      </c>
      <c r="G455" t="s">
        <v>197</v>
      </c>
      <c r="H455" t="s">
        <v>197</v>
      </c>
      <c r="I455" t="s">
        <v>197</v>
      </c>
      <c r="J455" t="s">
        <v>197</v>
      </c>
      <c r="K455" t="s">
        <v>730</v>
      </c>
    </row>
    <row r="456" spans="1:24">
      <c r="A456" t="s">
        <v>749</v>
      </c>
      <c r="K456" t="s">
        <v>750</v>
      </c>
      <c r="W456" t="s">
        <v>171</v>
      </c>
      <c r="X456" t="str">
        <f>A456</f>
        <v>info_datetime2_dml_batch1_pk</v>
      </c>
    </row>
    <row r="457" spans="1:24">
      <c r="B457" t="s">
        <v>196</v>
      </c>
      <c r="C457" t="s">
        <v>197</v>
      </c>
      <c r="D457" t="s">
        <v>197</v>
      </c>
      <c r="E457" t="s">
        <v>197</v>
      </c>
      <c r="F457" t="s">
        <v>197</v>
      </c>
      <c r="G457" t="s">
        <v>197</v>
      </c>
      <c r="H457" t="s">
        <v>197</v>
      </c>
      <c r="I457" t="s">
        <v>751</v>
      </c>
      <c r="J457" t="s">
        <v>199</v>
      </c>
      <c r="K457" t="s">
        <v>200</v>
      </c>
    </row>
    <row r="458" spans="1:24">
      <c r="B458" t="s">
        <v>197</v>
      </c>
      <c r="C458" t="s">
        <v>197</v>
      </c>
      <c r="D458" t="s">
        <v>197</v>
      </c>
      <c r="E458" t="s">
        <v>197</v>
      </c>
      <c r="F458" t="s">
        <v>197</v>
      </c>
      <c r="G458" t="s">
        <v>197</v>
      </c>
      <c r="H458" t="s">
        <v>197</v>
      </c>
      <c r="I458" t="s">
        <v>197</v>
      </c>
      <c r="J458" t="s">
        <v>197</v>
      </c>
      <c r="K458" t="s">
        <v>667</v>
      </c>
    </row>
    <row r="459" spans="1:24">
      <c r="B459" t="s">
        <v>197</v>
      </c>
      <c r="C459" t="s">
        <v>197</v>
      </c>
      <c r="D459" t="s">
        <v>197</v>
      </c>
      <c r="E459" t="s">
        <v>197</v>
      </c>
      <c r="F459" t="s">
        <v>197</v>
      </c>
      <c r="G459" t="s">
        <v>197</v>
      </c>
      <c r="H459" t="s">
        <v>197</v>
      </c>
      <c r="I459" t="s">
        <v>197</v>
      </c>
      <c r="J459" t="s">
        <v>197</v>
      </c>
      <c r="K459" t="s">
        <v>668</v>
      </c>
    </row>
    <row r="460" spans="1:24">
      <c r="B460" t="s">
        <v>197</v>
      </c>
      <c r="C460" t="s">
        <v>197</v>
      </c>
      <c r="D460" t="s">
        <v>197</v>
      </c>
      <c r="E460" t="s">
        <v>197</v>
      </c>
      <c r="F460" t="s">
        <v>197</v>
      </c>
      <c r="G460" t="s">
        <v>197</v>
      </c>
      <c r="H460" t="s">
        <v>197</v>
      </c>
      <c r="I460" t="s">
        <v>197</v>
      </c>
      <c r="J460" t="s">
        <v>197</v>
      </c>
      <c r="K460" t="s">
        <v>669</v>
      </c>
    </row>
    <row r="461" spans="1:24">
      <c r="B461" t="s">
        <v>197</v>
      </c>
      <c r="C461" t="s">
        <v>197</v>
      </c>
      <c r="D461" t="s">
        <v>197</v>
      </c>
      <c r="E461" t="s">
        <v>197</v>
      </c>
      <c r="F461" t="s">
        <v>197</v>
      </c>
      <c r="G461" t="s">
        <v>197</v>
      </c>
      <c r="H461" t="s">
        <v>197</v>
      </c>
      <c r="I461" t="s">
        <v>197</v>
      </c>
      <c r="J461" t="s">
        <v>197</v>
      </c>
      <c r="K461" t="s">
        <v>670</v>
      </c>
    </row>
    <row r="462" spans="1:24">
      <c r="B462" t="s">
        <v>197</v>
      </c>
      <c r="C462" t="s">
        <v>197</v>
      </c>
      <c r="D462" t="s">
        <v>197</v>
      </c>
      <c r="E462" t="s">
        <v>197</v>
      </c>
      <c r="F462" t="s">
        <v>197</v>
      </c>
      <c r="G462" t="s">
        <v>197</v>
      </c>
      <c r="H462" t="s">
        <v>197</v>
      </c>
      <c r="I462" t="s">
        <v>197</v>
      </c>
      <c r="J462" t="s">
        <v>197</v>
      </c>
      <c r="K462" t="s">
        <v>671</v>
      </c>
    </row>
    <row r="463" spans="1:24">
      <c r="B463" t="s">
        <v>197</v>
      </c>
      <c r="C463" t="s">
        <v>197</v>
      </c>
      <c r="D463" t="s">
        <v>197</v>
      </c>
      <c r="E463" t="s">
        <v>197</v>
      </c>
      <c r="F463" t="s">
        <v>197</v>
      </c>
      <c r="G463" t="s">
        <v>197</v>
      </c>
      <c r="H463" t="s">
        <v>197</v>
      </c>
      <c r="I463" t="s">
        <v>197</v>
      </c>
      <c r="J463" t="s">
        <v>197</v>
      </c>
      <c r="K463" t="s">
        <v>672</v>
      </c>
    </row>
    <row r="464" spans="1:24">
      <c r="B464" t="s">
        <v>197</v>
      </c>
      <c r="C464" t="s">
        <v>197</v>
      </c>
      <c r="D464" t="s">
        <v>197</v>
      </c>
      <c r="E464" t="s">
        <v>197</v>
      </c>
      <c r="F464" t="s">
        <v>197</v>
      </c>
      <c r="G464" t="s">
        <v>197</v>
      </c>
      <c r="H464" t="s">
        <v>197</v>
      </c>
      <c r="I464" t="s">
        <v>197</v>
      </c>
      <c r="J464" t="s">
        <v>197</v>
      </c>
      <c r="K464" t="s">
        <v>673</v>
      </c>
    </row>
    <row r="465" spans="1:24">
      <c r="B465" t="s">
        <v>197</v>
      </c>
      <c r="C465" t="s">
        <v>197</v>
      </c>
      <c r="D465" t="s">
        <v>197</v>
      </c>
      <c r="E465" t="s">
        <v>197</v>
      </c>
      <c r="F465" t="s">
        <v>197</v>
      </c>
      <c r="G465" t="s">
        <v>197</v>
      </c>
      <c r="H465" t="s">
        <v>197</v>
      </c>
      <c r="I465" t="s">
        <v>197</v>
      </c>
      <c r="J465" t="s">
        <v>197</v>
      </c>
      <c r="K465" t="s">
        <v>674</v>
      </c>
    </row>
    <row r="466" spans="1:24">
      <c r="A466" t="s">
        <v>752</v>
      </c>
      <c r="K466" t="s">
        <v>753</v>
      </c>
      <c r="W466" t="s">
        <v>171</v>
      </c>
      <c r="X466" t="str">
        <f>A466</f>
        <v>info_nchar_dml_batch2_pk_irp1</v>
      </c>
    </row>
    <row r="467" spans="1:24">
      <c r="B467" t="s">
        <v>196</v>
      </c>
      <c r="C467" t="s">
        <v>197</v>
      </c>
      <c r="D467" t="s">
        <v>197</v>
      </c>
      <c r="E467" t="s">
        <v>197</v>
      </c>
      <c r="F467" t="s">
        <v>197</v>
      </c>
      <c r="G467" t="s">
        <v>197</v>
      </c>
      <c r="H467" t="s">
        <v>197</v>
      </c>
      <c r="I467" t="s">
        <v>754</v>
      </c>
      <c r="J467" t="s">
        <v>199</v>
      </c>
      <c r="K467" t="s">
        <v>200</v>
      </c>
    </row>
    <row r="468" spans="1:24">
      <c r="B468" t="s">
        <v>197</v>
      </c>
      <c r="C468" t="s">
        <v>197</v>
      </c>
      <c r="D468" t="s">
        <v>197</v>
      </c>
      <c r="E468" t="s">
        <v>197</v>
      </c>
      <c r="F468" t="s">
        <v>197</v>
      </c>
      <c r="G468" t="s">
        <v>197</v>
      </c>
      <c r="H468" t="s">
        <v>197</v>
      </c>
      <c r="I468" t="s">
        <v>197</v>
      </c>
      <c r="J468" t="s">
        <v>197</v>
      </c>
      <c r="K468" t="s">
        <v>514</v>
      </c>
    </row>
    <row r="469" spans="1:24">
      <c r="B469" t="s">
        <v>197</v>
      </c>
      <c r="C469" t="s">
        <v>197</v>
      </c>
      <c r="D469" t="s">
        <v>197</v>
      </c>
      <c r="E469" t="s">
        <v>197</v>
      </c>
      <c r="F469" t="s">
        <v>197</v>
      </c>
      <c r="G469" t="s">
        <v>197</v>
      </c>
      <c r="H469" t="s">
        <v>197</v>
      </c>
      <c r="I469" t="s">
        <v>197</v>
      </c>
      <c r="J469" t="s">
        <v>197</v>
      </c>
      <c r="K469" t="s">
        <v>516</v>
      </c>
    </row>
    <row r="470" spans="1:24">
      <c r="B470" t="s">
        <v>197</v>
      </c>
      <c r="C470" t="s">
        <v>197</v>
      </c>
      <c r="D470" t="s">
        <v>197</v>
      </c>
      <c r="E470" t="s">
        <v>197</v>
      </c>
      <c r="F470" t="s">
        <v>197</v>
      </c>
      <c r="G470" t="s">
        <v>197</v>
      </c>
      <c r="H470" t="s">
        <v>197</v>
      </c>
      <c r="I470" t="s">
        <v>197</v>
      </c>
      <c r="J470" t="s">
        <v>197</v>
      </c>
      <c r="K470" t="s">
        <v>612</v>
      </c>
    </row>
    <row r="471" spans="1:24">
      <c r="A471" t="s">
        <v>755</v>
      </c>
      <c r="K471" t="s">
        <v>756</v>
      </c>
      <c r="W471" s="1" t="str">
        <f>HYPERLINK("#2026042000hbase1!AI2","NO 源备存在差异，共16个")</f>
        <v>NO 源备存在差异，共16个</v>
      </c>
      <c r="X471" t="str">
        <f>A471</f>
        <v>info_binary_dml_batch2_pk_irp1</v>
      </c>
    </row>
    <row r="472" spans="1:24">
      <c r="B472" t="s">
        <v>196</v>
      </c>
      <c r="C472" t="s">
        <v>197</v>
      </c>
      <c r="D472" t="s">
        <v>197</v>
      </c>
      <c r="E472" t="s">
        <v>197</v>
      </c>
      <c r="F472" t="s">
        <v>197</v>
      </c>
      <c r="G472" t="s">
        <v>197</v>
      </c>
      <c r="H472" t="s">
        <v>197</v>
      </c>
      <c r="I472" t="s">
        <v>757</v>
      </c>
      <c r="J472" t="s">
        <v>199</v>
      </c>
      <c r="K472" t="s">
        <v>200</v>
      </c>
    </row>
    <row r="473" spans="1:24">
      <c r="B473" t="s">
        <v>197</v>
      </c>
      <c r="C473" t="s">
        <v>197</v>
      </c>
      <c r="D473" t="s">
        <v>197</v>
      </c>
      <c r="E473" t="s">
        <v>197</v>
      </c>
      <c r="F473" t="s">
        <v>197</v>
      </c>
      <c r="G473" t="s">
        <v>197</v>
      </c>
      <c r="H473" t="s">
        <v>197</v>
      </c>
      <c r="I473" t="s">
        <v>197</v>
      </c>
      <c r="J473" t="s">
        <v>197</v>
      </c>
      <c r="K473" t="s">
        <v>691</v>
      </c>
    </row>
    <row r="474" spans="1:24">
      <c r="B474" t="s">
        <v>197</v>
      </c>
      <c r="C474" t="s">
        <v>197</v>
      </c>
      <c r="D474" t="s">
        <v>197</v>
      </c>
      <c r="E474" t="s">
        <v>197</v>
      </c>
      <c r="F474" t="s">
        <v>197</v>
      </c>
      <c r="G474" t="s">
        <v>197</v>
      </c>
      <c r="H474" t="s">
        <v>197</v>
      </c>
      <c r="I474" t="s">
        <v>197</v>
      </c>
      <c r="J474" t="s">
        <v>197</v>
      </c>
      <c r="K474" t="s">
        <v>692</v>
      </c>
    </row>
    <row r="475" spans="1:24">
      <c r="B475" t="s">
        <v>197</v>
      </c>
      <c r="C475" t="s">
        <v>197</v>
      </c>
      <c r="D475" t="s">
        <v>197</v>
      </c>
      <c r="E475" t="s">
        <v>197</v>
      </c>
      <c r="F475" t="s">
        <v>197</v>
      </c>
      <c r="G475" t="s">
        <v>197</v>
      </c>
      <c r="H475" t="s">
        <v>197</v>
      </c>
      <c r="I475" t="s">
        <v>197</v>
      </c>
      <c r="J475" t="s">
        <v>197</v>
      </c>
      <c r="K475" t="s">
        <v>693</v>
      </c>
    </row>
    <row r="476" spans="1:24">
      <c r="A476" t="s">
        <v>758</v>
      </c>
      <c r="K476" t="s">
        <v>759</v>
      </c>
      <c r="W476" t="s">
        <v>171</v>
      </c>
      <c r="X476" t="str">
        <f>A476</f>
        <v>info_date_dml_single_pk_drp</v>
      </c>
    </row>
    <row r="477" spans="1:24">
      <c r="B477" t="s">
        <v>196</v>
      </c>
      <c r="C477" t="s">
        <v>197</v>
      </c>
      <c r="D477" t="s">
        <v>197</v>
      </c>
      <c r="E477" t="s">
        <v>197</v>
      </c>
      <c r="F477" t="s">
        <v>197</v>
      </c>
      <c r="G477" t="s">
        <v>197</v>
      </c>
      <c r="H477" t="s">
        <v>197</v>
      </c>
      <c r="I477" t="s">
        <v>760</v>
      </c>
      <c r="J477" t="s">
        <v>199</v>
      </c>
      <c r="K477" t="s">
        <v>200</v>
      </c>
    </row>
    <row r="478" spans="1:24">
      <c r="B478" t="s">
        <v>197</v>
      </c>
      <c r="C478" t="s">
        <v>197</v>
      </c>
      <c r="D478" t="s">
        <v>197</v>
      </c>
      <c r="E478" t="s">
        <v>197</v>
      </c>
      <c r="F478" t="s">
        <v>197</v>
      </c>
      <c r="G478" t="s">
        <v>197</v>
      </c>
      <c r="H478" t="s">
        <v>197</v>
      </c>
      <c r="I478" t="s">
        <v>197</v>
      </c>
      <c r="J478" t="s">
        <v>197</v>
      </c>
      <c r="K478" t="s">
        <v>678</v>
      </c>
    </row>
    <row r="479" spans="1:24">
      <c r="A479" t="s">
        <v>761</v>
      </c>
      <c r="K479" t="s">
        <v>762</v>
      </c>
      <c r="W479" t="s">
        <v>171</v>
      </c>
      <c r="X479" t="str">
        <f>A479</f>
        <v>info_hierarchyid_dml_single_pk_drp</v>
      </c>
    </row>
    <row r="480" spans="1:24">
      <c r="B480" t="s">
        <v>196</v>
      </c>
      <c r="C480" t="s">
        <v>197</v>
      </c>
      <c r="D480" t="s">
        <v>197</v>
      </c>
      <c r="E480" t="s">
        <v>197</v>
      </c>
      <c r="F480" t="s">
        <v>197</v>
      </c>
      <c r="G480" t="s">
        <v>197</v>
      </c>
      <c r="H480" t="s">
        <v>197</v>
      </c>
      <c r="I480" t="s">
        <v>763</v>
      </c>
      <c r="J480" t="s">
        <v>199</v>
      </c>
      <c r="K480" t="s">
        <v>200</v>
      </c>
    </row>
    <row r="481" spans="1:24">
      <c r="B481" t="s">
        <v>197</v>
      </c>
      <c r="C481" t="s">
        <v>197</v>
      </c>
      <c r="D481" t="s">
        <v>197</v>
      </c>
      <c r="E481" t="s">
        <v>197</v>
      </c>
      <c r="F481" t="s">
        <v>197</v>
      </c>
      <c r="G481" t="s">
        <v>197</v>
      </c>
      <c r="H481" t="s">
        <v>197</v>
      </c>
      <c r="I481" t="s">
        <v>197</v>
      </c>
      <c r="J481" t="s">
        <v>197</v>
      </c>
      <c r="K481" t="s">
        <v>706</v>
      </c>
    </row>
    <row r="482" spans="1:24">
      <c r="A482" t="s">
        <v>764</v>
      </c>
      <c r="K482" t="s">
        <v>765</v>
      </c>
      <c r="W482" t="s">
        <v>171</v>
      </c>
      <c r="X482" t="str">
        <f>A482</f>
        <v>info_datetimeoffset_dml_batch1_pk_irp1</v>
      </c>
    </row>
    <row r="483" spans="1:24">
      <c r="B483" t="s">
        <v>196</v>
      </c>
      <c r="C483" t="s">
        <v>197</v>
      </c>
      <c r="D483" t="s">
        <v>197</v>
      </c>
      <c r="E483" t="s">
        <v>197</v>
      </c>
      <c r="F483" t="s">
        <v>197</v>
      </c>
      <c r="G483" t="s">
        <v>197</v>
      </c>
      <c r="H483" t="s">
        <v>197</v>
      </c>
      <c r="I483" t="s">
        <v>766</v>
      </c>
      <c r="J483" t="s">
        <v>199</v>
      </c>
      <c r="K483" t="s">
        <v>200</v>
      </c>
    </row>
    <row r="484" spans="1:24">
      <c r="B484" t="s">
        <v>197</v>
      </c>
      <c r="C484" t="s">
        <v>197</v>
      </c>
      <c r="D484" t="s">
        <v>197</v>
      </c>
      <c r="E484" t="s">
        <v>197</v>
      </c>
      <c r="F484" t="s">
        <v>197</v>
      </c>
      <c r="G484" t="s">
        <v>197</v>
      </c>
      <c r="H484" t="s">
        <v>197</v>
      </c>
      <c r="I484" t="s">
        <v>197</v>
      </c>
      <c r="J484" t="s">
        <v>197</v>
      </c>
      <c r="K484" t="s">
        <v>301</v>
      </c>
    </row>
    <row r="485" spans="1:24">
      <c r="B485" t="s">
        <v>197</v>
      </c>
      <c r="C485" t="s">
        <v>197</v>
      </c>
      <c r="D485" t="s">
        <v>197</v>
      </c>
      <c r="E485" t="s">
        <v>197</v>
      </c>
      <c r="F485" t="s">
        <v>197</v>
      </c>
      <c r="G485" t="s">
        <v>197</v>
      </c>
      <c r="H485" t="s">
        <v>197</v>
      </c>
      <c r="I485" t="s">
        <v>197</v>
      </c>
      <c r="J485" t="s">
        <v>197</v>
      </c>
      <c r="K485" t="s">
        <v>314</v>
      </c>
    </row>
    <row r="486" spans="1:24">
      <c r="B486" t="s">
        <v>197</v>
      </c>
      <c r="C486" t="s">
        <v>197</v>
      </c>
      <c r="D486" t="s">
        <v>197</v>
      </c>
      <c r="E486" t="s">
        <v>197</v>
      </c>
      <c r="F486" t="s">
        <v>197</v>
      </c>
      <c r="G486" t="s">
        <v>197</v>
      </c>
      <c r="H486" t="s">
        <v>197</v>
      </c>
      <c r="I486" t="s">
        <v>197</v>
      </c>
      <c r="J486" t="s">
        <v>197</v>
      </c>
      <c r="K486" t="s">
        <v>324</v>
      </c>
    </row>
    <row r="487" spans="1:24">
      <c r="B487" t="s">
        <v>197</v>
      </c>
      <c r="C487" t="s">
        <v>197</v>
      </c>
      <c r="D487" t="s">
        <v>197</v>
      </c>
      <c r="E487" t="s">
        <v>197</v>
      </c>
      <c r="F487" t="s">
        <v>197</v>
      </c>
      <c r="G487" t="s">
        <v>197</v>
      </c>
      <c r="H487" t="s">
        <v>197</v>
      </c>
      <c r="I487" t="s">
        <v>197</v>
      </c>
      <c r="J487" t="s">
        <v>197</v>
      </c>
      <c r="K487" t="s">
        <v>335</v>
      </c>
    </row>
    <row r="488" spans="1:24">
      <c r="B488" t="s">
        <v>197</v>
      </c>
      <c r="C488" t="s">
        <v>197</v>
      </c>
      <c r="D488" t="s">
        <v>197</v>
      </c>
      <c r="E488" t="s">
        <v>197</v>
      </c>
      <c r="F488" t="s">
        <v>197</v>
      </c>
      <c r="G488" t="s">
        <v>197</v>
      </c>
      <c r="H488" t="s">
        <v>197</v>
      </c>
      <c r="I488" t="s">
        <v>197</v>
      </c>
      <c r="J488" t="s">
        <v>197</v>
      </c>
      <c r="K488" t="s">
        <v>350</v>
      </c>
    </row>
    <row r="489" spans="1:24">
      <c r="B489" t="s">
        <v>197</v>
      </c>
      <c r="C489" t="s">
        <v>197</v>
      </c>
      <c r="D489" t="s">
        <v>197</v>
      </c>
      <c r="E489" t="s">
        <v>197</v>
      </c>
      <c r="F489" t="s">
        <v>197</v>
      </c>
      <c r="G489" t="s">
        <v>197</v>
      </c>
      <c r="H489" t="s">
        <v>197</v>
      </c>
      <c r="I489" t="s">
        <v>197</v>
      </c>
      <c r="J489" t="s">
        <v>197</v>
      </c>
      <c r="K489" t="s">
        <v>360</v>
      </c>
    </row>
    <row r="490" spans="1:24">
      <c r="B490" t="s">
        <v>197</v>
      </c>
      <c r="C490" t="s">
        <v>197</v>
      </c>
      <c r="D490" t="s">
        <v>197</v>
      </c>
      <c r="E490" t="s">
        <v>197</v>
      </c>
      <c r="F490" t="s">
        <v>197</v>
      </c>
      <c r="G490" t="s">
        <v>197</v>
      </c>
      <c r="H490" t="s">
        <v>197</v>
      </c>
      <c r="I490" t="s">
        <v>197</v>
      </c>
      <c r="J490" t="s">
        <v>197</v>
      </c>
      <c r="K490" t="s">
        <v>367</v>
      </c>
    </row>
    <row r="491" spans="1:24">
      <c r="B491" t="s">
        <v>197</v>
      </c>
      <c r="C491" t="s">
        <v>197</v>
      </c>
      <c r="D491" t="s">
        <v>197</v>
      </c>
      <c r="E491" t="s">
        <v>197</v>
      </c>
      <c r="F491" t="s">
        <v>197</v>
      </c>
      <c r="G491" t="s">
        <v>197</v>
      </c>
      <c r="H491" t="s">
        <v>197</v>
      </c>
      <c r="I491" t="s">
        <v>197</v>
      </c>
      <c r="J491" t="s">
        <v>197</v>
      </c>
      <c r="K491" t="s">
        <v>373</v>
      </c>
    </row>
    <row r="492" spans="1:24">
      <c r="A492" t="s">
        <v>767</v>
      </c>
      <c r="K492" t="s">
        <v>768</v>
      </c>
      <c r="W492" t="s">
        <v>171</v>
      </c>
      <c r="X492" t="str">
        <f>A492</f>
        <v>info_nchar_dml_batch2_pk_irp2</v>
      </c>
    </row>
    <row r="493" spans="1:24">
      <c r="B493" t="s">
        <v>196</v>
      </c>
      <c r="C493" t="s">
        <v>197</v>
      </c>
      <c r="D493" t="s">
        <v>197</v>
      </c>
      <c r="E493" t="s">
        <v>197</v>
      </c>
      <c r="F493" t="s">
        <v>197</v>
      </c>
      <c r="G493" t="s">
        <v>197</v>
      </c>
      <c r="H493" t="s">
        <v>197</v>
      </c>
      <c r="I493" t="s">
        <v>769</v>
      </c>
      <c r="J493" t="s">
        <v>199</v>
      </c>
      <c r="K493" t="s">
        <v>200</v>
      </c>
    </row>
    <row r="494" spans="1:24">
      <c r="B494" t="s">
        <v>197</v>
      </c>
      <c r="C494" t="s">
        <v>197</v>
      </c>
      <c r="D494" t="s">
        <v>197</v>
      </c>
      <c r="E494" t="s">
        <v>197</v>
      </c>
      <c r="F494" t="s">
        <v>197</v>
      </c>
      <c r="G494" t="s">
        <v>197</v>
      </c>
      <c r="H494" t="s">
        <v>197</v>
      </c>
      <c r="I494" t="s">
        <v>197</v>
      </c>
      <c r="J494" t="s">
        <v>197</v>
      </c>
      <c r="K494" t="s">
        <v>514</v>
      </c>
    </row>
    <row r="495" spans="1:24">
      <c r="B495" t="s">
        <v>197</v>
      </c>
      <c r="C495" t="s">
        <v>197</v>
      </c>
      <c r="D495" t="s">
        <v>197</v>
      </c>
      <c r="E495" t="s">
        <v>197</v>
      </c>
      <c r="F495" t="s">
        <v>197</v>
      </c>
      <c r="G495" t="s">
        <v>197</v>
      </c>
      <c r="H495" t="s">
        <v>197</v>
      </c>
      <c r="I495" t="s">
        <v>197</v>
      </c>
      <c r="J495" t="s">
        <v>197</v>
      </c>
      <c r="K495" t="s">
        <v>516</v>
      </c>
    </row>
    <row r="496" spans="1:24">
      <c r="B496" t="s">
        <v>197</v>
      </c>
      <c r="C496" t="s">
        <v>197</v>
      </c>
      <c r="D496" t="s">
        <v>197</v>
      </c>
      <c r="E496" t="s">
        <v>197</v>
      </c>
      <c r="F496" t="s">
        <v>197</v>
      </c>
      <c r="G496" t="s">
        <v>197</v>
      </c>
      <c r="H496" t="s">
        <v>197</v>
      </c>
      <c r="I496" t="s">
        <v>197</v>
      </c>
      <c r="J496" t="s">
        <v>197</v>
      </c>
      <c r="K496" t="s">
        <v>612</v>
      </c>
    </row>
    <row r="497" spans="1:24">
      <c r="A497" t="s">
        <v>770</v>
      </c>
      <c r="K497" t="s">
        <v>771</v>
      </c>
      <c r="W497" t="s">
        <v>171</v>
      </c>
      <c r="X497" t="str">
        <f>A497</f>
        <v>info_date_dml_single_pk</v>
      </c>
    </row>
    <row r="498" spans="1:24">
      <c r="B498" t="s">
        <v>196</v>
      </c>
      <c r="C498" t="s">
        <v>197</v>
      </c>
      <c r="D498" t="s">
        <v>197</v>
      </c>
      <c r="E498" t="s">
        <v>197</v>
      </c>
      <c r="F498" t="s">
        <v>197</v>
      </c>
      <c r="G498" t="s">
        <v>197</v>
      </c>
      <c r="H498" t="s">
        <v>197</v>
      </c>
      <c r="I498" t="s">
        <v>772</v>
      </c>
      <c r="J498" t="s">
        <v>199</v>
      </c>
      <c r="K498" t="s">
        <v>200</v>
      </c>
    </row>
    <row r="499" spans="1:24">
      <c r="B499" t="s">
        <v>197</v>
      </c>
      <c r="C499" t="s">
        <v>197</v>
      </c>
      <c r="D499" t="s">
        <v>197</v>
      </c>
      <c r="E499" t="s">
        <v>197</v>
      </c>
      <c r="F499" t="s">
        <v>197</v>
      </c>
      <c r="G499" t="s">
        <v>197</v>
      </c>
      <c r="H499" t="s">
        <v>197</v>
      </c>
      <c r="I499" t="s">
        <v>197</v>
      </c>
      <c r="J499" t="s">
        <v>197</v>
      </c>
      <c r="K499" t="s">
        <v>678</v>
      </c>
    </row>
    <row r="500" spans="1:24">
      <c r="A500" t="s">
        <v>773</v>
      </c>
      <c r="K500" t="s">
        <v>774</v>
      </c>
      <c r="W500" t="s">
        <v>171</v>
      </c>
      <c r="X500" t="str">
        <f>A500</f>
        <v>info_date_dml_batch1_pk_irp1</v>
      </c>
    </row>
    <row r="501" spans="1:24">
      <c r="B501" t="s">
        <v>196</v>
      </c>
      <c r="C501" t="s">
        <v>197</v>
      </c>
      <c r="D501" t="s">
        <v>197</v>
      </c>
      <c r="E501" t="s">
        <v>197</v>
      </c>
      <c r="F501" t="s">
        <v>197</v>
      </c>
      <c r="G501" t="s">
        <v>197</v>
      </c>
      <c r="H501" t="s">
        <v>197</v>
      </c>
      <c r="I501" t="s">
        <v>775</v>
      </c>
      <c r="J501" t="s">
        <v>199</v>
      </c>
      <c r="K501" t="s">
        <v>200</v>
      </c>
    </row>
    <row r="502" spans="1:24">
      <c r="B502" t="s">
        <v>197</v>
      </c>
      <c r="C502" t="s">
        <v>197</v>
      </c>
      <c r="D502" t="s">
        <v>197</v>
      </c>
      <c r="E502" t="s">
        <v>197</v>
      </c>
      <c r="F502" t="s">
        <v>197</v>
      </c>
      <c r="G502" t="s">
        <v>197</v>
      </c>
      <c r="H502" t="s">
        <v>197</v>
      </c>
      <c r="I502" t="s">
        <v>197</v>
      </c>
      <c r="J502" t="s">
        <v>197</v>
      </c>
      <c r="K502" t="s">
        <v>678</v>
      </c>
    </row>
    <row r="503" spans="1:24">
      <c r="K503" t="s">
        <v>443</v>
      </c>
    </row>
    <row r="504" spans="1:24">
      <c r="A504" t="s">
        <v>776</v>
      </c>
      <c r="K504" t="s">
        <v>777</v>
      </c>
      <c r="W504" t="s">
        <v>171</v>
      </c>
      <c r="X504" t="str">
        <f>A504</f>
        <v>info_datetimeoffset_dml_batch1_pk_irp2</v>
      </c>
    </row>
    <row r="505" spans="1:24">
      <c r="B505" t="s">
        <v>196</v>
      </c>
      <c r="C505" t="s">
        <v>197</v>
      </c>
      <c r="D505" t="s">
        <v>197</v>
      </c>
      <c r="E505" t="s">
        <v>197</v>
      </c>
      <c r="F505" t="s">
        <v>197</v>
      </c>
      <c r="G505" t="s">
        <v>197</v>
      </c>
      <c r="H505" t="s">
        <v>197</v>
      </c>
      <c r="I505" t="s">
        <v>778</v>
      </c>
      <c r="J505" t="s">
        <v>199</v>
      </c>
      <c r="K505" t="s">
        <v>200</v>
      </c>
    </row>
    <row r="506" spans="1:24">
      <c r="B506" t="s">
        <v>197</v>
      </c>
      <c r="C506" t="s">
        <v>197</v>
      </c>
      <c r="D506" t="s">
        <v>197</v>
      </c>
      <c r="E506" t="s">
        <v>197</v>
      </c>
      <c r="F506" t="s">
        <v>197</v>
      </c>
      <c r="G506" t="s">
        <v>197</v>
      </c>
      <c r="H506" t="s">
        <v>197</v>
      </c>
      <c r="I506" t="s">
        <v>197</v>
      </c>
      <c r="J506" t="s">
        <v>197</v>
      </c>
      <c r="K506" t="s">
        <v>301</v>
      </c>
    </row>
    <row r="507" spans="1:24">
      <c r="B507" t="s">
        <v>197</v>
      </c>
      <c r="C507" t="s">
        <v>197</v>
      </c>
      <c r="D507" t="s">
        <v>197</v>
      </c>
      <c r="E507" t="s">
        <v>197</v>
      </c>
      <c r="F507" t="s">
        <v>197</v>
      </c>
      <c r="G507" t="s">
        <v>197</v>
      </c>
      <c r="H507" t="s">
        <v>197</v>
      </c>
      <c r="I507" t="s">
        <v>197</v>
      </c>
      <c r="J507" t="s">
        <v>197</v>
      </c>
      <c r="K507" t="s">
        <v>314</v>
      </c>
    </row>
    <row r="508" spans="1:24">
      <c r="B508" t="s">
        <v>197</v>
      </c>
      <c r="C508" t="s">
        <v>197</v>
      </c>
      <c r="D508" t="s">
        <v>197</v>
      </c>
      <c r="E508" t="s">
        <v>197</v>
      </c>
      <c r="F508" t="s">
        <v>197</v>
      </c>
      <c r="G508" t="s">
        <v>197</v>
      </c>
      <c r="H508" t="s">
        <v>197</v>
      </c>
      <c r="I508" t="s">
        <v>197</v>
      </c>
      <c r="J508" t="s">
        <v>197</v>
      </c>
      <c r="K508" t="s">
        <v>324</v>
      </c>
    </row>
    <row r="509" spans="1:24">
      <c r="B509" t="s">
        <v>197</v>
      </c>
      <c r="C509" t="s">
        <v>197</v>
      </c>
      <c r="D509" t="s">
        <v>197</v>
      </c>
      <c r="E509" t="s">
        <v>197</v>
      </c>
      <c r="F509" t="s">
        <v>197</v>
      </c>
      <c r="G509" t="s">
        <v>197</v>
      </c>
      <c r="H509" t="s">
        <v>197</v>
      </c>
      <c r="I509" t="s">
        <v>197</v>
      </c>
      <c r="J509" t="s">
        <v>197</v>
      </c>
      <c r="K509" t="s">
        <v>335</v>
      </c>
    </row>
    <row r="510" spans="1:24">
      <c r="B510" t="s">
        <v>197</v>
      </c>
      <c r="C510" t="s">
        <v>197</v>
      </c>
      <c r="D510" t="s">
        <v>197</v>
      </c>
      <c r="E510" t="s">
        <v>197</v>
      </c>
      <c r="F510" t="s">
        <v>197</v>
      </c>
      <c r="G510" t="s">
        <v>197</v>
      </c>
      <c r="H510" t="s">
        <v>197</v>
      </c>
      <c r="I510" t="s">
        <v>197</v>
      </c>
      <c r="J510" t="s">
        <v>197</v>
      </c>
      <c r="K510" t="s">
        <v>350</v>
      </c>
    </row>
    <row r="511" spans="1:24">
      <c r="B511" t="s">
        <v>197</v>
      </c>
      <c r="C511" t="s">
        <v>197</v>
      </c>
      <c r="D511" t="s">
        <v>197</v>
      </c>
      <c r="E511" t="s">
        <v>197</v>
      </c>
      <c r="F511" t="s">
        <v>197</v>
      </c>
      <c r="G511" t="s">
        <v>197</v>
      </c>
      <c r="H511" t="s">
        <v>197</v>
      </c>
      <c r="I511" t="s">
        <v>197</v>
      </c>
      <c r="J511" t="s">
        <v>197</v>
      </c>
      <c r="K511" t="s">
        <v>360</v>
      </c>
    </row>
    <row r="512" spans="1:24">
      <c r="B512" t="s">
        <v>197</v>
      </c>
      <c r="C512" t="s">
        <v>197</v>
      </c>
      <c r="D512" t="s">
        <v>197</v>
      </c>
      <c r="E512" t="s">
        <v>197</v>
      </c>
      <c r="F512" t="s">
        <v>197</v>
      </c>
      <c r="G512" t="s">
        <v>197</v>
      </c>
      <c r="H512" t="s">
        <v>197</v>
      </c>
      <c r="I512" t="s">
        <v>197</v>
      </c>
      <c r="J512" t="s">
        <v>197</v>
      </c>
      <c r="K512" t="s">
        <v>367</v>
      </c>
    </row>
    <row r="513" spans="1:24">
      <c r="B513" t="s">
        <v>197</v>
      </c>
      <c r="C513" t="s">
        <v>197</v>
      </c>
      <c r="D513" t="s">
        <v>197</v>
      </c>
      <c r="E513" t="s">
        <v>197</v>
      </c>
      <c r="F513" t="s">
        <v>197</v>
      </c>
      <c r="G513" t="s">
        <v>197</v>
      </c>
      <c r="H513" t="s">
        <v>197</v>
      </c>
      <c r="I513" t="s">
        <v>197</v>
      </c>
      <c r="J513" t="s">
        <v>197</v>
      </c>
      <c r="K513" t="s">
        <v>373</v>
      </c>
    </row>
    <row r="514" spans="1:24">
      <c r="A514" t="s">
        <v>779</v>
      </c>
      <c r="K514" t="s">
        <v>780</v>
      </c>
      <c r="W514" s="1" t="str">
        <f>HYPERLINK("#2026042000hbase1!AJ2","NO 源备存在差异，共44个")</f>
        <v>NO 源备存在差异，共44个</v>
      </c>
      <c r="X514" t="str">
        <f>A514</f>
        <v>info_binary_dml_batch2_pk_irp2</v>
      </c>
    </row>
    <row r="515" spans="1:24">
      <c r="B515" t="s">
        <v>196</v>
      </c>
      <c r="C515" t="s">
        <v>197</v>
      </c>
      <c r="D515" t="s">
        <v>197</v>
      </c>
      <c r="E515" t="s">
        <v>197</v>
      </c>
      <c r="F515" t="s">
        <v>197</v>
      </c>
      <c r="G515" t="s">
        <v>197</v>
      </c>
      <c r="H515" t="s">
        <v>197</v>
      </c>
      <c r="I515" t="s">
        <v>781</v>
      </c>
      <c r="J515" t="s">
        <v>199</v>
      </c>
      <c r="K515" t="s">
        <v>200</v>
      </c>
    </row>
    <row r="516" spans="1:24">
      <c r="B516" t="s">
        <v>197</v>
      </c>
      <c r="C516" t="s">
        <v>197</v>
      </c>
      <c r="D516" t="s">
        <v>197</v>
      </c>
      <c r="E516" t="s">
        <v>197</v>
      </c>
      <c r="F516" t="s">
        <v>197</v>
      </c>
      <c r="G516" t="s">
        <v>197</v>
      </c>
      <c r="H516" t="s">
        <v>197</v>
      </c>
      <c r="I516" t="s">
        <v>197</v>
      </c>
      <c r="J516" t="s">
        <v>197</v>
      </c>
      <c r="K516" t="s">
        <v>691</v>
      </c>
    </row>
    <row r="517" spans="1:24">
      <c r="B517" t="s">
        <v>197</v>
      </c>
      <c r="C517" t="s">
        <v>197</v>
      </c>
      <c r="D517" t="s">
        <v>197</v>
      </c>
      <c r="E517" t="s">
        <v>197</v>
      </c>
      <c r="F517" t="s">
        <v>197</v>
      </c>
      <c r="G517" t="s">
        <v>197</v>
      </c>
      <c r="H517" t="s">
        <v>197</v>
      </c>
      <c r="I517" t="s">
        <v>197</v>
      </c>
      <c r="J517" t="s">
        <v>197</v>
      </c>
      <c r="K517" t="s">
        <v>692</v>
      </c>
    </row>
    <row r="518" spans="1:24">
      <c r="B518" t="s">
        <v>197</v>
      </c>
      <c r="C518" t="s">
        <v>197</v>
      </c>
      <c r="D518" t="s">
        <v>197</v>
      </c>
      <c r="E518" t="s">
        <v>197</v>
      </c>
      <c r="F518" t="s">
        <v>197</v>
      </c>
      <c r="G518" t="s">
        <v>197</v>
      </c>
      <c r="H518" t="s">
        <v>197</v>
      </c>
      <c r="I518" t="s">
        <v>197</v>
      </c>
      <c r="J518" t="s">
        <v>197</v>
      </c>
      <c r="K518" t="s">
        <v>693</v>
      </c>
    </row>
    <row r="519" spans="1:24">
      <c r="A519" t="s">
        <v>782</v>
      </c>
      <c r="K519" t="s">
        <v>783</v>
      </c>
      <c r="W519" t="s">
        <v>171</v>
      </c>
      <c r="X519" t="str">
        <f>A519</f>
        <v>info_datetimeoffset_dml_batch2_pk_irp1</v>
      </c>
    </row>
    <row r="520" spans="1:24">
      <c r="B520" t="s">
        <v>196</v>
      </c>
      <c r="C520" t="s">
        <v>197</v>
      </c>
      <c r="D520" t="s">
        <v>197</v>
      </c>
      <c r="E520" t="s">
        <v>197</v>
      </c>
      <c r="F520" t="s">
        <v>197</v>
      </c>
      <c r="G520" t="s">
        <v>197</v>
      </c>
      <c r="H520" t="s">
        <v>197</v>
      </c>
      <c r="I520" t="s">
        <v>784</v>
      </c>
      <c r="J520" t="s">
        <v>199</v>
      </c>
      <c r="K520" t="s">
        <v>200</v>
      </c>
    </row>
    <row r="521" spans="1:24">
      <c r="B521" t="s">
        <v>197</v>
      </c>
      <c r="C521" t="s">
        <v>197</v>
      </c>
      <c r="D521" t="s">
        <v>197</v>
      </c>
      <c r="E521" t="s">
        <v>197</v>
      </c>
      <c r="F521" t="s">
        <v>197</v>
      </c>
      <c r="G521" t="s">
        <v>197</v>
      </c>
      <c r="H521" t="s">
        <v>197</v>
      </c>
      <c r="I521" t="s">
        <v>197</v>
      </c>
      <c r="J521" t="s">
        <v>197</v>
      </c>
      <c r="K521" t="s">
        <v>301</v>
      </c>
    </row>
    <row r="522" spans="1:24">
      <c r="B522" t="s">
        <v>197</v>
      </c>
      <c r="C522" t="s">
        <v>197</v>
      </c>
      <c r="D522" t="s">
        <v>197</v>
      </c>
      <c r="E522" t="s">
        <v>197</v>
      </c>
      <c r="F522" t="s">
        <v>197</v>
      </c>
      <c r="G522" t="s">
        <v>197</v>
      </c>
      <c r="H522" t="s">
        <v>197</v>
      </c>
      <c r="I522" t="s">
        <v>197</v>
      </c>
      <c r="J522" t="s">
        <v>197</v>
      </c>
      <c r="K522" t="s">
        <v>314</v>
      </c>
    </row>
    <row r="523" spans="1:24">
      <c r="B523" t="s">
        <v>197</v>
      </c>
      <c r="C523" t="s">
        <v>197</v>
      </c>
      <c r="D523" t="s">
        <v>197</v>
      </c>
      <c r="E523" t="s">
        <v>197</v>
      </c>
      <c r="F523" t="s">
        <v>197</v>
      </c>
      <c r="G523" t="s">
        <v>197</v>
      </c>
      <c r="H523" t="s">
        <v>197</v>
      </c>
      <c r="I523" t="s">
        <v>197</v>
      </c>
      <c r="J523" t="s">
        <v>197</v>
      </c>
      <c r="K523" t="s">
        <v>324</v>
      </c>
    </row>
    <row r="524" spans="1:24">
      <c r="B524" t="s">
        <v>197</v>
      </c>
      <c r="C524" t="s">
        <v>197</v>
      </c>
      <c r="D524" t="s">
        <v>197</v>
      </c>
      <c r="E524" t="s">
        <v>197</v>
      </c>
      <c r="F524" t="s">
        <v>197</v>
      </c>
      <c r="G524" t="s">
        <v>197</v>
      </c>
      <c r="H524" t="s">
        <v>197</v>
      </c>
      <c r="I524" t="s">
        <v>197</v>
      </c>
      <c r="J524" t="s">
        <v>197</v>
      </c>
      <c r="K524" t="s">
        <v>335</v>
      </c>
    </row>
    <row r="525" spans="1:24">
      <c r="B525" t="s">
        <v>197</v>
      </c>
      <c r="C525" t="s">
        <v>197</v>
      </c>
      <c r="D525" t="s">
        <v>197</v>
      </c>
      <c r="E525" t="s">
        <v>197</v>
      </c>
      <c r="F525" t="s">
        <v>197</v>
      </c>
      <c r="G525" t="s">
        <v>197</v>
      </c>
      <c r="H525" t="s">
        <v>197</v>
      </c>
      <c r="I525" t="s">
        <v>197</v>
      </c>
      <c r="J525" t="s">
        <v>197</v>
      </c>
      <c r="K525" t="s">
        <v>350</v>
      </c>
    </row>
    <row r="526" spans="1:24">
      <c r="B526" t="s">
        <v>197</v>
      </c>
      <c r="C526" t="s">
        <v>197</v>
      </c>
      <c r="D526" t="s">
        <v>197</v>
      </c>
      <c r="E526" t="s">
        <v>197</v>
      </c>
      <c r="F526" t="s">
        <v>197</v>
      </c>
      <c r="G526" t="s">
        <v>197</v>
      </c>
      <c r="H526" t="s">
        <v>197</v>
      </c>
      <c r="I526" t="s">
        <v>197</v>
      </c>
      <c r="J526" t="s">
        <v>197</v>
      </c>
      <c r="K526" t="s">
        <v>360</v>
      </c>
    </row>
    <row r="527" spans="1:24">
      <c r="B527" t="s">
        <v>197</v>
      </c>
      <c r="C527" t="s">
        <v>197</v>
      </c>
      <c r="D527" t="s">
        <v>197</v>
      </c>
      <c r="E527" t="s">
        <v>197</v>
      </c>
      <c r="F527" t="s">
        <v>197</v>
      </c>
      <c r="G527" t="s">
        <v>197</v>
      </c>
      <c r="H527" t="s">
        <v>197</v>
      </c>
      <c r="I527" t="s">
        <v>197</v>
      </c>
      <c r="J527" t="s">
        <v>197</v>
      </c>
      <c r="K527" t="s">
        <v>367</v>
      </c>
    </row>
    <row r="528" spans="1:24">
      <c r="B528" t="s">
        <v>197</v>
      </c>
      <c r="C528" t="s">
        <v>197</v>
      </c>
      <c r="D528" t="s">
        <v>197</v>
      </c>
      <c r="E528" t="s">
        <v>197</v>
      </c>
      <c r="F528" t="s">
        <v>197</v>
      </c>
      <c r="G528" t="s">
        <v>197</v>
      </c>
      <c r="H528" t="s">
        <v>197</v>
      </c>
      <c r="I528" t="s">
        <v>197</v>
      </c>
      <c r="J528" t="s">
        <v>197</v>
      </c>
      <c r="K528" t="s">
        <v>373</v>
      </c>
    </row>
    <row r="529" spans="1:24">
      <c r="A529" t="s">
        <v>785</v>
      </c>
      <c r="K529" t="s">
        <v>786</v>
      </c>
      <c r="W529" t="s">
        <v>171</v>
      </c>
      <c r="X529" t="str">
        <f>A529</f>
        <v>info_nvarchar_dml_single_pk_drp</v>
      </c>
    </row>
    <row r="530" spans="1:24">
      <c r="B530" t="s">
        <v>196</v>
      </c>
      <c r="C530" t="s">
        <v>197</v>
      </c>
      <c r="D530" t="s">
        <v>197</v>
      </c>
      <c r="E530" t="s">
        <v>197</v>
      </c>
      <c r="F530" t="s">
        <v>197</v>
      </c>
      <c r="G530" t="s">
        <v>197</v>
      </c>
      <c r="H530" t="s">
        <v>197</v>
      </c>
      <c r="I530" t="s">
        <v>787</v>
      </c>
      <c r="J530" t="s">
        <v>199</v>
      </c>
      <c r="K530" t="s">
        <v>200</v>
      </c>
    </row>
    <row r="531" spans="1:24">
      <c r="B531" t="s">
        <v>197</v>
      </c>
      <c r="C531" t="s">
        <v>197</v>
      </c>
      <c r="D531" t="s">
        <v>197</v>
      </c>
      <c r="E531" t="s">
        <v>197</v>
      </c>
      <c r="F531" t="s">
        <v>197</v>
      </c>
      <c r="G531" t="s">
        <v>197</v>
      </c>
      <c r="H531" t="s">
        <v>197</v>
      </c>
      <c r="I531" t="s">
        <v>197</v>
      </c>
      <c r="J531" t="s">
        <v>197</v>
      </c>
      <c r="K531" t="s">
        <v>408</v>
      </c>
    </row>
    <row r="532" spans="1:24">
      <c r="B532" t="s">
        <v>197</v>
      </c>
      <c r="C532" t="s">
        <v>197</v>
      </c>
      <c r="D532" t="s">
        <v>197</v>
      </c>
      <c r="E532" t="s">
        <v>197</v>
      </c>
      <c r="F532" t="s">
        <v>197</v>
      </c>
      <c r="G532" t="s">
        <v>197</v>
      </c>
      <c r="H532" t="s">
        <v>197</v>
      </c>
      <c r="I532" t="s">
        <v>197</v>
      </c>
      <c r="J532" t="s">
        <v>197</v>
      </c>
      <c r="K532" t="s">
        <v>412</v>
      </c>
    </row>
    <row r="533" spans="1:24">
      <c r="B533" t="s">
        <v>197</v>
      </c>
      <c r="C533" t="s">
        <v>197</v>
      </c>
      <c r="D533" t="s">
        <v>197</v>
      </c>
      <c r="E533" t="s">
        <v>197</v>
      </c>
      <c r="F533" t="s">
        <v>197</v>
      </c>
      <c r="G533" t="s">
        <v>197</v>
      </c>
      <c r="H533" t="s">
        <v>197</v>
      </c>
      <c r="I533" t="s">
        <v>197</v>
      </c>
      <c r="J533" t="s">
        <v>197</v>
      </c>
      <c r="K533" t="s">
        <v>730</v>
      </c>
    </row>
    <row r="534" spans="1:24">
      <c r="A534" t="s">
        <v>788</v>
      </c>
      <c r="K534" t="s">
        <v>789</v>
      </c>
      <c r="W534" t="s">
        <v>171</v>
      </c>
      <c r="X534" t="str">
        <f>A534</f>
        <v>info_datetimeoffset_dml_batch2_pk_irp2</v>
      </c>
    </row>
    <row r="535" spans="1:24">
      <c r="B535" t="s">
        <v>196</v>
      </c>
      <c r="C535" t="s">
        <v>197</v>
      </c>
      <c r="D535" t="s">
        <v>197</v>
      </c>
      <c r="E535" t="s">
        <v>197</v>
      </c>
      <c r="F535" t="s">
        <v>197</v>
      </c>
      <c r="G535" t="s">
        <v>197</v>
      </c>
      <c r="H535" t="s">
        <v>197</v>
      </c>
      <c r="I535" t="s">
        <v>790</v>
      </c>
      <c r="J535" t="s">
        <v>199</v>
      </c>
      <c r="K535" t="s">
        <v>200</v>
      </c>
    </row>
    <row r="536" spans="1:24">
      <c r="B536" t="s">
        <v>197</v>
      </c>
      <c r="C536" t="s">
        <v>197</v>
      </c>
      <c r="D536" t="s">
        <v>197</v>
      </c>
      <c r="E536" t="s">
        <v>197</v>
      </c>
      <c r="F536" t="s">
        <v>197</v>
      </c>
      <c r="G536" t="s">
        <v>197</v>
      </c>
      <c r="H536" t="s">
        <v>197</v>
      </c>
      <c r="I536" t="s">
        <v>197</v>
      </c>
      <c r="J536" t="s">
        <v>197</v>
      </c>
      <c r="K536" t="s">
        <v>301</v>
      </c>
    </row>
    <row r="537" spans="1:24">
      <c r="B537" t="s">
        <v>197</v>
      </c>
      <c r="C537" t="s">
        <v>197</v>
      </c>
      <c r="D537" t="s">
        <v>197</v>
      </c>
      <c r="E537" t="s">
        <v>197</v>
      </c>
      <c r="F537" t="s">
        <v>197</v>
      </c>
      <c r="G537" t="s">
        <v>197</v>
      </c>
      <c r="H537" t="s">
        <v>197</v>
      </c>
      <c r="I537" t="s">
        <v>197</v>
      </c>
      <c r="J537" t="s">
        <v>197</v>
      </c>
      <c r="K537" t="s">
        <v>314</v>
      </c>
    </row>
    <row r="538" spans="1:24">
      <c r="B538" t="s">
        <v>197</v>
      </c>
      <c r="C538" t="s">
        <v>197</v>
      </c>
      <c r="D538" t="s">
        <v>197</v>
      </c>
      <c r="E538" t="s">
        <v>197</v>
      </c>
      <c r="F538" t="s">
        <v>197</v>
      </c>
      <c r="G538" t="s">
        <v>197</v>
      </c>
      <c r="H538" t="s">
        <v>197</v>
      </c>
      <c r="I538" t="s">
        <v>197</v>
      </c>
      <c r="J538" t="s">
        <v>197</v>
      </c>
      <c r="K538" t="s">
        <v>324</v>
      </c>
    </row>
    <row r="539" spans="1:24">
      <c r="B539" t="s">
        <v>197</v>
      </c>
      <c r="C539" t="s">
        <v>197</v>
      </c>
      <c r="D539" t="s">
        <v>197</v>
      </c>
      <c r="E539" t="s">
        <v>197</v>
      </c>
      <c r="F539" t="s">
        <v>197</v>
      </c>
      <c r="G539" t="s">
        <v>197</v>
      </c>
      <c r="H539" t="s">
        <v>197</v>
      </c>
      <c r="I539" t="s">
        <v>197</v>
      </c>
      <c r="J539" t="s">
        <v>197</v>
      </c>
      <c r="K539" t="s">
        <v>335</v>
      </c>
    </row>
    <row r="540" spans="1:24">
      <c r="B540" t="s">
        <v>197</v>
      </c>
      <c r="C540" t="s">
        <v>197</v>
      </c>
      <c r="D540" t="s">
        <v>197</v>
      </c>
      <c r="E540" t="s">
        <v>197</v>
      </c>
      <c r="F540" t="s">
        <v>197</v>
      </c>
      <c r="G540" t="s">
        <v>197</v>
      </c>
      <c r="H540" t="s">
        <v>197</v>
      </c>
      <c r="I540" t="s">
        <v>197</v>
      </c>
      <c r="J540" t="s">
        <v>197</v>
      </c>
      <c r="K540" t="s">
        <v>350</v>
      </c>
    </row>
    <row r="541" spans="1:24">
      <c r="B541" t="s">
        <v>197</v>
      </c>
      <c r="C541" t="s">
        <v>197</v>
      </c>
      <c r="D541" t="s">
        <v>197</v>
      </c>
      <c r="E541" t="s">
        <v>197</v>
      </c>
      <c r="F541" t="s">
        <v>197</v>
      </c>
      <c r="G541" t="s">
        <v>197</v>
      </c>
      <c r="H541" t="s">
        <v>197</v>
      </c>
      <c r="I541" t="s">
        <v>197</v>
      </c>
      <c r="J541" t="s">
        <v>197</v>
      </c>
      <c r="K541" t="s">
        <v>360</v>
      </c>
    </row>
    <row r="542" spans="1:24">
      <c r="B542" t="s">
        <v>197</v>
      </c>
      <c r="C542" t="s">
        <v>197</v>
      </c>
      <c r="D542" t="s">
        <v>197</v>
      </c>
      <c r="E542" t="s">
        <v>197</v>
      </c>
      <c r="F542" t="s">
        <v>197</v>
      </c>
      <c r="G542" t="s">
        <v>197</v>
      </c>
      <c r="H542" t="s">
        <v>197</v>
      </c>
      <c r="I542" t="s">
        <v>197</v>
      </c>
      <c r="J542" t="s">
        <v>197</v>
      </c>
      <c r="K542" t="s">
        <v>367</v>
      </c>
    </row>
    <row r="543" spans="1:24">
      <c r="B543" t="s">
        <v>197</v>
      </c>
      <c r="C543" t="s">
        <v>197</v>
      </c>
      <c r="D543" t="s">
        <v>197</v>
      </c>
      <c r="E543" t="s">
        <v>197</v>
      </c>
      <c r="F543" t="s">
        <v>197</v>
      </c>
      <c r="G543" t="s">
        <v>197</v>
      </c>
      <c r="H543" t="s">
        <v>197</v>
      </c>
      <c r="I543" t="s">
        <v>197</v>
      </c>
      <c r="J543" t="s">
        <v>197</v>
      </c>
      <c r="K543" t="s">
        <v>373</v>
      </c>
    </row>
    <row r="544" spans="1:24">
      <c r="A544" t="s">
        <v>791</v>
      </c>
      <c r="K544" t="s">
        <v>792</v>
      </c>
      <c r="W544" t="s">
        <v>171</v>
      </c>
      <c r="X544" t="str">
        <f>A544</f>
        <v>info_varcharmax_dml_batch2_pk_irp1</v>
      </c>
    </row>
    <row r="545" spans="1:24">
      <c r="B545" t="s">
        <v>196</v>
      </c>
      <c r="C545" t="s">
        <v>197</v>
      </c>
      <c r="D545" t="s">
        <v>197</v>
      </c>
      <c r="E545" t="s">
        <v>197</v>
      </c>
      <c r="F545" t="s">
        <v>197</v>
      </c>
      <c r="G545" t="s">
        <v>197</v>
      </c>
      <c r="H545" t="s">
        <v>197</v>
      </c>
      <c r="I545" t="s">
        <v>793</v>
      </c>
      <c r="J545" t="s">
        <v>199</v>
      </c>
      <c r="K545" t="s">
        <v>200</v>
      </c>
    </row>
    <row r="546" spans="1:24">
      <c r="B546" t="s">
        <v>197</v>
      </c>
      <c r="C546" t="s">
        <v>197</v>
      </c>
      <c r="D546" t="s">
        <v>197</v>
      </c>
      <c r="E546" t="s">
        <v>197</v>
      </c>
      <c r="F546" t="s">
        <v>197</v>
      </c>
      <c r="G546" t="s">
        <v>197</v>
      </c>
      <c r="H546" t="s">
        <v>197</v>
      </c>
      <c r="I546" t="s">
        <v>197</v>
      </c>
      <c r="J546" t="s">
        <v>197</v>
      </c>
      <c r="K546" t="s">
        <v>725</v>
      </c>
    </row>
    <row r="547" spans="1:24">
      <c r="B547" t="s">
        <v>197</v>
      </c>
      <c r="C547" t="s">
        <v>197</v>
      </c>
      <c r="D547" t="s">
        <v>197</v>
      </c>
      <c r="E547" t="s">
        <v>197</v>
      </c>
      <c r="F547" t="s">
        <v>197</v>
      </c>
      <c r="G547" t="s">
        <v>197</v>
      </c>
      <c r="H547" t="s">
        <v>197</v>
      </c>
      <c r="I547" t="s">
        <v>197</v>
      </c>
      <c r="J547" t="s">
        <v>197</v>
      </c>
      <c r="K547" t="s">
        <v>726</v>
      </c>
    </row>
    <row r="548" spans="1:24">
      <c r="K548" t="s">
        <v>443</v>
      </c>
    </row>
    <row r="549" spans="1:24">
      <c r="A549" t="s">
        <v>794</v>
      </c>
      <c r="K549" t="s">
        <v>795</v>
      </c>
      <c r="W549" t="s">
        <v>171</v>
      </c>
      <c r="X549" t="str">
        <f>A549</f>
        <v>info_datetimeoffset_dml_batch1_pk_urp1</v>
      </c>
    </row>
    <row r="550" spans="1:24">
      <c r="B550" t="s">
        <v>196</v>
      </c>
      <c r="C550" t="s">
        <v>197</v>
      </c>
      <c r="D550" t="s">
        <v>197</v>
      </c>
      <c r="E550" t="s">
        <v>197</v>
      </c>
      <c r="F550" t="s">
        <v>197</v>
      </c>
      <c r="G550" t="s">
        <v>197</v>
      </c>
      <c r="H550" t="s">
        <v>197</v>
      </c>
      <c r="I550" t="s">
        <v>796</v>
      </c>
      <c r="J550" t="s">
        <v>199</v>
      </c>
      <c r="K550" t="s">
        <v>200</v>
      </c>
    </row>
    <row r="551" spans="1:24">
      <c r="B551" t="s">
        <v>197</v>
      </c>
      <c r="C551" t="s">
        <v>197</v>
      </c>
      <c r="D551" t="s">
        <v>197</v>
      </c>
      <c r="E551" t="s">
        <v>197</v>
      </c>
      <c r="F551" t="s">
        <v>197</v>
      </c>
      <c r="G551" t="s">
        <v>197</v>
      </c>
      <c r="H551" t="s">
        <v>197</v>
      </c>
      <c r="I551" t="s">
        <v>197</v>
      </c>
      <c r="J551" t="s">
        <v>197</v>
      </c>
      <c r="K551" t="s">
        <v>301</v>
      </c>
    </row>
    <row r="552" spans="1:24">
      <c r="B552" t="s">
        <v>197</v>
      </c>
      <c r="C552" t="s">
        <v>197</v>
      </c>
      <c r="D552" t="s">
        <v>197</v>
      </c>
      <c r="E552" t="s">
        <v>197</v>
      </c>
      <c r="F552" t="s">
        <v>197</v>
      </c>
      <c r="G552" t="s">
        <v>197</v>
      </c>
      <c r="H552" t="s">
        <v>197</v>
      </c>
      <c r="I552" t="s">
        <v>197</v>
      </c>
      <c r="J552" t="s">
        <v>197</v>
      </c>
      <c r="K552" t="s">
        <v>314</v>
      </c>
    </row>
    <row r="553" spans="1:24">
      <c r="B553" t="s">
        <v>197</v>
      </c>
      <c r="C553" t="s">
        <v>197</v>
      </c>
      <c r="D553" t="s">
        <v>197</v>
      </c>
      <c r="E553" t="s">
        <v>197</v>
      </c>
      <c r="F553" t="s">
        <v>197</v>
      </c>
      <c r="G553" t="s">
        <v>197</v>
      </c>
      <c r="H553" t="s">
        <v>197</v>
      </c>
      <c r="I553" t="s">
        <v>197</v>
      </c>
      <c r="J553" t="s">
        <v>197</v>
      </c>
      <c r="K553" t="s">
        <v>324</v>
      </c>
    </row>
    <row r="554" spans="1:24">
      <c r="B554" t="s">
        <v>197</v>
      </c>
      <c r="C554" t="s">
        <v>197</v>
      </c>
      <c r="D554" t="s">
        <v>197</v>
      </c>
      <c r="E554" t="s">
        <v>197</v>
      </c>
      <c r="F554" t="s">
        <v>197</v>
      </c>
      <c r="G554" t="s">
        <v>197</v>
      </c>
      <c r="H554" t="s">
        <v>197</v>
      </c>
      <c r="I554" t="s">
        <v>197</v>
      </c>
      <c r="J554" t="s">
        <v>197</v>
      </c>
      <c r="K554" t="s">
        <v>335</v>
      </c>
    </row>
    <row r="555" spans="1:24">
      <c r="B555" t="s">
        <v>197</v>
      </c>
      <c r="C555" t="s">
        <v>197</v>
      </c>
      <c r="D555" t="s">
        <v>197</v>
      </c>
      <c r="E555" t="s">
        <v>197</v>
      </c>
      <c r="F555" t="s">
        <v>197</v>
      </c>
      <c r="G555" t="s">
        <v>197</v>
      </c>
      <c r="H555" t="s">
        <v>197</v>
      </c>
      <c r="I555" t="s">
        <v>197</v>
      </c>
      <c r="J555" t="s">
        <v>197</v>
      </c>
      <c r="K555" t="s">
        <v>350</v>
      </c>
    </row>
    <row r="556" spans="1:24">
      <c r="B556" t="s">
        <v>197</v>
      </c>
      <c r="C556" t="s">
        <v>197</v>
      </c>
      <c r="D556" t="s">
        <v>197</v>
      </c>
      <c r="E556" t="s">
        <v>197</v>
      </c>
      <c r="F556" t="s">
        <v>197</v>
      </c>
      <c r="G556" t="s">
        <v>197</v>
      </c>
      <c r="H556" t="s">
        <v>197</v>
      </c>
      <c r="I556" t="s">
        <v>197</v>
      </c>
      <c r="J556" t="s">
        <v>197</v>
      </c>
      <c r="K556" t="s">
        <v>360</v>
      </c>
    </row>
    <row r="557" spans="1:24">
      <c r="B557" t="s">
        <v>197</v>
      </c>
      <c r="C557" t="s">
        <v>197</v>
      </c>
      <c r="D557" t="s">
        <v>197</v>
      </c>
      <c r="E557" t="s">
        <v>197</v>
      </c>
      <c r="F557" t="s">
        <v>197</v>
      </c>
      <c r="G557" t="s">
        <v>197</v>
      </c>
      <c r="H557" t="s">
        <v>197</v>
      </c>
      <c r="I557" t="s">
        <v>197</v>
      </c>
      <c r="J557" t="s">
        <v>197</v>
      </c>
      <c r="K557" t="s">
        <v>367</v>
      </c>
    </row>
    <row r="558" spans="1:24">
      <c r="B558" t="s">
        <v>197</v>
      </c>
      <c r="C558" t="s">
        <v>197</v>
      </c>
      <c r="D558" t="s">
        <v>197</v>
      </c>
      <c r="E558" t="s">
        <v>197</v>
      </c>
      <c r="F558" t="s">
        <v>197</v>
      </c>
      <c r="G558" t="s">
        <v>197</v>
      </c>
      <c r="H558" t="s">
        <v>197</v>
      </c>
      <c r="I558" t="s">
        <v>197</v>
      </c>
      <c r="J558" t="s">
        <v>197</v>
      </c>
      <c r="K558" t="s">
        <v>373</v>
      </c>
    </row>
    <row r="559" spans="1:24">
      <c r="A559" t="s">
        <v>797</v>
      </c>
      <c r="K559" t="s">
        <v>798</v>
      </c>
      <c r="W559" t="s">
        <v>171</v>
      </c>
      <c r="X559" t="str">
        <f>A559</f>
        <v>info_time_dml_single_pk_irp</v>
      </c>
    </row>
    <row r="560" spans="1:24">
      <c r="B560" t="s">
        <v>196</v>
      </c>
      <c r="C560" t="s">
        <v>197</v>
      </c>
      <c r="D560" t="s">
        <v>197</v>
      </c>
      <c r="E560" t="s">
        <v>197</v>
      </c>
      <c r="F560" t="s">
        <v>197</v>
      </c>
      <c r="G560" t="s">
        <v>197</v>
      </c>
      <c r="H560" t="s">
        <v>197</v>
      </c>
      <c r="I560" t="s">
        <v>799</v>
      </c>
      <c r="J560" t="s">
        <v>199</v>
      </c>
      <c r="K560" t="s">
        <v>200</v>
      </c>
    </row>
    <row r="561" spans="1:24">
      <c r="B561" t="s">
        <v>197</v>
      </c>
      <c r="C561" t="s">
        <v>197</v>
      </c>
      <c r="D561" t="s">
        <v>197</v>
      </c>
      <c r="E561" t="s">
        <v>197</v>
      </c>
      <c r="F561" t="s">
        <v>197</v>
      </c>
      <c r="G561" t="s">
        <v>197</v>
      </c>
      <c r="H561" t="s">
        <v>197</v>
      </c>
      <c r="I561" t="s">
        <v>197</v>
      </c>
      <c r="J561" t="s">
        <v>197</v>
      </c>
      <c r="K561" t="s">
        <v>800</v>
      </c>
    </row>
    <row r="562" spans="1:24">
      <c r="B562" t="s">
        <v>197</v>
      </c>
      <c r="C562" t="s">
        <v>197</v>
      </c>
      <c r="D562" t="s">
        <v>197</v>
      </c>
      <c r="E562" t="s">
        <v>197</v>
      </c>
      <c r="F562" t="s">
        <v>197</v>
      </c>
      <c r="G562" t="s">
        <v>197</v>
      </c>
      <c r="H562" t="s">
        <v>197</v>
      </c>
      <c r="I562" t="s">
        <v>197</v>
      </c>
      <c r="J562" t="s">
        <v>197</v>
      </c>
      <c r="K562" t="s">
        <v>801</v>
      </c>
    </row>
    <row r="563" spans="1:24">
      <c r="B563" t="s">
        <v>197</v>
      </c>
      <c r="C563" t="s">
        <v>197</v>
      </c>
      <c r="D563" t="s">
        <v>197</v>
      </c>
      <c r="E563" t="s">
        <v>197</v>
      </c>
      <c r="F563" t="s">
        <v>197</v>
      </c>
      <c r="G563" t="s">
        <v>197</v>
      </c>
      <c r="H563" t="s">
        <v>197</v>
      </c>
      <c r="I563" t="s">
        <v>197</v>
      </c>
      <c r="J563" t="s">
        <v>197</v>
      </c>
      <c r="K563" t="s">
        <v>802</v>
      </c>
    </row>
    <row r="564" spans="1:24">
      <c r="B564" t="s">
        <v>197</v>
      </c>
      <c r="C564" t="s">
        <v>197</v>
      </c>
      <c r="D564" t="s">
        <v>197</v>
      </c>
      <c r="E564" t="s">
        <v>197</v>
      </c>
      <c r="F564" t="s">
        <v>197</v>
      </c>
      <c r="G564" t="s">
        <v>197</v>
      </c>
      <c r="H564" t="s">
        <v>197</v>
      </c>
      <c r="I564" t="s">
        <v>197</v>
      </c>
      <c r="J564" t="s">
        <v>197</v>
      </c>
      <c r="K564" t="s">
        <v>803</v>
      </c>
    </row>
    <row r="565" spans="1:24">
      <c r="B565" t="s">
        <v>197</v>
      </c>
      <c r="C565" t="s">
        <v>197</v>
      </c>
      <c r="D565" t="s">
        <v>197</v>
      </c>
      <c r="E565" t="s">
        <v>197</v>
      </c>
      <c r="F565" t="s">
        <v>197</v>
      </c>
      <c r="G565" t="s">
        <v>197</v>
      </c>
      <c r="H565" t="s">
        <v>197</v>
      </c>
      <c r="I565" t="s">
        <v>197</v>
      </c>
      <c r="J565" t="s">
        <v>197</v>
      </c>
      <c r="K565" t="s">
        <v>804</v>
      </c>
    </row>
    <row r="566" spans="1:24">
      <c r="B566" t="s">
        <v>197</v>
      </c>
      <c r="C566" t="s">
        <v>197</v>
      </c>
      <c r="D566" t="s">
        <v>197</v>
      </c>
      <c r="E566" t="s">
        <v>197</v>
      </c>
      <c r="F566" t="s">
        <v>197</v>
      </c>
      <c r="G566" t="s">
        <v>197</v>
      </c>
      <c r="H566" t="s">
        <v>197</v>
      </c>
      <c r="I566" t="s">
        <v>197</v>
      </c>
      <c r="J566" t="s">
        <v>197</v>
      </c>
      <c r="K566" t="s">
        <v>805</v>
      </c>
    </row>
    <row r="567" spans="1:24">
      <c r="B567" t="s">
        <v>197</v>
      </c>
      <c r="C567" t="s">
        <v>197</v>
      </c>
      <c r="D567" t="s">
        <v>197</v>
      </c>
      <c r="E567" t="s">
        <v>197</v>
      </c>
      <c r="F567" t="s">
        <v>197</v>
      </c>
      <c r="G567" t="s">
        <v>197</v>
      </c>
      <c r="H567" t="s">
        <v>197</v>
      </c>
      <c r="I567" t="s">
        <v>197</v>
      </c>
      <c r="J567" t="s">
        <v>197</v>
      </c>
      <c r="K567" t="s">
        <v>806</v>
      </c>
    </row>
    <row r="568" spans="1:24">
      <c r="B568" t="s">
        <v>197</v>
      </c>
      <c r="C568" t="s">
        <v>197</v>
      </c>
      <c r="D568" t="s">
        <v>197</v>
      </c>
      <c r="E568" t="s">
        <v>197</v>
      </c>
      <c r="F568" t="s">
        <v>197</v>
      </c>
      <c r="G568" t="s">
        <v>197</v>
      </c>
      <c r="H568" t="s">
        <v>197</v>
      </c>
      <c r="I568" t="s">
        <v>197</v>
      </c>
      <c r="J568" t="s">
        <v>197</v>
      </c>
      <c r="K568" t="s">
        <v>807</v>
      </c>
    </row>
    <row r="569" spans="1:24">
      <c r="A569" t="s">
        <v>808</v>
      </c>
      <c r="K569" t="s">
        <v>809</v>
      </c>
      <c r="W569" t="s">
        <v>171</v>
      </c>
      <c r="X569" t="str">
        <f>A569</f>
        <v>info_date_dml_batch1_pk_irp2</v>
      </c>
    </row>
    <row r="570" spans="1:24">
      <c r="B570" t="s">
        <v>196</v>
      </c>
      <c r="C570" t="s">
        <v>197</v>
      </c>
      <c r="D570" t="s">
        <v>197</v>
      </c>
      <c r="E570" t="s">
        <v>197</v>
      </c>
      <c r="F570" t="s">
        <v>197</v>
      </c>
      <c r="G570" t="s">
        <v>197</v>
      </c>
      <c r="H570" t="s">
        <v>197</v>
      </c>
      <c r="I570" t="s">
        <v>810</v>
      </c>
      <c r="J570" t="s">
        <v>199</v>
      </c>
      <c r="K570" t="s">
        <v>200</v>
      </c>
    </row>
    <row r="571" spans="1:24">
      <c r="B571" t="s">
        <v>197</v>
      </c>
      <c r="C571" t="s">
        <v>197</v>
      </c>
      <c r="D571" t="s">
        <v>197</v>
      </c>
      <c r="E571" t="s">
        <v>197</v>
      </c>
      <c r="F571" t="s">
        <v>197</v>
      </c>
      <c r="G571" t="s">
        <v>197</v>
      </c>
      <c r="H571" t="s">
        <v>197</v>
      </c>
      <c r="I571" t="s">
        <v>197</v>
      </c>
      <c r="J571" t="s">
        <v>197</v>
      </c>
      <c r="K571" t="s">
        <v>678</v>
      </c>
    </row>
    <row r="572" spans="1:24">
      <c r="A572" t="s">
        <v>811</v>
      </c>
      <c r="K572" t="s">
        <v>812</v>
      </c>
      <c r="W572" t="s">
        <v>171</v>
      </c>
      <c r="X572" t="str">
        <f>A572</f>
        <v>info_datetimeoffset_dml_batch1_pk_urp2</v>
      </c>
    </row>
    <row r="573" spans="1:24">
      <c r="B573" t="s">
        <v>196</v>
      </c>
      <c r="C573" t="s">
        <v>197</v>
      </c>
      <c r="D573" t="s">
        <v>197</v>
      </c>
      <c r="E573" t="s">
        <v>197</v>
      </c>
      <c r="F573" t="s">
        <v>197</v>
      </c>
      <c r="G573" t="s">
        <v>197</v>
      </c>
      <c r="H573" t="s">
        <v>197</v>
      </c>
      <c r="I573" t="s">
        <v>813</v>
      </c>
      <c r="J573" t="s">
        <v>199</v>
      </c>
      <c r="K573" t="s">
        <v>200</v>
      </c>
    </row>
    <row r="574" spans="1:24">
      <c r="B574" t="s">
        <v>197</v>
      </c>
      <c r="C574" t="s">
        <v>197</v>
      </c>
      <c r="D574" t="s">
        <v>197</v>
      </c>
      <c r="E574" t="s">
        <v>197</v>
      </c>
      <c r="F574" t="s">
        <v>197</v>
      </c>
      <c r="G574" t="s">
        <v>197</v>
      </c>
      <c r="H574" t="s">
        <v>197</v>
      </c>
      <c r="I574" t="s">
        <v>197</v>
      </c>
      <c r="J574" t="s">
        <v>197</v>
      </c>
      <c r="K574" t="s">
        <v>301</v>
      </c>
    </row>
    <row r="575" spans="1:24">
      <c r="B575" t="s">
        <v>197</v>
      </c>
      <c r="C575" t="s">
        <v>197</v>
      </c>
      <c r="D575" t="s">
        <v>197</v>
      </c>
      <c r="E575" t="s">
        <v>197</v>
      </c>
      <c r="F575" t="s">
        <v>197</v>
      </c>
      <c r="G575" t="s">
        <v>197</v>
      </c>
      <c r="H575" t="s">
        <v>197</v>
      </c>
      <c r="I575" t="s">
        <v>197</v>
      </c>
      <c r="J575" t="s">
        <v>197</v>
      </c>
      <c r="K575" t="s">
        <v>314</v>
      </c>
    </row>
    <row r="576" spans="1:24">
      <c r="B576" t="s">
        <v>197</v>
      </c>
      <c r="C576" t="s">
        <v>197</v>
      </c>
      <c r="D576" t="s">
        <v>197</v>
      </c>
      <c r="E576" t="s">
        <v>197</v>
      </c>
      <c r="F576" t="s">
        <v>197</v>
      </c>
      <c r="G576" t="s">
        <v>197</v>
      </c>
      <c r="H576" t="s">
        <v>197</v>
      </c>
      <c r="I576" t="s">
        <v>197</v>
      </c>
      <c r="J576" t="s">
        <v>197</v>
      </c>
      <c r="K576" t="s">
        <v>324</v>
      </c>
    </row>
    <row r="577" spans="1:24">
      <c r="B577" t="s">
        <v>197</v>
      </c>
      <c r="C577" t="s">
        <v>197</v>
      </c>
      <c r="D577" t="s">
        <v>197</v>
      </c>
      <c r="E577" t="s">
        <v>197</v>
      </c>
      <c r="F577" t="s">
        <v>197</v>
      </c>
      <c r="G577" t="s">
        <v>197</v>
      </c>
      <c r="H577" t="s">
        <v>197</v>
      </c>
      <c r="I577" t="s">
        <v>197</v>
      </c>
      <c r="J577" t="s">
        <v>197</v>
      </c>
      <c r="K577" t="s">
        <v>335</v>
      </c>
    </row>
    <row r="578" spans="1:24">
      <c r="B578" t="s">
        <v>197</v>
      </c>
      <c r="C578" t="s">
        <v>197</v>
      </c>
      <c r="D578" t="s">
        <v>197</v>
      </c>
      <c r="E578" t="s">
        <v>197</v>
      </c>
      <c r="F578" t="s">
        <v>197</v>
      </c>
      <c r="G578" t="s">
        <v>197</v>
      </c>
      <c r="H578" t="s">
        <v>197</v>
      </c>
      <c r="I578" t="s">
        <v>197</v>
      </c>
      <c r="J578" t="s">
        <v>197</v>
      </c>
      <c r="K578" t="s">
        <v>350</v>
      </c>
    </row>
    <row r="579" spans="1:24">
      <c r="B579" t="s">
        <v>197</v>
      </c>
      <c r="C579" t="s">
        <v>197</v>
      </c>
      <c r="D579" t="s">
        <v>197</v>
      </c>
      <c r="E579" t="s">
        <v>197</v>
      </c>
      <c r="F579" t="s">
        <v>197</v>
      </c>
      <c r="G579" t="s">
        <v>197</v>
      </c>
      <c r="H579" t="s">
        <v>197</v>
      </c>
      <c r="I579" t="s">
        <v>197</v>
      </c>
      <c r="J579" t="s">
        <v>197</v>
      </c>
      <c r="K579" t="s">
        <v>360</v>
      </c>
    </row>
    <row r="580" spans="1:24">
      <c r="B580" t="s">
        <v>197</v>
      </c>
      <c r="C580" t="s">
        <v>197</v>
      </c>
      <c r="D580" t="s">
        <v>197</v>
      </c>
      <c r="E580" t="s">
        <v>197</v>
      </c>
      <c r="F580" t="s">
        <v>197</v>
      </c>
      <c r="G580" t="s">
        <v>197</v>
      </c>
      <c r="H580" t="s">
        <v>197</v>
      </c>
      <c r="I580" t="s">
        <v>197</v>
      </c>
      <c r="J580" t="s">
        <v>197</v>
      </c>
      <c r="K580" t="s">
        <v>367</v>
      </c>
    </row>
    <row r="581" spans="1:24">
      <c r="B581" t="s">
        <v>197</v>
      </c>
      <c r="C581" t="s">
        <v>197</v>
      </c>
      <c r="D581" t="s">
        <v>197</v>
      </c>
      <c r="E581" t="s">
        <v>197</v>
      </c>
      <c r="F581" t="s">
        <v>197</v>
      </c>
      <c r="G581" t="s">
        <v>197</v>
      </c>
      <c r="H581" t="s">
        <v>197</v>
      </c>
      <c r="I581" t="s">
        <v>197</v>
      </c>
      <c r="J581" t="s">
        <v>197</v>
      </c>
      <c r="K581" t="s">
        <v>373</v>
      </c>
    </row>
    <row r="582" spans="1:24">
      <c r="A582" t="s">
        <v>814</v>
      </c>
      <c r="K582" t="s">
        <v>815</v>
      </c>
      <c r="W582" t="s">
        <v>171</v>
      </c>
      <c r="X582" t="str">
        <f>A582</f>
        <v>info_varcharmax_dml_batch2_pk_irp2</v>
      </c>
    </row>
    <row r="583" spans="1:24">
      <c r="B583" t="s">
        <v>196</v>
      </c>
      <c r="C583" t="s">
        <v>197</v>
      </c>
      <c r="D583" t="s">
        <v>197</v>
      </c>
      <c r="E583" t="s">
        <v>197</v>
      </c>
      <c r="F583" t="s">
        <v>197</v>
      </c>
      <c r="G583" t="s">
        <v>197</v>
      </c>
      <c r="H583" t="s">
        <v>197</v>
      </c>
      <c r="I583" t="s">
        <v>816</v>
      </c>
      <c r="J583" t="s">
        <v>199</v>
      </c>
      <c r="K583" t="s">
        <v>200</v>
      </c>
    </row>
    <row r="584" spans="1:24">
      <c r="B584" t="s">
        <v>197</v>
      </c>
      <c r="C584" t="s">
        <v>197</v>
      </c>
      <c r="D584" t="s">
        <v>197</v>
      </c>
      <c r="E584" t="s">
        <v>197</v>
      </c>
      <c r="F584" t="s">
        <v>197</v>
      </c>
      <c r="G584" t="s">
        <v>197</v>
      </c>
      <c r="H584" t="s">
        <v>197</v>
      </c>
      <c r="I584" t="s">
        <v>197</v>
      </c>
      <c r="J584" t="s">
        <v>197</v>
      </c>
      <c r="K584" t="s">
        <v>725</v>
      </c>
    </row>
    <row r="585" spans="1:24">
      <c r="B585" t="s">
        <v>197</v>
      </c>
      <c r="C585" t="s">
        <v>197</v>
      </c>
      <c r="D585" t="s">
        <v>197</v>
      </c>
      <c r="E585" t="s">
        <v>197</v>
      </c>
      <c r="F585" t="s">
        <v>197</v>
      </c>
      <c r="G585" t="s">
        <v>197</v>
      </c>
      <c r="H585" t="s">
        <v>197</v>
      </c>
      <c r="I585" t="s">
        <v>197</v>
      </c>
      <c r="J585" t="s">
        <v>197</v>
      </c>
      <c r="K585" t="s">
        <v>726</v>
      </c>
    </row>
    <row r="586" spans="1:24">
      <c r="K586" t="s">
        <v>443</v>
      </c>
    </row>
    <row r="587" spans="1:24">
      <c r="A587" t="s">
        <v>817</v>
      </c>
      <c r="K587" t="s">
        <v>818</v>
      </c>
      <c r="W587" t="s">
        <v>171</v>
      </c>
      <c r="X587" t="str">
        <f>A587</f>
        <v>info_datetimeoffset_dml_batch1_pk_drp1</v>
      </c>
    </row>
    <row r="588" spans="1:24">
      <c r="B588" t="s">
        <v>196</v>
      </c>
      <c r="C588" t="s">
        <v>197</v>
      </c>
      <c r="D588" t="s">
        <v>197</v>
      </c>
      <c r="E588" t="s">
        <v>197</v>
      </c>
      <c r="F588" t="s">
        <v>197</v>
      </c>
      <c r="G588" t="s">
        <v>197</v>
      </c>
      <c r="H588" t="s">
        <v>197</v>
      </c>
      <c r="I588" t="s">
        <v>819</v>
      </c>
      <c r="J588" t="s">
        <v>199</v>
      </c>
      <c r="K588" t="s">
        <v>200</v>
      </c>
    </row>
    <row r="589" spans="1:24">
      <c r="B589" t="s">
        <v>197</v>
      </c>
      <c r="C589" t="s">
        <v>197</v>
      </c>
      <c r="D589" t="s">
        <v>197</v>
      </c>
      <c r="E589" t="s">
        <v>197</v>
      </c>
      <c r="F589" t="s">
        <v>197</v>
      </c>
      <c r="G589" t="s">
        <v>197</v>
      </c>
      <c r="H589" t="s">
        <v>197</v>
      </c>
      <c r="I589" t="s">
        <v>197</v>
      </c>
      <c r="J589" t="s">
        <v>197</v>
      </c>
      <c r="K589" t="s">
        <v>301</v>
      </c>
    </row>
    <row r="590" spans="1:24">
      <c r="B590" t="s">
        <v>197</v>
      </c>
      <c r="C590" t="s">
        <v>197</v>
      </c>
      <c r="D590" t="s">
        <v>197</v>
      </c>
      <c r="E590" t="s">
        <v>197</v>
      </c>
      <c r="F590" t="s">
        <v>197</v>
      </c>
      <c r="G590" t="s">
        <v>197</v>
      </c>
      <c r="H590" t="s">
        <v>197</v>
      </c>
      <c r="I590" t="s">
        <v>197</v>
      </c>
      <c r="J590" t="s">
        <v>197</v>
      </c>
      <c r="K590" t="s">
        <v>314</v>
      </c>
    </row>
    <row r="591" spans="1:24">
      <c r="B591" t="s">
        <v>197</v>
      </c>
      <c r="C591" t="s">
        <v>197</v>
      </c>
      <c r="D591" t="s">
        <v>197</v>
      </c>
      <c r="E591" t="s">
        <v>197</v>
      </c>
      <c r="F591" t="s">
        <v>197</v>
      </c>
      <c r="G591" t="s">
        <v>197</v>
      </c>
      <c r="H591" t="s">
        <v>197</v>
      </c>
      <c r="I591" t="s">
        <v>197</v>
      </c>
      <c r="J591" t="s">
        <v>197</v>
      </c>
      <c r="K591" t="s">
        <v>324</v>
      </c>
    </row>
    <row r="592" spans="1:24">
      <c r="B592" t="s">
        <v>197</v>
      </c>
      <c r="C592" t="s">
        <v>197</v>
      </c>
      <c r="D592" t="s">
        <v>197</v>
      </c>
      <c r="E592" t="s">
        <v>197</v>
      </c>
      <c r="F592" t="s">
        <v>197</v>
      </c>
      <c r="G592" t="s">
        <v>197</v>
      </c>
      <c r="H592" t="s">
        <v>197</v>
      </c>
      <c r="I592" t="s">
        <v>197</v>
      </c>
      <c r="J592" t="s">
        <v>197</v>
      </c>
      <c r="K592" t="s">
        <v>335</v>
      </c>
    </row>
    <row r="593" spans="1:24">
      <c r="B593" t="s">
        <v>197</v>
      </c>
      <c r="C593" t="s">
        <v>197</v>
      </c>
      <c r="D593" t="s">
        <v>197</v>
      </c>
      <c r="E593" t="s">
        <v>197</v>
      </c>
      <c r="F593" t="s">
        <v>197</v>
      </c>
      <c r="G593" t="s">
        <v>197</v>
      </c>
      <c r="H593" t="s">
        <v>197</v>
      </c>
      <c r="I593" t="s">
        <v>197</v>
      </c>
      <c r="J593" t="s">
        <v>197</v>
      </c>
      <c r="K593" t="s">
        <v>350</v>
      </c>
    </row>
    <row r="594" spans="1:24">
      <c r="B594" t="s">
        <v>197</v>
      </c>
      <c r="C594" t="s">
        <v>197</v>
      </c>
      <c r="D594" t="s">
        <v>197</v>
      </c>
      <c r="E594" t="s">
        <v>197</v>
      </c>
      <c r="F594" t="s">
        <v>197</v>
      </c>
      <c r="G594" t="s">
        <v>197</v>
      </c>
      <c r="H594" t="s">
        <v>197</v>
      </c>
      <c r="I594" t="s">
        <v>197</v>
      </c>
      <c r="J594" t="s">
        <v>197</v>
      </c>
      <c r="K594" t="s">
        <v>360</v>
      </c>
    </row>
    <row r="595" spans="1:24">
      <c r="B595" t="s">
        <v>197</v>
      </c>
      <c r="C595" t="s">
        <v>197</v>
      </c>
      <c r="D595" t="s">
        <v>197</v>
      </c>
      <c r="E595" t="s">
        <v>197</v>
      </c>
      <c r="F595" t="s">
        <v>197</v>
      </c>
      <c r="G595" t="s">
        <v>197</v>
      </c>
      <c r="H595" t="s">
        <v>197</v>
      </c>
      <c r="I595" t="s">
        <v>197</v>
      </c>
      <c r="J595" t="s">
        <v>197</v>
      </c>
      <c r="K595" t="s">
        <v>367</v>
      </c>
    </row>
    <row r="596" spans="1:24">
      <c r="B596" t="s">
        <v>197</v>
      </c>
      <c r="C596" t="s">
        <v>197</v>
      </c>
      <c r="D596" t="s">
        <v>197</v>
      </c>
      <c r="E596" t="s">
        <v>197</v>
      </c>
      <c r="F596" t="s">
        <v>197</v>
      </c>
      <c r="G596" t="s">
        <v>197</v>
      </c>
      <c r="H596" t="s">
        <v>197</v>
      </c>
      <c r="I596" t="s">
        <v>197</v>
      </c>
      <c r="J596" t="s">
        <v>197</v>
      </c>
      <c r="K596" t="s">
        <v>373</v>
      </c>
    </row>
    <row r="597" spans="1:24">
      <c r="K597" t="s">
        <v>443</v>
      </c>
    </row>
    <row r="598" spans="1:24">
      <c r="A598" t="s">
        <v>820</v>
      </c>
      <c r="K598" t="s">
        <v>821</v>
      </c>
      <c r="W598" t="s">
        <v>171</v>
      </c>
      <c r="X598" t="str">
        <f>A598</f>
        <v>info_nchar_dml_batch1_pk_urp1</v>
      </c>
    </row>
    <row r="599" spans="1:24">
      <c r="B599" t="s">
        <v>196</v>
      </c>
      <c r="C599" t="s">
        <v>197</v>
      </c>
      <c r="D599" t="s">
        <v>197</v>
      </c>
      <c r="E599" t="s">
        <v>197</v>
      </c>
      <c r="F599" t="s">
        <v>197</v>
      </c>
      <c r="G599" t="s">
        <v>197</v>
      </c>
      <c r="H599" t="s">
        <v>197</v>
      </c>
      <c r="I599" t="s">
        <v>822</v>
      </c>
      <c r="J599" t="s">
        <v>199</v>
      </c>
      <c r="K599" t="s">
        <v>200</v>
      </c>
    </row>
    <row r="600" spans="1:24">
      <c r="B600" t="s">
        <v>197</v>
      </c>
      <c r="C600" t="s">
        <v>197</v>
      </c>
      <c r="D600" t="s">
        <v>197</v>
      </c>
      <c r="E600" t="s">
        <v>197</v>
      </c>
      <c r="F600" t="s">
        <v>197</v>
      </c>
      <c r="G600" t="s">
        <v>197</v>
      </c>
      <c r="H600" t="s">
        <v>197</v>
      </c>
      <c r="I600" t="s">
        <v>197</v>
      </c>
      <c r="J600" t="s">
        <v>197</v>
      </c>
      <c r="K600" t="s">
        <v>514</v>
      </c>
    </row>
    <row r="601" spans="1:24">
      <c r="B601" t="s">
        <v>197</v>
      </c>
      <c r="C601" t="s">
        <v>197</v>
      </c>
      <c r="D601" t="s">
        <v>197</v>
      </c>
      <c r="E601" t="s">
        <v>197</v>
      </c>
      <c r="F601" t="s">
        <v>197</v>
      </c>
      <c r="G601" t="s">
        <v>197</v>
      </c>
      <c r="H601" t="s">
        <v>197</v>
      </c>
      <c r="I601" t="s">
        <v>197</v>
      </c>
      <c r="J601" t="s">
        <v>197</v>
      </c>
      <c r="K601" t="s">
        <v>516</v>
      </c>
    </row>
    <row r="602" spans="1:24">
      <c r="B602" t="s">
        <v>197</v>
      </c>
      <c r="C602" t="s">
        <v>197</v>
      </c>
      <c r="D602" t="s">
        <v>197</v>
      </c>
      <c r="E602" t="s">
        <v>197</v>
      </c>
      <c r="F602" t="s">
        <v>197</v>
      </c>
      <c r="G602" t="s">
        <v>197</v>
      </c>
      <c r="H602" t="s">
        <v>197</v>
      </c>
      <c r="I602" t="s">
        <v>197</v>
      </c>
      <c r="J602" t="s">
        <v>197</v>
      </c>
      <c r="K602" t="s">
        <v>612</v>
      </c>
    </row>
    <row r="603" spans="1:24">
      <c r="A603" t="s">
        <v>823</v>
      </c>
      <c r="K603" t="s">
        <v>824</v>
      </c>
      <c r="W603" t="s">
        <v>171</v>
      </c>
      <c r="X603" t="str">
        <f>A603</f>
        <v>info_hierarchyid_dml_single_pk</v>
      </c>
    </row>
    <row r="604" spans="1:24">
      <c r="B604" t="s">
        <v>196</v>
      </c>
      <c r="C604" t="s">
        <v>197</v>
      </c>
      <c r="D604" t="s">
        <v>197</v>
      </c>
      <c r="E604" t="s">
        <v>197</v>
      </c>
      <c r="F604" t="s">
        <v>197</v>
      </c>
      <c r="G604" t="s">
        <v>197</v>
      </c>
      <c r="H604" t="s">
        <v>197</v>
      </c>
      <c r="I604" t="s">
        <v>825</v>
      </c>
      <c r="J604" t="s">
        <v>199</v>
      </c>
      <c r="K604" t="s">
        <v>200</v>
      </c>
    </row>
    <row r="605" spans="1:24">
      <c r="B605" t="s">
        <v>197</v>
      </c>
      <c r="C605" t="s">
        <v>197</v>
      </c>
      <c r="D605" t="s">
        <v>197</v>
      </c>
      <c r="E605" t="s">
        <v>197</v>
      </c>
      <c r="F605" t="s">
        <v>197</v>
      </c>
      <c r="G605" t="s">
        <v>197</v>
      </c>
      <c r="H605" t="s">
        <v>197</v>
      </c>
      <c r="I605" t="s">
        <v>197</v>
      </c>
      <c r="J605" t="s">
        <v>197</v>
      </c>
      <c r="K605" t="s">
        <v>706</v>
      </c>
    </row>
    <row r="606" spans="1:24">
      <c r="A606" t="s">
        <v>826</v>
      </c>
      <c r="K606" t="s">
        <v>827</v>
      </c>
      <c r="W606" t="s">
        <v>171</v>
      </c>
      <c r="X606" t="str">
        <f>A606</f>
        <v>info_datetimeoffset_dml_batch1_pk_drp2</v>
      </c>
    </row>
    <row r="607" spans="1:24">
      <c r="B607" t="s">
        <v>196</v>
      </c>
      <c r="C607" t="s">
        <v>197</v>
      </c>
      <c r="D607" t="s">
        <v>197</v>
      </c>
      <c r="E607" t="s">
        <v>197</v>
      </c>
      <c r="F607" t="s">
        <v>197</v>
      </c>
      <c r="G607" t="s">
        <v>197</v>
      </c>
      <c r="H607" t="s">
        <v>197</v>
      </c>
      <c r="I607" t="s">
        <v>828</v>
      </c>
      <c r="J607" t="s">
        <v>199</v>
      </c>
      <c r="K607" t="s">
        <v>200</v>
      </c>
    </row>
    <row r="608" spans="1:24">
      <c r="B608" t="s">
        <v>197</v>
      </c>
      <c r="C608" t="s">
        <v>197</v>
      </c>
      <c r="D608" t="s">
        <v>197</v>
      </c>
      <c r="E608" t="s">
        <v>197</v>
      </c>
      <c r="F608" t="s">
        <v>197</v>
      </c>
      <c r="G608" t="s">
        <v>197</v>
      </c>
      <c r="H608" t="s">
        <v>197</v>
      </c>
      <c r="I608" t="s">
        <v>197</v>
      </c>
      <c r="J608" t="s">
        <v>197</v>
      </c>
      <c r="K608" t="s">
        <v>301</v>
      </c>
    </row>
    <row r="609" spans="1:24">
      <c r="B609" t="s">
        <v>197</v>
      </c>
      <c r="C609" t="s">
        <v>197</v>
      </c>
      <c r="D609" t="s">
        <v>197</v>
      </c>
      <c r="E609" t="s">
        <v>197</v>
      </c>
      <c r="F609" t="s">
        <v>197</v>
      </c>
      <c r="G609" t="s">
        <v>197</v>
      </c>
      <c r="H609" t="s">
        <v>197</v>
      </c>
      <c r="I609" t="s">
        <v>197</v>
      </c>
      <c r="J609" t="s">
        <v>197</v>
      </c>
      <c r="K609" t="s">
        <v>314</v>
      </c>
    </row>
    <row r="610" spans="1:24">
      <c r="B610" t="s">
        <v>197</v>
      </c>
      <c r="C610" t="s">
        <v>197</v>
      </c>
      <c r="D610" t="s">
        <v>197</v>
      </c>
      <c r="E610" t="s">
        <v>197</v>
      </c>
      <c r="F610" t="s">
        <v>197</v>
      </c>
      <c r="G610" t="s">
        <v>197</v>
      </c>
      <c r="H610" t="s">
        <v>197</v>
      </c>
      <c r="I610" t="s">
        <v>197</v>
      </c>
      <c r="J610" t="s">
        <v>197</v>
      </c>
      <c r="K610" t="s">
        <v>324</v>
      </c>
    </row>
    <row r="611" spans="1:24">
      <c r="B611" t="s">
        <v>197</v>
      </c>
      <c r="C611" t="s">
        <v>197</v>
      </c>
      <c r="D611" t="s">
        <v>197</v>
      </c>
      <c r="E611" t="s">
        <v>197</v>
      </c>
      <c r="F611" t="s">
        <v>197</v>
      </c>
      <c r="G611" t="s">
        <v>197</v>
      </c>
      <c r="H611" t="s">
        <v>197</v>
      </c>
      <c r="I611" t="s">
        <v>197</v>
      </c>
      <c r="J611" t="s">
        <v>197</v>
      </c>
      <c r="K611" t="s">
        <v>335</v>
      </c>
    </row>
    <row r="612" spans="1:24">
      <c r="B612" t="s">
        <v>197</v>
      </c>
      <c r="C612" t="s">
        <v>197</v>
      </c>
      <c r="D612" t="s">
        <v>197</v>
      </c>
      <c r="E612" t="s">
        <v>197</v>
      </c>
      <c r="F612" t="s">
        <v>197</v>
      </c>
      <c r="G612" t="s">
        <v>197</v>
      </c>
      <c r="H612" t="s">
        <v>197</v>
      </c>
      <c r="I612" t="s">
        <v>197</v>
      </c>
      <c r="J612" t="s">
        <v>197</v>
      </c>
      <c r="K612" t="s">
        <v>350</v>
      </c>
    </row>
    <row r="613" spans="1:24">
      <c r="B613" t="s">
        <v>197</v>
      </c>
      <c r="C613" t="s">
        <v>197</v>
      </c>
      <c r="D613" t="s">
        <v>197</v>
      </c>
      <c r="E613" t="s">
        <v>197</v>
      </c>
      <c r="F613" t="s">
        <v>197</v>
      </c>
      <c r="G613" t="s">
        <v>197</v>
      </c>
      <c r="H613" t="s">
        <v>197</v>
      </c>
      <c r="I613" t="s">
        <v>197</v>
      </c>
      <c r="J613" t="s">
        <v>197</v>
      </c>
      <c r="K613" t="s">
        <v>360</v>
      </c>
    </row>
    <row r="614" spans="1:24">
      <c r="B614" t="s">
        <v>197</v>
      </c>
      <c r="C614" t="s">
        <v>197</v>
      </c>
      <c r="D614" t="s">
        <v>197</v>
      </c>
      <c r="E614" t="s">
        <v>197</v>
      </c>
      <c r="F614" t="s">
        <v>197</v>
      </c>
      <c r="G614" t="s">
        <v>197</v>
      </c>
      <c r="H614" t="s">
        <v>197</v>
      </c>
      <c r="I614" t="s">
        <v>197</v>
      </c>
      <c r="J614" t="s">
        <v>197</v>
      </c>
      <c r="K614" t="s">
        <v>367</v>
      </c>
    </row>
    <row r="615" spans="1:24">
      <c r="B615" t="s">
        <v>197</v>
      </c>
      <c r="C615" t="s">
        <v>197</v>
      </c>
      <c r="D615" t="s">
        <v>197</v>
      </c>
      <c r="E615" t="s">
        <v>197</v>
      </c>
      <c r="F615" t="s">
        <v>197</v>
      </c>
      <c r="G615" t="s">
        <v>197</v>
      </c>
      <c r="H615" t="s">
        <v>197</v>
      </c>
      <c r="I615" t="s">
        <v>197</v>
      </c>
      <c r="J615" t="s">
        <v>197</v>
      </c>
      <c r="K615" t="s">
        <v>373</v>
      </c>
    </row>
    <row r="616" spans="1:24">
      <c r="A616" t="s">
        <v>829</v>
      </c>
      <c r="K616" t="s">
        <v>830</v>
      </c>
      <c r="W616" t="s">
        <v>171</v>
      </c>
      <c r="X616" t="str">
        <f>A616</f>
        <v>info_char_dml_batch1_pk_drp1</v>
      </c>
    </row>
    <row r="617" spans="1:24">
      <c r="B617" t="s">
        <v>196</v>
      </c>
      <c r="C617" t="s">
        <v>197</v>
      </c>
      <c r="D617" t="s">
        <v>197</v>
      </c>
      <c r="E617" t="s">
        <v>197</v>
      </c>
      <c r="F617" t="s">
        <v>197</v>
      </c>
      <c r="G617" t="s">
        <v>197</v>
      </c>
      <c r="H617" t="s">
        <v>197</v>
      </c>
      <c r="I617" t="s">
        <v>831</v>
      </c>
      <c r="J617" t="s">
        <v>199</v>
      </c>
      <c r="K617" t="s">
        <v>200</v>
      </c>
    </row>
    <row r="618" spans="1:24">
      <c r="B618" t="s">
        <v>197</v>
      </c>
      <c r="C618" t="s">
        <v>197</v>
      </c>
      <c r="D618" t="s">
        <v>197</v>
      </c>
      <c r="E618" t="s">
        <v>197</v>
      </c>
      <c r="F618" t="s">
        <v>197</v>
      </c>
      <c r="G618" t="s">
        <v>197</v>
      </c>
      <c r="H618" t="s">
        <v>197</v>
      </c>
      <c r="I618" t="s">
        <v>197</v>
      </c>
      <c r="J618" t="s">
        <v>197</v>
      </c>
      <c r="K618" t="s">
        <v>622</v>
      </c>
    </row>
    <row r="619" spans="1:24">
      <c r="B619" t="s">
        <v>197</v>
      </c>
      <c r="C619" t="s">
        <v>197</v>
      </c>
      <c r="D619" t="s">
        <v>197</v>
      </c>
      <c r="E619" t="s">
        <v>197</v>
      </c>
      <c r="F619" t="s">
        <v>197</v>
      </c>
      <c r="G619" t="s">
        <v>197</v>
      </c>
      <c r="H619" t="s">
        <v>197</v>
      </c>
      <c r="I619" t="s">
        <v>197</v>
      </c>
      <c r="J619" t="s">
        <v>197</v>
      </c>
      <c r="K619" t="s">
        <v>623</v>
      </c>
    </row>
    <row r="620" spans="1:24">
      <c r="B620" t="s">
        <v>197</v>
      </c>
      <c r="C620" t="s">
        <v>197</v>
      </c>
      <c r="D620" t="s">
        <v>197</v>
      </c>
      <c r="E620" t="s">
        <v>197</v>
      </c>
      <c r="F620" t="s">
        <v>197</v>
      </c>
      <c r="G620" t="s">
        <v>197</v>
      </c>
      <c r="H620" t="s">
        <v>197</v>
      </c>
      <c r="I620" t="s">
        <v>197</v>
      </c>
      <c r="J620" t="s">
        <v>197</v>
      </c>
      <c r="K620" t="s">
        <v>832</v>
      </c>
    </row>
    <row r="621" spans="1:24">
      <c r="K621" t="s">
        <v>443</v>
      </c>
    </row>
    <row r="622" spans="1:24">
      <c r="A622" t="s">
        <v>833</v>
      </c>
      <c r="K622" t="s">
        <v>834</v>
      </c>
      <c r="W622" t="s">
        <v>171</v>
      </c>
      <c r="X622" t="str">
        <f>A622</f>
        <v>info_datetimeoffset_dml_batch1_pk</v>
      </c>
    </row>
    <row r="623" spans="1:24">
      <c r="B623" t="s">
        <v>196</v>
      </c>
      <c r="C623" t="s">
        <v>197</v>
      </c>
      <c r="D623" t="s">
        <v>197</v>
      </c>
      <c r="E623" t="s">
        <v>197</v>
      </c>
      <c r="F623" t="s">
        <v>197</v>
      </c>
      <c r="G623" t="s">
        <v>197</v>
      </c>
      <c r="H623" t="s">
        <v>197</v>
      </c>
      <c r="I623" t="s">
        <v>835</v>
      </c>
      <c r="J623" t="s">
        <v>199</v>
      </c>
      <c r="K623" t="s">
        <v>200</v>
      </c>
    </row>
    <row r="624" spans="1:24">
      <c r="B624" t="s">
        <v>197</v>
      </c>
      <c r="C624" t="s">
        <v>197</v>
      </c>
      <c r="D624" t="s">
        <v>197</v>
      </c>
      <c r="E624" t="s">
        <v>197</v>
      </c>
      <c r="F624" t="s">
        <v>197</v>
      </c>
      <c r="G624" t="s">
        <v>197</v>
      </c>
      <c r="H624" t="s">
        <v>197</v>
      </c>
      <c r="I624" t="s">
        <v>197</v>
      </c>
      <c r="J624" t="s">
        <v>197</v>
      </c>
      <c r="K624" t="s">
        <v>301</v>
      </c>
    </row>
    <row r="625" spans="1:24">
      <c r="B625" t="s">
        <v>197</v>
      </c>
      <c r="C625" t="s">
        <v>197</v>
      </c>
      <c r="D625" t="s">
        <v>197</v>
      </c>
      <c r="E625" t="s">
        <v>197</v>
      </c>
      <c r="F625" t="s">
        <v>197</v>
      </c>
      <c r="G625" t="s">
        <v>197</v>
      </c>
      <c r="H625" t="s">
        <v>197</v>
      </c>
      <c r="I625" t="s">
        <v>197</v>
      </c>
      <c r="J625" t="s">
        <v>197</v>
      </c>
      <c r="K625" t="s">
        <v>314</v>
      </c>
    </row>
    <row r="626" spans="1:24">
      <c r="B626" t="s">
        <v>197</v>
      </c>
      <c r="C626" t="s">
        <v>197</v>
      </c>
      <c r="D626" t="s">
        <v>197</v>
      </c>
      <c r="E626" t="s">
        <v>197</v>
      </c>
      <c r="F626" t="s">
        <v>197</v>
      </c>
      <c r="G626" t="s">
        <v>197</v>
      </c>
      <c r="H626" t="s">
        <v>197</v>
      </c>
      <c r="I626" t="s">
        <v>197</v>
      </c>
      <c r="J626" t="s">
        <v>197</v>
      </c>
      <c r="K626" t="s">
        <v>324</v>
      </c>
    </row>
    <row r="627" spans="1:24">
      <c r="B627" t="s">
        <v>197</v>
      </c>
      <c r="C627" t="s">
        <v>197</v>
      </c>
      <c r="D627" t="s">
        <v>197</v>
      </c>
      <c r="E627" t="s">
        <v>197</v>
      </c>
      <c r="F627" t="s">
        <v>197</v>
      </c>
      <c r="G627" t="s">
        <v>197</v>
      </c>
      <c r="H627" t="s">
        <v>197</v>
      </c>
      <c r="I627" t="s">
        <v>197</v>
      </c>
      <c r="J627" t="s">
        <v>197</v>
      </c>
      <c r="K627" t="s">
        <v>335</v>
      </c>
    </row>
    <row r="628" spans="1:24">
      <c r="B628" t="s">
        <v>197</v>
      </c>
      <c r="C628" t="s">
        <v>197</v>
      </c>
      <c r="D628" t="s">
        <v>197</v>
      </c>
      <c r="E628" t="s">
        <v>197</v>
      </c>
      <c r="F628" t="s">
        <v>197</v>
      </c>
      <c r="G628" t="s">
        <v>197</v>
      </c>
      <c r="H628" t="s">
        <v>197</v>
      </c>
      <c r="I628" t="s">
        <v>197</v>
      </c>
      <c r="J628" t="s">
        <v>197</v>
      </c>
      <c r="K628" t="s">
        <v>350</v>
      </c>
    </row>
    <row r="629" spans="1:24">
      <c r="B629" t="s">
        <v>197</v>
      </c>
      <c r="C629" t="s">
        <v>197</v>
      </c>
      <c r="D629" t="s">
        <v>197</v>
      </c>
      <c r="E629" t="s">
        <v>197</v>
      </c>
      <c r="F629" t="s">
        <v>197</v>
      </c>
      <c r="G629" t="s">
        <v>197</v>
      </c>
      <c r="H629" t="s">
        <v>197</v>
      </c>
      <c r="I629" t="s">
        <v>197</v>
      </c>
      <c r="J629" t="s">
        <v>197</v>
      </c>
      <c r="K629" t="s">
        <v>360</v>
      </c>
    </row>
    <row r="630" spans="1:24">
      <c r="B630" t="s">
        <v>197</v>
      </c>
      <c r="C630" t="s">
        <v>197</v>
      </c>
      <c r="D630" t="s">
        <v>197</v>
      </c>
      <c r="E630" t="s">
        <v>197</v>
      </c>
      <c r="F630" t="s">
        <v>197</v>
      </c>
      <c r="G630" t="s">
        <v>197</v>
      </c>
      <c r="H630" t="s">
        <v>197</v>
      </c>
      <c r="I630" t="s">
        <v>197</v>
      </c>
      <c r="J630" t="s">
        <v>197</v>
      </c>
      <c r="K630" t="s">
        <v>367</v>
      </c>
    </row>
    <row r="631" spans="1:24">
      <c r="B631" t="s">
        <v>197</v>
      </c>
      <c r="C631" t="s">
        <v>197</v>
      </c>
      <c r="D631" t="s">
        <v>197</v>
      </c>
      <c r="E631" t="s">
        <v>197</v>
      </c>
      <c r="F631" t="s">
        <v>197</v>
      </c>
      <c r="G631" t="s">
        <v>197</v>
      </c>
      <c r="H631" t="s">
        <v>197</v>
      </c>
      <c r="I631" t="s">
        <v>197</v>
      </c>
      <c r="J631" t="s">
        <v>197</v>
      </c>
      <c r="K631" t="s">
        <v>373</v>
      </c>
    </row>
    <row r="632" spans="1:24">
      <c r="A632" t="s">
        <v>836</v>
      </c>
      <c r="K632" t="s">
        <v>837</v>
      </c>
      <c r="W632" t="s">
        <v>171</v>
      </c>
      <c r="X632" t="str">
        <f>A632</f>
        <v>info_nchar_dml_batch2_pk_urp2</v>
      </c>
    </row>
    <row r="633" spans="1:24">
      <c r="B633" t="s">
        <v>196</v>
      </c>
      <c r="C633" t="s">
        <v>197</v>
      </c>
      <c r="D633" t="s">
        <v>197</v>
      </c>
      <c r="E633" t="s">
        <v>197</v>
      </c>
      <c r="F633" t="s">
        <v>197</v>
      </c>
      <c r="G633" t="s">
        <v>197</v>
      </c>
      <c r="H633" t="s">
        <v>197</v>
      </c>
      <c r="I633" t="s">
        <v>838</v>
      </c>
      <c r="J633" t="s">
        <v>199</v>
      </c>
      <c r="K633" t="s">
        <v>200</v>
      </c>
    </row>
    <row r="634" spans="1:24">
      <c r="B634" t="s">
        <v>197</v>
      </c>
      <c r="C634" t="s">
        <v>197</v>
      </c>
      <c r="D634" t="s">
        <v>197</v>
      </c>
      <c r="E634" t="s">
        <v>197</v>
      </c>
      <c r="F634" t="s">
        <v>197</v>
      </c>
      <c r="G634" t="s">
        <v>197</v>
      </c>
      <c r="H634" t="s">
        <v>197</v>
      </c>
      <c r="I634" t="s">
        <v>197</v>
      </c>
      <c r="J634" t="s">
        <v>197</v>
      </c>
      <c r="K634" t="s">
        <v>514</v>
      </c>
    </row>
    <row r="635" spans="1:24">
      <c r="B635" t="s">
        <v>197</v>
      </c>
      <c r="C635" t="s">
        <v>197</v>
      </c>
      <c r="D635" t="s">
        <v>197</v>
      </c>
      <c r="E635" t="s">
        <v>197</v>
      </c>
      <c r="F635" t="s">
        <v>197</v>
      </c>
      <c r="G635" t="s">
        <v>197</v>
      </c>
      <c r="H635" t="s">
        <v>197</v>
      </c>
      <c r="I635" t="s">
        <v>197</v>
      </c>
      <c r="J635" t="s">
        <v>197</v>
      </c>
      <c r="K635" t="s">
        <v>516</v>
      </c>
    </row>
    <row r="636" spans="1:24">
      <c r="B636" t="s">
        <v>197</v>
      </c>
      <c r="C636" t="s">
        <v>197</v>
      </c>
      <c r="D636" t="s">
        <v>197</v>
      </c>
      <c r="E636" t="s">
        <v>197</v>
      </c>
      <c r="F636" t="s">
        <v>197</v>
      </c>
      <c r="G636" t="s">
        <v>197</v>
      </c>
      <c r="H636" t="s">
        <v>197</v>
      </c>
      <c r="I636" t="s">
        <v>197</v>
      </c>
      <c r="J636" t="s">
        <v>197</v>
      </c>
      <c r="K636" t="s">
        <v>612</v>
      </c>
    </row>
    <row r="637" spans="1:24">
      <c r="A637" t="s">
        <v>839</v>
      </c>
      <c r="K637" t="s">
        <v>840</v>
      </c>
      <c r="W637" t="s">
        <v>171</v>
      </c>
      <c r="X637" t="str">
        <f>A637</f>
        <v>info_date_dml_batch2_pk_irp1</v>
      </c>
    </row>
    <row r="638" spans="1:24">
      <c r="B638" t="s">
        <v>196</v>
      </c>
      <c r="C638" t="s">
        <v>197</v>
      </c>
      <c r="D638" t="s">
        <v>197</v>
      </c>
      <c r="E638" t="s">
        <v>197</v>
      </c>
      <c r="F638" t="s">
        <v>197</v>
      </c>
      <c r="G638" t="s">
        <v>197</v>
      </c>
      <c r="H638" t="s">
        <v>197</v>
      </c>
      <c r="I638" t="s">
        <v>841</v>
      </c>
      <c r="J638" t="s">
        <v>199</v>
      </c>
      <c r="K638" t="s">
        <v>200</v>
      </c>
    </row>
    <row r="639" spans="1:24">
      <c r="B639" t="s">
        <v>197</v>
      </c>
      <c r="C639" t="s">
        <v>197</v>
      </c>
      <c r="D639" t="s">
        <v>197</v>
      </c>
      <c r="E639" t="s">
        <v>197</v>
      </c>
      <c r="F639" t="s">
        <v>197</v>
      </c>
      <c r="G639" t="s">
        <v>197</v>
      </c>
      <c r="H639" t="s">
        <v>197</v>
      </c>
      <c r="I639" t="s">
        <v>197</v>
      </c>
      <c r="J639" t="s">
        <v>197</v>
      </c>
      <c r="K639" t="s">
        <v>678</v>
      </c>
    </row>
    <row r="640" spans="1:24">
      <c r="A640" t="s">
        <v>842</v>
      </c>
      <c r="K640" t="s">
        <v>843</v>
      </c>
      <c r="W640" t="s">
        <v>171</v>
      </c>
      <c r="X640" t="str">
        <f>A640</f>
        <v>info_time_dml_single_pk_urp</v>
      </c>
    </row>
    <row r="641" spans="1:24">
      <c r="B641" t="s">
        <v>196</v>
      </c>
      <c r="C641" t="s">
        <v>197</v>
      </c>
      <c r="D641" t="s">
        <v>197</v>
      </c>
      <c r="E641" t="s">
        <v>197</v>
      </c>
      <c r="F641" t="s">
        <v>197</v>
      </c>
      <c r="G641" t="s">
        <v>197</v>
      </c>
      <c r="H641" t="s">
        <v>197</v>
      </c>
      <c r="I641" t="s">
        <v>844</v>
      </c>
      <c r="J641" t="s">
        <v>199</v>
      </c>
      <c r="K641" t="s">
        <v>200</v>
      </c>
    </row>
    <row r="642" spans="1:24">
      <c r="B642" t="s">
        <v>197</v>
      </c>
      <c r="C642" t="s">
        <v>197</v>
      </c>
      <c r="D642" t="s">
        <v>197</v>
      </c>
      <c r="E642" t="s">
        <v>197</v>
      </c>
      <c r="F642" t="s">
        <v>197</v>
      </c>
      <c r="G642" t="s">
        <v>197</v>
      </c>
      <c r="H642" t="s">
        <v>197</v>
      </c>
      <c r="I642" t="s">
        <v>197</v>
      </c>
      <c r="J642" t="s">
        <v>197</v>
      </c>
      <c r="K642" t="s">
        <v>800</v>
      </c>
    </row>
    <row r="643" spans="1:24">
      <c r="B643" t="s">
        <v>197</v>
      </c>
      <c r="C643" t="s">
        <v>197</v>
      </c>
      <c r="D643" t="s">
        <v>197</v>
      </c>
      <c r="E643" t="s">
        <v>197</v>
      </c>
      <c r="F643" t="s">
        <v>197</v>
      </c>
      <c r="G643" t="s">
        <v>197</v>
      </c>
      <c r="H643" t="s">
        <v>197</v>
      </c>
      <c r="I643" t="s">
        <v>197</v>
      </c>
      <c r="J643" t="s">
        <v>197</v>
      </c>
      <c r="K643" t="s">
        <v>801</v>
      </c>
    </row>
    <row r="644" spans="1:24">
      <c r="B644" t="s">
        <v>197</v>
      </c>
      <c r="C644" t="s">
        <v>197</v>
      </c>
      <c r="D644" t="s">
        <v>197</v>
      </c>
      <c r="E644" t="s">
        <v>197</v>
      </c>
      <c r="F644" t="s">
        <v>197</v>
      </c>
      <c r="G644" t="s">
        <v>197</v>
      </c>
      <c r="H644" t="s">
        <v>197</v>
      </c>
      <c r="I644" t="s">
        <v>197</v>
      </c>
      <c r="J644" t="s">
        <v>197</v>
      </c>
      <c r="K644" t="s">
        <v>802</v>
      </c>
    </row>
    <row r="645" spans="1:24">
      <c r="B645" t="s">
        <v>197</v>
      </c>
      <c r="C645" t="s">
        <v>197</v>
      </c>
      <c r="D645" t="s">
        <v>197</v>
      </c>
      <c r="E645" t="s">
        <v>197</v>
      </c>
      <c r="F645" t="s">
        <v>197</v>
      </c>
      <c r="G645" t="s">
        <v>197</v>
      </c>
      <c r="H645" t="s">
        <v>197</v>
      </c>
      <c r="I645" t="s">
        <v>197</v>
      </c>
      <c r="J645" t="s">
        <v>197</v>
      </c>
      <c r="K645" t="s">
        <v>803</v>
      </c>
    </row>
    <row r="646" spans="1:24">
      <c r="B646" t="s">
        <v>197</v>
      </c>
      <c r="C646" t="s">
        <v>197</v>
      </c>
      <c r="D646" t="s">
        <v>197</v>
      </c>
      <c r="E646" t="s">
        <v>197</v>
      </c>
      <c r="F646" t="s">
        <v>197</v>
      </c>
      <c r="G646" t="s">
        <v>197</v>
      </c>
      <c r="H646" t="s">
        <v>197</v>
      </c>
      <c r="I646" t="s">
        <v>197</v>
      </c>
      <c r="J646" t="s">
        <v>197</v>
      </c>
      <c r="K646" t="s">
        <v>804</v>
      </c>
    </row>
    <row r="647" spans="1:24">
      <c r="B647" t="s">
        <v>197</v>
      </c>
      <c r="C647" t="s">
        <v>197</v>
      </c>
      <c r="D647" t="s">
        <v>197</v>
      </c>
      <c r="E647" t="s">
        <v>197</v>
      </c>
      <c r="F647" t="s">
        <v>197</v>
      </c>
      <c r="G647" t="s">
        <v>197</v>
      </c>
      <c r="H647" t="s">
        <v>197</v>
      </c>
      <c r="I647" t="s">
        <v>197</v>
      </c>
      <c r="J647" t="s">
        <v>197</v>
      </c>
      <c r="K647" t="s">
        <v>805</v>
      </c>
    </row>
    <row r="648" spans="1:24">
      <c r="B648" t="s">
        <v>197</v>
      </c>
      <c r="C648" t="s">
        <v>197</v>
      </c>
      <c r="D648" t="s">
        <v>197</v>
      </c>
      <c r="E648" t="s">
        <v>197</v>
      </c>
      <c r="F648" t="s">
        <v>197</v>
      </c>
      <c r="G648" t="s">
        <v>197</v>
      </c>
      <c r="H648" t="s">
        <v>197</v>
      </c>
      <c r="I648" t="s">
        <v>197</v>
      </c>
      <c r="J648" t="s">
        <v>197</v>
      </c>
      <c r="K648" t="s">
        <v>806</v>
      </c>
    </row>
    <row r="649" spans="1:24">
      <c r="B649" t="s">
        <v>197</v>
      </c>
      <c r="C649" t="s">
        <v>197</v>
      </c>
      <c r="D649" t="s">
        <v>197</v>
      </c>
      <c r="E649" t="s">
        <v>197</v>
      </c>
      <c r="F649" t="s">
        <v>197</v>
      </c>
      <c r="G649" t="s">
        <v>197</v>
      </c>
      <c r="H649" t="s">
        <v>197</v>
      </c>
      <c r="I649" t="s">
        <v>197</v>
      </c>
      <c r="J649" t="s">
        <v>197</v>
      </c>
      <c r="K649" t="s">
        <v>807</v>
      </c>
    </row>
    <row r="650" spans="1:24">
      <c r="A650" t="s">
        <v>845</v>
      </c>
      <c r="K650" t="s">
        <v>846</v>
      </c>
      <c r="W650" s="1" t="str">
        <f>HYPERLINK("#2026042000hbase1!AK2","NO 源备存在差异，共20个")</f>
        <v>NO 源备存在差异，共20个</v>
      </c>
      <c r="X650" t="str">
        <f>A650</f>
        <v>info_binary_dml_batch1_pk_urp1</v>
      </c>
    </row>
    <row r="651" spans="1:24">
      <c r="B651" t="s">
        <v>196</v>
      </c>
      <c r="C651" t="s">
        <v>197</v>
      </c>
      <c r="D651" t="s">
        <v>197</v>
      </c>
      <c r="E651" t="s">
        <v>197</v>
      </c>
      <c r="F651" t="s">
        <v>197</v>
      </c>
      <c r="G651" t="s">
        <v>197</v>
      </c>
      <c r="H651" t="s">
        <v>197</v>
      </c>
      <c r="I651" t="s">
        <v>847</v>
      </c>
      <c r="J651" t="s">
        <v>199</v>
      </c>
      <c r="K651" t="s">
        <v>200</v>
      </c>
    </row>
    <row r="652" spans="1:24">
      <c r="B652" t="s">
        <v>197</v>
      </c>
      <c r="C652" t="s">
        <v>197</v>
      </c>
      <c r="D652" t="s">
        <v>197</v>
      </c>
      <c r="E652" t="s">
        <v>197</v>
      </c>
      <c r="F652" t="s">
        <v>197</v>
      </c>
      <c r="G652" t="s">
        <v>197</v>
      </c>
      <c r="H652" t="s">
        <v>197</v>
      </c>
      <c r="I652" t="s">
        <v>197</v>
      </c>
      <c r="J652" t="s">
        <v>197</v>
      </c>
      <c r="K652" t="s">
        <v>691</v>
      </c>
    </row>
    <row r="653" spans="1:24">
      <c r="B653" t="s">
        <v>197</v>
      </c>
      <c r="C653" t="s">
        <v>197</v>
      </c>
      <c r="D653" t="s">
        <v>197</v>
      </c>
      <c r="E653" t="s">
        <v>197</v>
      </c>
      <c r="F653" t="s">
        <v>197</v>
      </c>
      <c r="G653" t="s">
        <v>197</v>
      </c>
      <c r="H653" t="s">
        <v>197</v>
      </c>
      <c r="I653" t="s">
        <v>197</v>
      </c>
      <c r="J653" t="s">
        <v>197</v>
      </c>
      <c r="K653" t="s">
        <v>692</v>
      </c>
    </row>
    <row r="654" spans="1:24">
      <c r="B654" t="s">
        <v>197</v>
      </c>
      <c r="C654" t="s">
        <v>197</v>
      </c>
      <c r="D654" t="s">
        <v>197</v>
      </c>
      <c r="E654" t="s">
        <v>197</v>
      </c>
      <c r="F654" t="s">
        <v>197</v>
      </c>
      <c r="G654" t="s">
        <v>197</v>
      </c>
      <c r="H654" t="s">
        <v>197</v>
      </c>
      <c r="I654" t="s">
        <v>197</v>
      </c>
      <c r="J654" t="s">
        <v>197</v>
      </c>
      <c r="K654" t="s">
        <v>693</v>
      </c>
    </row>
    <row r="655" spans="1:24">
      <c r="A655" t="s">
        <v>848</v>
      </c>
      <c r="K655" t="s">
        <v>849</v>
      </c>
      <c r="W655" t="s">
        <v>171</v>
      </c>
      <c r="X655" t="str">
        <f>A655</f>
        <v>info_time_dml_single_pk_drp</v>
      </c>
    </row>
    <row r="656" spans="1:24">
      <c r="B656" t="s">
        <v>196</v>
      </c>
      <c r="C656" t="s">
        <v>197</v>
      </c>
      <c r="D656" t="s">
        <v>197</v>
      </c>
      <c r="E656" t="s">
        <v>197</v>
      </c>
      <c r="F656" t="s">
        <v>197</v>
      </c>
      <c r="G656" t="s">
        <v>197</v>
      </c>
      <c r="H656" t="s">
        <v>197</v>
      </c>
      <c r="I656" t="s">
        <v>850</v>
      </c>
      <c r="J656" t="s">
        <v>199</v>
      </c>
      <c r="K656" t="s">
        <v>200</v>
      </c>
    </row>
    <row r="657" spans="1:24">
      <c r="B657" t="s">
        <v>197</v>
      </c>
      <c r="C657" t="s">
        <v>197</v>
      </c>
      <c r="D657" t="s">
        <v>197</v>
      </c>
      <c r="E657" t="s">
        <v>197</v>
      </c>
      <c r="F657" t="s">
        <v>197</v>
      </c>
      <c r="G657" t="s">
        <v>197</v>
      </c>
      <c r="H657" t="s">
        <v>197</v>
      </c>
      <c r="I657" t="s">
        <v>197</v>
      </c>
      <c r="J657" t="s">
        <v>197</v>
      </c>
      <c r="K657" t="s">
        <v>800</v>
      </c>
    </row>
    <row r="658" spans="1:24">
      <c r="B658" t="s">
        <v>197</v>
      </c>
      <c r="C658" t="s">
        <v>197</v>
      </c>
      <c r="D658" t="s">
        <v>197</v>
      </c>
      <c r="E658" t="s">
        <v>197</v>
      </c>
      <c r="F658" t="s">
        <v>197</v>
      </c>
      <c r="G658" t="s">
        <v>197</v>
      </c>
      <c r="H658" t="s">
        <v>197</v>
      </c>
      <c r="I658" t="s">
        <v>197</v>
      </c>
      <c r="J658" t="s">
        <v>197</v>
      </c>
      <c r="K658" t="s">
        <v>801</v>
      </c>
    </row>
    <row r="659" spans="1:24">
      <c r="B659" t="s">
        <v>197</v>
      </c>
      <c r="C659" t="s">
        <v>197</v>
      </c>
      <c r="D659" t="s">
        <v>197</v>
      </c>
      <c r="E659" t="s">
        <v>197</v>
      </c>
      <c r="F659" t="s">
        <v>197</v>
      </c>
      <c r="G659" t="s">
        <v>197</v>
      </c>
      <c r="H659" t="s">
        <v>197</v>
      </c>
      <c r="I659" t="s">
        <v>197</v>
      </c>
      <c r="J659" t="s">
        <v>197</v>
      </c>
      <c r="K659" t="s">
        <v>802</v>
      </c>
    </row>
    <row r="660" spans="1:24">
      <c r="B660" t="s">
        <v>197</v>
      </c>
      <c r="C660" t="s">
        <v>197</v>
      </c>
      <c r="D660" t="s">
        <v>197</v>
      </c>
      <c r="E660" t="s">
        <v>197</v>
      </c>
      <c r="F660" t="s">
        <v>197</v>
      </c>
      <c r="G660" t="s">
        <v>197</v>
      </c>
      <c r="H660" t="s">
        <v>197</v>
      </c>
      <c r="I660" t="s">
        <v>197</v>
      </c>
      <c r="J660" t="s">
        <v>197</v>
      </c>
      <c r="K660" t="s">
        <v>803</v>
      </c>
    </row>
    <row r="661" spans="1:24">
      <c r="B661" t="s">
        <v>197</v>
      </c>
      <c r="C661" t="s">
        <v>197</v>
      </c>
      <c r="D661" t="s">
        <v>197</v>
      </c>
      <c r="E661" t="s">
        <v>197</v>
      </c>
      <c r="F661" t="s">
        <v>197</v>
      </c>
      <c r="G661" t="s">
        <v>197</v>
      </c>
      <c r="H661" t="s">
        <v>197</v>
      </c>
      <c r="I661" t="s">
        <v>197</v>
      </c>
      <c r="J661" t="s">
        <v>197</v>
      </c>
      <c r="K661" t="s">
        <v>804</v>
      </c>
    </row>
    <row r="662" spans="1:24">
      <c r="B662" t="s">
        <v>197</v>
      </c>
      <c r="C662" t="s">
        <v>197</v>
      </c>
      <c r="D662" t="s">
        <v>197</v>
      </c>
      <c r="E662" t="s">
        <v>197</v>
      </c>
      <c r="F662" t="s">
        <v>197</v>
      </c>
      <c r="G662" t="s">
        <v>197</v>
      </c>
      <c r="H662" t="s">
        <v>197</v>
      </c>
      <c r="I662" t="s">
        <v>197</v>
      </c>
      <c r="J662" t="s">
        <v>197</v>
      </c>
      <c r="K662" t="s">
        <v>805</v>
      </c>
    </row>
    <row r="663" spans="1:24">
      <c r="B663" t="s">
        <v>197</v>
      </c>
      <c r="C663" t="s">
        <v>197</v>
      </c>
      <c r="D663" t="s">
        <v>197</v>
      </c>
      <c r="E663" t="s">
        <v>197</v>
      </c>
      <c r="F663" t="s">
        <v>197</v>
      </c>
      <c r="G663" t="s">
        <v>197</v>
      </c>
      <c r="H663" t="s">
        <v>197</v>
      </c>
      <c r="I663" t="s">
        <v>197</v>
      </c>
      <c r="J663" t="s">
        <v>197</v>
      </c>
      <c r="K663" t="s">
        <v>806</v>
      </c>
    </row>
    <row r="664" spans="1:24">
      <c r="B664" t="s">
        <v>197</v>
      </c>
      <c r="C664" t="s">
        <v>197</v>
      </c>
      <c r="D664" t="s">
        <v>197</v>
      </c>
      <c r="E664" t="s">
        <v>197</v>
      </c>
      <c r="F664" t="s">
        <v>197</v>
      </c>
      <c r="G664" t="s">
        <v>197</v>
      </c>
      <c r="H664" t="s">
        <v>197</v>
      </c>
      <c r="I664" t="s">
        <v>197</v>
      </c>
      <c r="J664" t="s">
        <v>197</v>
      </c>
      <c r="K664" t="s">
        <v>807</v>
      </c>
    </row>
    <row r="665" spans="1:24">
      <c r="A665" t="s">
        <v>851</v>
      </c>
      <c r="K665" t="s">
        <v>852</v>
      </c>
      <c r="W665" t="s">
        <v>171</v>
      </c>
      <c r="X665" t="str">
        <f>A665</f>
        <v>info_nvarchar_dml_single_pk</v>
      </c>
    </row>
    <row r="666" spans="1:24">
      <c r="B666" t="s">
        <v>196</v>
      </c>
      <c r="C666" t="s">
        <v>197</v>
      </c>
      <c r="D666" t="s">
        <v>197</v>
      </c>
      <c r="E666" t="s">
        <v>197</v>
      </c>
      <c r="F666" t="s">
        <v>197</v>
      </c>
      <c r="G666" t="s">
        <v>197</v>
      </c>
      <c r="H666" t="s">
        <v>197</v>
      </c>
      <c r="I666" t="s">
        <v>853</v>
      </c>
      <c r="J666" t="s">
        <v>199</v>
      </c>
      <c r="K666" t="s">
        <v>200</v>
      </c>
    </row>
    <row r="667" spans="1:24">
      <c r="B667" t="s">
        <v>197</v>
      </c>
      <c r="C667" t="s">
        <v>197</v>
      </c>
      <c r="D667" t="s">
        <v>197</v>
      </c>
      <c r="E667" t="s">
        <v>197</v>
      </c>
      <c r="F667" t="s">
        <v>197</v>
      </c>
      <c r="G667" t="s">
        <v>197</v>
      </c>
      <c r="H667" t="s">
        <v>197</v>
      </c>
      <c r="I667" t="s">
        <v>197</v>
      </c>
      <c r="J667" t="s">
        <v>197</v>
      </c>
      <c r="K667" t="s">
        <v>408</v>
      </c>
    </row>
    <row r="668" spans="1:24">
      <c r="B668" t="s">
        <v>197</v>
      </c>
      <c r="C668" t="s">
        <v>197</v>
      </c>
      <c r="D668" t="s">
        <v>197</v>
      </c>
      <c r="E668" t="s">
        <v>197</v>
      </c>
      <c r="F668" t="s">
        <v>197</v>
      </c>
      <c r="G668" t="s">
        <v>197</v>
      </c>
      <c r="H668" t="s">
        <v>197</v>
      </c>
      <c r="I668" t="s">
        <v>197</v>
      </c>
      <c r="J668" t="s">
        <v>197</v>
      </c>
      <c r="K668" t="s">
        <v>412</v>
      </c>
    </row>
    <row r="669" spans="1:24">
      <c r="B669" t="s">
        <v>197</v>
      </c>
      <c r="C669" t="s">
        <v>197</v>
      </c>
      <c r="D669" t="s">
        <v>197</v>
      </c>
      <c r="E669" t="s">
        <v>197</v>
      </c>
      <c r="F669" t="s">
        <v>197</v>
      </c>
      <c r="G669" t="s">
        <v>197</v>
      </c>
      <c r="H669" t="s">
        <v>197</v>
      </c>
      <c r="I669" t="s">
        <v>197</v>
      </c>
      <c r="J669" t="s">
        <v>197</v>
      </c>
      <c r="K669" t="s">
        <v>730</v>
      </c>
    </row>
    <row r="670" spans="1:24">
      <c r="A670" t="s">
        <v>854</v>
      </c>
      <c r="K670" t="s">
        <v>855</v>
      </c>
      <c r="W670" t="s">
        <v>171</v>
      </c>
      <c r="X670" t="str">
        <f>A670</f>
        <v>info_date_dml_batch2_pk_irp2</v>
      </c>
    </row>
    <row r="671" spans="1:24">
      <c r="B671" t="s">
        <v>196</v>
      </c>
      <c r="C671" t="s">
        <v>197</v>
      </c>
      <c r="D671" t="s">
        <v>197</v>
      </c>
      <c r="E671" t="s">
        <v>197</v>
      </c>
      <c r="F671" t="s">
        <v>197</v>
      </c>
      <c r="G671" t="s">
        <v>197</v>
      </c>
      <c r="H671" t="s">
        <v>197</v>
      </c>
      <c r="I671" t="s">
        <v>856</v>
      </c>
      <c r="J671" t="s">
        <v>199</v>
      </c>
      <c r="K671" t="s">
        <v>200</v>
      </c>
    </row>
    <row r="672" spans="1:24">
      <c r="B672" t="s">
        <v>197</v>
      </c>
      <c r="C672" t="s">
        <v>197</v>
      </c>
      <c r="D672" t="s">
        <v>197</v>
      </c>
      <c r="E672" t="s">
        <v>197</v>
      </c>
      <c r="F672" t="s">
        <v>197</v>
      </c>
      <c r="G672" t="s">
        <v>197</v>
      </c>
      <c r="H672" t="s">
        <v>197</v>
      </c>
      <c r="I672" t="s">
        <v>197</v>
      </c>
      <c r="J672" t="s">
        <v>197</v>
      </c>
      <c r="K672" t="s">
        <v>678</v>
      </c>
    </row>
    <row r="673" spans="1:24">
      <c r="A673" t="s">
        <v>857</v>
      </c>
      <c r="K673" t="s">
        <v>858</v>
      </c>
      <c r="W673" s="1" t="str">
        <f>HYPERLINK("#2026042000hbase1!AL2","NO 源备存在差异，共20个")</f>
        <v>NO 源备存在差异，共20个</v>
      </c>
      <c r="X673" t="str">
        <f>A673</f>
        <v>info_binary_dml_batch1_pk_urp2</v>
      </c>
    </row>
    <row r="674" spans="1:24">
      <c r="B674" t="s">
        <v>196</v>
      </c>
      <c r="C674" t="s">
        <v>197</v>
      </c>
      <c r="D674" t="s">
        <v>197</v>
      </c>
      <c r="E674" t="s">
        <v>197</v>
      </c>
      <c r="F674" t="s">
        <v>197</v>
      </c>
      <c r="G674" t="s">
        <v>197</v>
      </c>
      <c r="H674" t="s">
        <v>197</v>
      </c>
      <c r="I674" t="s">
        <v>859</v>
      </c>
      <c r="J674" t="s">
        <v>199</v>
      </c>
      <c r="K674" t="s">
        <v>200</v>
      </c>
    </row>
    <row r="675" spans="1:24">
      <c r="B675" t="s">
        <v>197</v>
      </c>
      <c r="C675" t="s">
        <v>197</v>
      </c>
      <c r="D675" t="s">
        <v>197</v>
      </c>
      <c r="E675" t="s">
        <v>197</v>
      </c>
      <c r="F675" t="s">
        <v>197</v>
      </c>
      <c r="G675" t="s">
        <v>197</v>
      </c>
      <c r="H675" t="s">
        <v>197</v>
      </c>
      <c r="I675" t="s">
        <v>197</v>
      </c>
      <c r="J675" t="s">
        <v>197</v>
      </c>
      <c r="K675" t="s">
        <v>691</v>
      </c>
    </row>
    <row r="676" spans="1:24">
      <c r="B676" t="s">
        <v>197</v>
      </c>
      <c r="C676" t="s">
        <v>197</v>
      </c>
      <c r="D676" t="s">
        <v>197</v>
      </c>
      <c r="E676" t="s">
        <v>197</v>
      </c>
      <c r="F676" t="s">
        <v>197</v>
      </c>
      <c r="G676" t="s">
        <v>197</v>
      </c>
      <c r="H676" t="s">
        <v>197</v>
      </c>
      <c r="I676" t="s">
        <v>197</v>
      </c>
      <c r="J676" t="s">
        <v>197</v>
      </c>
      <c r="K676" t="s">
        <v>692</v>
      </c>
    </row>
    <row r="677" spans="1:24">
      <c r="B677" t="s">
        <v>197</v>
      </c>
      <c r="C677" t="s">
        <v>197</v>
      </c>
      <c r="D677" t="s">
        <v>197</v>
      </c>
      <c r="E677" t="s">
        <v>197</v>
      </c>
      <c r="F677" t="s">
        <v>197</v>
      </c>
      <c r="G677" t="s">
        <v>197</v>
      </c>
      <c r="H677" t="s">
        <v>197</v>
      </c>
      <c r="I677" t="s">
        <v>197</v>
      </c>
      <c r="J677" t="s">
        <v>197</v>
      </c>
      <c r="K677" t="s">
        <v>693</v>
      </c>
    </row>
    <row r="678" spans="1:24">
      <c r="A678" t="s">
        <v>860</v>
      </c>
      <c r="K678" t="s">
        <v>861</v>
      </c>
      <c r="W678" t="s">
        <v>171</v>
      </c>
      <c r="X678" t="str">
        <f>A678</f>
        <v>info_time_dml_single_pk</v>
      </c>
    </row>
    <row r="679" spans="1:24">
      <c r="B679" t="s">
        <v>196</v>
      </c>
      <c r="C679" t="s">
        <v>197</v>
      </c>
      <c r="D679" t="s">
        <v>197</v>
      </c>
      <c r="E679" t="s">
        <v>197</v>
      </c>
      <c r="F679" t="s">
        <v>197</v>
      </c>
      <c r="G679" t="s">
        <v>197</v>
      </c>
      <c r="H679" t="s">
        <v>197</v>
      </c>
      <c r="I679" t="s">
        <v>862</v>
      </c>
      <c r="J679" t="s">
        <v>199</v>
      </c>
      <c r="K679" t="s">
        <v>200</v>
      </c>
    </row>
    <row r="680" spans="1:24">
      <c r="B680" t="s">
        <v>197</v>
      </c>
      <c r="C680" t="s">
        <v>197</v>
      </c>
      <c r="D680" t="s">
        <v>197</v>
      </c>
      <c r="E680" t="s">
        <v>197</v>
      </c>
      <c r="F680" t="s">
        <v>197</v>
      </c>
      <c r="G680" t="s">
        <v>197</v>
      </c>
      <c r="H680" t="s">
        <v>197</v>
      </c>
      <c r="I680" t="s">
        <v>197</v>
      </c>
      <c r="J680" t="s">
        <v>197</v>
      </c>
      <c r="K680" t="s">
        <v>800</v>
      </c>
    </row>
    <row r="681" spans="1:24">
      <c r="B681" t="s">
        <v>197</v>
      </c>
      <c r="C681" t="s">
        <v>197</v>
      </c>
      <c r="D681" t="s">
        <v>197</v>
      </c>
      <c r="E681" t="s">
        <v>197</v>
      </c>
      <c r="F681" t="s">
        <v>197</v>
      </c>
      <c r="G681" t="s">
        <v>197</v>
      </c>
      <c r="H681" t="s">
        <v>197</v>
      </c>
      <c r="I681" t="s">
        <v>197</v>
      </c>
      <c r="J681" t="s">
        <v>197</v>
      </c>
      <c r="K681" t="s">
        <v>801</v>
      </c>
    </row>
    <row r="682" spans="1:24">
      <c r="B682" t="s">
        <v>197</v>
      </c>
      <c r="C682" t="s">
        <v>197</v>
      </c>
      <c r="D682" t="s">
        <v>197</v>
      </c>
      <c r="E682" t="s">
        <v>197</v>
      </c>
      <c r="F682" t="s">
        <v>197</v>
      </c>
      <c r="G682" t="s">
        <v>197</v>
      </c>
      <c r="H682" t="s">
        <v>197</v>
      </c>
      <c r="I682" t="s">
        <v>197</v>
      </c>
      <c r="J682" t="s">
        <v>197</v>
      </c>
      <c r="K682" t="s">
        <v>802</v>
      </c>
    </row>
    <row r="683" spans="1:24">
      <c r="B683" t="s">
        <v>197</v>
      </c>
      <c r="C683" t="s">
        <v>197</v>
      </c>
      <c r="D683" t="s">
        <v>197</v>
      </c>
      <c r="E683" t="s">
        <v>197</v>
      </c>
      <c r="F683" t="s">
        <v>197</v>
      </c>
      <c r="G683" t="s">
        <v>197</v>
      </c>
      <c r="H683" t="s">
        <v>197</v>
      </c>
      <c r="I683" t="s">
        <v>197</v>
      </c>
      <c r="J683" t="s">
        <v>197</v>
      </c>
      <c r="K683" t="s">
        <v>803</v>
      </c>
    </row>
    <row r="684" spans="1:24">
      <c r="B684" t="s">
        <v>197</v>
      </c>
      <c r="C684" t="s">
        <v>197</v>
      </c>
      <c r="D684" t="s">
        <v>197</v>
      </c>
      <c r="E684" t="s">
        <v>197</v>
      </c>
      <c r="F684" t="s">
        <v>197</v>
      </c>
      <c r="G684" t="s">
        <v>197</v>
      </c>
      <c r="H684" t="s">
        <v>197</v>
      </c>
      <c r="I684" t="s">
        <v>197</v>
      </c>
      <c r="J684" t="s">
        <v>197</v>
      </c>
      <c r="K684" t="s">
        <v>804</v>
      </c>
    </row>
    <row r="685" spans="1:24">
      <c r="B685" t="s">
        <v>197</v>
      </c>
      <c r="C685" t="s">
        <v>197</v>
      </c>
      <c r="D685" t="s">
        <v>197</v>
      </c>
      <c r="E685" t="s">
        <v>197</v>
      </c>
      <c r="F685" t="s">
        <v>197</v>
      </c>
      <c r="G685" t="s">
        <v>197</v>
      </c>
      <c r="H685" t="s">
        <v>197</v>
      </c>
      <c r="I685" t="s">
        <v>197</v>
      </c>
      <c r="J685" t="s">
        <v>197</v>
      </c>
      <c r="K685" t="s">
        <v>805</v>
      </c>
    </row>
    <row r="686" spans="1:24">
      <c r="B686" t="s">
        <v>197</v>
      </c>
      <c r="C686" t="s">
        <v>197</v>
      </c>
      <c r="D686" t="s">
        <v>197</v>
      </c>
      <c r="E686" t="s">
        <v>197</v>
      </c>
      <c r="F686" t="s">
        <v>197</v>
      </c>
      <c r="G686" t="s">
        <v>197</v>
      </c>
      <c r="H686" t="s">
        <v>197</v>
      </c>
      <c r="I686" t="s">
        <v>197</v>
      </c>
      <c r="J686" t="s">
        <v>197</v>
      </c>
      <c r="K686" t="s">
        <v>806</v>
      </c>
    </row>
    <row r="687" spans="1:24">
      <c r="B687" t="s">
        <v>197</v>
      </c>
      <c r="C687" t="s">
        <v>197</v>
      </c>
      <c r="D687" t="s">
        <v>197</v>
      </c>
      <c r="E687" t="s">
        <v>197</v>
      </c>
      <c r="F687" t="s">
        <v>197</v>
      </c>
      <c r="G687" t="s">
        <v>197</v>
      </c>
      <c r="H687" t="s">
        <v>197</v>
      </c>
      <c r="I687" t="s">
        <v>197</v>
      </c>
      <c r="J687" t="s">
        <v>197</v>
      </c>
      <c r="K687" t="s">
        <v>807</v>
      </c>
    </row>
    <row r="688" spans="1:24">
      <c r="A688" t="s">
        <v>863</v>
      </c>
      <c r="K688" t="s">
        <v>864</v>
      </c>
      <c r="W688" s="1" t="str">
        <f>HYPERLINK("#2026042000hbase1!AM2","NO 源备存在差异，共4个")</f>
        <v>NO 源备存在差异，共4个</v>
      </c>
      <c r="X688" t="str">
        <f>A688</f>
        <v>info_int_dml_single_pk_irp</v>
      </c>
    </row>
    <row r="689" spans="2:11">
      <c r="B689" t="s">
        <v>196</v>
      </c>
      <c r="C689" t="s">
        <v>197</v>
      </c>
      <c r="D689" t="s">
        <v>197</v>
      </c>
      <c r="E689" t="s">
        <v>197</v>
      </c>
      <c r="F689" t="s">
        <v>197</v>
      </c>
      <c r="G689" t="s">
        <v>197</v>
      </c>
      <c r="H689" t="s">
        <v>197</v>
      </c>
      <c r="I689" t="s">
        <v>865</v>
      </c>
      <c r="J689" t="s">
        <v>199</v>
      </c>
      <c r="K689" t="s">
        <v>200</v>
      </c>
    </row>
    <row r="690" spans="2:11">
      <c r="B690" t="s">
        <v>197</v>
      </c>
      <c r="C690" t="s">
        <v>197</v>
      </c>
      <c r="D690" t="s">
        <v>197</v>
      </c>
      <c r="E690" t="s">
        <v>197</v>
      </c>
      <c r="F690" t="s">
        <v>197</v>
      </c>
      <c r="G690" t="s">
        <v>197</v>
      </c>
      <c r="H690" t="s">
        <v>197</v>
      </c>
      <c r="I690" t="s">
        <v>197</v>
      </c>
      <c r="J690" t="s">
        <v>197</v>
      </c>
      <c r="K690" t="s">
        <v>549</v>
      </c>
    </row>
    <row r="691" spans="2:11">
      <c r="B691" t="s">
        <v>197</v>
      </c>
      <c r="C691" t="s">
        <v>197</v>
      </c>
      <c r="D691" t="s">
        <v>197</v>
      </c>
      <c r="E691" t="s">
        <v>197</v>
      </c>
      <c r="F691" t="s">
        <v>197</v>
      </c>
      <c r="G691" t="s">
        <v>197</v>
      </c>
      <c r="H691" t="s">
        <v>197</v>
      </c>
      <c r="I691" t="s">
        <v>197</v>
      </c>
      <c r="J691" t="s">
        <v>197</v>
      </c>
      <c r="K691" t="s">
        <v>550</v>
      </c>
    </row>
    <row r="692" spans="2:11">
      <c r="B692" t="s">
        <v>197</v>
      </c>
      <c r="C692" t="s">
        <v>197</v>
      </c>
      <c r="D692" t="s">
        <v>197</v>
      </c>
      <c r="E692" t="s">
        <v>197</v>
      </c>
      <c r="F692" t="s">
        <v>197</v>
      </c>
      <c r="G692" t="s">
        <v>197</v>
      </c>
      <c r="H692" t="s">
        <v>197</v>
      </c>
      <c r="I692" t="s">
        <v>197</v>
      </c>
      <c r="J692" t="s">
        <v>197</v>
      </c>
      <c r="K692" t="s">
        <v>551</v>
      </c>
    </row>
    <row r="693" spans="2:11">
      <c r="B693" t="s">
        <v>197</v>
      </c>
      <c r="C693" t="s">
        <v>197</v>
      </c>
      <c r="D693" t="s">
        <v>197</v>
      </c>
      <c r="E693" t="s">
        <v>197</v>
      </c>
      <c r="F693" t="s">
        <v>197</v>
      </c>
      <c r="G693" t="s">
        <v>197</v>
      </c>
      <c r="H693" t="s">
        <v>197</v>
      </c>
      <c r="I693" t="s">
        <v>197</v>
      </c>
      <c r="J693" t="s">
        <v>197</v>
      </c>
      <c r="K693" t="s">
        <v>552</v>
      </c>
    </row>
    <row r="694" spans="2:11">
      <c r="B694" t="s">
        <v>197</v>
      </c>
      <c r="C694" t="s">
        <v>197</v>
      </c>
      <c r="D694" t="s">
        <v>197</v>
      </c>
      <c r="E694" t="s">
        <v>197</v>
      </c>
      <c r="F694" t="s">
        <v>197</v>
      </c>
      <c r="G694" t="s">
        <v>197</v>
      </c>
      <c r="H694" t="s">
        <v>197</v>
      </c>
      <c r="I694" t="s">
        <v>197</v>
      </c>
      <c r="J694" t="s">
        <v>197</v>
      </c>
      <c r="K694" t="s">
        <v>553</v>
      </c>
    </row>
    <row r="695" spans="2:11">
      <c r="B695" t="s">
        <v>197</v>
      </c>
      <c r="C695" t="s">
        <v>197</v>
      </c>
      <c r="D695" t="s">
        <v>197</v>
      </c>
      <c r="E695" t="s">
        <v>197</v>
      </c>
      <c r="F695" t="s">
        <v>197</v>
      </c>
      <c r="G695" t="s">
        <v>197</v>
      </c>
      <c r="H695" t="s">
        <v>197</v>
      </c>
      <c r="I695" t="s">
        <v>197</v>
      </c>
      <c r="J695" t="s">
        <v>197</v>
      </c>
      <c r="K695" t="s">
        <v>554</v>
      </c>
    </row>
    <row r="696" spans="2:11">
      <c r="B696" t="s">
        <v>197</v>
      </c>
      <c r="C696" t="s">
        <v>197</v>
      </c>
      <c r="D696" t="s">
        <v>197</v>
      </c>
      <c r="E696" t="s">
        <v>197</v>
      </c>
      <c r="F696" t="s">
        <v>197</v>
      </c>
      <c r="G696" t="s">
        <v>197</v>
      </c>
      <c r="H696" t="s">
        <v>197</v>
      </c>
      <c r="I696" t="s">
        <v>197</v>
      </c>
      <c r="J696" t="s">
        <v>197</v>
      </c>
      <c r="K696" t="s">
        <v>555</v>
      </c>
    </row>
    <row r="697" spans="2:11">
      <c r="B697" t="s">
        <v>197</v>
      </c>
      <c r="C697" t="s">
        <v>197</v>
      </c>
      <c r="D697" t="s">
        <v>197</v>
      </c>
      <c r="E697" t="s">
        <v>197</v>
      </c>
      <c r="F697" t="s">
        <v>197</v>
      </c>
      <c r="G697" t="s">
        <v>197</v>
      </c>
      <c r="H697" t="s">
        <v>197</v>
      </c>
      <c r="I697" t="s">
        <v>197</v>
      </c>
      <c r="J697" t="s">
        <v>197</v>
      </c>
      <c r="K697" t="s">
        <v>556</v>
      </c>
    </row>
    <row r="698" spans="2:11">
      <c r="B698" t="s">
        <v>197</v>
      </c>
      <c r="C698" t="s">
        <v>197</v>
      </c>
      <c r="D698" t="s">
        <v>197</v>
      </c>
      <c r="E698" t="s">
        <v>197</v>
      </c>
      <c r="F698" t="s">
        <v>197</v>
      </c>
      <c r="G698" t="s">
        <v>197</v>
      </c>
      <c r="H698" t="s">
        <v>197</v>
      </c>
      <c r="I698" t="s">
        <v>197</v>
      </c>
      <c r="J698" t="s">
        <v>197</v>
      </c>
      <c r="K698" t="s">
        <v>557</v>
      </c>
    </row>
    <row r="699" spans="2:11">
      <c r="B699" t="s">
        <v>197</v>
      </c>
      <c r="C699" t="s">
        <v>197</v>
      </c>
      <c r="D699" t="s">
        <v>197</v>
      </c>
      <c r="E699" t="s">
        <v>197</v>
      </c>
      <c r="F699" t="s">
        <v>197</v>
      </c>
      <c r="G699" t="s">
        <v>197</v>
      </c>
      <c r="H699" t="s">
        <v>197</v>
      </c>
      <c r="I699" t="s">
        <v>197</v>
      </c>
      <c r="J699" t="s">
        <v>197</v>
      </c>
      <c r="K699" t="s">
        <v>558</v>
      </c>
    </row>
    <row r="700" spans="2:11">
      <c r="B700" t="s">
        <v>197</v>
      </c>
      <c r="C700" t="s">
        <v>197</v>
      </c>
      <c r="D700" t="s">
        <v>197</v>
      </c>
      <c r="E700" t="s">
        <v>197</v>
      </c>
      <c r="F700" t="s">
        <v>197</v>
      </c>
      <c r="G700" t="s">
        <v>197</v>
      </c>
      <c r="H700" t="s">
        <v>197</v>
      </c>
      <c r="I700" t="s">
        <v>197</v>
      </c>
      <c r="J700" t="s">
        <v>197</v>
      </c>
      <c r="K700" t="s">
        <v>559</v>
      </c>
    </row>
    <row r="701" spans="2:11">
      <c r="B701" t="s">
        <v>197</v>
      </c>
      <c r="C701" t="s">
        <v>197</v>
      </c>
      <c r="D701" t="s">
        <v>197</v>
      </c>
      <c r="E701" t="s">
        <v>197</v>
      </c>
      <c r="F701" t="s">
        <v>197</v>
      </c>
      <c r="G701" t="s">
        <v>197</v>
      </c>
      <c r="H701" t="s">
        <v>197</v>
      </c>
      <c r="I701" t="s">
        <v>197</v>
      </c>
      <c r="J701" t="s">
        <v>197</v>
      </c>
      <c r="K701" t="s">
        <v>560</v>
      </c>
    </row>
    <row r="702" spans="2:11">
      <c r="B702" t="s">
        <v>197</v>
      </c>
      <c r="C702" t="s">
        <v>197</v>
      </c>
      <c r="D702" t="s">
        <v>197</v>
      </c>
      <c r="E702" t="s">
        <v>197</v>
      </c>
      <c r="F702" t="s">
        <v>197</v>
      </c>
      <c r="G702" t="s">
        <v>197</v>
      </c>
      <c r="H702" t="s">
        <v>197</v>
      </c>
      <c r="I702" t="s">
        <v>197</v>
      </c>
      <c r="J702" t="s">
        <v>197</v>
      </c>
      <c r="K702" t="s">
        <v>561</v>
      </c>
    </row>
    <row r="703" spans="2:11">
      <c r="B703" t="s">
        <v>197</v>
      </c>
      <c r="C703" t="s">
        <v>197</v>
      </c>
      <c r="D703" t="s">
        <v>197</v>
      </c>
      <c r="E703" t="s">
        <v>197</v>
      </c>
      <c r="F703" t="s">
        <v>197</v>
      </c>
      <c r="G703" t="s">
        <v>197</v>
      </c>
      <c r="H703" t="s">
        <v>197</v>
      </c>
      <c r="I703" t="s">
        <v>197</v>
      </c>
      <c r="J703" t="s">
        <v>197</v>
      </c>
      <c r="K703" t="s">
        <v>562</v>
      </c>
    </row>
    <row r="704" spans="2:11">
      <c r="B704" t="s">
        <v>197</v>
      </c>
      <c r="C704" t="s">
        <v>197</v>
      </c>
      <c r="D704" t="s">
        <v>197</v>
      </c>
      <c r="E704" t="s">
        <v>197</v>
      </c>
      <c r="F704" t="s">
        <v>197</v>
      </c>
      <c r="G704" t="s">
        <v>197</v>
      </c>
      <c r="H704" t="s">
        <v>197</v>
      </c>
      <c r="I704" t="s">
        <v>197</v>
      </c>
      <c r="J704" t="s">
        <v>197</v>
      </c>
      <c r="K704" t="s">
        <v>563</v>
      </c>
    </row>
    <row r="705" spans="1:24">
      <c r="B705" t="s">
        <v>197</v>
      </c>
      <c r="C705" t="s">
        <v>197</v>
      </c>
      <c r="D705" t="s">
        <v>197</v>
      </c>
      <c r="E705" t="s">
        <v>197</v>
      </c>
      <c r="F705" t="s">
        <v>197</v>
      </c>
      <c r="G705" t="s">
        <v>197</v>
      </c>
      <c r="H705" t="s">
        <v>197</v>
      </c>
      <c r="I705" t="s">
        <v>197</v>
      </c>
      <c r="J705" t="s">
        <v>197</v>
      </c>
      <c r="K705" t="s">
        <v>564</v>
      </c>
    </row>
    <row r="706" spans="1:24">
      <c r="B706" t="s">
        <v>197</v>
      </c>
      <c r="C706" t="s">
        <v>197</v>
      </c>
      <c r="D706" t="s">
        <v>197</v>
      </c>
      <c r="E706" t="s">
        <v>197</v>
      </c>
      <c r="F706" t="s">
        <v>197</v>
      </c>
      <c r="G706" t="s">
        <v>197</v>
      </c>
      <c r="H706" t="s">
        <v>197</v>
      </c>
      <c r="I706" t="s">
        <v>197</v>
      </c>
      <c r="J706" t="s">
        <v>197</v>
      </c>
      <c r="K706" t="s">
        <v>565</v>
      </c>
    </row>
    <row r="707" spans="1:24">
      <c r="B707" t="s">
        <v>197</v>
      </c>
      <c r="C707" t="s">
        <v>197</v>
      </c>
      <c r="D707" t="s">
        <v>197</v>
      </c>
      <c r="E707" t="s">
        <v>197</v>
      </c>
      <c r="F707" t="s">
        <v>197</v>
      </c>
      <c r="G707" t="s">
        <v>197</v>
      </c>
      <c r="H707" t="s">
        <v>197</v>
      </c>
      <c r="I707" t="s">
        <v>197</v>
      </c>
      <c r="J707" t="s">
        <v>197</v>
      </c>
      <c r="K707" t="s">
        <v>566</v>
      </c>
    </row>
    <row r="708" spans="1:24">
      <c r="B708" t="s">
        <v>197</v>
      </c>
      <c r="C708" t="s">
        <v>197</v>
      </c>
      <c r="D708" t="s">
        <v>197</v>
      </c>
      <c r="E708" t="s">
        <v>197</v>
      </c>
      <c r="F708" t="s">
        <v>197</v>
      </c>
      <c r="G708" t="s">
        <v>197</v>
      </c>
      <c r="H708" t="s">
        <v>197</v>
      </c>
      <c r="I708" t="s">
        <v>197</v>
      </c>
      <c r="J708" t="s">
        <v>197</v>
      </c>
      <c r="K708" t="s">
        <v>567</v>
      </c>
    </row>
    <row r="709" spans="1:24">
      <c r="A709" t="s">
        <v>866</v>
      </c>
      <c r="K709" t="s">
        <v>867</v>
      </c>
      <c r="W709" t="s">
        <v>171</v>
      </c>
      <c r="X709" t="str">
        <f>A709</f>
        <v>info_sdt_dml_single_pk_irp</v>
      </c>
    </row>
    <row r="710" spans="1:24">
      <c r="B710" t="s">
        <v>196</v>
      </c>
      <c r="C710" t="s">
        <v>197</v>
      </c>
      <c r="D710" t="s">
        <v>197</v>
      </c>
      <c r="E710" t="s">
        <v>197</v>
      </c>
      <c r="F710" t="s">
        <v>197</v>
      </c>
      <c r="G710" t="s">
        <v>197</v>
      </c>
      <c r="H710" t="s">
        <v>197</v>
      </c>
      <c r="I710" t="s">
        <v>868</v>
      </c>
      <c r="J710" t="s">
        <v>199</v>
      </c>
      <c r="K710" t="s">
        <v>200</v>
      </c>
    </row>
    <row r="711" spans="1:24">
      <c r="B711" t="s">
        <v>197</v>
      </c>
      <c r="C711" t="s">
        <v>197</v>
      </c>
      <c r="D711" t="s">
        <v>197</v>
      </c>
      <c r="E711" t="s">
        <v>197</v>
      </c>
      <c r="F711" t="s">
        <v>197</v>
      </c>
      <c r="G711" t="s">
        <v>197</v>
      </c>
      <c r="H711" t="s">
        <v>197</v>
      </c>
      <c r="I711" t="s">
        <v>197</v>
      </c>
      <c r="J711" t="s">
        <v>197</v>
      </c>
      <c r="K711" t="s">
        <v>422</v>
      </c>
    </row>
    <row r="712" spans="1:24">
      <c r="A712" t="s">
        <v>869</v>
      </c>
      <c r="K712" t="s">
        <v>870</v>
      </c>
      <c r="W712" t="s">
        <v>171</v>
      </c>
      <c r="X712" t="str">
        <f>A712</f>
        <v>info_varcharmax_dml_batch1_pk_urp1</v>
      </c>
    </row>
    <row r="713" spans="1:24">
      <c r="B713" t="s">
        <v>196</v>
      </c>
      <c r="C713" t="s">
        <v>197</v>
      </c>
      <c r="D713" t="s">
        <v>197</v>
      </c>
      <c r="E713" t="s">
        <v>197</v>
      </c>
      <c r="F713" t="s">
        <v>197</v>
      </c>
      <c r="G713" t="s">
        <v>197</v>
      </c>
      <c r="H713" t="s">
        <v>197</v>
      </c>
      <c r="I713" t="s">
        <v>871</v>
      </c>
      <c r="J713" t="s">
        <v>199</v>
      </c>
      <c r="K713" t="s">
        <v>200</v>
      </c>
    </row>
    <row r="714" spans="1:24">
      <c r="B714" t="s">
        <v>197</v>
      </c>
      <c r="C714" t="s">
        <v>197</v>
      </c>
      <c r="D714" t="s">
        <v>197</v>
      </c>
      <c r="E714" t="s">
        <v>197</v>
      </c>
      <c r="F714" t="s">
        <v>197</v>
      </c>
      <c r="G714" t="s">
        <v>197</v>
      </c>
      <c r="H714" t="s">
        <v>197</v>
      </c>
      <c r="I714" t="s">
        <v>197</v>
      </c>
      <c r="J714" t="s">
        <v>197</v>
      </c>
      <c r="K714" t="s">
        <v>725</v>
      </c>
    </row>
    <row r="715" spans="1:24">
      <c r="B715" t="s">
        <v>197</v>
      </c>
      <c r="C715" t="s">
        <v>197</v>
      </c>
      <c r="D715" t="s">
        <v>197</v>
      </c>
      <c r="E715" t="s">
        <v>197</v>
      </c>
      <c r="F715" t="s">
        <v>197</v>
      </c>
      <c r="G715" t="s">
        <v>197</v>
      </c>
      <c r="H715" t="s">
        <v>197</v>
      </c>
      <c r="I715" t="s">
        <v>197</v>
      </c>
      <c r="J715" t="s">
        <v>197</v>
      </c>
      <c r="K715" t="s">
        <v>726</v>
      </c>
    </row>
    <row r="716" spans="1:24">
      <c r="K716" t="s">
        <v>443</v>
      </c>
    </row>
    <row r="717" spans="1:24">
      <c r="A717" t="s">
        <v>872</v>
      </c>
      <c r="K717" t="s">
        <v>873</v>
      </c>
      <c r="W717" t="s">
        <v>171</v>
      </c>
      <c r="X717" t="str">
        <f>A717</f>
        <v>info_nchar_dml_batch1_pk_drp1</v>
      </c>
    </row>
    <row r="718" spans="1:24">
      <c r="B718" t="s">
        <v>196</v>
      </c>
      <c r="C718" t="s">
        <v>197</v>
      </c>
      <c r="D718" t="s">
        <v>197</v>
      </c>
      <c r="E718" t="s">
        <v>197</v>
      </c>
      <c r="F718" t="s">
        <v>197</v>
      </c>
      <c r="G718" t="s">
        <v>197</v>
      </c>
      <c r="H718" t="s">
        <v>197</v>
      </c>
      <c r="I718" t="s">
        <v>874</v>
      </c>
      <c r="J718" t="s">
        <v>199</v>
      </c>
      <c r="K718" t="s">
        <v>200</v>
      </c>
    </row>
    <row r="719" spans="1:24">
      <c r="B719" t="s">
        <v>197</v>
      </c>
      <c r="C719" t="s">
        <v>197</v>
      </c>
      <c r="D719" t="s">
        <v>197</v>
      </c>
      <c r="E719" t="s">
        <v>197</v>
      </c>
      <c r="F719" t="s">
        <v>197</v>
      </c>
      <c r="G719" t="s">
        <v>197</v>
      </c>
      <c r="H719" t="s">
        <v>197</v>
      </c>
      <c r="I719" t="s">
        <v>197</v>
      </c>
      <c r="J719" t="s">
        <v>197</v>
      </c>
      <c r="K719" t="s">
        <v>514</v>
      </c>
    </row>
    <row r="720" spans="1:24">
      <c r="B720" t="s">
        <v>197</v>
      </c>
      <c r="C720" t="s">
        <v>197</v>
      </c>
      <c r="D720" t="s">
        <v>197</v>
      </c>
      <c r="E720" t="s">
        <v>197</v>
      </c>
      <c r="F720" t="s">
        <v>197</v>
      </c>
      <c r="G720" t="s">
        <v>197</v>
      </c>
      <c r="H720" t="s">
        <v>197</v>
      </c>
      <c r="I720" t="s">
        <v>197</v>
      </c>
      <c r="J720" t="s">
        <v>197</v>
      </c>
      <c r="K720" t="s">
        <v>516</v>
      </c>
    </row>
    <row r="721" spans="1:24">
      <c r="B721" t="s">
        <v>197</v>
      </c>
      <c r="C721" t="s">
        <v>197</v>
      </c>
      <c r="D721" t="s">
        <v>197</v>
      </c>
      <c r="E721" t="s">
        <v>197</v>
      </c>
      <c r="F721" t="s">
        <v>197</v>
      </c>
      <c r="G721" t="s">
        <v>197</v>
      </c>
      <c r="H721" t="s">
        <v>197</v>
      </c>
      <c r="I721" t="s">
        <v>197</v>
      </c>
      <c r="J721" t="s">
        <v>197</v>
      </c>
      <c r="K721" t="s">
        <v>612</v>
      </c>
    </row>
    <row r="722" spans="1:24">
      <c r="K722" t="s">
        <v>443</v>
      </c>
    </row>
    <row r="723" spans="1:24">
      <c r="A723" t="s">
        <v>875</v>
      </c>
      <c r="K723" t="s">
        <v>876</v>
      </c>
      <c r="W723" t="s">
        <v>171</v>
      </c>
      <c r="X723" t="str">
        <f>A723</f>
        <v>info_sdt_dml_single_pk_urp</v>
      </c>
    </row>
    <row r="724" spans="1:24">
      <c r="B724" t="s">
        <v>196</v>
      </c>
      <c r="C724" t="s">
        <v>197</v>
      </c>
      <c r="D724" t="s">
        <v>197</v>
      </c>
      <c r="E724" t="s">
        <v>197</v>
      </c>
      <c r="F724" t="s">
        <v>197</v>
      </c>
      <c r="G724" t="s">
        <v>197</v>
      </c>
      <c r="H724" t="s">
        <v>197</v>
      </c>
      <c r="I724" t="s">
        <v>877</v>
      </c>
      <c r="J724" t="s">
        <v>199</v>
      </c>
      <c r="K724" t="s">
        <v>200</v>
      </c>
    </row>
    <row r="725" spans="1:24">
      <c r="B725" t="s">
        <v>197</v>
      </c>
      <c r="C725" t="s">
        <v>197</v>
      </c>
      <c r="D725" t="s">
        <v>197</v>
      </c>
      <c r="E725" t="s">
        <v>197</v>
      </c>
      <c r="F725" t="s">
        <v>197</v>
      </c>
      <c r="G725" t="s">
        <v>197</v>
      </c>
      <c r="H725" t="s">
        <v>197</v>
      </c>
      <c r="I725" t="s">
        <v>197</v>
      </c>
      <c r="J725" t="s">
        <v>197</v>
      </c>
      <c r="K725" t="s">
        <v>422</v>
      </c>
    </row>
    <row r="726" spans="1:24">
      <c r="A726" t="s">
        <v>878</v>
      </c>
      <c r="K726" t="s">
        <v>879</v>
      </c>
      <c r="W726" t="s">
        <v>171</v>
      </c>
      <c r="X726" t="str">
        <f>A726</f>
        <v>info_varcharmax_dml_batch1_pk_urp2</v>
      </c>
    </row>
    <row r="727" spans="1:24">
      <c r="B727" t="s">
        <v>196</v>
      </c>
      <c r="C727" t="s">
        <v>197</v>
      </c>
      <c r="D727" t="s">
        <v>197</v>
      </c>
      <c r="E727" t="s">
        <v>197</v>
      </c>
      <c r="F727" t="s">
        <v>197</v>
      </c>
      <c r="G727" t="s">
        <v>197</v>
      </c>
      <c r="H727" t="s">
        <v>197</v>
      </c>
      <c r="I727" t="s">
        <v>880</v>
      </c>
      <c r="J727" t="s">
        <v>199</v>
      </c>
      <c r="K727" t="s">
        <v>200</v>
      </c>
    </row>
    <row r="728" spans="1:24">
      <c r="B728" t="s">
        <v>197</v>
      </c>
      <c r="C728" t="s">
        <v>197</v>
      </c>
      <c r="D728" t="s">
        <v>197</v>
      </c>
      <c r="E728" t="s">
        <v>197</v>
      </c>
      <c r="F728" t="s">
        <v>197</v>
      </c>
      <c r="G728" t="s">
        <v>197</v>
      </c>
      <c r="H728" t="s">
        <v>197</v>
      </c>
      <c r="I728" t="s">
        <v>197</v>
      </c>
      <c r="J728" t="s">
        <v>197</v>
      </c>
      <c r="K728" t="s">
        <v>725</v>
      </c>
    </row>
    <row r="729" spans="1:24">
      <c r="B729" t="s">
        <v>197</v>
      </c>
      <c r="C729" t="s">
        <v>197</v>
      </c>
      <c r="D729" t="s">
        <v>197</v>
      </c>
      <c r="E729" t="s">
        <v>197</v>
      </c>
      <c r="F729" t="s">
        <v>197</v>
      </c>
      <c r="G729" t="s">
        <v>197</v>
      </c>
      <c r="H729" t="s">
        <v>197</v>
      </c>
      <c r="I729" t="s">
        <v>197</v>
      </c>
      <c r="J729" t="s">
        <v>197</v>
      </c>
      <c r="K729" t="s">
        <v>726</v>
      </c>
    </row>
    <row r="730" spans="1:24">
      <c r="K730" t="s">
        <v>443</v>
      </c>
    </row>
    <row r="731" spans="1:24">
      <c r="A731" t="s">
        <v>881</v>
      </c>
      <c r="K731" t="s">
        <v>882</v>
      </c>
      <c r="W731" t="s">
        <v>171</v>
      </c>
      <c r="X731" t="str">
        <f>A731</f>
        <v>info_varcharmax_dml_single_pk_irp</v>
      </c>
    </row>
    <row r="732" spans="1:24">
      <c r="B732" t="s">
        <v>196</v>
      </c>
      <c r="C732" t="s">
        <v>197</v>
      </c>
      <c r="D732" t="s">
        <v>197</v>
      </c>
      <c r="E732" t="s">
        <v>197</v>
      </c>
      <c r="F732" t="s">
        <v>197</v>
      </c>
      <c r="G732" t="s">
        <v>197</v>
      </c>
      <c r="H732" t="s">
        <v>197</v>
      </c>
      <c r="I732" t="s">
        <v>883</v>
      </c>
      <c r="J732" t="s">
        <v>199</v>
      </c>
      <c r="K732" t="s">
        <v>200</v>
      </c>
    </row>
    <row r="733" spans="1:24">
      <c r="B733" t="s">
        <v>197</v>
      </c>
      <c r="C733" t="s">
        <v>197</v>
      </c>
      <c r="D733" t="s">
        <v>197</v>
      </c>
      <c r="E733" t="s">
        <v>197</v>
      </c>
      <c r="F733" t="s">
        <v>197</v>
      </c>
      <c r="G733" t="s">
        <v>197</v>
      </c>
      <c r="H733" t="s">
        <v>197</v>
      </c>
      <c r="I733" t="s">
        <v>197</v>
      </c>
      <c r="J733" t="s">
        <v>197</v>
      </c>
      <c r="K733" t="s">
        <v>725</v>
      </c>
    </row>
    <row r="734" spans="1:24">
      <c r="B734" t="s">
        <v>197</v>
      </c>
      <c r="C734" t="s">
        <v>197</v>
      </c>
      <c r="D734" t="s">
        <v>197</v>
      </c>
      <c r="E734" t="s">
        <v>197</v>
      </c>
      <c r="F734" t="s">
        <v>197</v>
      </c>
      <c r="G734" t="s">
        <v>197</v>
      </c>
      <c r="H734" t="s">
        <v>197</v>
      </c>
      <c r="I734" t="s">
        <v>197</v>
      </c>
      <c r="J734" t="s">
        <v>197</v>
      </c>
      <c r="K734" t="s">
        <v>726</v>
      </c>
    </row>
    <row r="735" spans="1:24">
      <c r="A735" t="s">
        <v>884</v>
      </c>
      <c r="K735" t="s">
        <v>885</v>
      </c>
      <c r="W735" t="s">
        <v>171</v>
      </c>
      <c r="X735" t="str">
        <f>A735</f>
        <v>info_sdt_dml_single_pk_drp</v>
      </c>
    </row>
    <row r="736" spans="1:24">
      <c r="B736" t="s">
        <v>196</v>
      </c>
      <c r="C736" t="s">
        <v>197</v>
      </c>
      <c r="D736" t="s">
        <v>197</v>
      </c>
      <c r="E736" t="s">
        <v>197</v>
      </c>
      <c r="F736" t="s">
        <v>197</v>
      </c>
      <c r="G736" t="s">
        <v>197</v>
      </c>
      <c r="H736" t="s">
        <v>197</v>
      </c>
      <c r="I736" t="s">
        <v>886</v>
      </c>
      <c r="J736" t="s">
        <v>199</v>
      </c>
      <c r="K736" t="s">
        <v>200</v>
      </c>
    </row>
    <row r="737" spans="1:24">
      <c r="B737" t="s">
        <v>197</v>
      </c>
      <c r="C737" t="s">
        <v>197</v>
      </c>
      <c r="D737" t="s">
        <v>197</v>
      </c>
      <c r="E737" t="s">
        <v>197</v>
      </c>
      <c r="F737" t="s">
        <v>197</v>
      </c>
      <c r="G737" t="s">
        <v>197</v>
      </c>
      <c r="H737" t="s">
        <v>197</v>
      </c>
      <c r="I737" t="s">
        <v>197</v>
      </c>
      <c r="J737" t="s">
        <v>197</v>
      </c>
      <c r="K737" t="s">
        <v>422</v>
      </c>
    </row>
    <row r="738" spans="1:24">
      <c r="A738" t="s">
        <v>887</v>
      </c>
      <c r="K738" t="s">
        <v>888</v>
      </c>
      <c r="W738" s="1" t="str">
        <f>HYPERLINK("#2026042000hbase1!AN2","NO 源备存在差异，共4个")</f>
        <v>NO 源备存在差异，共4个</v>
      </c>
      <c r="X738" t="str">
        <f>A738</f>
        <v>info_char_dml_batch1_pk_drp2</v>
      </c>
    </row>
    <row r="739" spans="1:24">
      <c r="B739" t="s">
        <v>196</v>
      </c>
      <c r="C739" t="s">
        <v>197</v>
      </c>
      <c r="D739" t="s">
        <v>197</v>
      </c>
      <c r="E739" t="s">
        <v>197</v>
      </c>
      <c r="F739" t="s">
        <v>197</v>
      </c>
      <c r="G739" t="s">
        <v>197</v>
      </c>
      <c r="H739" t="s">
        <v>197</v>
      </c>
      <c r="I739" t="s">
        <v>889</v>
      </c>
      <c r="J739" t="s">
        <v>199</v>
      </c>
      <c r="K739" t="s">
        <v>200</v>
      </c>
    </row>
    <row r="740" spans="1:24">
      <c r="B740" t="s">
        <v>197</v>
      </c>
      <c r="C740" t="s">
        <v>197</v>
      </c>
      <c r="D740" t="s">
        <v>197</v>
      </c>
      <c r="E740" t="s">
        <v>197</v>
      </c>
      <c r="F740" t="s">
        <v>197</v>
      </c>
      <c r="G740" t="s">
        <v>197</v>
      </c>
      <c r="H740" t="s">
        <v>197</v>
      </c>
      <c r="I740" t="s">
        <v>197</v>
      </c>
      <c r="J740" t="s">
        <v>197</v>
      </c>
      <c r="K740" t="s">
        <v>622</v>
      </c>
    </row>
    <row r="741" spans="1:24">
      <c r="B741" t="s">
        <v>197</v>
      </c>
      <c r="C741" t="s">
        <v>197</v>
      </c>
      <c r="D741" t="s">
        <v>197</v>
      </c>
      <c r="E741" t="s">
        <v>197</v>
      </c>
      <c r="F741" t="s">
        <v>197</v>
      </c>
      <c r="G741" t="s">
        <v>197</v>
      </c>
      <c r="H741" t="s">
        <v>197</v>
      </c>
      <c r="I741" t="s">
        <v>197</v>
      </c>
      <c r="J741" t="s">
        <v>197</v>
      </c>
      <c r="K741" t="s">
        <v>623</v>
      </c>
    </row>
    <row r="742" spans="1:24">
      <c r="B742" t="s">
        <v>197</v>
      </c>
      <c r="C742" t="s">
        <v>197</v>
      </c>
      <c r="D742" t="s">
        <v>197</v>
      </c>
      <c r="E742" t="s">
        <v>197</v>
      </c>
      <c r="F742" t="s">
        <v>197</v>
      </c>
      <c r="G742" t="s">
        <v>197</v>
      </c>
      <c r="H742" t="s">
        <v>197</v>
      </c>
      <c r="I742" t="s">
        <v>197</v>
      </c>
      <c r="J742" t="s">
        <v>197</v>
      </c>
      <c r="K742" t="s">
        <v>832</v>
      </c>
    </row>
    <row r="743" spans="1:24">
      <c r="A743" t="s">
        <v>890</v>
      </c>
      <c r="K743" t="s">
        <v>891</v>
      </c>
      <c r="W743" t="s">
        <v>171</v>
      </c>
      <c r="X743" t="str">
        <f>A743</f>
        <v>info_sdt_dml_single_pk</v>
      </c>
    </row>
    <row r="744" spans="1:24">
      <c r="B744" t="s">
        <v>196</v>
      </c>
      <c r="C744" t="s">
        <v>197</v>
      </c>
      <c r="D744" t="s">
        <v>197</v>
      </c>
      <c r="E744" t="s">
        <v>197</v>
      </c>
      <c r="F744" t="s">
        <v>197</v>
      </c>
      <c r="G744" t="s">
        <v>197</v>
      </c>
      <c r="H744" t="s">
        <v>197</v>
      </c>
      <c r="I744" t="s">
        <v>892</v>
      </c>
      <c r="J744" t="s">
        <v>199</v>
      </c>
      <c r="K744" t="s">
        <v>200</v>
      </c>
    </row>
    <row r="745" spans="1:24">
      <c r="B745" t="s">
        <v>197</v>
      </c>
      <c r="C745" t="s">
        <v>197</v>
      </c>
      <c r="D745" t="s">
        <v>197</v>
      </c>
      <c r="E745" t="s">
        <v>197</v>
      </c>
      <c r="F745" t="s">
        <v>197</v>
      </c>
      <c r="G745" t="s">
        <v>197</v>
      </c>
      <c r="H745" t="s">
        <v>197</v>
      </c>
      <c r="I745" t="s">
        <v>197</v>
      </c>
      <c r="J745" t="s">
        <v>197</v>
      </c>
      <c r="K745" t="s">
        <v>422</v>
      </c>
    </row>
    <row r="746" spans="1:24">
      <c r="A746" t="s">
        <v>893</v>
      </c>
      <c r="K746" t="s">
        <v>894</v>
      </c>
      <c r="W746" s="1" t="str">
        <f>HYPERLINK("#2026042000hbase1!AO2","NO 源备存在差异，共4个")</f>
        <v>NO 源备存在差异，共4个</v>
      </c>
      <c r="X746" t="str">
        <f>A746</f>
        <v>info_int_dml_single_pk_urp</v>
      </c>
    </row>
    <row r="747" spans="1:24">
      <c r="B747" t="s">
        <v>196</v>
      </c>
      <c r="C747" t="s">
        <v>197</v>
      </c>
      <c r="D747" t="s">
        <v>197</v>
      </c>
      <c r="E747" t="s">
        <v>197</v>
      </c>
      <c r="F747" t="s">
        <v>197</v>
      </c>
      <c r="G747" t="s">
        <v>197</v>
      </c>
      <c r="H747" t="s">
        <v>197</v>
      </c>
      <c r="I747" t="s">
        <v>895</v>
      </c>
      <c r="J747" t="s">
        <v>199</v>
      </c>
      <c r="K747" t="s">
        <v>200</v>
      </c>
    </row>
    <row r="748" spans="1:24">
      <c r="B748" t="s">
        <v>197</v>
      </c>
      <c r="C748" t="s">
        <v>197</v>
      </c>
      <c r="D748" t="s">
        <v>197</v>
      </c>
      <c r="E748" t="s">
        <v>197</v>
      </c>
      <c r="F748" t="s">
        <v>197</v>
      </c>
      <c r="G748" t="s">
        <v>197</v>
      </c>
      <c r="H748" t="s">
        <v>197</v>
      </c>
      <c r="I748" t="s">
        <v>197</v>
      </c>
      <c r="J748" t="s">
        <v>197</v>
      </c>
      <c r="K748" t="s">
        <v>549</v>
      </c>
    </row>
    <row r="749" spans="1:24">
      <c r="B749" t="s">
        <v>197</v>
      </c>
      <c r="C749" t="s">
        <v>197</v>
      </c>
      <c r="D749" t="s">
        <v>197</v>
      </c>
      <c r="E749" t="s">
        <v>197</v>
      </c>
      <c r="F749" t="s">
        <v>197</v>
      </c>
      <c r="G749" t="s">
        <v>197</v>
      </c>
      <c r="H749" t="s">
        <v>197</v>
      </c>
      <c r="I749" t="s">
        <v>197</v>
      </c>
      <c r="J749" t="s">
        <v>197</v>
      </c>
      <c r="K749" t="s">
        <v>550</v>
      </c>
    </row>
    <row r="750" spans="1:24">
      <c r="B750" t="s">
        <v>197</v>
      </c>
      <c r="C750" t="s">
        <v>197</v>
      </c>
      <c r="D750" t="s">
        <v>197</v>
      </c>
      <c r="E750" t="s">
        <v>197</v>
      </c>
      <c r="F750" t="s">
        <v>197</v>
      </c>
      <c r="G750" t="s">
        <v>197</v>
      </c>
      <c r="H750" t="s">
        <v>197</v>
      </c>
      <c r="I750" t="s">
        <v>197</v>
      </c>
      <c r="J750" t="s">
        <v>197</v>
      </c>
      <c r="K750" t="s">
        <v>551</v>
      </c>
    </row>
    <row r="751" spans="1:24">
      <c r="B751" t="s">
        <v>197</v>
      </c>
      <c r="C751" t="s">
        <v>197</v>
      </c>
      <c r="D751" t="s">
        <v>197</v>
      </c>
      <c r="E751" t="s">
        <v>197</v>
      </c>
      <c r="F751" t="s">
        <v>197</v>
      </c>
      <c r="G751" t="s">
        <v>197</v>
      </c>
      <c r="H751" t="s">
        <v>197</v>
      </c>
      <c r="I751" t="s">
        <v>197</v>
      </c>
      <c r="J751" t="s">
        <v>197</v>
      </c>
      <c r="K751" t="s">
        <v>552</v>
      </c>
    </row>
    <row r="752" spans="1:24">
      <c r="B752" t="s">
        <v>197</v>
      </c>
      <c r="C752" t="s">
        <v>197</v>
      </c>
      <c r="D752" t="s">
        <v>197</v>
      </c>
      <c r="E752" t="s">
        <v>197</v>
      </c>
      <c r="F752" t="s">
        <v>197</v>
      </c>
      <c r="G752" t="s">
        <v>197</v>
      </c>
      <c r="H752" t="s">
        <v>197</v>
      </c>
      <c r="I752" t="s">
        <v>197</v>
      </c>
      <c r="J752" t="s">
        <v>197</v>
      </c>
      <c r="K752" t="s">
        <v>553</v>
      </c>
    </row>
    <row r="753" spans="1:24">
      <c r="B753" t="s">
        <v>197</v>
      </c>
      <c r="C753" t="s">
        <v>197</v>
      </c>
      <c r="D753" t="s">
        <v>197</v>
      </c>
      <c r="E753" t="s">
        <v>197</v>
      </c>
      <c r="F753" t="s">
        <v>197</v>
      </c>
      <c r="G753" t="s">
        <v>197</v>
      </c>
      <c r="H753" t="s">
        <v>197</v>
      </c>
      <c r="I753" t="s">
        <v>197</v>
      </c>
      <c r="J753" t="s">
        <v>197</v>
      </c>
      <c r="K753" t="s">
        <v>554</v>
      </c>
    </row>
    <row r="754" spans="1:24">
      <c r="B754" t="s">
        <v>197</v>
      </c>
      <c r="C754" t="s">
        <v>197</v>
      </c>
      <c r="D754" t="s">
        <v>197</v>
      </c>
      <c r="E754" t="s">
        <v>197</v>
      </c>
      <c r="F754" t="s">
        <v>197</v>
      </c>
      <c r="G754" t="s">
        <v>197</v>
      </c>
      <c r="H754" t="s">
        <v>197</v>
      </c>
      <c r="I754" t="s">
        <v>197</v>
      </c>
      <c r="J754" t="s">
        <v>197</v>
      </c>
      <c r="K754" t="s">
        <v>555</v>
      </c>
    </row>
    <row r="755" spans="1:24">
      <c r="B755" t="s">
        <v>197</v>
      </c>
      <c r="C755" t="s">
        <v>197</v>
      </c>
      <c r="D755" t="s">
        <v>197</v>
      </c>
      <c r="E755" t="s">
        <v>197</v>
      </c>
      <c r="F755" t="s">
        <v>197</v>
      </c>
      <c r="G755" t="s">
        <v>197</v>
      </c>
      <c r="H755" t="s">
        <v>197</v>
      </c>
      <c r="I755" t="s">
        <v>197</v>
      </c>
      <c r="J755" t="s">
        <v>197</v>
      </c>
      <c r="K755" t="s">
        <v>556</v>
      </c>
    </row>
    <row r="756" spans="1:24">
      <c r="B756" t="s">
        <v>197</v>
      </c>
      <c r="C756" t="s">
        <v>197</v>
      </c>
      <c r="D756" t="s">
        <v>197</v>
      </c>
      <c r="E756" t="s">
        <v>197</v>
      </c>
      <c r="F756" t="s">
        <v>197</v>
      </c>
      <c r="G756" t="s">
        <v>197</v>
      </c>
      <c r="H756" t="s">
        <v>197</v>
      </c>
      <c r="I756" t="s">
        <v>197</v>
      </c>
      <c r="J756" t="s">
        <v>197</v>
      </c>
      <c r="K756" t="s">
        <v>557</v>
      </c>
    </row>
    <row r="757" spans="1:24">
      <c r="B757" t="s">
        <v>197</v>
      </c>
      <c r="C757" t="s">
        <v>197</v>
      </c>
      <c r="D757" t="s">
        <v>197</v>
      </c>
      <c r="E757" t="s">
        <v>197</v>
      </c>
      <c r="F757" t="s">
        <v>197</v>
      </c>
      <c r="G757" t="s">
        <v>197</v>
      </c>
      <c r="H757" t="s">
        <v>197</v>
      </c>
      <c r="I757" t="s">
        <v>197</v>
      </c>
      <c r="J757" t="s">
        <v>197</v>
      </c>
      <c r="K757" t="s">
        <v>558</v>
      </c>
    </row>
    <row r="758" spans="1:24">
      <c r="B758" t="s">
        <v>197</v>
      </c>
      <c r="C758" t="s">
        <v>197</v>
      </c>
      <c r="D758" t="s">
        <v>197</v>
      </c>
      <c r="E758" t="s">
        <v>197</v>
      </c>
      <c r="F758" t="s">
        <v>197</v>
      </c>
      <c r="G758" t="s">
        <v>197</v>
      </c>
      <c r="H758" t="s">
        <v>197</v>
      </c>
      <c r="I758" t="s">
        <v>197</v>
      </c>
      <c r="J758" t="s">
        <v>197</v>
      </c>
      <c r="K758" t="s">
        <v>559</v>
      </c>
    </row>
    <row r="759" spans="1:24">
      <c r="B759" t="s">
        <v>197</v>
      </c>
      <c r="C759" t="s">
        <v>197</v>
      </c>
      <c r="D759" t="s">
        <v>197</v>
      </c>
      <c r="E759" t="s">
        <v>197</v>
      </c>
      <c r="F759" t="s">
        <v>197</v>
      </c>
      <c r="G759" t="s">
        <v>197</v>
      </c>
      <c r="H759" t="s">
        <v>197</v>
      </c>
      <c r="I759" t="s">
        <v>197</v>
      </c>
      <c r="J759" t="s">
        <v>197</v>
      </c>
      <c r="K759" t="s">
        <v>560</v>
      </c>
    </row>
    <row r="760" spans="1:24">
      <c r="B760" t="s">
        <v>197</v>
      </c>
      <c r="C760" t="s">
        <v>197</v>
      </c>
      <c r="D760" t="s">
        <v>197</v>
      </c>
      <c r="E760" t="s">
        <v>197</v>
      </c>
      <c r="F760" t="s">
        <v>197</v>
      </c>
      <c r="G760" t="s">
        <v>197</v>
      </c>
      <c r="H760" t="s">
        <v>197</v>
      </c>
      <c r="I760" t="s">
        <v>197</v>
      </c>
      <c r="J760" t="s">
        <v>197</v>
      </c>
      <c r="K760" t="s">
        <v>561</v>
      </c>
    </row>
    <row r="761" spans="1:24">
      <c r="B761" t="s">
        <v>197</v>
      </c>
      <c r="C761" t="s">
        <v>197</v>
      </c>
      <c r="D761" t="s">
        <v>197</v>
      </c>
      <c r="E761" t="s">
        <v>197</v>
      </c>
      <c r="F761" t="s">
        <v>197</v>
      </c>
      <c r="G761" t="s">
        <v>197</v>
      </c>
      <c r="H761" t="s">
        <v>197</v>
      </c>
      <c r="I761" t="s">
        <v>197</v>
      </c>
      <c r="J761" t="s">
        <v>197</v>
      </c>
      <c r="K761" t="s">
        <v>562</v>
      </c>
    </row>
    <row r="762" spans="1:24">
      <c r="B762" t="s">
        <v>197</v>
      </c>
      <c r="C762" t="s">
        <v>197</v>
      </c>
      <c r="D762" t="s">
        <v>197</v>
      </c>
      <c r="E762" t="s">
        <v>197</v>
      </c>
      <c r="F762" t="s">
        <v>197</v>
      </c>
      <c r="G762" t="s">
        <v>197</v>
      </c>
      <c r="H762" t="s">
        <v>197</v>
      </c>
      <c r="I762" t="s">
        <v>197</v>
      </c>
      <c r="J762" t="s">
        <v>197</v>
      </c>
      <c r="K762" t="s">
        <v>563</v>
      </c>
    </row>
    <row r="763" spans="1:24">
      <c r="B763" t="s">
        <v>197</v>
      </c>
      <c r="C763" t="s">
        <v>197</v>
      </c>
      <c r="D763" t="s">
        <v>197</v>
      </c>
      <c r="E763" t="s">
        <v>197</v>
      </c>
      <c r="F763" t="s">
        <v>197</v>
      </c>
      <c r="G763" t="s">
        <v>197</v>
      </c>
      <c r="H763" t="s">
        <v>197</v>
      </c>
      <c r="I763" t="s">
        <v>197</v>
      </c>
      <c r="J763" t="s">
        <v>197</v>
      </c>
      <c r="K763" t="s">
        <v>564</v>
      </c>
    </row>
    <row r="764" spans="1:24">
      <c r="B764" t="s">
        <v>197</v>
      </c>
      <c r="C764" t="s">
        <v>197</v>
      </c>
      <c r="D764" t="s">
        <v>197</v>
      </c>
      <c r="E764" t="s">
        <v>197</v>
      </c>
      <c r="F764" t="s">
        <v>197</v>
      </c>
      <c r="G764" t="s">
        <v>197</v>
      </c>
      <c r="H764" t="s">
        <v>197</v>
      </c>
      <c r="I764" t="s">
        <v>197</v>
      </c>
      <c r="J764" t="s">
        <v>197</v>
      </c>
      <c r="K764" t="s">
        <v>565</v>
      </c>
    </row>
    <row r="765" spans="1:24">
      <c r="B765" t="s">
        <v>197</v>
      </c>
      <c r="C765" t="s">
        <v>197</v>
      </c>
      <c r="D765" t="s">
        <v>197</v>
      </c>
      <c r="E765" t="s">
        <v>197</v>
      </c>
      <c r="F765" t="s">
        <v>197</v>
      </c>
      <c r="G765" t="s">
        <v>197</v>
      </c>
      <c r="H765" t="s">
        <v>197</v>
      </c>
      <c r="I765" t="s">
        <v>197</v>
      </c>
      <c r="J765" t="s">
        <v>197</v>
      </c>
      <c r="K765" t="s">
        <v>566</v>
      </c>
    </row>
    <row r="766" spans="1:24">
      <c r="B766" t="s">
        <v>197</v>
      </c>
      <c r="C766" t="s">
        <v>197</v>
      </c>
      <c r="D766" t="s">
        <v>197</v>
      </c>
      <c r="E766" t="s">
        <v>197</v>
      </c>
      <c r="F766" t="s">
        <v>197</v>
      </c>
      <c r="G766" t="s">
        <v>197</v>
      </c>
      <c r="H766" t="s">
        <v>197</v>
      </c>
      <c r="I766" t="s">
        <v>197</v>
      </c>
      <c r="J766" t="s">
        <v>197</v>
      </c>
      <c r="K766" t="s">
        <v>567</v>
      </c>
    </row>
    <row r="767" spans="1:24">
      <c r="A767" t="s">
        <v>896</v>
      </c>
      <c r="K767" t="s">
        <v>897</v>
      </c>
      <c r="W767" t="s">
        <v>171</v>
      </c>
      <c r="X767" t="str">
        <f>A767</f>
        <v>info_char_dml_batch1_pk</v>
      </c>
    </row>
    <row r="768" spans="1:24">
      <c r="B768" t="s">
        <v>196</v>
      </c>
      <c r="C768" t="s">
        <v>197</v>
      </c>
      <c r="D768" t="s">
        <v>197</v>
      </c>
      <c r="E768" t="s">
        <v>197</v>
      </c>
      <c r="F768" t="s">
        <v>197</v>
      </c>
      <c r="G768" t="s">
        <v>197</v>
      </c>
      <c r="H768" t="s">
        <v>197</v>
      </c>
      <c r="I768" t="s">
        <v>898</v>
      </c>
      <c r="J768" t="s">
        <v>199</v>
      </c>
      <c r="K768" t="s">
        <v>200</v>
      </c>
    </row>
    <row r="769" spans="1:24">
      <c r="B769" t="s">
        <v>197</v>
      </c>
      <c r="C769" t="s">
        <v>197</v>
      </c>
      <c r="D769" t="s">
        <v>197</v>
      </c>
      <c r="E769" t="s">
        <v>197</v>
      </c>
      <c r="F769" t="s">
        <v>197</v>
      </c>
      <c r="G769" t="s">
        <v>197</v>
      </c>
      <c r="H769" t="s">
        <v>197</v>
      </c>
      <c r="I769" t="s">
        <v>197</v>
      </c>
      <c r="J769" t="s">
        <v>197</v>
      </c>
      <c r="K769" t="s">
        <v>622</v>
      </c>
    </row>
    <row r="770" spans="1:24">
      <c r="B770" t="s">
        <v>197</v>
      </c>
      <c r="C770" t="s">
        <v>197</v>
      </c>
      <c r="D770" t="s">
        <v>197</v>
      </c>
      <c r="E770" t="s">
        <v>197</v>
      </c>
      <c r="F770" t="s">
        <v>197</v>
      </c>
      <c r="G770" t="s">
        <v>197</v>
      </c>
      <c r="H770" t="s">
        <v>197</v>
      </c>
      <c r="I770" t="s">
        <v>197</v>
      </c>
      <c r="J770" t="s">
        <v>197</v>
      </c>
      <c r="K770" t="s">
        <v>623</v>
      </c>
    </row>
    <row r="771" spans="1:24">
      <c r="B771" t="s">
        <v>197</v>
      </c>
      <c r="C771" t="s">
        <v>197</v>
      </c>
      <c r="D771" t="s">
        <v>197</v>
      </c>
      <c r="E771" t="s">
        <v>197</v>
      </c>
      <c r="F771" t="s">
        <v>197</v>
      </c>
      <c r="G771" t="s">
        <v>197</v>
      </c>
      <c r="H771" t="s">
        <v>197</v>
      </c>
      <c r="I771" t="s">
        <v>197</v>
      </c>
      <c r="J771" t="s">
        <v>197</v>
      </c>
      <c r="K771" t="s">
        <v>832</v>
      </c>
    </row>
    <row r="772" spans="1:24">
      <c r="A772" t="s">
        <v>899</v>
      </c>
      <c r="K772" t="s">
        <v>900</v>
      </c>
      <c r="W772" t="s">
        <v>171</v>
      </c>
      <c r="X772" t="str">
        <f>A772</f>
        <v>info_varcharmax_dml_single_pk_urp</v>
      </c>
    </row>
    <row r="773" spans="1:24">
      <c r="B773" t="s">
        <v>196</v>
      </c>
      <c r="C773" t="s">
        <v>197</v>
      </c>
      <c r="D773" t="s">
        <v>197</v>
      </c>
      <c r="E773" t="s">
        <v>197</v>
      </c>
      <c r="F773" t="s">
        <v>197</v>
      </c>
      <c r="G773" t="s">
        <v>197</v>
      </c>
      <c r="H773" t="s">
        <v>197</v>
      </c>
      <c r="I773" t="s">
        <v>901</v>
      </c>
      <c r="J773" t="s">
        <v>199</v>
      </c>
      <c r="K773" t="s">
        <v>200</v>
      </c>
    </row>
    <row r="774" spans="1:24">
      <c r="B774" t="s">
        <v>197</v>
      </c>
      <c r="C774" t="s">
        <v>197</v>
      </c>
      <c r="D774" t="s">
        <v>197</v>
      </c>
      <c r="E774" t="s">
        <v>197</v>
      </c>
      <c r="F774" t="s">
        <v>197</v>
      </c>
      <c r="G774" t="s">
        <v>197</v>
      </c>
      <c r="H774" t="s">
        <v>197</v>
      </c>
      <c r="I774" t="s">
        <v>197</v>
      </c>
      <c r="J774" t="s">
        <v>197</v>
      </c>
      <c r="K774" t="s">
        <v>725</v>
      </c>
    </row>
    <row r="775" spans="1:24">
      <c r="B775" t="s">
        <v>197</v>
      </c>
      <c r="C775" t="s">
        <v>197</v>
      </c>
      <c r="D775" t="s">
        <v>197</v>
      </c>
      <c r="E775" t="s">
        <v>197</v>
      </c>
      <c r="F775" t="s">
        <v>197</v>
      </c>
      <c r="G775" t="s">
        <v>197</v>
      </c>
      <c r="H775" t="s">
        <v>197</v>
      </c>
      <c r="I775" t="s">
        <v>197</v>
      </c>
      <c r="J775" t="s">
        <v>197</v>
      </c>
      <c r="K775" t="s">
        <v>726</v>
      </c>
    </row>
    <row r="776" spans="1:24">
      <c r="A776" t="s">
        <v>902</v>
      </c>
      <c r="K776" t="s">
        <v>903</v>
      </c>
      <c r="W776" t="s">
        <v>171</v>
      </c>
      <c r="X776" t="str">
        <f>A776</f>
        <v>info_binary_dml_single_pk_irp</v>
      </c>
    </row>
    <row r="777" spans="1:24">
      <c r="B777" t="s">
        <v>196</v>
      </c>
      <c r="C777" t="s">
        <v>197</v>
      </c>
      <c r="D777" t="s">
        <v>197</v>
      </c>
      <c r="E777" t="s">
        <v>197</v>
      </c>
      <c r="F777" t="s">
        <v>197</v>
      </c>
      <c r="G777" t="s">
        <v>197</v>
      </c>
      <c r="H777" t="s">
        <v>197</v>
      </c>
      <c r="I777" t="s">
        <v>904</v>
      </c>
      <c r="J777" t="s">
        <v>199</v>
      </c>
      <c r="K777" t="s">
        <v>200</v>
      </c>
    </row>
    <row r="778" spans="1:24">
      <c r="B778" t="s">
        <v>197</v>
      </c>
      <c r="C778" t="s">
        <v>197</v>
      </c>
      <c r="D778" t="s">
        <v>197</v>
      </c>
      <c r="E778" t="s">
        <v>197</v>
      </c>
      <c r="F778" t="s">
        <v>197</v>
      </c>
      <c r="G778" t="s">
        <v>197</v>
      </c>
      <c r="H778" t="s">
        <v>197</v>
      </c>
      <c r="I778" t="s">
        <v>197</v>
      </c>
      <c r="J778" t="s">
        <v>197</v>
      </c>
      <c r="K778" t="s">
        <v>691</v>
      </c>
    </row>
    <row r="779" spans="1:24">
      <c r="B779" t="s">
        <v>197</v>
      </c>
      <c r="C779" t="s">
        <v>197</v>
      </c>
      <c r="D779" t="s">
        <v>197</v>
      </c>
      <c r="E779" t="s">
        <v>197</v>
      </c>
      <c r="F779" t="s">
        <v>197</v>
      </c>
      <c r="G779" t="s">
        <v>197</v>
      </c>
      <c r="H779" t="s">
        <v>197</v>
      </c>
      <c r="I779" t="s">
        <v>197</v>
      </c>
      <c r="J779" t="s">
        <v>197</v>
      </c>
      <c r="K779" t="s">
        <v>692</v>
      </c>
    </row>
    <row r="780" spans="1:24">
      <c r="B780" t="s">
        <v>197</v>
      </c>
      <c r="C780" t="s">
        <v>197</v>
      </c>
      <c r="D780" t="s">
        <v>197</v>
      </c>
      <c r="E780" t="s">
        <v>197</v>
      </c>
      <c r="F780" t="s">
        <v>197</v>
      </c>
      <c r="G780" t="s">
        <v>197</v>
      </c>
      <c r="H780" t="s">
        <v>197</v>
      </c>
      <c r="I780" t="s">
        <v>197</v>
      </c>
      <c r="J780" t="s">
        <v>197</v>
      </c>
      <c r="K780" t="s">
        <v>693</v>
      </c>
    </row>
    <row r="781" spans="1:24">
      <c r="K781" t="s">
        <v>443</v>
      </c>
    </row>
    <row r="782" spans="1:24">
      <c r="A782" t="s">
        <v>905</v>
      </c>
      <c r="K782" t="s">
        <v>906</v>
      </c>
      <c r="W782" t="s">
        <v>171</v>
      </c>
      <c r="X782" t="str">
        <f>A782</f>
        <v>info_nchar_dml_batch1_pk_drp2</v>
      </c>
    </row>
    <row r="783" spans="1:24">
      <c r="B783" t="s">
        <v>196</v>
      </c>
      <c r="C783" t="s">
        <v>197</v>
      </c>
      <c r="D783" t="s">
        <v>197</v>
      </c>
      <c r="E783" t="s">
        <v>197</v>
      </c>
      <c r="F783" t="s">
        <v>197</v>
      </c>
      <c r="G783" t="s">
        <v>197</v>
      </c>
      <c r="H783" t="s">
        <v>197</v>
      </c>
      <c r="I783" t="s">
        <v>907</v>
      </c>
      <c r="J783" t="s">
        <v>199</v>
      </c>
      <c r="K783" t="s">
        <v>200</v>
      </c>
    </row>
    <row r="784" spans="1:24">
      <c r="B784" t="s">
        <v>197</v>
      </c>
      <c r="C784" t="s">
        <v>197</v>
      </c>
      <c r="D784" t="s">
        <v>197</v>
      </c>
      <c r="E784" t="s">
        <v>197</v>
      </c>
      <c r="F784" t="s">
        <v>197</v>
      </c>
      <c r="G784" t="s">
        <v>197</v>
      </c>
      <c r="H784" t="s">
        <v>197</v>
      </c>
      <c r="I784" t="s">
        <v>197</v>
      </c>
      <c r="J784" t="s">
        <v>197</v>
      </c>
      <c r="K784" t="s">
        <v>514</v>
      </c>
    </row>
    <row r="785" spans="1:24">
      <c r="B785" t="s">
        <v>197</v>
      </c>
      <c r="C785" t="s">
        <v>197</v>
      </c>
      <c r="D785" t="s">
        <v>197</v>
      </c>
      <c r="E785" t="s">
        <v>197</v>
      </c>
      <c r="F785" t="s">
        <v>197</v>
      </c>
      <c r="G785" t="s">
        <v>197</v>
      </c>
      <c r="H785" t="s">
        <v>197</v>
      </c>
      <c r="I785" t="s">
        <v>197</v>
      </c>
      <c r="J785" t="s">
        <v>197</v>
      </c>
      <c r="K785" t="s">
        <v>516</v>
      </c>
    </row>
    <row r="786" spans="1:24">
      <c r="B786" t="s">
        <v>197</v>
      </c>
      <c r="C786" t="s">
        <v>197</v>
      </c>
      <c r="D786" t="s">
        <v>197</v>
      </c>
      <c r="E786" t="s">
        <v>197</v>
      </c>
      <c r="F786" t="s">
        <v>197</v>
      </c>
      <c r="G786" t="s">
        <v>197</v>
      </c>
      <c r="H786" t="s">
        <v>197</v>
      </c>
      <c r="I786" t="s">
        <v>197</v>
      </c>
      <c r="J786" t="s">
        <v>197</v>
      </c>
      <c r="K786" t="s">
        <v>612</v>
      </c>
    </row>
    <row r="787" spans="1:24">
      <c r="A787" t="s">
        <v>908</v>
      </c>
      <c r="K787" t="s">
        <v>909</v>
      </c>
      <c r="W787" t="s">
        <v>171</v>
      </c>
      <c r="X787" t="str">
        <f>A787</f>
        <v>info_binary_dml_batch1_pk_drp1</v>
      </c>
    </row>
    <row r="788" spans="1:24">
      <c r="B788" t="s">
        <v>196</v>
      </c>
      <c r="C788" t="s">
        <v>197</v>
      </c>
      <c r="D788" t="s">
        <v>197</v>
      </c>
      <c r="E788" t="s">
        <v>197</v>
      </c>
      <c r="F788" t="s">
        <v>197</v>
      </c>
      <c r="G788" t="s">
        <v>197</v>
      </c>
      <c r="H788" t="s">
        <v>197</v>
      </c>
      <c r="I788" t="s">
        <v>910</v>
      </c>
      <c r="J788" t="s">
        <v>199</v>
      </c>
      <c r="K788" t="s">
        <v>200</v>
      </c>
    </row>
    <row r="789" spans="1:24">
      <c r="B789" t="s">
        <v>197</v>
      </c>
      <c r="C789" t="s">
        <v>197</v>
      </c>
      <c r="D789" t="s">
        <v>197</v>
      </c>
      <c r="E789" t="s">
        <v>197</v>
      </c>
      <c r="F789" t="s">
        <v>197</v>
      </c>
      <c r="G789" t="s">
        <v>197</v>
      </c>
      <c r="H789" t="s">
        <v>197</v>
      </c>
      <c r="I789" t="s">
        <v>197</v>
      </c>
      <c r="J789" t="s">
        <v>197</v>
      </c>
      <c r="K789" t="s">
        <v>691</v>
      </c>
    </row>
    <row r="790" spans="1:24">
      <c r="B790" t="s">
        <v>197</v>
      </c>
      <c r="C790" t="s">
        <v>197</v>
      </c>
      <c r="D790" t="s">
        <v>197</v>
      </c>
      <c r="E790" t="s">
        <v>197</v>
      </c>
      <c r="F790" t="s">
        <v>197</v>
      </c>
      <c r="G790" t="s">
        <v>197</v>
      </c>
      <c r="H790" t="s">
        <v>197</v>
      </c>
      <c r="I790" t="s">
        <v>197</v>
      </c>
      <c r="J790" t="s">
        <v>197</v>
      </c>
      <c r="K790" t="s">
        <v>692</v>
      </c>
    </row>
    <row r="791" spans="1:24">
      <c r="B791" t="s">
        <v>197</v>
      </c>
      <c r="C791" t="s">
        <v>197</v>
      </c>
      <c r="D791" t="s">
        <v>197</v>
      </c>
      <c r="E791" t="s">
        <v>197</v>
      </c>
      <c r="F791" t="s">
        <v>197</v>
      </c>
      <c r="G791" t="s">
        <v>197</v>
      </c>
      <c r="H791" t="s">
        <v>197</v>
      </c>
      <c r="I791" t="s">
        <v>197</v>
      </c>
      <c r="J791" t="s">
        <v>197</v>
      </c>
      <c r="K791" t="s">
        <v>693</v>
      </c>
    </row>
    <row r="792" spans="1:24">
      <c r="K792" t="s">
        <v>443</v>
      </c>
    </row>
    <row r="793" spans="1:24">
      <c r="A793" t="s">
        <v>911</v>
      </c>
      <c r="K793" t="s">
        <v>912</v>
      </c>
      <c r="W793" s="1" t="str">
        <f>HYPERLINK("#2026042000hbase1!AP2","NO 源备存在差异，共10个")</f>
        <v>NO 源备存在差异，共10个</v>
      </c>
      <c r="X793" t="str">
        <f>A793</f>
        <v>info_char_dml_single_pk_irp</v>
      </c>
    </row>
    <row r="794" spans="1:24">
      <c r="B794" t="s">
        <v>196</v>
      </c>
      <c r="C794" t="s">
        <v>197</v>
      </c>
      <c r="D794" t="s">
        <v>197</v>
      </c>
      <c r="E794" t="s">
        <v>197</v>
      </c>
      <c r="F794" t="s">
        <v>197</v>
      </c>
      <c r="G794" t="s">
        <v>197</v>
      </c>
      <c r="H794" t="s">
        <v>197</v>
      </c>
      <c r="I794" t="s">
        <v>913</v>
      </c>
      <c r="J794" t="s">
        <v>199</v>
      </c>
      <c r="K794" t="s">
        <v>200</v>
      </c>
    </row>
    <row r="795" spans="1:24">
      <c r="B795" t="s">
        <v>197</v>
      </c>
      <c r="C795" t="s">
        <v>197</v>
      </c>
      <c r="D795" t="s">
        <v>197</v>
      </c>
      <c r="E795" t="s">
        <v>197</v>
      </c>
      <c r="F795" t="s">
        <v>197</v>
      </c>
      <c r="G795" t="s">
        <v>197</v>
      </c>
      <c r="H795" t="s">
        <v>197</v>
      </c>
      <c r="I795" t="s">
        <v>197</v>
      </c>
      <c r="J795" t="s">
        <v>197</v>
      </c>
      <c r="K795" t="s">
        <v>622</v>
      </c>
    </row>
    <row r="796" spans="1:24">
      <c r="B796" t="s">
        <v>197</v>
      </c>
      <c r="C796" t="s">
        <v>197</v>
      </c>
      <c r="D796" t="s">
        <v>197</v>
      </c>
      <c r="E796" t="s">
        <v>197</v>
      </c>
      <c r="F796" t="s">
        <v>197</v>
      </c>
      <c r="G796" t="s">
        <v>197</v>
      </c>
      <c r="H796" t="s">
        <v>197</v>
      </c>
      <c r="I796" t="s">
        <v>197</v>
      </c>
      <c r="J796" t="s">
        <v>197</v>
      </c>
      <c r="K796" t="s">
        <v>623</v>
      </c>
    </row>
    <row r="797" spans="1:24">
      <c r="B797" t="s">
        <v>197</v>
      </c>
      <c r="C797" t="s">
        <v>197</v>
      </c>
      <c r="D797" t="s">
        <v>197</v>
      </c>
      <c r="E797" t="s">
        <v>197</v>
      </c>
      <c r="F797" t="s">
        <v>197</v>
      </c>
      <c r="G797" t="s">
        <v>197</v>
      </c>
      <c r="H797" t="s">
        <v>197</v>
      </c>
      <c r="I797" t="s">
        <v>197</v>
      </c>
      <c r="J797" t="s">
        <v>197</v>
      </c>
      <c r="K797" t="s">
        <v>624</v>
      </c>
    </row>
    <row r="798" spans="1:24">
      <c r="A798" t="s">
        <v>914</v>
      </c>
      <c r="K798" t="s">
        <v>915</v>
      </c>
      <c r="W798" t="s">
        <v>171</v>
      </c>
      <c r="X798" t="str">
        <f>A798</f>
        <v>info_date_dml_batch1_pk_urp1</v>
      </c>
    </row>
    <row r="799" spans="1:24">
      <c r="B799" t="s">
        <v>196</v>
      </c>
      <c r="C799" t="s">
        <v>197</v>
      </c>
      <c r="D799" t="s">
        <v>197</v>
      </c>
      <c r="E799" t="s">
        <v>197</v>
      </c>
      <c r="F799" t="s">
        <v>197</v>
      </c>
      <c r="G799" t="s">
        <v>197</v>
      </c>
      <c r="H799" t="s">
        <v>197</v>
      </c>
      <c r="I799" t="s">
        <v>916</v>
      </c>
      <c r="J799" t="s">
        <v>199</v>
      </c>
      <c r="K799" t="s">
        <v>200</v>
      </c>
    </row>
    <row r="800" spans="1:24">
      <c r="B800" t="s">
        <v>197</v>
      </c>
      <c r="C800" t="s">
        <v>197</v>
      </c>
      <c r="D800" t="s">
        <v>197</v>
      </c>
      <c r="E800" t="s">
        <v>197</v>
      </c>
      <c r="F800" t="s">
        <v>197</v>
      </c>
      <c r="G800" t="s">
        <v>197</v>
      </c>
      <c r="H800" t="s">
        <v>197</v>
      </c>
      <c r="I800" t="s">
        <v>197</v>
      </c>
      <c r="J800" t="s">
        <v>197</v>
      </c>
      <c r="K800" t="s">
        <v>678</v>
      </c>
    </row>
    <row r="801" spans="1:24">
      <c r="A801" t="s">
        <v>917</v>
      </c>
      <c r="K801" t="s">
        <v>918</v>
      </c>
      <c r="W801" t="s">
        <v>171</v>
      </c>
      <c r="X801" t="str">
        <f>A801</f>
        <v>info_date_dml_batch1_pk_urp2</v>
      </c>
    </row>
    <row r="802" spans="1:24">
      <c r="B802" t="s">
        <v>196</v>
      </c>
      <c r="C802" t="s">
        <v>197</v>
      </c>
      <c r="D802" t="s">
        <v>197</v>
      </c>
      <c r="E802" t="s">
        <v>197</v>
      </c>
      <c r="F802" t="s">
        <v>197</v>
      </c>
      <c r="G802" t="s">
        <v>197</v>
      </c>
      <c r="H802" t="s">
        <v>197</v>
      </c>
      <c r="I802" t="s">
        <v>919</v>
      </c>
      <c r="J802" t="s">
        <v>199</v>
      </c>
      <c r="K802" t="s">
        <v>200</v>
      </c>
    </row>
    <row r="803" spans="1:24">
      <c r="B803" t="s">
        <v>197</v>
      </c>
      <c r="C803" t="s">
        <v>197</v>
      </c>
      <c r="D803" t="s">
        <v>197</v>
      </c>
      <c r="E803" t="s">
        <v>197</v>
      </c>
      <c r="F803" t="s">
        <v>197</v>
      </c>
      <c r="G803" t="s">
        <v>197</v>
      </c>
      <c r="H803" t="s">
        <v>197</v>
      </c>
      <c r="I803" t="s">
        <v>197</v>
      </c>
      <c r="J803" t="s">
        <v>197</v>
      </c>
      <c r="K803" t="s">
        <v>678</v>
      </c>
    </row>
    <row r="804" spans="1:24">
      <c r="A804" t="s">
        <v>920</v>
      </c>
      <c r="K804" t="s">
        <v>921</v>
      </c>
      <c r="W804" s="1" t="str">
        <f>HYPERLINK("#2026042000hbase1!AQ2","NO 源备存在差异，共4个")</f>
        <v>NO 源备存在差异，共4个</v>
      </c>
      <c r="X804" t="str">
        <f>A804</f>
        <v>info_binary_dml_batch1_pk_drp2</v>
      </c>
    </row>
    <row r="805" spans="1:24">
      <c r="B805" t="s">
        <v>196</v>
      </c>
      <c r="C805" t="s">
        <v>197</v>
      </c>
      <c r="D805" t="s">
        <v>197</v>
      </c>
      <c r="E805" t="s">
        <v>197</v>
      </c>
      <c r="F805" t="s">
        <v>197</v>
      </c>
      <c r="G805" t="s">
        <v>197</v>
      </c>
      <c r="H805" t="s">
        <v>197</v>
      </c>
      <c r="I805" t="s">
        <v>922</v>
      </c>
      <c r="J805" t="s">
        <v>199</v>
      </c>
      <c r="K805" t="s">
        <v>200</v>
      </c>
    </row>
    <row r="806" spans="1:24">
      <c r="B806" t="s">
        <v>197</v>
      </c>
      <c r="C806" t="s">
        <v>197</v>
      </c>
      <c r="D806" t="s">
        <v>197</v>
      </c>
      <c r="E806" t="s">
        <v>197</v>
      </c>
      <c r="F806" t="s">
        <v>197</v>
      </c>
      <c r="G806" t="s">
        <v>197</v>
      </c>
      <c r="H806" t="s">
        <v>197</v>
      </c>
      <c r="I806" t="s">
        <v>197</v>
      </c>
      <c r="J806" t="s">
        <v>197</v>
      </c>
      <c r="K806" t="s">
        <v>691</v>
      </c>
    </row>
    <row r="807" spans="1:24">
      <c r="B807" t="s">
        <v>197</v>
      </c>
      <c r="C807" t="s">
        <v>197</v>
      </c>
      <c r="D807" t="s">
        <v>197</v>
      </c>
      <c r="E807" t="s">
        <v>197</v>
      </c>
      <c r="F807" t="s">
        <v>197</v>
      </c>
      <c r="G807" t="s">
        <v>197</v>
      </c>
      <c r="H807" t="s">
        <v>197</v>
      </c>
      <c r="I807" t="s">
        <v>197</v>
      </c>
      <c r="J807" t="s">
        <v>197</v>
      </c>
      <c r="K807" t="s">
        <v>692</v>
      </c>
    </row>
    <row r="808" spans="1:24">
      <c r="B808" t="s">
        <v>197</v>
      </c>
      <c r="C808" t="s">
        <v>197</v>
      </c>
      <c r="D808" t="s">
        <v>197</v>
      </c>
      <c r="E808" t="s">
        <v>197</v>
      </c>
      <c r="F808" t="s">
        <v>197</v>
      </c>
      <c r="G808" t="s">
        <v>197</v>
      </c>
      <c r="H808" t="s">
        <v>197</v>
      </c>
      <c r="I808" t="s">
        <v>197</v>
      </c>
      <c r="J808" t="s">
        <v>197</v>
      </c>
      <c r="K808" t="s">
        <v>693</v>
      </c>
    </row>
    <row r="809" spans="1:24">
      <c r="A809" t="s">
        <v>923</v>
      </c>
      <c r="K809" t="s">
        <v>924</v>
      </c>
      <c r="W809" t="s">
        <v>171</v>
      </c>
      <c r="X809" t="str">
        <f>A809</f>
        <v>info_datetime_dml_single_pk_irp</v>
      </c>
    </row>
    <row r="810" spans="1:24">
      <c r="B810" t="s">
        <v>196</v>
      </c>
      <c r="C810" t="s">
        <v>197</v>
      </c>
      <c r="D810" t="s">
        <v>197</v>
      </c>
      <c r="E810" t="s">
        <v>197</v>
      </c>
      <c r="F810" t="s">
        <v>197</v>
      </c>
      <c r="G810" t="s">
        <v>197</v>
      </c>
      <c r="H810" t="s">
        <v>197</v>
      </c>
      <c r="I810" t="s">
        <v>925</v>
      </c>
      <c r="J810" t="s">
        <v>199</v>
      </c>
      <c r="K810" t="s">
        <v>200</v>
      </c>
    </row>
    <row r="811" spans="1:24">
      <c r="B811" t="s">
        <v>197</v>
      </c>
      <c r="C811" t="s">
        <v>197</v>
      </c>
      <c r="D811" t="s">
        <v>197</v>
      </c>
      <c r="E811" t="s">
        <v>197</v>
      </c>
      <c r="F811" t="s">
        <v>197</v>
      </c>
      <c r="G811" t="s">
        <v>197</v>
      </c>
      <c r="H811" t="s">
        <v>197</v>
      </c>
      <c r="I811" t="s">
        <v>197</v>
      </c>
      <c r="J811" t="s">
        <v>197</v>
      </c>
      <c r="K811" t="s">
        <v>574</v>
      </c>
    </row>
    <row r="812" spans="1:24">
      <c r="A812" t="s">
        <v>926</v>
      </c>
      <c r="K812" t="s">
        <v>927</v>
      </c>
      <c r="W812" s="1" t="str">
        <f>HYPERLINK("#2026042000hbase1!AR2","NO 源备存在差异，共4个")</f>
        <v>NO 源备存在差异，共4个</v>
      </c>
      <c r="X812" t="str">
        <f>A812</f>
        <v>info_int_dml_single_pk_drp</v>
      </c>
    </row>
    <row r="813" spans="1:24">
      <c r="B813" t="s">
        <v>196</v>
      </c>
      <c r="C813" t="s">
        <v>197</v>
      </c>
      <c r="D813" t="s">
        <v>197</v>
      </c>
      <c r="E813" t="s">
        <v>197</v>
      </c>
      <c r="F813" t="s">
        <v>197</v>
      </c>
      <c r="G813" t="s">
        <v>197</v>
      </c>
      <c r="H813" t="s">
        <v>197</v>
      </c>
      <c r="I813" t="s">
        <v>928</v>
      </c>
      <c r="J813" t="s">
        <v>199</v>
      </c>
      <c r="K813" t="s">
        <v>200</v>
      </c>
    </row>
    <row r="814" spans="1:24">
      <c r="B814" t="s">
        <v>197</v>
      </c>
      <c r="C814" t="s">
        <v>197</v>
      </c>
      <c r="D814" t="s">
        <v>197</v>
      </c>
      <c r="E814" t="s">
        <v>197</v>
      </c>
      <c r="F814" t="s">
        <v>197</v>
      </c>
      <c r="G814" t="s">
        <v>197</v>
      </c>
      <c r="H814" t="s">
        <v>197</v>
      </c>
      <c r="I814" t="s">
        <v>197</v>
      </c>
      <c r="J814" t="s">
        <v>197</v>
      </c>
      <c r="K814" t="s">
        <v>549</v>
      </c>
    </row>
    <row r="815" spans="1:24">
      <c r="B815" t="s">
        <v>197</v>
      </c>
      <c r="C815" t="s">
        <v>197</v>
      </c>
      <c r="D815" t="s">
        <v>197</v>
      </c>
      <c r="E815" t="s">
        <v>197</v>
      </c>
      <c r="F815" t="s">
        <v>197</v>
      </c>
      <c r="G815" t="s">
        <v>197</v>
      </c>
      <c r="H815" t="s">
        <v>197</v>
      </c>
      <c r="I815" t="s">
        <v>197</v>
      </c>
      <c r="J815" t="s">
        <v>197</v>
      </c>
      <c r="K815" t="s">
        <v>550</v>
      </c>
    </row>
    <row r="816" spans="1:24">
      <c r="B816" t="s">
        <v>197</v>
      </c>
      <c r="C816" t="s">
        <v>197</v>
      </c>
      <c r="D816" t="s">
        <v>197</v>
      </c>
      <c r="E816" t="s">
        <v>197</v>
      </c>
      <c r="F816" t="s">
        <v>197</v>
      </c>
      <c r="G816" t="s">
        <v>197</v>
      </c>
      <c r="H816" t="s">
        <v>197</v>
      </c>
      <c r="I816" t="s">
        <v>197</v>
      </c>
      <c r="J816" t="s">
        <v>197</v>
      </c>
      <c r="K816" t="s">
        <v>551</v>
      </c>
    </row>
    <row r="817" spans="2:11">
      <c r="B817" t="s">
        <v>197</v>
      </c>
      <c r="C817" t="s">
        <v>197</v>
      </c>
      <c r="D817" t="s">
        <v>197</v>
      </c>
      <c r="E817" t="s">
        <v>197</v>
      </c>
      <c r="F817" t="s">
        <v>197</v>
      </c>
      <c r="G817" t="s">
        <v>197</v>
      </c>
      <c r="H817" t="s">
        <v>197</v>
      </c>
      <c r="I817" t="s">
        <v>197</v>
      </c>
      <c r="J817" t="s">
        <v>197</v>
      </c>
      <c r="K817" t="s">
        <v>552</v>
      </c>
    </row>
    <row r="818" spans="2:11">
      <c r="B818" t="s">
        <v>197</v>
      </c>
      <c r="C818" t="s">
        <v>197</v>
      </c>
      <c r="D818" t="s">
        <v>197</v>
      </c>
      <c r="E818" t="s">
        <v>197</v>
      </c>
      <c r="F818" t="s">
        <v>197</v>
      </c>
      <c r="G818" t="s">
        <v>197</v>
      </c>
      <c r="H818" t="s">
        <v>197</v>
      </c>
      <c r="I818" t="s">
        <v>197</v>
      </c>
      <c r="J818" t="s">
        <v>197</v>
      </c>
      <c r="K818" t="s">
        <v>553</v>
      </c>
    </row>
    <row r="819" spans="2:11">
      <c r="B819" t="s">
        <v>197</v>
      </c>
      <c r="C819" t="s">
        <v>197</v>
      </c>
      <c r="D819" t="s">
        <v>197</v>
      </c>
      <c r="E819" t="s">
        <v>197</v>
      </c>
      <c r="F819" t="s">
        <v>197</v>
      </c>
      <c r="G819" t="s">
        <v>197</v>
      </c>
      <c r="H819" t="s">
        <v>197</v>
      </c>
      <c r="I819" t="s">
        <v>197</v>
      </c>
      <c r="J819" t="s">
        <v>197</v>
      </c>
      <c r="K819" t="s">
        <v>554</v>
      </c>
    </row>
    <row r="820" spans="2:11">
      <c r="B820" t="s">
        <v>197</v>
      </c>
      <c r="C820" t="s">
        <v>197</v>
      </c>
      <c r="D820" t="s">
        <v>197</v>
      </c>
      <c r="E820" t="s">
        <v>197</v>
      </c>
      <c r="F820" t="s">
        <v>197</v>
      </c>
      <c r="G820" t="s">
        <v>197</v>
      </c>
      <c r="H820" t="s">
        <v>197</v>
      </c>
      <c r="I820" t="s">
        <v>197</v>
      </c>
      <c r="J820" t="s">
        <v>197</v>
      </c>
      <c r="K820" t="s">
        <v>555</v>
      </c>
    </row>
    <row r="821" spans="2:11">
      <c r="B821" t="s">
        <v>197</v>
      </c>
      <c r="C821" t="s">
        <v>197</v>
      </c>
      <c r="D821" t="s">
        <v>197</v>
      </c>
      <c r="E821" t="s">
        <v>197</v>
      </c>
      <c r="F821" t="s">
        <v>197</v>
      </c>
      <c r="G821" t="s">
        <v>197</v>
      </c>
      <c r="H821" t="s">
        <v>197</v>
      </c>
      <c r="I821" t="s">
        <v>197</v>
      </c>
      <c r="J821" t="s">
        <v>197</v>
      </c>
      <c r="K821" t="s">
        <v>556</v>
      </c>
    </row>
    <row r="822" spans="2:11">
      <c r="B822" t="s">
        <v>197</v>
      </c>
      <c r="C822" t="s">
        <v>197</v>
      </c>
      <c r="D822" t="s">
        <v>197</v>
      </c>
      <c r="E822" t="s">
        <v>197</v>
      </c>
      <c r="F822" t="s">
        <v>197</v>
      </c>
      <c r="G822" t="s">
        <v>197</v>
      </c>
      <c r="H822" t="s">
        <v>197</v>
      </c>
      <c r="I822" t="s">
        <v>197</v>
      </c>
      <c r="J822" t="s">
        <v>197</v>
      </c>
      <c r="K822" t="s">
        <v>557</v>
      </c>
    </row>
    <row r="823" spans="2:11">
      <c r="B823" t="s">
        <v>197</v>
      </c>
      <c r="C823" t="s">
        <v>197</v>
      </c>
      <c r="D823" t="s">
        <v>197</v>
      </c>
      <c r="E823" t="s">
        <v>197</v>
      </c>
      <c r="F823" t="s">
        <v>197</v>
      </c>
      <c r="G823" t="s">
        <v>197</v>
      </c>
      <c r="H823" t="s">
        <v>197</v>
      </c>
      <c r="I823" t="s">
        <v>197</v>
      </c>
      <c r="J823" t="s">
        <v>197</v>
      </c>
      <c r="K823" t="s">
        <v>558</v>
      </c>
    </row>
    <row r="824" spans="2:11">
      <c r="B824" t="s">
        <v>197</v>
      </c>
      <c r="C824" t="s">
        <v>197</v>
      </c>
      <c r="D824" t="s">
        <v>197</v>
      </c>
      <c r="E824" t="s">
        <v>197</v>
      </c>
      <c r="F824" t="s">
        <v>197</v>
      </c>
      <c r="G824" t="s">
        <v>197</v>
      </c>
      <c r="H824" t="s">
        <v>197</v>
      </c>
      <c r="I824" t="s">
        <v>197</v>
      </c>
      <c r="J824" t="s">
        <v>197</v>
      </c>
      <c r="K824" t="s">
        <v>559</v>
      </c>
    </row>
    <row r="825" spans="2:11">
      <c r="B825" t="s">
        <v>197</v>
      </c>
      <c r="C825" t="s">
        <v>197</v>
      </c>
      <c r="D825" t="s">
        <v>197</v>
      </c>
      <c r="E825" t="s">
        <v>197</v>
      </c>
      <c r="F825" t="s">
        <v>197</v>
      </c>
      <c r="G825" t="s">
        <v>197</v>
      </c>
      <c r="H825" t="s">
        <v>197</v>
      </c>
      <c r="I825" t="s">
        <v>197</v>
      </c>
      <c r="J825" t="s">
        <v>197</v>
      </c>
      <c r="K825" t="s">
        <v>560</v>
      </c>
    </row>
    <row r="826" spans="2:11">
      <c r="B826" t="s">
        <v>197</v>
      </c>
      <c r="C826" t="s">
        <v>197</v>
      </c>
      <c r="D826" t="s">
        <v>197</v>
      </c>
      <c r="E826" t="s">
        <v>197</v>
      </c>
      <c r="F826" t="s">
        <v>197</v>
      </c>
      <c r="G826" t="s">
        <v>197</v>
      </c>
      <c r="H826" t="s">
        <v>197</v>
      </c>
      <c r="I826" t="s">
        <v>197</v>
      </c>
      <c r="J826" t="s">
        <v>197</v>
      </c>
      <c r="K826" t="s">
        <v>561</v>
      </c>
    </row>
    <row r="827" spans="2:11">
      <c r="B827" t="s">
        <v>197</v>
      </c>
      <c r="C827" t="s">
        <v>197</v>
      </c>
      <c r="D827" t="s">
        <v>197</v>
      </c>
      <c r="E827" t="s">
        <v>197</v>
      </c>
      <c r="F827" t="s">
        <v>197</v>
      </c>
      <c r="G827" t="s">
        <v>197</v>
      </c>
      <c r="H827" t="s">
        <v>197</v>
      </c>
      <c r="I827" t="s">
        <v>197</v>
      </c>
      <c r="J827" t="s">
        <v>197</v>
      </c>
      <c r="K827" t="s">
        <v>562</v>
      </c>
    </row>
    <row r="828" spans="2:11">
      <c r="B828" t="s">
        <v>197</v>
      </c>
      <c r="C828" t="s">
        <v>197</v>
      </c>
      <c r="D828" t="s">
        <v>197</v>
      </c>
      <c r="E828" t="s">
        <v>197</v>
      </c>
      <c r="F828" t="s">
        <v>197</v>
      </c>
      <c r="G828" t="s">
        <v>197</v>
      </c>
      <c r="H828" t="s">
        <v>197</v>
      </c>
      <c r="I828" t="s">
        <v>197</v>
      </c>
      <c r="J828" t="s">
        <v>197</v>
      </c>
      <c r="K828" t="s">
        <v>563</v>
      </c>
    </row>
    <row r="829" spans="2:11">
      <c r="B829" t="s">
        <v>197</v>
      </c>
      <c r="C829" t="s">
        <v>197</v>
      </c>
      <c r="D829" t="s">
        <v>197</v>
      </c>
      <c r="E829" t="s">
        <v>197</v>
      </c>
      <c r="F829" t="s">
        <v>197</v>
      </c>
      <c r="G829" t="s">
        <v>197</v>
      </c>
      <c r="H829" t="s">
        <v>197</v>
      </c>
      <c r="I829" t="s">
        <v>197</v>
      </c>
      <c r="J829" t="s">
        <v>197</v>
      </c>
      <c r="K829" t="s">
        <v>564</v>
      </c>
    </row>
    <row r="830" spans="2:11">
      <c r="B830" t="s">
        <v>197</v>
      </c>
      <c r="C830" t="s">
        <v>197</v>
      </c>
      <c r="D830" t="s">
        <v>197</v>
      </c>
      <c r="E830" t="s">
        <v>197</v>
      </c>
      <c r="F830" t="s">
        <v>197</v>
      </c>
      <c r="G830" t="s">
        <v>197</v>
      </c>
      <c r="H830" t="s">
        <v>197</v>
      </c>
      <c r="I830" t="s">
        <v>197</v>
      </c>
      <c r="J830" t="s">
        <v>197</v>
      </c>
      <c r="K830" t="s">
        <v>565</v>
      </c>
    </row>
    <row r="831" spans="2:11">
      <c r="B831" t="s">
        <v>197</v>
      </c>
      <c r="C831" t="s">
        <v>197</v>
      </c>
      <c r="D831" t="s">
        <v>197</v>
      </c>
      <c r="E831" t="s">
        <v>197</v>
      </c>
      <c r="F831" t="s">
        <v>197</v>
      </c>
      <c r="G831" t="s">
        <v>197</v>
      </c>
      <c r="H831" t="s">
        <v>197</v>
      </c>
      <c r="I831" t="s">
        <v>197</v>
      </c>
      <c r="J831" t="s">
        <v>197</v>
      </c>
      <c r="K831" t="s">
        <v>566</v>
      </c>
    </row>
    <row r="832" spans="2:11">
      <c r="B832" t="s">
        <v>197</v>
      </c>
      <c r="C832" t="s">
        <v>197</v>
      </c>
      <c r="D832" t="s">
        <v>197</v>
      </c>
      <c r="E832" t="s">
        <v>197</v>
      </c>
      <c r="F832" t="s">
        <v>197</v>
      </c>
      <c r="G832" t="s">
        <v>197</v>
      </c>
      <c r="H832" t="s">
        <v>197</v>
      </c>
      <c r="I832" t="s">
        <v>197</v>
      </c>
      <c r="J832" t="s">
        <v>197</v>
      </c>
      <c r="K832" t="s">
        <v>567</v>
      </c>
    </row>
    <row r="833" spans="1:24">
      <c r="A833" t="s">
        <v>929</v>
      </c>
      <c r="K833" t="s">
        <v>930</v>
      </c>
      <c r="W833" t="s">
        <v>171</v>
      </c>
      <c r="X833" t="str">
        <f>A833</f>
        <v>info_varcharmax_dml_single_pk_drp</v>
      </c>
    </row>
    <row r="834" spans="1:24">
      <c r="B834" t="s">
        <v>196</v>
      </c>
      <c r="C834" t="s">
        <v>197</v>
      </c>
      <c r="D834" t="s">
        <v>197</v>
      </c>
      <c r="E834" t="s">
        <v>197</v>
      </c>
      <c r="F834" t="s">
        <v>197</v>
      </c>
      <c r="G834" t="s">
        <v>197</v>
      </c>
      <c r="H834" t="s">
        <v>197</v>
      </c>
      <c r="I834" t="s">
        <v>931</v>
      </c>
      <c r="J834" t="s">
        <v>199</v>
      </c>
      <c r="K834" t="s">
        <v>200</v>
      </c>
    </row>
    <row r="835" spans="1:24">
      <c r="B835" t="s">
        <v>197</v>
      </c>
      <c r="C835" t="s">
        <v>197</v>
      </c>
      <c r="D835" t="s">
        <v>197</v>
      </c>
      <c r="E835" t="s">
        <v>197</v>
      </c>
      <c r="F835" t="s">
        <v>197</v>
      </c>
      <c r="G835" t="s">
        <v>197</v>
      </c>
      <c r="H835" t="s">
        <v>197</v>
      </c>
      <c r="I835" t="s">
        <v>197</v>
      </c>
      <c r="J835" t="s">
        <v>197</v>
      </c>
      <c r="K835" t="s">
        <v>725</v>
      </c>
    </row>
    <row r="836" spans="1:24">
      <c r="B836" t="s">
        <v>197</v>
      </c>
      <c r="C836" t="s">
        <v>197</v>
      </c>
      <c r="D836" t="s">
        <v>197</v>
      </c>
      <c r="E836" t="s">
        <v>197</v>
      </c>
      <c r="F836" t="s">
        <v>197</v>
      </c>
      <c r="G836" t="s">
        <v>197</v>
      </c>
      <c r="H836" t="s">
        <v>197</v>
      </c>
      <c r="I836" t="s">
        <v>197</v>
      </c>
      <c r="J836" t="s">
        <v>197</v>
      </c>
      <c r="K836" t="s">
        <v>726</v>
      </c>
    </row>
    <row r="837" spans="1:24">
      <c r="A837" t="s">
        <v>932</v>
      </c>
      <c r="K837" t="s">
        <v>933</v>
      </c>
      <c r="W837" s="1" t="str">
        <f>HYPERLINK("#2026042000hbase1!AS2","NO 源备存在差异，共12个")</f>
        <v>NO 源备存在差异，共12个</v>
      </c>
      <c r="X837" t="str">
        <f>A837</f>
        <v>info_char_dml_batch1_pk_urp1</v>
      </c>
    </row>
    <row r="838" spans="1:24">
      <c r="B838" t="s">
        <v>196</v>
      </c>
      <c r="C838" t="s">
        <v>197</v>
      </c>
      <c r="D838" t="s">
        <v>197</v>
      </c>
      <c r="E838" t="s">
        <v>197</v>
      </c>
      <c r="F838" t="s">
        <v>197</v>
      </c>
      <c r="G838" t="s">
        <v>197</v>
      </c>
      <c r="H838" t="s">
        <v>197</v>
      </c>
      <c r="I838" t="s">
        <v>934</v>
      </c>
      <c r="J838" t="s">
        <v>199</v>
      </c>
      <c r="K838" t="s">
        <v>200</v>
      </c>
    </row>
    <row r="839" spans="1:24">
      <c r="B839" t="s">
        <v>197</v>
      </c>
      <c r="C839" t="s">
        <v>197</v>
      </c>
      <c r="D839" t="s">
        <v>197</v>
      </c>
      <c r="E839" t="s">
        <v>197</v>
      </c>
      <c r="F839" t="s">
        <v>197</v>
      </c>
      <c r="G839" t="s">
        <v>197</v>
      </c>
      <c r="H839" t="s">
        <v>197</v>
      </c>
      <c r="I839" t="s">
        <v>197</v>
      </c>
      <c r="J839" t="s">
        <v>197</v>
      </c>
      <c r="K839" t="s">
        <v>622</v>
      </c>
    </row>
    <row r="840" spans="1:24">
      <c r="B840" t="s">
        <v>197</v>
      </c>
      <c r="C840" t="s">
        <v>197</v>
      </c>
      <c r="D840" t="s">
        <v>197</v>
      </c>
      <c r="E840" t="s">
        <v>197</v>
      </c>
      <c r="F840" t="s">
        <v>197</v>
      </c>
      <c r="G840" t="s">
        <v>197</v>
      </c>
      <c r="H840" t="s">
        <v>197</v>
      </c>
      <c r="I840" t="s">
        <v>197</v>
      </c>
      <c r="J840" t="s">
        <v>197</v>
      </c>
      <c r="K840" t="s">
        <v>623</v>
      </c>
    </row>
    <row r="841" spans="1:24">
      <c r="B841" t="s">
        <v>197</v>
      </c>
      <c r="C841" t="s">
        <v>197</v>
      </c>
      <c r="D841" t="s">
        <v>197</v>
      </c>
      <c r="E841" t="s">
        <v>197</v>
      </c>
      <c r="F841" t="s">
        <v>197</v>
      </c>
      <c r="G841" t="s">
        <v>197</v>
      </c>
      <c r="H841" t="s">
        <v>197</v>
      </c>
      <c r="I841" t="s">
        <v>197</v>
      </c>
      <c r="J841" t="s">
        <v>197</v>
      </c>
      <c r="K841" t="s">
        <v>832</v>
      </c>
    </row>
    <row r="842" spans="1:24">
      <c r="A842" t="s">
        <v>935</v>
      </c>
      <c r="K842" t="s">
        <v>936</v>
      </c>
      <c r="W842" t="s">
        <v>171</v>
      </c>
      <c r="X842" t="str">
        <f>A842</f>
        <v>info_int_dml_single_pk</v>
      </c>
    </row>
    <row r="843" spans="1:24">
      <c r="B843" t="s">
        <v>196</v>
      </c>
      <c r="C843" t="s">
        <v>197</v>
      </c>
      <c r="D843" t="s">
        <v>197</v>
      </c>
      <c r="E843" t="s">
        <v>197</v>
      </c>
      <c r="F843" t="s">
        <v>197</v>
      </c>
      <c r="G843" t="s">
        <v>197</v>
      </c>
      <c r="H843" t="s">
        <v>197</v>
      </c>
      <c r="I843" t="s">
        <v>937</v>
      </c>
      <c r="J843" t="s">
        <v>199</v>
      </c>
      <c r="K843" t="s">
        <v>200</v>
      </c>
    </row>
    <row r="844" spans="1:24">
      <c r="B844" t="s">
        <v>197</v>
      </c>
      <c r="C844" t="s">
        <v>197</v>
      </c>
      <c r="D844" t="s">
        <v>197</v>
      </c>
      <c r="E844" t="s">
        <v>197</v>
      </c>
      <c r="F844" t="s">
        <v>197</v>
      </c>
      <c r="G844" t="s">
        <v>197</v>
      </c>
      <c r="H844" t="s">
        <v>197</v>
      </c>
      <c r="I844" t="s">
        <v>197</v>
      </c>
      <c r="J844" t="s">
        <v>197</v>
      </c>
      <c r="K844" t="s">
        <v>549</v>
      </c>
    </row>
    <row r="845" spans="1:24">
      <c r="B845" t="s">
        <v>197</v>
      </c>
      <c r="C845" t="s">
        <v>197</v>
      </c>
      <c r="D845" t="s">
        <v>197</v>
      </c>
      <c r="E845" t="s">
        <v>197</v>
      </c>
      <c r="F845" t="s">
        <v>197</v>
      </c>
      <c r="G845" t="s">
        <v>197</v>
      </c>
      <c r="H845" t="s">
        <v>197</v>
      </c>
      <c r="I845" t="s">
        <v>197</v>
      </c>
      <c r="J845" t="s">
        <v>197</v>
      </c>
      <c r="K845" t="s">
        <v>550</v>
      </c>
    </row>
    <row r="846" spans="1:24">
      <c r="B846" t="s">
        <v>197</v>
      </c>
      <c r="C846" t="s">
        <v>197</v>
      </c>
      <c r="D846" t="s">
        <v>197</v>
      </c>
      <c r="E846" t="s">
        <v>197</v>
      </c>
      <c r="F846" t="s">
        <v>197</v>
      </c>
      <c r="G846" t="s">
        <v>197</v>
      </c>
      <c r="H846" t="s">
        <v>197</v>
      </c>
      <c r="I846" t="s">
        <v>197</v>
      </c>
      <c r="J846" t="s">
        <v>197</v>
      </c>
      <c r="K846" t="s">
        <v>551</v>
      </c>
    </row>
    <row r="847" spans="1:24">
      <c r="B847" t="s">
        <v>197</v>
      </c>
      <c r="C847" t="s">
        <v>197</v>
      </c>
      <c r="D847" t="s">
        <v>197</v>
      </c>
      <c r="E847" t="s">
        <v>197</v>
      </c>
      <c r="F847" t="s">
        <v>197</v>
      </c>
      <c r="G847" t="s">
        <v>197</v>
      </c>
      <c r="H847" t="s">
        <v>197</v>
      </c>
      <c r="I847" t="s">
        <v>197</v>
      </c>
      <c r="J847" t="s">
        <v>197</v>
      </c>
      <c r="K847" t="s">
        <v>552</v>
      </c>
    </row>
    <row r="848" spans="1:24">
      <c r="B848" t="s">
        <v>197</v>
      </c>
      <c r="C848" t="s">
        <v>197</v>
      </c>
      <c r="D848" t="s">
        <v>197</v>
      </c>
      <c r="E848" t="s">
        <v>197</v>
      </c>
      <c r="F848" t="s">
        <v>197</v>
      </c>
      <c r="G848" t="s">
        <v>197</v>
      </c>
      <c r="H848" t="s">
        <v>197</v>
      </c>
      <c r="I848" t="s">
        <v>197</v>
      </c>
      <c r="J848" t="s">
        <v>197</v>
      </c>
      <c r="K848" t="s">
        <v>553</v>
      </c>
    </row>
    <row r="849" spans="1:24">
      <c r="B849" t="s">
        <v>197</v>
      </c>
      <c r="C849" t="s">
        <v>197</v>
      </c>
      <c r="D849" t="s">
        <v>197</v>
      </c>
      <c r="E849" t="s">
        <v>197</v>
      </c>
      <c r="F849" t="s">
        <v>197</v>
      </c>
      <c r="G849" t="s">
        <v>197</v>
      </c>
      <c r="H849" t="s">
        <v>197</v>
      </c>
      <c r="I849" t="s">
        <v>197</v>
      </c>
      <c r="J849" t="s">
        <v>197</v>
      </c>
      <c r="K849" t="s">
        <v>554</v>
      </c>
    </row>
    <row r="850" spans="1:24">
      <c r="B850" t="s">
        <v>197</v>
      </c>
      <c r="C850" t="s">
        <v>197</v>
      </c>
      <c r="D850" t="s">
        <v>197</v>
      </c>
      <c r="E850" t="s">
        <v>197</v>
      </c>
      <c r="F850" t="s">
        <v>197</v>
      </c>
      <c r="G850" t="s">
        <v>197</v>
      </c>
      <c r="H850" t="s">
        <v>197</v>
      </c>
      <c r="I850" t="s">
        <v>197</v>
      </c>
      <c r="J850" t="s">
        <v>197</v>
      </c>
      <c r="K850" t="s">
        <v>555</v>
      </c>
    </row>
    <row r="851" spans="1:24">
      <c r="B851" t="s">
        <v>197</v>
      </c>
      <c r="C851" t="s">
        <v>197</v>
      </c>
      <c r="D851" t="s">
        <v>197</v>
      </c>
      <c r="E851" t="s">
        <v>197</v>
      </c>
      <c r="F851" t="s">
        <v>197</v>
      </c>
      <c r="G851" t="s">
        <v>197</v>
      </c>
      <c r="H851" t="s">
        <v>197</v>
      </c>
      <c r="I851" t="s">
        <v>197</v>
      </c>
      <c r="J851" t="s">
        <v>197</v>
      </c>
      <c r="K851" t="s">
        <v>556</v>
      </c>
    </row>
    <row r="852" spans="1:24">
      <c r="B852" t="s">
        <v>197</v>
      </c>
      <c r="C852" t="s">
        <v>197</v>
      </c>
      <c r="D852" t="s">
        <v>197</v>
      </c>
      <c r="E852" t="s">
        <v>197</v>
      </c>
      <c r="F852" t="s">
        <v>197</v>
      </c>
      <c r="G852" t="s">
        <v>197</v>
      </c>
      <c r="H852" t="s">
        <v>197</v>
      </c>
      <c r="I852" t="s">
        <v>197</v>
      </c>
      <c r="J852" t="s">
        <v>197</v>
      </c>
      <c r="K852" t="s">
        <v>557</v>
      </c>
    </row>
    <row r="853" spans="1:24">
      <c r="B853" t="s">
        <v>197</v>
      </c>
      <c r="C853" t="s">
        <v>197</v>
      </c>
      <c r="D853" t="s">
        <v>197</v>
      </c>
      <c r="E853" t="s">
        <v>197</v>
      </c>
      <c r="F853" t="s">
        <v>197</v>
      </c>
      <c r="G853" t="s">
        <v>197</v>
      </c>
      <c r="H853" t="s">
        <v>197</v>
      </c>
      <c r="I853" t="s">
        <v>197</v>
      </c>
      <c r="J853" t="s">
        <v>197</v>
      </c>
      <c r="K853" t="s">
        <v>558</v>
      </c>
    </row>
    <row r="854" spans="1:24">
      <c r="B854" t="s">
        <v>197</v>
      </c>
      <c r="C854" t="s">
        <v>197</v>
      </c>
      <c r="D854" t="s">
        <v>197</v>
      </c>
      <c r="E854" t="s">
        <v>197</v>
      </c>
      <c r="F854" t="s">
        <v>197</v>
      </c>
      <c r="G854" t="s">
        <v>197</v>
      </c>
      <c r="H854" t="s">
        <v>197</v>
      </c>
      <c r="I854" t="s">
        <v>197</v>
      </c>
      <c r="J854" t="s">
        <v>197</v>
      </c>
      <c r="K854" t="s">
        <v>559</v>
      </c>
    </row>
    <row r="855" spans="1:24">
      <c r="B855" t="s">
        <v>197</v>
      </c>
      <c r="C855" t="s">
        <v>197</v>
      </c>
      <c r="D855" t="s">
        <v>197</v>
      </c>
      <c r="E855" t="s">
        <v>197</v>
      </c>
      <c r="F855" t="s">
        <v>197</v>
      </c>
      <c r="G855" t="s">
        <v>197</v>
      </c>
      <c r="H855" t="s">
        <v>197</v>
      </c>
      <c r="I855" t="s">
        <v>197</v>
      </c>
      <c r="J855" t="s">
        <v>197</v>
      </c>
      <c r="K855" t="s">
        <v>560</v>
      </c>
    </row>
    <row r="856" spans="1:24">
      <c r="B856" t="s">
        <v>197</v>
      </c>
      <c r="C856" t="s">
        <v>197</v>
      </c>
      <c r="D856" t="s">
        <v>197</v>
      </c>
      <c r="E856" t="s">
        <v>197</v>
      </c>
      <c r="F856" t="s">
        <v>197</v>
      </c>
      <c r="G856" t="s">
        <v>197</v>
      </c>
      <c r="H856" t="s">
        <v>197</v>
      </c>
      <c r="I856" t="s">
        <v>197</v>
      </c>
      <c r="J856" t="s">
        <v>197</v>
      </c>
      <c r="K856" t="s">
        <v>561</v>
      </c>
    </row>
    <row r="857" spans="1:24">
      <c r="B857" t="s">
        <v>197</v>
      </c>
      <c r="C857" t="s">
        <v>197</v>
      </c>
      <c r="D857" t="s">
        <v>197</v>
      </c>
      <c r="E857" t="s">
        <v>197</v>
      </c>
      <c r="F857" t="s">
        <v>197</v>
      </c>
      <c r="G857" t="s">
        <v>197</v>
      </c>
      <c r="H857" t="s">
        <v>197</v>
      </c>
      <c r="I857" t="s">
        <v>197</v>
      </c>
      <c r="J857" t="s">
        <v>197</v>
      </c>
      <c r="K857" t="s">
        <v>562</v>
      </c>
    </row>
    <row r="858" spans="1:24">
      <c r="B858" t="s">
        <v>197</v>
      </c>
      <c r="C858" t="s">
        <v>197</v>
      </c>
      <c r="D858" t="s">
        <v>197</v>
      </c>
      <c r="E858" t="s">
        <v>197</v>
      </c>
      <c r="F858" t="s">
        <v>197</v>
      </c>
      <c r="G858" t="s">
        <v>197</v>
      </c>
      <c r="H858" t="s">
        <v>197</v>
      </c>
      <c r="I858" t="s">
        <v>197</v>
      </c>
      <c r="J858" t="s">
        <v>197</v>
      </c>
      <c r="K858" t="s">
        <v>563</v>
      </c>
    </row>
    <row r="859" spans="1:24">
      <c r="B859" t="s">
        <v>197</v>
      </c>
      <c r="C859" t="s">
        <v>197</v>
      </c>
      <c r="D859" t="s">
        <v>197</v>
      </c>
      <c r="E859" t="s">
        <v>197</v>
      </c>
      <c r="F859" t="s">
        <v>197</v>
      </c>
      <c r="G859" t="s">
        <v>197</v>
      </c>
      <c r="H859" t="s">
        <v>197</v>
      </c>
      <c r="I859" t="s">
        <v>197</v>
      </c>
      <c r="J859" t="s">
        <v>197</v>
      </c>
      <c r="K859" t="s">
        <v>564</v>
      </c>
    </row>
    <row r="860" spans="1:24">
      <c r="B860" t="s">
        <v>197</v>
      </c>
      <c r="C860" t="s">
        <v>197</v>
      </c>
      <c r="D860" t="s">
        <v>197</v>
      </c>
      <c r="E860" t="s">
        <v>197</v>
      </c>
      <c r="F860" t="s">
        <v>197</v>
      </c>
      <c r="G860" t="s">
        <v>197</v>
      </c>
      <c r="H860" t="s">
        <v>197</v>
      </c>
      <c r="I860" t="s">
        <v>197</v>
      </c>
      <c r="J860" t="s">
        <v>197</v>
      </c>
      <c r="K860" t="s">
        <v>565</v>
      </c>
    </row>
    <row r="861" spans="1:24">
      <c r="B861" t="s">
        <v>197</v>
      </c>
      <c r="C861" t="s">
        <v>197</v>
      </c>
      <c r="D861" t="s">
        <v>197</v>
      </c>
      <c r="E861" t="s">
        <v>197</v>
      </c>
      <c r="F861" t="s">
        <v>197</v>
      </c>
      <c r="G861" t="s">
        <v>197</v>
      </c>
      <c r="H861" t="s">
        <v>197</v>
      </c>
      <c r="I861" t="s">
        <v>197</v>
      </c>
      <c r="J861" t="s">
        <v>197</v>
      </c>
      <c r="K861" t="s">
        <v>566</v>
      </c>
    </row>
    <row r="862" spans="1:24">
      <c r="B862" t="s">
        <v>197</v>
      </c>
      <c r="C862" t="s">
        <v>197</v>
      </c>
      <c r="D862" t="s">
        <v>197</v>
      </c>
      <c r="E862" t="s">
        <v>197</v>
      </c>
      <c r="F862" t="s">
        <v>197</v>
      </c>
      <c r="G862" t="s">
        <v>197</v>
      </c>
      <c r="H862" t="s">
        <v>197</v>
      </c>
      <c r="I862" t="s">
        <v>197</v>
      </c>
      <c r="J862" t="s">
        <v>197</v>
      </c>
      <c r="K862" t="s">
        <v>567</v>
      </c>
    </row>
    <row r="863" spans="1:24">
      <c r="A863" t="s">
        <v>938</v>
      </c>
      <c r="K863" t="s">
        <v>939</v>
      </c>
      <c r="W863" t="s">
        <v>171</v>
      </c>
      <c r="X863" t="str">
        <f>A863</f>
        <v>info_varcharmax_dml_batch1_pk_drp1</v>
      </c>
    </row>
    <row r="864" spans="1:24">
      <c r="B864" t="s">
        <v>196</v>
      </c>
      <c r="C864" t="s">
        <v>197</v>
      </c>
      <c r="D864" t="s">
        <v>197</v>
      </c>
      <c r="E864" t="s">
        <v>197</v>
      </c>
      <c r="F864" t="s">
        <v>197</v>
      </c>
      <c r="G864" t="s">
        <v>197</v>
      </c>
      <c r="H864" t="s">
        <v>197</v>
      </c>
      <c r="I864" t="s">
        <v>940</v>
      </c>
      <c r="J864" t="s">
        <v>199</v>
      </c>
      <c r="K864" t="s">
        <v>200</v>
      </c>
    </row>
    <row r="865" spans="1:24">
      <c r="B865" t="s">
        <v>197</v>
      </c>
      <c r="C865" t="s">
        <v>197</v>
      </c>
      <c r="D865" t="s">
        <v>197</v>
      </c>
      <c r="E865" t="s">
        <v>197</v>
      </c>
      <c r="F865" t="s">
        <v>197</v>
      </c>
      <c r="G865" t="s">
        <v>197</v>
      </c>
      <c r="H865" t="s">
        <v>197</v>
      </c>
      <c r="I865" t="s">
        <v>197</v>
      </c>
      <c r="J865" t="s">
        <v>197</v>
      </c>
      <c r="K865" t="s">
        <v>725</v>
      </c>
    </row>
    <row r="866" spans="1:24">
      <c r="B866" t="s">
        <v>197</v>
      </c>
      <c r="C866" t="s">
        <v>197</v>
      </c>
      <c r="D866" t="s">
        <v>197</v>
      </c>
      <c r="E866" t="s">
        <v>197</v>
      </c>
      <c r="F866" t="s">
        <v>197</v>
      </c>
      <c r="G866" t="s">
        <v>197</v>
      </c>
      <c r="H866" t="s">
        <v>197</v>
      </c>
      <c r="I866" t="s">
        <v>197</v>
      </c>
      <c r="J866" t="s">
        <v>197</v>
      </c>
      <c r="K866" t="s">
        <v>726</v>
      </c>
    </row>
    <row r="867" spans="1:24">
      <c r="K867" t="s">
        <v>443</v>
      </c>
    </row>
    <row r="868" spans="1:24">
      <c r="A868" t="s">
        <v>941</v>
      </c>
      <c r="K868" t="s">
        <v>942</v>
      </c>
      <c r="W868" s="1" t="str">
        <f>HYPERLINK("#2026042000hbase1!AT2","NO 源备存在差异，共4个")</f>
        <v>NO 源备存在差异，共4个</v>
      </c>
      <c r="X868" t="str">
        <f>A868</f>
        <v>info_timestamp_dml_single_pk_irp</v>
      </c>
    </row>
    <row r="869" spans="1:24">
      <c r="B869" t="s">
        <v>196</v>
      </c>
      <c r="C869" t="s">
        <v>197</v>
      </c>
      <c r="D869" t="s">
        <v>197</v>
      </c>
      <c r="E869" t="s">
        <v>197</v>
      </c>
      <c r="F869" t="s">
        <v>197</v>
      </c>
      <c r="G869" t="s">
        <v>197</v>
      </c>
      <c r="H869" t="s">
        <v>197</v>
      </c>
      <c r="I869" t="s">
        <v>943</v>
      </c>
      <c r="J869" t="s">
        <v>199</v>
      </c>
      <c r="K869" t="s">
        <v>200</v>
      </c>
    </row>
    <row r="870" spans="1:24">
      <c r="B870" t="s">
        <v>197</v>
      </c>
      <c r="C870" t="s">
        <v>197</v>
      </c>
      <c r="D870" t="s">
        <v>197</v>
      </c>
      <c r="E870" t="s">
        <v>197</v>
      </c>
      <c r="F870" t="s">
        <v>197</v>
      </c>
      <c r="G870" t="s">
        <v>197</v>
      </c>
      <c r="H870" t="s">
        <v>197</v>
      </c>
      <c r="I870" t="s">
        <v>197</v>
      </c>
      <c r="J870" t="s">
        <v>197</v>
      </c>
      <c r="K870" t="s">
        <v>944</v>
      </c>
    </row>
    <row r="871" spans="1:24">
      <c r="A871" t="s">
        <v>945</v>
      </c>
      <c r="K871" t="s">
        <v>946</v>
      </c>
      <c r="W871" s="1" t="str">
        <f>HYPERLINK("#2026042000hbase1!AU2","NO 源备存在差异，共10个")</f>
        <v>NO 源备存在差异，共10个</v>
      </c>
      <c r="X871" t="str">
        <f>A871</f>
        <v>info_char_dml_batch1_pk_urp2</v>
      </c>
    </row>
    <row r="872" spans="1:24">
      <c r="B872" t="s">
        <v>196</v>
      </c>
      <c r="C872" t="s">
        <v>197</v>
      </c>
      <c r="D872" t="s">
        <v>197</v>
      </c>
      <c r="E872" t="s">
        <v>197</v>
      </c>
      <c r="F872" t="s">
        <v>197</v>
      </c>
      <c r="G872" t="s">
        <v>197</v>
      </c>
      <c r="H872" t="s">
        <v>197</v>
      </c>
      <c r="I872" t="s">
        <v>947</v>
      </c>
      <c r="J872" t="s">
        <v>199</v>
      </c>
      <c r="K872" t="s">
        <v>200</v>
      </c>
    </row>
    <row r="873" spans="1:24">
      <c r="B873" t="s">
        <v>197</v>
      </c>
      <c r="C873" t="s">
        <v>197</v>
      </c>
      <c r="D873" t="s">
        <v>197</v>
      </c>
      <c r="E873" t="s">
        <v>197</v>
      </c>
      <c r="F873" t="s">
        <v>197</v>
      </c>
      <c r="G873" t="s">
        <v>197</v>
      </c>
      <c r="H873" t="s">
        <v>197</v>
      </c>
      <c r="I873" t="s">
        <v>197</v>
      </c>
      <c r="J873" t="s">
        <v>197</v>
      </c>
      <c r="K873" t="s">
        <v>622</v>
      </c>
    </row>
    <row r="874" spans="1:24">
      <c r="B874" t="s">
        <v>197</v>
      </c>
      <c r="C874" t="s">
        <v>197</v>
      </c>
      <c r="D874" t="s">
        <v>197</v>
      </c>
      <c r="E874" t="s">
        <v>197</v>
      </c>
      <c r="F874" t="s">
        <v>197</v>
      </c>
      <c r="G874" t="s">
        <v>197</v>
      </c>
      <c r="H874" t="s">
        <v>197</v>
      </c>
      <c r="I874" t="s">
        <v>197</v>
      </c>
      <c r="J874" t="s">
        <v>197</v>
      </c>
      <c r="K874" t="s">
        <v>623</v>
      </c>
    </row>
    <row r="875" spans="1:24">
      <c r="B875" t="s">
        <v>197</v>
      </c>
      <c r="C875" t="s">
        <v>197</v>
      </c>
      <c r="D875" t="s">
        <v>197</v>
      </c>
      <c r="E875" t="s">
        <v>197</v>
      </c>
      <c r="F875" t="s">
        <v>197</v>
      </c>
      <c r="G875" t="s">
        <v>197</v>
      </c>
      <c r="H875" t="s">
        <v>197</v>
      </c>
      <c r="I875" t="s">
        <v>197</v>
      </c>
      <c r="J875" t="s">
        <v>197</v>
      </c>
      <c r="K875" t="s">
        <v>832</v>
      </c>
    </row>
    <row r="876" spans="1:24">
      <c r="A876" t="s">
        <v>948</v>
      </c>
      <c r="K876" t="s">
        <v>949</v>
      </c>
      <c r="W876" s="1" t="str">
        <f>HYPERLINK("#2026042000hbase1!AV2","NO 源备存在差异，共14个")</f>
        <v>NO 源备存在差异，共14个</v>
      </c>
      <c r="X876" t="str">
        <f>A876</f>
        <v>info_char_dml_single_pk_urp</v>
      </c>
    </row>
    <row r="877" spans="1:24">
      <c r="B877" t="s">
        <v>196</v>
      </c>
      <c r="C877" t="s">
        <v>197</v>
      </c>
      <c r="D877" t="s">
        <v>197</v>
      </c>
      <c r="E877" t="s">
        <v>197</v>
      </c>
      <c r="F877" t="s">
        <v>197</v>
      </c>
      <c r="G877" t="s">
        <v>197</v>
      </c>
      <c r="H877" t="s">
        <v>197</v>
      </c>
      <c r="I877" t="s">
        <v>950</v>
      </c>
      <c r="J877" t="s">
        <v>199</v>
      </c>
      <c r="K877" t="s">
        <v>200</v>
      </c>
    </row>
    <row r="878" spans="1:24">
      <c r="B878" t="s">
        <v>197</v>
      </c>
      <c r="C878" t="s">
        <v>197</v>
      </c>
      <c r="D878" t="s">
        <v>197</v>
      </c>
      <c r="E878" t="s">
        <v>197</v>
      </c>
      <c r="F878" t="s">
        <v>197</v>
      </c>
      <c r="G878" t="s">
        <v>197</v>
      </c>
      <c r="H878" t="s">
        <v>197</v>
      </c>
      <c r="I878" t="s">
        <v>197</v>
      </c>
      <c r="J878" t="s">
        <v>197</v>
      </c>
      <c r="K878" t="s">
        <v>622</v>
      </c>
    </row>
    <row r="879" spans="1:24">
      <c r="B879" t="s">
        <v>197</v>
      </c>
      <c r="C879" t="s">
        <v>197</v>
      </c>
      <c r="D879" t="s">
        <v>197</v>
      </c>
      <c r="E879" t="s">
        <v>197</v>
      </c>
      <c r="F879" t="s">
        <v>197</v>
      </c>
      <c r="G879" t="s">
        <v>197</v>
      </c>
      <c r="H879" t="s">
        <v>197</v>
      </c>
      <c r="I879" t="s">
        <v>197</v>
      </c>
      <c r="J879" t="s">
        <v>197</v>
      </c>
      <c r="K879" t="s">
        <v>623</v>
      </c>
    </row>
    <row r="880" spans="1:24">
      <c r="B880" t="s">
        <v>197</v>
      </c>
      <c r="C880" t="s">
        <v>197</v>
      </c>
      <c r="D880" t="s">
        <v>197</v>
      </c>
      <c r="E880" t="s">
        <v>197</v>
      </c>
      <c r="F880" t="s">
        <v>197</v>
      </c>
      <c r="G880" t="s">
        <v>197</v>
      </c>
      <c r="H880" t="s">
        <v>197</v>
      </c>
      <c r="I880" t="s">
        <v>197</v>
      </c>
      <c r="J880" t="s">
        <v>197</v>
      </c>
      <c r="K880" t="s">
        <v>832</v>
      </c>
    </row>
    <row r="881" spans="1:24">
      <c r="A881" t="s">
        <v>951</v>
      </c>
      <c r="K881" t="s">
        <v>952</v>
      </c>
      <c r="W881" t="s">
        <v>171</v>
      </c>
      <c r="X881" t="str">
        <f>A881</f>
        <v>info_varcharmax_dml_batch1_pk_drp2</v>
      </c>
    </row>
    <row r="882" spans="1:24">
      <c r="B882" t="s">
        <v>196</v>
      </c>
      <c r="C882" t="s">
        <v>197</v>
      </c>
      <c r="D882" t="s">
        <v>197</v>
      </c>
      <c r="E882" t="s">
        <v>197</v>
      </c>
      <c r="F882" t="s">
        <v>197</v>
      </c>
      <c r="G882" t="s">
        <v>197</v>
      </c>
      <c r="H882" t="s">
        <v>197</v>
      </c>
      <c r="I882" t="s">
        <v>953</v>
      </c>
      <c r="J882" t="s">
        <v>199</v>
      </c>
      <c r="K882" t="s">
        <v>200</v>
      </c>
    </row>
    <row r="883" spans="1:24">
      <c r="B883" t="s">
        <v>197</v>
      </c>
      <c r="C883" t="s">
        <v>197</v>
      </c>
      <c r="D883" t="s">
        <v>197</v>
      </c>
      <c r="E883" t="s">
        <v>197</v>
      </c>
      <c r="F883" t="s">
        <v>197</v>
      </c>
      <c r="G883" t="s">
        <v>197</v>
      </c>
      <c r="H883" t="s">
        <v>197</v>
      </c>
      <c r="I883" t="s">
        <v>197</v>
      </c>
      <c r="J883" t="s">
        <v>197</v>
      </c>
      <c r="K883" t="s">
        <v>725</v>
      </c>
    </row>
    <row r="884" spans="1:24">
      <c r="B884" t="s">
        <v>197</v>
      </c>
      <c r="C884" t="s">
        <v>197</v>
      </c>
      <c r="D884" t="s">
        <v>197</v>
      </c>
      <c r="E884" t="s">
        <v>197</v>
      </c>
      <c r="F884" t="s">
        <v>197</v>
      </c>
      <c r="G884" t="s">
        <v>197</v>
      </c>
      <c r="H884" t="s">
        <v>197</v>
      </c>
      <c r="I884" t="s">
        <v>197</v>
      </c>
      <c r="J884" t="s">
        <v>197</v>
      </c>
      <c r="K884" t="s">
        <v>726</v>
      </c>
    </row>
    <row r="885" spans="1:24">
      <c r="K885" t="s">
        <v>443</v>
      </c>
    </row>
    <row r="886" spans="1:24">
      <c r="A886" t="s">
        <v>954</v>
      </c>
      <c r="K886" t="s">
        <v>955</v>
      </c>
      <c r="W886" s="1" t="str">
        <f>HYPERLINK("#2026042000hbase1!AW2","NO 源备存在差异，共4个")</f>
        <v>NO 源备存在差异，共4个</v>
      </c>
      <c r="X886" t="str">
        <f>A886</f>
        <v>info_char_dml_single_pk_drp</v>
      </c>
    </row>
    <row r="887" spans="1:24">
      <c r="B887" t="s">
        <v>196</v>
      </c>
      <c r="C887" t="s">
        <v>197</v>
      </c>
      <c r="D887" t="s">
        <v>197</v>
      </c>
      <c r="E887" t="s">
        <v>197</v>
      </c>
      <c r="F887" t="s">
        <v>197</v>
      </c>
      <c r="G887" t="s">
        <v>197</v>
      </c>
      <c r="H887" t="s">
        <v>197</v>
      </c>
      <c r="I887" t="s">
        <v>956</v>
      </c>
      <c r="J887" t="s">
        <v>199</v>
      </c>
      <c r="K887" t="s">
        <v>200</v>
      </c>
    </row>
    <row r="888" spans="1:24">
      <c r="B888" t="s">
        <v>197</v>
      </c>
      <c r="C888" t="s">
        <v>197</v>
      </c>
      <c r="D888" t="s">
        <v>197</v>
      </c>
      <c r="E888" t="s">
        <v>197</v>
      </c>
      <c r="F888" t="s">
        <v>197</v>
      </c>
      <c r="G888" t="s">
        <v>197</v>
      </c>
      <c r="H888" t="s">
        <v>197</v>
      </c>
      <c r="I888" t="s">
        <v>197</v>
      </c>
      <c r="J888" t="s">
        <v>197</v>
      </c>
      <c r="K888" t="s">
        <v>622</v>
      </c>
    </row>
    <row r="889" spans="1:24">
      <c r="B889" t="s">
        <v>197</v>
      </c>
      <c r="C889" t="s">
        <v>197</v>
      </c>
      <c r="D889" t="s">
        <v>197</v>
      </c>
      <c r="E889" t="s">
        <v>197</v>
      </c>
      <c r="F889" t="s">
        <v>197</v>
      </c>
      <c r="G889" t="s">
        <v>197</v>
      </c>
      <c r="H889" t="s">
        <v>197</v>
      </c>
      <c r="I889" t="s">
        <v>197</v>
      </c>
      <c r="J889" t="s">
        <v>197</v>
      </c>
      <c r="K889" t="s">
        <v>623</v>
      </c>
    </row>
    <row r="890" spans="1:24">
      <c r="B890" t="s">
        <v>197</v>
      </c>
      <c r="C890" t="s">
        <v>197</v>
      </c>
      <c r="D890" t="s">
        <v>197</v>
      </c>
      <c r="E890" t="s">
        <v>197</v>
      </c>
      <c r="F890" t="s">
        <v>197</v>
      </c>
      <c r="G890" t="s">
        <v>197</v>
      </c>
      <c r="H890" t="s">
        <v>197</v>
      </c>
      <c r="I890" t="s">
        <v>197</v>
      </c>
      <c r="J890" t="s">
        <v>197</v>
      </c>
      <c r="K890" t="s">
        <v>832</v>
      </c>
    </row>
    <row r="891" spans="1:24">
      <c r="A891" t="s">
        <v>957</v>
      </c>
      <c r="K891" t="s">
        <v>958</v>
      </c>
      <c r="W891" t="s">
        <v>171</v>
      </c>
      <c r="X891" t="str">
        <f>A891</f>
        <v>info_date_dml_batch1_pk_drp1</v>
      </c>
    </row>
    <row r="892" spans="1:24">
      <c r="B892" t="s">
        <v>196</v>
      </c>
      <c r="C892" t="s">
        <v>197</v>
      </c>
      <c r="D892" t="s">
        <v>197</v>
      </c>
      <c r="E892" t="s">
        <v>197</v>
      </c>
      <c r="F892" t="s">
        <v>197</v>
      </c>
      <c r="G892" t="s">
        <v>197</v>
      </c>
      <c r="H892" t="s">
        <v>197</v>
      </c>
      <c r="I892" t="s">
        <v>959</v>
      </c>
      <c r="J892" t="s">
        <v>199</v>
      </c>
      <c r="K892" t="s">
        <v>200</v>
      </c>
    </row>
    <row r="893" spans="1:24">
      <c r="B893" t="s">
        <v>197</v>
      </c>
      <c r="C893" t="s">
        <v>197</v>
      </c>
      <c r="D893" t="s">
        <v>197</v>
      </c>
      <c r="E893" t="s">
        <v>197</v>
      </c>
      <c r="F893" t="s">
        <v>197</v>
      </c>
      <c r="G893" t="s">
        <v>197</v>
      </c>
      <c r="H893" t="s">
        <v>197</v>
      </c>
      <c r="I893" t="s">
        <v>197</v>
      </c>
      <c r="J893" t="s">
        <v>197</v>
      </c>
      <c r="K893" t="s">
        <v>678</v>
      </c>
    </row>
    <row r="894" spans="1:24">
      <c r="K894" t="s">
        <v>443</v>
      </c>
    </row>
    <row r="895" spans="1:24">
      <c r="A895" t="s">
        <v>960</v>
      </c>
      <c r="K895" t="s">
        <v>961</v>
      </c>
      <c r="W895" t="s">
        <v>171</v>
      </c>
      <c r="X895" t="str">
        <f>A895</f>
        <v>info_varchar_dml_batch1_pk_irp1</v>
      </c>
    </row>
    <row r="896" spans="1:24">
      <c r="B896" t="s">
        <v>196</v>
      </c>
      <c r="C896" t="s">
        <v>197</v>
      </c>
      <c r="D896" t="s">
        <v>197</v>
      </c>
      <c r="E896" t="s">
        <v>197</v>
      </c>
      <c r="F896" t="s">
        <v>197</v>
      </c>
      <c r="G896" t="s">
        <v>197</v>
      </c>
      <c r="H896" t="s">
        <v>197</v>
      </c>
      <c r="I896" t="s">
        <v>962</v>
      </c>
      <c r="J896" t="s">
        <v>199</v>
      </c>
      <c r="K896" t="s">
        <v>200</v>
      </c>
    </row>
    <row r="897" spans="1:24">
      <c r="B897" t="s">
        <v>197</v>
      </c>
      <c r="C897" t="s">
        <v>197</v>
      </c>
      <c r="D897" t="s">
        <v>197</v>
      </c>
      <c r="E897" t="s">
        <v>197</v>
      </c>
      <c r="F897" t="s">
        <v>197</v>
      </c>
      <c r="G897" t="s">
        <v>197</v>
      </c>
      <c r="H897" t="s">
        <v>197</v>
      </c>
      <c r="I897" t="s">
        <v>197</v>
      </c>
      <c r="J897" t="s">
        <v>197</v>
      </c>
      <c r="K897" t="s">
        <v>431</v>
      </c>
    </row>
    <row r="898" spans="1:24">
      <c r="B898" t="s">
        <v>197</v>
      </c>
      <c r="C898" t="s">
        <v>197</v>
      </c>
      <c r="D898" t="s">
        <v>197</v>
      </c>
      <c r="E898" t="s">
        <v>197</v>
      </c>
      <c r="F898" t="s">
        <v>197</v>
      </c>
      <c r="G898" t="s">
        <v>197</v>
      </c>
      <c r="H898" t="s">
        <v>197</v>
      </c>
      <c r="I898" t="s">
        <v>197</v>
      </c>
      <c r="J898" t="s">
        <v>197</v>
      </c>
      <c r="K898" t="s">
        <v>434</v>
      </c>
    </row>
    <row r="899" spans="1:24">
      <c r="B899" t="s">
        <v>197</v>
      </c>
      <c r="C899" t="s">
        <v>197</v>
      </c>
      <c r="D899" t="s">
        <v>197</v>
      </c>
      <c r="E899" t="s">
        <v>197</v>
      </c>
      <c r="F899" t="s">
        <v>197</v>
      </c>
      <c r="G899" t="s">
        <v>197</v>
      </c>
      <c r="H899" t="s">
        <v>197</v>
      </c>
      <c r="I899" t="s">
        <v>197</v>
      </c>
      <c r="J899" t="s">
        <v>197</v>
      </c>
      <c r="K899" t="s">
        <v>963</v>
      </c>
    </row>
    <row r="900" spans="1:24">
      <c r="K900" t="s">
        <v>443</v>
      </c>
    </row>
    <row r="901" spans="1:24">
      <c r="A901" t="s">
        <v>964</v>
      </c>
      <c r="K901" t="s">
        <v>965</v>
      </c>
      <c r="W901" t="s">
        <v>171</v>
      </c>
      <c r="X901" t="str">
        <f>A901</f>
        <v>info_datetime_dml_single_pk_urp</v>
      </c>
    </row>
    <row r="902" spans="1:24">
      <c r="B902" t="s">
        <v>196</v>
      </c>
      <c r="C902" t="s">
        <v>197</v>
      </c>
      <c r="D902" t="s">
        <v>197</v>
      </c>
      <c r="E902" t="s">
        <v>197</v>
      </c>
      <c r="F902" t="s">
        <v>197</v>
      </c>
      <c r="G902" t="s">
        <v>197</v>
      </c>
      <c r="H902" t="s">
        <v>197</v>
      </c>
      <c r="I902" t="s">
        <v>966</v>
      </c>
      <c r="J902" t="s">
        <v>199</v>
      </c>
      <c r="K902" t="s">
        <v>200</v>
      </c>
    </row>
    <row r="903" spans="1:24">
      <c r="B903" t="s">
        <v>197</v>
      </c>
      <c r="C903" t="s">
        <v>197</v>
      </c>
      <c r="D903" t="s">
        <v>197</v>
      </c>
      <c r="E903" t="s">
        <v>197</v>
      </c>
      <c r="F903" t="s">
        <v>197</v>
      </c>
      <c r="G903" t="s">
        <v>197</v>
      </c>
      <c r="H903" t="s">
        <v>197</v>
      </c>
      <c r="I903" t="s">
        <v>197</v>
      </c>
      <c r="J903" t="s">
        <v>197</v>
      </c>
      <c r="K903" t="s">
        <v>574</v>
      </c>
    </row>
    <row r="904" spans="1:24">
      <c r="A904" t="s">
        <v>967</v>
      </c>
      <c r="K904" t="s">
        <v>968</v>
      </c>
      <c r="W904" t="s">
        <v>171</v>
      </c>
      <c r="X904" t="str">
        <f>A904</f>
        <v>info_nchar_dml_batch1_pk</v>
      </c>
    </row>
    <row r="905" spans="1:24">
      <c r="B905" t="s">
        <v>196</v>
      </c>
      <c r="C905" t="s">
        <v>197</v>
      </c>
      <c r="D905" t="s">
        <v>197</v>
      </c>
      <c r="E905" t="s">
        <v>197</v>
      </c>
      <c r="F905" t="s">
        <v>197</v>
      </c>
      <c r="G905" t="s">
        <v>197</v>
      </c>
      <c r="H905" t="s">
        <v>197</v>
      </c>
      <c r="I905" t="s">
        <v>969</v>
      </c>
      <c r="J905" t="s">
        <v>199</v>
      </c>
      <c r="K905" t="s">
        <v>200</v>
      </c>
    </row>
    <row r="906" spans="1:24">
      <c r="B906" t="s">
        <v>197</v>
      </c>
      <c r="C906" t="s">
        <v>197</v>
      </c>
      <c r="D906" t="s">
        <v>197</v>
      </c>
      <c r="E906" t="s">
        <v>197</v>
      </c>
      <c r="F906" t="s">
        <v>197</v>
      </c>
      <c r="G906" t="s">
        <v>197</v>
      </c>
      <c r="H906" t="s">
        <v>197</v>
      </c>
      <c r="I906" t="s">
        <v>197</v>
      </c>
      <c r="J906" t="s">
        <v>197</v>
      </c>
      <c r="K906" t="s">
        <v>514</v>
      </c>
    </row>
    <row r="907" spans="1:24">
      <c r="B907" t="s">
        <v>197</v>
      </c>
      <c r="C907" t="s">
        <v>197</v>
      </c>
      <c r="D907" t="s">
        <v>197</v>
      </c>
      <c r="E907" t="s">
        <v>197</v>
      </c>
      <c r="F907" t="s">
        <v>197</v>
      </c>
      <c r="G907" t="s">
        <v>197</v>
      </c>
      <c r="H907" t="s">
        <v>197</v>
      </c>
      <c r="I907" t="s">
        <v>197</v>
      </c>
      <c r="J907" t="s">
        <v>197</v>
      </c>
      <c r="K907" t="s">
        <v>516</v>
      </c>
    </row>
    <row r="908" spans="1:24">
      <c r="B908" t="s">
        <v>197</v>
      </c>
      <c r="C908" t="s">
        <v>197</v>
      </c>
      <c r="D908" t="s">
        <v>197</v>
      </c>
      <c r="E908" t="s">
        <v>197</v>
      </c>
      <c r="F908" t="s">
        <v>197</v>
      </c>
      <c r="G908" t="s">
        <v>197</v>
      </c>
      <c r="H908" t="s">
        <v>197</v>
      </c>
      <c r="I908" t="s">
        <v>197</v>
      </c>
      <c r="J908" t="s">
        <v>197</v>
      </c>
      <c r="K908" t="s">
        <v>612</v>
      </c>
    </row>
    <row r="909" spans="1:24">
      <c r="A909" t="s">
        <v>970</v>
      </c>
      <c r="K909" t="s">
        <v>971</v>
      </c>
      <c r="W909" t="s">
        <v>171</v>
      </c>
      <c r="X909" t="str">
        <f>A909</f>
        <v>info_varcharmax_dml_single_pk</v>
      </c>
    </row>
    <row r="910" spans="1:24">
      <c r="B910" t="s">
        <v>196</v>
      </c>
      <c r="C910" t="s">
        <v>197</v>
      </c>
      <c r="D910" t="s">
        <v>197</v>
      </c>
      <c r="E910" t="s">
        <v>197</v>
      </c>
      <c r="F910" t="s">
        <v>197</v>
      </c>
      <c r="G910" t="s">
        <v>197</v>
      </c>
      <c r="H910" t="s">
        <v>197</v>
      </c>
      <c r="I910" t="s">
        <v>972</v>
      </c>
      <c r="J910" t="s">
        <v>199</v>
      </c>
      <c r="K910" t="s">
        <v>200</v>
      </c>
    </row>
    <row r="911" spans="1:24">
      <c r="B911" t="s">
        <v>197</v>
      </c>
      <c r="C911" t="s">
        <v>197</v>
      </c>
      <c r="D911" t="s">
        <v>197</v>
      </c>
      <c r="E911" t="s">
        <v>197</v>
      </c>
      <c r="F911" t="s">
        <v>197</v>
      </c>
      <c r="G911" t="s">
        <v>197</v>
      </c>
      <c r="H911" t="s">
        <v>197</v>
      </c>
      <c r="I911" t="s">
        <v>197</v>
      </c>
      <c r="J911" t="s">
        <v>197</v>
      </c>
      <c r="K911" t="s">
        <v>725</v>
      </c>
    </row>
    <row r="912" spans="1:24">
      <c r="B912" t="s">
        <v>197</v>
      </c>
      <c r="C912" t="s">
        <v>197</v>
      </c>
      <c r="D912" t="s">
        <v>197</v>
      </c>
      <c r="E912" t="s">
        <v>197</v>
      </c>
      <c r="F912" t="s">
        <v>197</v>
      </c>
      <c r="G912" t="s">
        <v>197</v>
      </c>
      <c r="H912" t="s">
        <v>197</v>
      </c>
      <c r="I912" t="s">
        <v>197</v>
      </c>
      <c r="J912" t="s">
        <v>197</v>
      </c>
      <c r="K912" t="s">
        <v>726</v>
      </c>
    </row>
    <row r="913" spans="1:24">
      <c r="A913" t="s">
        <v>973</v>
      </c>
      <c r="K913" t="s">
        <v>974</v>
      </c>
      <c r="W913" t="s">
        <v>171</v>
      </c>
      <c r="X913" t="str">
        <f>A913</f>
        <v>info_date_dml_batch1_pk_drp2</v>
      </c>
    </row>
    <row r="914" spans="1:24">
      <c r="B914" t="s">
        <v>196</v>
      </c>
      <c r="C914" t="s">
        <v>197</v>
      </c>
      <c r="D914" t="s">
        <v>197</v>
      </c>
      <c r="E914" t="s">
        <v>197</v>
      </c>
      <c r="F914" t="s">
        <v>197</v>
      </c>
      <c r="G914" t="s">
        <v>197</v>
      </c>
      <c r="H914" t="s">
        <v>197</v>
      </c>
      <c r="I914" t="s">
        <v>975</v>
      </c>
      <c r="J914" t="s">
        <v>199</v>
      </c>
      <c r="K914" t="s">
        <v>200</v>
      </c>
    </row>
    <row r="915" spans="1:24">
      <c r="B915" t="s">
        <v>197</v>
      </c>
      <c r="C915" t="s">
        <v>197</v>
      </c>
      <c r="D915" t="s">
        <v>197</v>
      </c>
      <c r="E915" t="s">
        <v>197</v>
      </c>
      <c r="F915" t="s">
        <v>197</v>
      </c>
      <c r="G915" t="s">
        <v>197</v>
      </c>
      <c r="H915" t="s">
        <v>197</v>
      </c>
      <c r="I915" t="s">
        <v>197</v>
      </c>
      <c r="J915" t="s">
        <v>197</v>
      </c>
      <c r="K915" t="s">
        <v>678</v>
      </c>
    </row>
    <row r="916" spans="1:24">
      <c r="A916" t="s">
        <v>976</v>
      </c>
      <c r="K916" t="s">
        <v>977</v>
      </c>
      <c r="W916" t="s">
        <v>171</v>
      </c>
      <c r="X916" t="str">
        <f>A916</f>
        <v>info_datetime_dml_single_pk_drp</v>
      </c>
    </row>
    <row r="917" spans="1:24">
      <c r="B917" t="s">
        <v>196</v>
      </c>
      <c r="C917" t="s">
        <v>197</v>
      </c>
      <c r="D917" t="s">
        <v>197</v>
      </c>
      <c r="E917" t="s">
        <v>197</v>
      </c>
      <c r="F917" t="s">
        <v>197</v>
      </c>
      <c r="G917" t="s">
        <v>197</v>
      </c>
      <c r="H917" t="s">
        <v>197</v>
      </c>
      <c r="I917" t="s">
        <v>978</v>
      </c>
      <c r="J917" t="s">
        <v>199</v>
      </c>
      <c r="K917" t="s">
        <v>200</v>
      </c>
    </row>
    <row r="918" spans="1:24">
      <c r="B918" t="s">
        <v>197</v>
      </c>
      <c r="C918" t="s">
        <v>197</v>
      </c>
      <c r="D918" t="s">
        <v>197</v>
      </c>
      <c r="E918" t="s">
        <v>197</v>
      </c>
      <c r="F918" t="s">
        <v>197</v>
      </c>
      <c r="G918" t="s">
        <v>197</v>
      </c>
      <c r="H918" t="s">
        <v>197</v>
      </c>
      <c r="I918" t="s">
        <v>197</v>
      </c>
      <c r="J918" t="s">
        <v>197</v>
      </c>
      <c r="K918" t="s">
        <v>574</v>
      </c>
    </row>
    <row r="919" spans="1:24">
      <c r="A919" t="s">
        <v>979</v>
      </c>
      <c r="K919" t="s">
        <v>980</v>
      </c>
      <c r="W919" t="s">
        <v>171</v>
      </c>
      <c r="X919" t="str">
        <f>A919</f>
        <v>info_date_dml_batch1_pk</v>
      </c>
    </row>
    <row r="920" spans="1:24">
      <c r="B920" t="s">
        <v>196</v>
      </c>
      <c r="C920" t="s">
        <v>197</v>
      </c>
      <c r="D920" t="s">
        <v>197</v>
      </c>
      <c r="E920" t="s">
        <v>197</v>
      </c>
      <c r="F920" t="s">
        <v>197</v>
      </c>
      <c r="G920" t="s">
        <v>197</v>
      </c>
      <c r="H920" t="s">
        <v>197</v>
      </c>
      <c r="I920" t="s">
        <v>981</v>
      </c>
      <c r="J920" t="s">
        <v>199</v>
      </c>
      <c r="K920" t="s">
        <v>200</v>
      </c>
    </row>
    <row r="921" spans="1:24">
      <c r="B921" t="s">
        <v>197</v>
      </c>
      <c r="C921" t="s">
        <v>197</v>
      </c>
      <c r="D921" t="s">
        <v>197</v>
      </c>
      <c r="E921" t="s">
        <v>197</v>
      </c>
      <c r="F921" t="s">
        <v>197</v>
      </c>
      <c r="G921" t="s">
        <v>197</v>
      </c>
      <c r="H921" t="s">
        <v>197</v>
      </c>
      <c r="I921" t="s">
        <v>197</v>
      </c>
      <c r="J921" t="s">
        <v>197</v>
      </c>
      <c r="K921" t="s">
        <v>678</v>
      </c>
    </row>
    <row r="922" spans="1:24">
      <c r="A922" t="s">
        <v>982</v>
      </c>
      <c r="K922" t="s">
        <v>983</v>
      </c>
      <c r="W922" t="s">
        <v>171</v>
      </c>
      <c r="X922" t="str">
        <f>A922</f>
        <v>info_nvarchar_dml_batch1_pk_irp1</v>
      </c>
    </row>
    <row r="923" spans="1:24">
      <c r="B923" t="s">
        <v>196</v>
      </c>
      <c r="C923" t="s">
        <v>197</v>
      </c>
      <c r="D923" t="s">
        <v>197</v>
      </c>
      <c r="E923" t="s">
        <v>197</v>
      </c>
      <c r="F923" t="s">
        <v>197</v>
      </c>
      <c r="G923" t="s">
        <v>197</v>
      </c>
      <c r="H923" t="s">
        <v>197</v>
      </c>
      <c r="I923" t="s">
        <v>984</v>
      </c>
      <c r="J923" t="s">
        <v>199</v>
      </c>
      <c r="K923" t="s">
        <v>200</v>
      </c>
    </row>
    <row r="924" spans="1:24">
      <c r="B924" t="s">
        <v>197</v>
      </c>
      <c r="C924" t="s">
        <v>197</v>
      </c>
      <c r="D924" t="s">
        <v>197</v>
      </c>
      <c r="E924" t="s">
        <v>197</v>
      </c>
      <c r="F924" t="s">
        <v>197</v>
      </c>
      <c r="G924" t="s">
        <v>197</v>
      </c>
      <c r="H924" t="s">
        <v>197</v>
      </c>
      <c r="I924" t="s">
        <v>197</v>
      </c>
      <c r="J924" t="s">
        <v>197</v>
      </c>
      <c r="K924" t="s">
        <v>408</v>
      </c>
    </row>
    <row r="925" spans="1:24">
      <c r="B925" t="s">
        <v>197</v>
      </c>
      <c r="C925" t="s">
        <v>197</v>
      </c>
      <c r="D925" t="s">
        <v>197</v>
      </c>
      <c r="E925" t="s">
        <v>197</v>
      </c>
      <c r="F925" t="s">
        <v>197</v>
      </c>
      <c r="G925" t="s">
        <v>197</v>
      </c>
      <c r="H925" t="s">
        <v>197</v>
      </c>
      <c r="I925" t="s">
        <v>197</v>
      </c>
      <c r="J925" t="s">
        <v>197</v>
      </c>
      <c r="K925" t="s">
        <v>412</v>
      </c>
    </row>
    <row r="926" spans="1:24">
      <c r="B926" t="s">
        <v>197</v>
      </c>
      <c r="C926" t="s">
        <v>197</v>
      </c>
      <c r="D926" t="s">
        <v>197</v>
      </c>
      <c r="E926" t="s">
        <v>197</v>
      </c>
      <c r="F926" t="s">
        <v>197</v>
      </c>
      <c r="G926" t="s">
        <v>197</v>
      </c>
      <c r="H926" t="s">
        <v>197</v>
      </c>
      <c r="I926" t="s">
        <v>197</v>
      </c>
      <c r="J926" t="s">
        <v>197</v>
      </c>
      <c r="K926" t="s">
        <v>730</v>
      </c>
    </row>
    <row r="927" spans="1:24">
      <c r="A927" t="s">
        <v>985</v>
      </c>
      <c r="K927" t="s">
        <v>986</v>
      </c>
      <c r="W927" s="1" t="str">
        <f>HYPERLINK("#2026042000hbase1!AX2","NO 源备存在差异，共2个")</f>
        <v>NO 源备存在差异，共2个</v>
      </c>
      <c r="X927" t="str">
        <f>A927</f>
        <v>info_timestamp_dml_single_pk_drp</v>
      </c>
    </row>
    <row r="928" spans="1:24">
      <c r="B928" t="s">
        <v>196</v>
      </c>
      <c r="C928" t="s">
        <v>197</v>
      </c>
      <c r="D928" t="s">
        <v>197</v>
      </c>
      <c r="E928" t="s">
        <v>197</v>
      </c>
      <c r="F928" t="s">
        <v>197</v>
      </c>
      <c r="G928" t="s">
        <v>197</v>
      </c>
      <c r="H928" t="s">
        <v>197</v>
      </c>
      <c r="I928" t="s">
        <v>987</v>
      </c>
      <c r="J928" t="s">
        <v>199</v>
      </c>
      <c r="K928" t="s">
        <v>200</v>
      </c>
    </row>
    <row r="929" spans="1:24">
      <c r="B929" t="s">
        <v>197</v>
      </c>
      <c r="C929" t="s">
        <v>197</v>
      </c>
      <c r="D929" t="s">
        <v>197</v>
      </c>
      <c r="E929" t="s">
        <v>197</v>
      </c>
      <c r="F929" t="s">
        <v>197</v>
      </c>
      <c r="G929" t="s">
        <v>197</v>
      </c>
      <c r="H929" t="s">
        <v>197</v>
      </c>
      <c r="I929" t="s">
        <v>197</v>
      </c>
      <c r="J929" t="s">
        <v>197</v>
      </c>
      <c r="K929" t="s">
        <v>944</v>
      </c>
    </row>
    <row r="930" spans="1:24">
      <c r="A930" t="s">
        <v>988</v>
      </c>
      <c r="K930" t="s">
        <v>989</v>
      </c>
      <c r="W930" t="s">
        <v>171</v>
      </c>
      <c r="X930" t="str">
        <f>A930</f>
        <v>info_time_dml_batch1_pk_irp1</v>
      </c>
    </row>
    <row r="931" spans="1:24">
      <c r="B931" t="s">
        <v>196</v>
      </c>
      <c r="C931" t="s">
        <v>197</v>
      </c>
      <c r="D931" t="s">
        <v>197</v>
      </c>
      <c r="E931" t="s">
        <v>197</v>
      </c>
      <c r="F931" t="s">
        <v>197</v>
      </c>
      <c r="G931" t="s">
        <v>197</v>
      </c>
      <c r="H931" t="s">
        <v>197</v>
      </c>
      <c r="I931" t="s">
        <v>990</v>
      </c>
      <c r="J931" t="s">
        <v>199</v>
      </c>
      <c r="K931" t="s">
        <v>200</v>
      </c>
    </row>
    <row r="932" spans="1:24">
      <c r="B932" t="s">
        <v>197</v>
      </c>
      <c r="C932" t="s">
        <v>197</v>
      </c>
      <c r="D932" t="s">
        <v>197</v>
      </c>
      <c r="E932" t="s">
        <v>197</v>
      </c>
      <c r="F932" t="s">
        <v>197</v>
      </c>
      <c r="G932" t="s">
        <v>197</v>
      </c>
      <c r="H932" t="s">
        <v>197</v>
      </c>
      <c r="I932" t="s">
        <v>197</v>
      </c>
      <c r="J932" t="s">
        <v>197</v>
      </c>
      <c r="K932" t="s">
        <v>800</v>
      </c>
    </row>
    <row r="933" spans="1:24">
      <c r="B933" t="s">
        <v>197</v>
      </c>
      <c r="C933" t="s">
        <v>197</v>
      </c>
      <c r="D933" t="s">
        <v>197</v>
      </c>
      <c r="E933" t="s">
        <v>197</v>
      </c>
      <c r="F933" t="s">
        <v>197</v>
      </c>
      <c r="G933" t="s">
        <v>197</v>
      </c>
      <c r="H933" t="s">
        <v>197</v>
      </c>
      <c r="I933" t="s">
        <v>197</v>
      </c>
      <c r="J933" t="s">
        <v>197</v>
      </c>
      <c r="K933" t="s">
        <v>801</v>
      </c>
    </row>
    <row r="934" spans="1:24">
      <c r="B934" t="s">
        <v>197</v>
      </c>
      <c r="C934" t="s">
        <v>197</v>
      </c>
      <c r="D934" t="s">
        <v>197</v>
      </c>
      <c r="E934" t="s">
        <v>197</v>
      </c>
      <c r="F934" t="s">
        <v>197</v>
      </c>
      <c r="G934" t="s">
        <v>197</v>
      </c>
      <c r="H934" t="s">
        <v>197</v>
      </c>
      <c r="I934" t="s">
        <v>197</v>
      </c>
      <c r="J934" t="s">
        <v>197</v>
      </c>
      <c r="K934" t="s">
        <v>802</v>
      </c>
    </row>
    <row r="935" spans="1:24">
      <c r="B935" t="s">
        <v>197</v>
      </c>
      <c r="C935" t="s">
        <v>197</v>
      </c>
      <c r="D935" t="s">
        <v>197</v>
      </c>
      <c r="E935" t="s">
        <v>197</v>
      </c>
      <c r="F935" t="s">
        <v>197</v>
      </c>
      <c r="G935" t="s">
        <v>197</v>
      </c>
      <c r="H935" t="s">
        <v>197</v>
      </c>
      <c r="I935" t="s">
        <v>197</v>
      </c>
      <c r="J935" t="s">
        <v>197</v>
      </c>
      <c r="K935" t="s">
        <v>803</v>
      </c>
    </row>
    <row r="936" spans="1:24">
      <c r="B936" t="s">
        <v>197</v>
      </c>
      <c r="C936" t="s">
        <v>197</v>
      </c>
      <c r="D936" t="s">
        <v>197</v>
      </c>
      <c r="E936" t="s">
        <v>197</v>
      </c>
      <c r="F936" t="s">
        <v>197</v>
      </c>
      <c r="G936" t="s">
        <v>197</v>
      </c>
      <c r="H936" t="s">
        <v>197</v>
      </c>
      <c r="I936" t="s">
        <v>197</v>
      </c>
      <c r="J936" t="s">
        <v>197</v>
      </c>
      <c r="K936" t="s">
        <v>804</v>
      </c>
    </row>
    <row r="937" spans="1:24">
      <c r="B937" t="s">
        <v>197</v>
      </c>
      <c r="C937" t="s">
        <v>197</v>
      </c>
      <c r="D937" t="s">
        <v>197</v>
      </c>
      <c r="E937" t="s">
        <v>197</v>
      </c>
      <c r="F937" t="s">
        <v>197</v>
      </c>
      <c r="G937" t="s">
        <v>197</v>
      </c>
      <c r="H937" t="s">
        <v>197</v>
      </c>
      <c r="I937" t="s">
        <v>197</v>
      </c>
      <c r="J937" t="s">
        <v>197</v>
      </c>
      <c r="K937" t="s">
        <v>805</v>
      </c>
    </row>
    <row r="938" spans="1:24">
      <c r="B938" t="s">
        <v>197</v>
      </c>
      <c r="C938" t="s">
        <v>197</v>
      </c>
      <c r="D938" t="s">
        <v>197</v>
      </c>
      <c r="E938" t="s">
        <v>197</v>
      </c>
      <c r="F938" t="s">
        <v>197</v>
      </c>
      <c r="G938" t="s">
        <v>197</v>
      </c>
      <c r="H938" t="s">
        <v>197</v>
      </c>
      <c r="I938" t="s">
        <v>197</v>
      </c>
      <c r="J938" t="s">
        <v>197</v>
      </c>
      <c r="K938" t="s">
        <v>806</v>
      </c>
    </row>
    <row r="939" spans="1:24">
      <c r="B939" t="s">
        <v>197</v>
      </c>
      <c r="C939" t="s">
        <v>197</v>
      </c>
      <c r="D939" t="s">
        <v>197</v>
      </c>
      <c r="E939" t="s">
        <v>197</v>
      </c>
      <c r="F939" t="s">
        <v>197</v>
      </c>
      <c r="G939" t="s">
        <v>197</v>
      </c>
      <c r="H939" t="s">
        <v>197</v>
      </c>
      <c r="I939" t="s">
        <v>197</v>
      </c>
      <c r="J939" t="s">
        <v>197</v>
      </c>
      <c r="K939" t="s">
        <v>807</v>
      </c>
    </row>
    <row r="940" spans="1:24">
      <c r="A940" t="s">
        <v>991</v>
      </c>
      <c r="K940" t="s">
        <v>992</v>
      </c>
      <c r="W940" s="1" t="str">
        <f>HYPERLINK("#2026042000hbase1!AY2","NO 源备存在差异，共4个")</f>
        <v>NO 源备存在差异，共4个</v>
      </c>
      <c r="X940" t="str">
        <f>A940</f>
        <v>info_binary_dml_batch1_pk</v>
      </c>
    </row>
    <row r="941" spans="1:24">
      <c r="B941" t="s">
        <v>196</v>
      </c>
      <c r="C941" t="s">
        <v>197</v>
      </c>
      <c r="D941" t="s">
        <v>197</v>
      </c>
      <c r="E941" t="s">
        <v>197</v>
      </c>
      <c r="F941" t="s">
        <v>197</v>
      </c>
      <c r="G941" t="s">
        <v>197</v>
      </c>
      <c r="H941" t="s">
        <v>197</v>
      </c>
      <c r="I941" t="s">
        <v>993</v>
      </c>
      <c r="J941" t="s">
        <v>199</v>
      </c>
      <c r="K941" t="s">
        <v>200</v>
      </c>
    </row>
    <row r="942" spans="1:24">
      <c r="B942" t="s">
        <v>197</v>
      </c>
      <c r="C942" t="s">
        <v>197</v>
      </c>
      <c r="D942" t="s">
        <v>197</v>
      </c>
      <c r="E942" t="s">
        <v>197</v>
      </c>
      <c r="F942" t="s">
        <v>197</v>
      </c>
      <c r="G942" t="s">
        <v>197</v>
      </c>
      <c r="H942" t="s">
        <v>197</v>
      </c>
      <c r="I942" t="s">
        <v>197</v>
      </c>
      <c r="J942" t="s">
        <v>197</v>
      </c>
      <c r="K942" t="s">
        <v>691</v>
      </c>
    </row>
    <row r="943" spans="1:24">
      <c r="B943" t="s">
        <v>197</v>
      </c>
      <c r="C943" t="s">
        <v>197</v>
      </c>
      <c r="D943" t="s">
        <v>197</v>
      </c>
      <c r="E943" t="s">
        <v>197</v>
      </c>
      <c r="F943" t="s">
        <v>197</v>
      </c>
      <c r="G943" t="s">
        <v>197</v>
      </c>
      <c r="H943" t="s">
        <v>197</v>
      </c>
      <c r="I943" t="s">
        <v>197</v>
      </c>
      <c r="J943" t="s">
        <v>197</v>
      </c>
      <c r="K943" t="s">
        <v>692</v>
      </c>
    </row>
    <row r="944" spans="1:24">
      <c r="B944" t="s">
        <v>197</v>
      </c>
      <c r="C944" t="s">
        <v>197</v>
      </c>
      <c r="D944" t="s">
        <v>197</v>
      </c>
      <c r="E944" t="s">
        <v>197</v>
      </c>
      <c r="F944" t="s">
        <v>197</v>
      </c>
      <c r="G944" t="s">
        <v>197</v>
      </c>
      <c r="H944" t="s">
        <v>197</v>
      </c>
      <c r="I944" t="s">
        <v>197</v>
      </c>
      <c r="J944" t="s">
        <v>197</v>
      </c>
      <c r="K944" t="s">
        <v>693</v>
      </c>
    </row>
    <row r="945" spans="1:24">
      <c r="A945" t="s">
        <v>994</v>
      </c>
      <c r="K945" t="s">
        <v>995</v>
      </c>
      <c r="W945" t="s">
        <v>171</v>
      </c>
      <c r="X945" t="str">
        <f>A945</f>
        <v>info_varchar_dml_batch1_pk_irp2</v>
      </c>
    </row>
    <row r="946" spans="1:24">
      <c r="B946" t="s">
        <v>196</v>
      </c>
      <c r="C946" t="s">
        <v>197</v>
      </c>
      <c r="D946" t="s">
        <v>197</v>
      </c>
      <c r="E946" t="s">
        <v>197</v>
      </c>
      <c r="F946" t="s">
        <v>197</v>
      </c>
      <c r="G946" t="s">
        <v>197</v>
      </c>
      <c r="H946" t="s">
        <v>197</v>
      </c>
      <c r="I946" t="s">
        <v>996</v>
      </c>
      <c r="J946" t="s">
        <v>199</v>
      </c>
      <c r="K946" t="s">
        <v>200</v>
      </c>
    </row>
    <row r="947" spans="1:24">
      <c r="B947" t="s">
        <v>197</v>
      </c>
      <c r="C947" t="s">
        <v>197</v>
      </c>
      <c r="D947" t="s">
        <v>197</v>
      </c>
      <c r="E947" t="s">
        <v>197</v>
      </c>
      <c r="F947" t="s">
        <v>197</v>
      </c>
      <c r="G947" t="s">
        <v>197</v>
      </c>
      <c r="H947" t="s">
        <v>197</v>
      </c>
      <c r="I947" t="s">
        <v>197</v>
      </c>
      <c r="J947" t="s">
        <v>197</v>
      </c>
      <c r="K947" t="s">
        <v>431</v>
      </c>
    </row>
    <row r="948" spans="1:24">
      <c r="B948" t="s">
        <v>197</v>
      </c>
      <c r="C948" t="s">
        <v>197</v>
      </c>
      <c r="D948" t="s">
        <v>197</v>
      </c>
      <c r="E948" t="s">
        <v>197</v>
      </c>
      <c r="F948" t="s">
        <v>197</v>
      </c>
      <c r="G948" t="s">
        <v>197</v>
      </c>
      <c r="H948" t="s">
        <v>197</v>
      </c>
      <c r="I948" t="s">
        <v>197</v>
      </c>
      <c r="J948" t="s">
        <v>197</v>
      </c>
      <c r="K948" t="s">
        <v>434</v>
      </c>
    </row>
    <row r="949" spans="1:24">
      <c r="B949" t="s">
        <v>197</v>
      </c>
      <c r="C949" t="s">
        <v>197</v>
      </c>
      <c r="D949" t="s">
        <v>197</v>
      </c>
      <c r="E949" t="s">
        <v>197</v>
      </c>
      <c r="F949" t="s">
        <v>197</v>
      </c>
      <c r="G949" t="s">
        <v>197</v>
      </c>
      <c r="H949" t="s">
        <v>197</v>
      </c>
      <c r="I949" t="s">
        <v>197</v>
      </c>
      <c r="J949" t="s">
        <v>197</v>
      </c>
      <c r="K949" t="s">
        <v>963</v>
      </c>
    </row>
    <row r="950" spans="1:24">
      <c r="K950" t="s">
        <v>443</v>
      </c>
    </row>
    <row r="951" spans="1:24">
      <c r="A951" t="s">
        <v>997</v>
      </c>
      <c r="K951" t="s">
        <v>998</v>
      </c>
      <c r="W951" t="s">
        <v>171</v>
      </c>
      <c r="X951" t="str">
        <f>A951</f>
        <v>info_time_dml_batch1_pk_irp2</v>
      </c>
    </row>
    <row r="952" spans="1:24">
      <c r="B952" t="s">
        <v>196</v>
      </c>
      <c r="C952" t="s">
        <v>197</v>
      </c>
      <c r="D952" t="s">
        <v>197</v>
      </c>
      <c r="E952" t="s">
        <v>197</v>
      </c>
      <c r="F952" t="s">
        <v>197</v>
      </c>
      <c r="G952" t="s">
        <v>197</v>
      </c>
      <c r="H952" t="s">
        <v>197</v>
      </c>
      <c r="I952" t="s">
        <v>999</v>
      </c>
      <c r="J952" t="s">
        <v>199</v>
      </c>
      <c r="K952" t="s">
        <v>200</v>
      </c>
    </row>
    <row r="953" spans="1:24">
      <c r="B953" t="s">
        <v>197</v>
      </c>
      <c r="C953" t="s">
        <v>197</v>
      </c>
      <c r="D953" t="s">
        <v>197</v>
      </c>
      <c r="E953" t="s">
        <v>197</v>
      </c>
      <c r="F953" t="s">
        <v>197</v>
      </c>
      <c r="G953" t="s">
        <v>197</v>
      </c>
      <c r="H953" t="s">
        <v>197</v>
      </c>
      <c r="I953" t="s">
        <v>197</v>
      </c>
      <c r="J953" t="s">
        <v>197</v>
      </c>
      <c r="K953" t="s">
        <v>800</v>
      </c>
    </row>
    <row r="954" spans="1:24">
      <c r="B954" t="s">
        <v>197</v>
      </c>
      <c r="C954" t="s">
        <v>197</v>
      </c>
      <c r="D954" t="s">
        <v>197</v>
      </c>
      <c r="E954" t="s">
        <v>197</v>
      </c>
      <c r="F954" t="s">
        <v>197</v>
      </c>
      <c r="G954" t="s">
        <v>197</v>
      </c>
      <c r="H954" t="s">
        <v>197</v>
      </c>
      <c r="I954" t="s">
        <v>197</v>
      </c>
      <c r="J954" t="s">
        <v>197</v>
      </c>
      <c r="K954" t="s">
        <v>801</v>
      </c>
    </row>
    <row r="955" spans="1:24">
      <c r="B955" t="s">
        <v>197</v>
      </c>
      <c r="C955" t="s">
        <v>197</v>
      </c>
      <c r="D955" t="s">
        <v>197</v>
      </c>
      <c r="E955" t="s">
        <v>197</v>
      </c>
      <c r="F955" t="s">
        <v>197</v>
      </c>
      <c r="G955" t="s">
        <v>197</v>
      </c>
      <c r="H955" t="s">
        <v>197</v>
      </c>
      <c r="I955" t="s">
        <v>197</v>
      </c>
      <c r="J955" t="s">
        <v>197</v>
      </c>
      <c r="K955" t="s">
        <v>802</v>
      </c>
    </row>
    <row r="956" spans="1:24">
      <c r="B956" t="s">
        <v>197</v>
      </c>
      <c r="C956" t="s">
        <v>197</v>
      </c>
      <c r="D956" t="s">
        <v>197</v>
      </c>
      <c r="E956" t="s">
        <v>197</v>
      </c>
      <c r="F956" t="s">
        <v>197</v>
      </c>
      <c r="G956" t="s">
        <v>197</v>
      </c>
      <c r="H956" t="s">
        <v>197</v>
      </c>
      <c r="I956" t="s">
        <v>197</v>
      </c>
      <c r="J956" t="s">
        <v>197</v>
      </c>
      <c r="K956" t="s">
        <v>803</v>
      </c>
    </row>
    <row r="957" spans="1:24">
      <c r="B957" t="s">
        <v>197</v>
      </c>
      <c r="C957" t="s">
        <v>197</v>
      </c>
      <c r="D957" t="s">
        <v>197</v>
      </c>
      <c r="E957" t="s">
        <v>197</v>
      </c>
      <c r="F957" t="s">
        <v>197</v>
      </c>
      <c r="G957" t="s">
        <v>197</v>
      </c>
      <c r="H957" t="s">
        <v>197</v>
      </c>
      <c r="I957" t="s">
        <v>197</v>
      </c>
      <c r="J957" t="s">
        <v>197</v>
      </c>
      <c r="K957" t="s">
        <v>804</v>
      </c>
    </row>
    <row r="958" spans="1:24">
      <c r="B958" t="s">
        <v>197</v>
      </c>
      <c r="C958" t="s">
        <v>197</v>
      </c>
      <c r="D958" t="s">
        <v>197</v>
      </c>
      <c r="E958" t="s">
        <v>197</v>
      </c>
      <c r="F958" t="s">
        <v>197</v>
      </c>
      <c r="G958" t="s">
        <v>197</v>
      </c>
      <c r="H958" t="s">
        <v>197</v>
      </c>
      <c r="I958" t="s">
        <v>197</v>
      </c>
      <c r="J958" t="s">
        <v>197</v>
      </c>
      <c r="K958" t="s">
        <v>805</v>
      </c>
    </row>
    <row r="959" spans="1:24">
      <c r="B959" t="s">
        <v>197</v>
      </c>
      <c r="C959" t="s">
        <v>197</v>
      </c>
      <c r="D959" t="s">
        <v>197</v>
      </c>
      <c r="E959" t="s">
        <v>197</v>
      </c>
      <c r="F959" t="s">
        <v>197</v>
      </c>
      <c r="G959" t="s">
        <v>197</v>
      </c>
      <c r="H959" t="s">
        <v>197</v>
      </c>
      <c r="I959" t="s">
        <v>197</v>
      </c>
      <c r="J959" t="s">
        <v>197</v>
      </c>
      <c r="K959" t="s">
        <v>806</v>
      </c>
    </row>
    <row r="960" spans="1:24">
      <c r="B960" t="s">
        <v>197</v>
      </c>
      <c r="C960" t="s">
        <v>197</v>
      </c>
      <c r="D960" t="s">
        <v>197</v>
      </c>
      <c r="E960" t="s">
        <v>197</v>
      </c>
      <c r="F960" t="s">
        <v>197</v>
      </c>
      <c r="G960" t="s">
        <v>197</v>
      </c>
      <c r="H960" t="s">
        <v>197</v>
      </c>
      <c r="I960" t="s">
        <v>197</v>
      </c>
      <c r="J960" t="s">
        <v>197</v>
      </c>
      <c r="K960" t="s">
        <v>807</v>
      </c>
    </row>
    <row r="961" spans="1:24">
      <c r="A961" t="s">
        <v>1000</v>
      </c>
      <c r="K961" t="s">
        <v>1001</v>
      </c>
      <c r="W961" t="s">
        <v>171</v>
      </c>
      <c r="X961" t="str">
        <f>A961</f>
        <v>info_datetime_dml_single_pk</v>
      </c>
    </row>
    <row r="962" spans="1:24">
      <c r="B962" t="s">
        <v>196</v>
      </c>
      <c r="C962" t="s">
        <v>197</v>
      </c>
      <c r="D962" t="s">
        <v>197</v>
      </c>
      <c r="E962" t="s">
        <v>197</v>
      </c>
      <c r="F962" t="s">
        <v>197</v>
      </c>
      <c r="G962" t="s">
        <v>197</v>
      </c>
      <c r="H962" t="s">
        <v>197</v>
      </c>
      <c r="I962" t="s">
        <v>1002</v>
      </c>
      <c r="J962" t="s">
        <v>199</v>
      </c>
      <c r="K962" t="s">
        <v>200</v>
      </c>
    </row>
    <row r="963" spans="1:24">
      <c r="B963" t="s">
        <v>197</v>
      </c>
      <c r="C963" t="s">
        <v>197</v>
      </c>
      <c r="D963" t="s">
        <v>197</v>
      </c>
      <c r="E963" t="s">
        <v>197</v>
      </c>
      <c r="F963" t="s">
        <v>197</v>
      </c>
      <c r="G963" t="s">
        <v>197</v>
      </c>
      <c r="H963" t="s">
        <v>197</v>
      </c>
      <c r="I963" t="s">
        <v>197</v>
      </c>
      <c r="J963" t="s">
        <v>197</v>
      </c>
      <c r="K963" t="s">
        <v>574</v>
      </c>
    </row>
    <row r="964" spans="1:24">
      <c r="A964" t="s">
        <v>1003</v>
      </c>
      <c r="K964" t="s">
        <v>1004</v>
      </c>
      <c r="W964" s="1" t="str">
        <f>HYPERLINK("#2026042000hbase1!AZ2","NO 源备存在差异，共4个")</f>
        <v>NO 源备存在差异，共4个</v>
      </c>
      <c r="X964" t="str">
        <f>A964</f>
        <v>info_sql_variant_dml_single_pk_irp</v>
      </c>
    </row>
    <row r="965" spans="1:24">
      <c r="B965" t="s">
        <v>196</v>
      </c>
      <c r="C965" t="s">
        <v>197</v>
      </c>
      <c r="D965" t="s">
        <v>197</v>
      </c>
      <c r="E965" t="s">
        <v>197</v>
      </c>
      <c r="F965" t="s">
        <v>197</v>
      </c>
      <c r="G965" t="s">
        <v>197</v>
      </c>
      <c r="H965" t="s">
        <v>197</v>
      </c>
      <c r="I965" t="s">
        <v>1005</v>
      </c>
      <c r="J965" t="s">
        <v>199</v>
      </c>
      <c r="K965" t="s">
        <v>200</v>
      </c>
    </row>
    <row r="966" spans="1:24">
      <c r="B966" t="s">
        <v>197</v>
      </c>
      <c r="C966" t="s">
        <v>197</v>
      </c>
      <c r="D966" t="s">
        <v>197</v>
      </c>
      <c r="E966" t="s">
        <v>197</v>
      </c>
      <c r="F966" t="s">
        <v>197</v>
      </c>
      <c r="G966" t="s">
        <v>197</v>
      </c>
      <c r="H966" t="s">
        <v>197</v>
      </c>
      <c r="I966" t="s">
        <v>197</v>
      </c>
      <c r="J966" t="s">
        <v>197</v>
      </c>
      <c r="K966" t="s">
        <v>1006</v>
      </c>
    </row>
    <row r="967" spans="1:24">
      <c r="B967" t="s">
        <v>197</v>
      </c>
      <c r="C967" t="s">
        <v>197</v>
      </c>
      <c r="D967" t="s">
        <v>197</v>
      </c>
      <c r="E967" t="s">
        <v>197</v>
      </c>
      <c r="F967" t="s">
        <v>197</v>
      </c>
      <c r="G967" t="s">
        <v>197</v>
      </c>
      <c r="H967" t="s">
        <v>197</v>
      </c>
      <c r="I967" t="s">
        <v>197</v>
      </c>
      <c r="J967" t="s">
        <v>197</v>
      </c>
      <c r="K967" t="s">
        <v>1007</v>
      </c>
    </row>
    <row r="968" spans="1:24">
      <c r="B968" t="s">
        <v>197</v>
      </c>
      <c r="C968" t="s">
        <v>197</v>
      </c>
      <c r="D968" t="s">
        <v>197</v>
      </c>
      <c r="E968" t="s">
        <v>197</v>
      </c>
      <c r="F968" t="s">
        <v>197</v>
      </c>
      <c r="G968" t="s">
        <v>197</v>
      </c>
      <c r="H968" t="s">
        <v>197</v>
      </c>
      <c r="I968" t="s">
        <v>197</v>
      </c>
      <c r="J968" t="s">
        <v>197</v>
      </c>
      <c r="K968" t="s">
        <v>1008</v>
      </c>
    </row>
    <row r="969" spans="1:24">
      <c r="B969" t="s">
        <v>197</v>
      </c>
      <c r="C969" t="s">
        <v>197</v>
      </c>
      <c r="D969" t="s">
        <v>197</v>
      </c>
      <c r="E969" t="s">
        <v>197</v>
      </c>
      <c r="F969" t="s">
        <v>197</v>
      </c>
      <c r="G969" t="s">
        <v>197</v>
      </c>
      <c r="H969" t="s">
        <v>197</v>
      </c>
      <c r="I969" t="s">
        <v>197</v>
      </c>
      <c r="J969" t="s">
        <v>197</v>
      </c>
      <c r="K969" t="s">
        <v>1009</v>
      </c>
    </row>
    <row r="970" spans="1:24">
      <c r="B970" t="s">
        <v>197</v>
      </c>
      <c r="C970" t="s">
        <v>197</v>
      </c>
      <c r="D970" t="s">
        <v>197</v>
      </c>
      <c r="E970" t="s">
        <v>197</v>
      </c>
      <c r="F970" t="s">
        <v>197</v>
      </c>
      <c r="G970" t="s">
        <v>197</v>
      </c>
      <c r="H970" t="s">
        <v>197</v>
      </c>
      <c r="I970" t="s">
        <v>197</v>
      </c>
      <c r="J970" t="s">
        <v>197</v>
      </c>
      <c r="K970" t="s">
        <v>1010</v>
      </c>
    </row>
    <row r="971" spans="1:24">
      <c r="B971" t="s">
        <v>197</v>
      </c>
      <c r="C971" t="s">
        <v>197</v>
      </c>
      <c r="D971" t="s">
        <v>197</v>
      </c>
      <c r="E971" t="s">
        <v>197</v>
      </c>
      <c r="F971" t="s">
        <v>197</v>
      </c>
      <c r="G971" t="s">
        <v>197</v>
      </c>
      <c r="H971" t="s">
        <v>197</v>
      </c>
      <c r="I971" t="s">
        <v>197</v>
      </c>
      <c r="J971" t="s">
        <v>197</v>
      </c>
      <c r="K971" t="s">
        <v>1011</v>
      </c>
    </row>
    <row r="972" spans="1:24">
      <c r="B972" t="s">
        <v>197</v>
      </c>
      <c r="C972" t="s">
        <v>197</v>
      </c>
      <c r="D972" t="s">
        <v>197</v>
      </c>
      <c r="E972" t="s">
        <v>197</v>
      </c>
      <c r="F972" t="s">
        <v>197</v>
      </c>
      <c r="G972" t="s">
        <v>197</v>
      </c>
      <c r="H972" t="s">
        <v>197</v>
      </c>
      <c r="I972" t="s">
        <v>197</v>
      </c>
      <c r="J972" t="s">
        <v>197</v>
      </c>
      <c r="K972" t="s">
        <v>1012</v>
      </c>
    </row>
    <row r="973" spans="1:24">
      <c r="B973" t="s">
        <v>197</v>
      </c>
      <c r="C973" t="s">
        <v>197</v>
      </c>
      <c r="D973" t="s">
        <v>197</v>
      </c>
      <c r="E973" t="s">
        <v>197</v>
      </c>
      <c r="F973" t="s">
        <v>197</v>
      </c>
      <c r="G973" t="s">
        <v>197</v>
      </c>
      <c r="H973" t="s">
        <v>197</v>
      </c>
      <c r="I973" t="s">
        <v>197</v>
      </c>
      <c r="J973" t="s">
        <v>197</v>
      </c>
      <c r="K973" t="s">
        <v>1013</v>
      </c>
    </row>
    <row r="974" spans="1:24">
      <c r="B974" t="s">
        <v>197</v>
      </c>
      <c r="C974" t="s">
        <v>197</v>
      </c>
      <c r="D974" t="s">
        <v>197</v>
      </c>
      <c r="E974" t="s">
        <v>197</v>
      </c>
      <c r="F974" t="s">
        <v>197</v>
      </c>
      <c r="G974" t="s">
        <v>197</v>
      </c>
      <c r="H974" t="s">
        <v>197</v>
      </c>
      <c r="I974" t="s">
        <v>197</v>
      </c>
      <c r="J974" t="s">
        <v>197</v>
      </c>
      <c r="K974" t="s">
        <v>1014</v>
      </c>
    </row>
    <row r="975" spans="1:24">
      <c r="B975" t="s">
        <v>197</v>
      </c>
      <c r="C975" t="s">
        <v>197</v>
      </c>
      <c r="D975" t="s">
        <v>197</v>
      </c>
      <c r="E975" t="s">
        <v>197</v>
      </c>
      <c r="F975" t="s">
        <v>197</v>
      </c>
      <c r="G975" t="s">
        <v>197</v>
      </c>
      <c r="H975" t="s">
        <v>197</v>
      </c>
      <c r="I975" t="s">
        <v>197</v>
      </c>
      <c r="J975" t="s">
        <v>197</v>
      </c>
      <c r="K975" t="s">
        <v>1015</v>
      </c>
    </row>
    <row r="976" spans="1:24">
      <c r="B976" t="s">
        <v>197</v>
      </c>
      <c r="C976" t="s">
        <v>197</v>
      </c>
      <c r="D976" t="s">
        <v>197</v>
      </c>
      <c r="E976" t="s">
        <v>197</v>
      </c>
      <c r="F976" t="s">
        <v>197</v>
      </c>
      <c r="G976" t="s">
        <v>197</v>
      </c>
      <c r="H976" t="s">
        <v>197</v>
      </c>
      <c r="I976" t="s">
        <v>197</v>
      </c>
      <c r="J976" t="s">
        <v>197</v>
      </c>
      <c r="K976" t="s">
        <v>1016</v>
      </c>
    </row>
    <row r="977" spans="1:24">
      <c r="B977" t="s">
        <v>197</v>
      </c>
      <c r="C977" t="s">
        <v>197</v>
      </c>
      <c r="D977" t="s">
        <v>197</v>
      </c>
      <c r="E977" t="s">
        <v>197</v>
      </c>
      <c r="F977" t="s">
        <v>197</v>
      </c>
      <c r="G977" t="s">
        <v>197</v>
      </c>
      <c r="H977" t="s">
        <v>197</v>
      </c>
      <c r="I977" t="s">
        <v>197</v>
      </c>
      <c r="J977" t="s">
        <v>197</v>
      </c>
      <c r="K977" t="s">
        <v>1017</v>
      </c>
    </row>
    <row r="978" spans="1:24">
      <c r="B978" t="s">
        <v>197</v>
      </c>
      <c r="C978" t="s">
        <v>197</v>
      </c>
      <c r="D978" t="s">
        <v>197</v>
      </c>
      <c r="E978" t="s">
        <v>197</v>
      </c>
      <c r="F978" t="s">
        <v>197</v>
      </c>
      <c r="G978" t="s">
        <v>197</v>
      </c>
      <c r="H978" t="s">
        <v>197</v>
      </c>
      <c r="I978" t="s">
        <v>197</v>
      </c>
      <c r="J978" t="s">
        <v>197</v>
      </c>
      <c r="K978" t="s">
        <v>1018</v>
      </c>
    </row>
    <row r="979" spans="1:24">
      <c r="B979" t="s">
        <v>197</v>
      </c>
      <c r="C979" t="s">
        <v>197</v>
      </c>
      <c r="D979" t="s">
        <v>197</v>
      </c>
      <c r="E979" t="s">
        <v>197</v>
      </c>
      <c r="F979" t="s">
        <v>197</v>
      </c>
      <c r="G979" t="s">
        <v>197</v>
      </c>
      <c r="H979" t="s">
        <v>197</v>
      </c>
      <c r="I979" t="s">
        <v>197</v>
      </c>
      <c r="J979" t="s">
        <v>197</v>
      </c>
      <c r="K979" t="s">
        <v>1019</v>
      </c>
    </row>
    <row r="980" spans="1:24">
      <c r="B980" t="s">
        <v>197</v>
      </c>
      <c r="C980" t="s">
        <v>197</v>
      </c>
      <c r="D980" t="s">
        <v>197</v>
      </c>
      <c r="E980" t="s">
        <v>197</v>
      </c>
      <c r="F980" t="s">
        <v>197</v>
      </c>
      <c r="G980" t="s">
        <v>197</v>
      </c>
      <c r="H980" t="s">
        <v>197</v>
      </c>
      <c r="I980" t="s">
        <v>197</v>
      </c>
      <c r="J980" t="s">
        <v>197</v>
      </c>
      <c r="K980" t="s">
        <v>1020</v>
      </c>
    </row>
    <row r="981" spans="1:24">
      <c r="B981" t="s">
        <v>197</v>
      </c>
      <c r="C981" t="s">
        <v>197</v>
      </c>
      <c r="D981" t="s">
        <v>197</v>
      </c>
      <c r="E981" t="s">
        <v>197</v>
      </c>
      <c r="F981" t="s">
        <v>197</v>
      </c>
      <c r="G981" t="s">
        <v>197</v>
      </c>
      <c r="H981" t="s">
        <v>197</v>
      </c>
      <c r="I981" t="s">
        <v>197</v>
      </c>
      <c r="J981" t="s">
        <v>197</v>
      </c>
      <c r="K981" t="s">
        <v>1021</v>
      </c>
    </row>
    <row r="982" spans="1:24">
      <c r="B982" t="s">
        <v>197</v>
      </c>
      <c r="C982" t="s">
        <v>197</v>
      </c>
      <c r="D982" t="s">
        <v>197</v>
      </c>
      <c r="E982" t="s">
        <v>197</v>
      </c>
      <c r="F982" t="s">
        <v>197</v>
      </c>
      <c r="G982" t="s">
        <v>197</v>
      </c>
      <c r="H982" t="s">
        <v>197</v>
      </c>
      <c r="I982" t="s">
        <v>197</v>
      </c>
      <c r="J982" t="s">
        <v>197</v>
      </c>
      <c r="K982" t="s">
        <v>1022</v>
      </c>
    </row>
    <row r="983" spans="1:24">
      <c r="B983" t="s">
        <v>197</v>
      </c>
      <c r="C983" t="s">
        <v>197</v>
      </c>
      <c r="D983" t="s">
        <v>197</v>
      </c>
      <c r="E983" t="s">
        <v>197</v>
      </c>
      <c r="F983" t="s">
        <v>197</v>
      </c>
      <c r="G983" t="s">
        <v>197</v>
      </c>
      <c r="H983" t="s">
        <v>197</v>
      </c>
      <c r="I983" t="s">
        <v>197</v>
      </c>
      <c r="J983" t="s">
        <v>197</v>
      </c>
      <c r="K983" t="s">
        <v>1023</v>
      </c>
    </row>
    <row r="984" spans="1:24">
      <c r="B984" t="s">
        <v>197</v>
      </c>
      <c r="C984" t="s">
        <v>197</v>
      </c>
      <c r="D984" t="s">
        <v>197</v>
      </c>
      <c r="E984" t="s">
        <v>197</v>
      </c>
      <c r="F984" t="s">
        <v>197</v>
      </c>
      <c r="G984" t="s">
        <v>197</v>
      </c>
      <c r="H984" t="s">
        <v>197</v>
      </c>
      <c r="I984" t="s">
        <v>197</v>
      </c>
      <c r="J984" t="s">
        <v>197</v>
      </c>
      <c r="K984" t="s">
        <v>1024</v>
      </c>
    </row>
    <row r="985" spans="1:24">
      <c r="B985" t="s">
        <v>197</v>
      </c>
      <c r="C985" t="s">
        <v>197</v>
      </c>
      <c r="D985" t="s">
        <v>197</v>
      </c>
      <c r="E985" t="s">
        <v>197</v>
      </c>
      <c r="F985" t="s">
        <v>197</v>
      </c>
      <c r="G985" t="s">
        <v>197</v>
      </c>
      <c r="H985" t="s">
        <v>197</v>
      </c>
      <c r="I985" t="s">
        <v>197</v>
      </c>
      <c r="J985" t="s">
        <v>197</v>
      </c>
      <c r="K985" t="s">
        <v>1025</v>
      </c>
    </row>
    <row r="986" spans="1:24">
      <c r="B986" t="s">
        <v>197</v>
      </c>
      <c r="C986" t="s">
        <v>197</v>
      </c>
      <c r="D986" t="s">
        <v>197</v>
      </c>
      <c r="E986" t="s">
        <v>197</v>
      </c>
      <c r="F986" t="s">
        <v>197</v>
      </c>
      <c r="G986" t="s">
        <v>197</v>
      </c>
      <c r="H986" t="s">
        <v>197</v>
      </c>
      <c r="I986" t="s">
        <v>197</v>
      </c>
      <c r="J986" t="s">
        <v>197</v>
      </c>
      <c r="K986" t="s">
        <v>1026</v>
      </c>
    </row>
    <row r="987" spans="1:24">
      <c r="B987" t="s">
        <v>197</v>
      </c>
      <c r="C987" t="s">
        <v>197</v>
      </c>
      <c r="D987" t="s">
        <v>197</v>
      </c>
      <c r="E987" t="s">
        <v>197</v>
      </c>
      <c r="F987" t="s">
        <v>197</v>
      </c>
      <c r="G987" t="s">
        <v>197</v>
      </c>
      <c r="H987" t="s">
        <v>197</v>
      </c>
      <c r="I987" t="s">
        <v>197</v>
      </c>
      <c r="J987" t="s">
        <v>197</v>
      </c>
      <c r="K987" t="s">
        <v>1027</v>
      </c>
    </row>
    <row r="988" spans="1:24">
      <c r="B988" t="s">
        <v>197</v>
      </c>
      <c r="C988" t="s">
        <v>197</v>
      </c>
      <c r="D988" t="s">
        <v>197</v>
      </c>
      <c r="E988" t="s">
        <v>197</v>
      </c>
      <c r="F988" t="s">
        <v>197</v>
      </c>
      <c r="G988" t="s">
        <v>197</v>
      </c>
      <c r="H988" t="s">
        <v>197</v>
      </c>
      <c r="I988" t="s">
        <v>197</v>
      </c>
      <c r="J988" t="s">
        <v>197</v>
      </c>
      <c r="K988" t="s">
        <v>1028</v>
      </c>
    </row>
    <row r="989" spans="1:24">
      <c r="B989" t="s">
        <v>197</v>
      </c>
      <c r="C989" t="s">
        <v>197</v>
      </c>
      <c r="D989" t="s">
        <v>197</v>
      </c>
      <c r="E989" t="s">
        <v>197</v>
      </c>
      <c r="F989" t="s">
        <v>197</v>
      </c>
      <c r="G989" t="s">
        <v>197</v>
      </c>
      <c r="H989" t="s">
        <v>197</v>
      </c>
      <c r="I989" t="s">
        <v>197</v>
      </c>
      <c r="J989" t="s">
        <v>197</v>
      </c>
      <c r="K989" t="s">
        <v>1029</v>
      </c>
    </row>
    <row r="990" spans="1:24">
      <c r="A990" t="s">
        <v>1030</v>
      </c>
      <c r="K990" t="s">
        <v>1031</v>
      </c>
      <c r="W990" t="s">
        <v>171</v>
      </c>
      <c r="X990" t="str">
        <f>A990</f>
        <v>info_varcharmax_dml_batch1_pk</v>
      </c>
    </row>
    <row r="991" spans="1:24">
      <c r="B991" t="s">
        <v>196</v>
      </c>
      <c r="C991" t="s">
        <v>197</v>
      </c>
      <c r="D991" t="s">
        <v>197</v>
      </c>
      <c r="E991" t="s">
        <v>197</v>
      </c>
      <c r="F991" t="s">
        <v>197</v>
      </c>
      <c r="G991" t="s">
        <v>197</v>
      </c>
      <c r="H991" t="s">
        <v>197</v>
      </c>
      <c r="I991" t="s">
        <v>1032</v>
      </c>
      <c r="J991" t="s">
        <v>199</v>
      </c>
      <c r="K991" t="s">
        <v>200</v>
      </c>
    </row>
    <row r="992" spans="1:24">
      <c r="B992" t="s">
        <v>197</v>
      </c>
      <c r="C992" t="s">
        <v>197</v>
      </c>
      <c r="D992" t="s">
        <v>197</v>
      </c>
      <c r="E992" t="s">
        <v>197</v>
      </c>
      <c r="F992" t="s">
        <v>197</v>
      </c>
      <c r="G992" t="s">
        <v>197</v>
      </c>
      <c r="H992" t="s">
        <v>197</v>
      </c>
      <c r="I992" t="s">
        <v>197</v>
      </c>
      <c r="J992" t="s">
        <v>197</v>
      </c>
      <c r="K992" t="s">
        <v>725</v>
      </c>
    </row>
    <row r="993" spans="1:24">
      <c r="B993" t="s">
        <v>197</v>
      </c>
      <c r="C993" t="s">
        <v>197</v>
      </c>
      <c r="D993" t="s">
        <v>197</v>
      </c>
      <c r="E993" t="s">
        <v>197</v>
      </c>
      <c r="F993" t="s">
        <v>197</v>
      </c>
      <c r="G993" t="s">
        <v>197</v>
      </c>
      <c r="H993" t="s">
        <v>197</v>
      </c>
      <c r="I993" t="s">
        <v>197</v>
      </c>
      <c r="J993" t="s">
        <v>197</v>
      </c>
      <c r="K993" t="s">
        <v>726</v>
      </c>
    </row>
    <row r="994" spans="1:24">
      <c r="K994" t="s">
        <v>443</v>
      </c>
    </row>
    <row r="995" spans="1:24">
      <c r="A995" t="s">
        <v>1033</v>
      </c>
      <c r="K995" t="s">
        <v>1034</v>
      </c>
      <c r="W995" t="s">
        <v>171</v>
      </c>
      <c r="X995" t="str">
        <f>A995</f>
        <v>info_nvarchar_dml_batch1_pk_irp2</v>
      </c>
    </row>
    <row r="996" spans="1:24">
      <c r="B996" t="s">
        <v>196</v>
      </c>
      <c r="C996" t="s">
        <v>197</v>
      </c>
      <c r="D996" t="s">
        <v>197</v>
      </c>
      <c r="E996" t="s">
        <v>197</v>
      </c>
      <c r="F996" t="s">
        <v>197</v>
      </c>
      <c r="G996" t="s">
        <v>197</v>
      </c>
      <c r="H996" t="s">
        <v>197</v>
      </c>
      <c r="I996" t="s">
        <v>1035</v>
      </c>
      <c r="J996" t="s">
        <v>199</v>
      </c>
      <c r="K996" t="s">
        <v>200</v>
      </c>
    </row>
    <row r="997" spans="1:24">
      <c r="B997" t="s">
        <v>197</v>
      </c>
      <c r="C997" t="s">
        <v>197</v>
      </c>
      <c r="D997" t="s">
        <v>197</v>
      </c>
      <c r="E997" t="s">
        <v>197</v>
      </c>
      <c r="F997" t="s">
        <v>197</v>
      </c>
      <c r="G997" t="s">
        <v>197</v>
      </c>
      <c r="H997" t="s">
        <v>197</v>
      </c>
      <c r="I997" t="s">
        <v>197</v>
      </c>
      <c r="J997" t="s">
        <v>197</v>
      </c>
      <c r="K997" t="s">
        <v>408</v>
      </c>
    </row>
    <row r="998" spans="1:24">
      <c r="B998" t="s">
        <v>197</v>
      </c>
      <c r="C998" t="s">
        <v>197</v>
      </c>
      <c r="D998" t="s">
        <v>197</v>
      </c>
      <c r="E998" t="s">
        <v>197</v>
      </c>
      <c r="F998" t="s">
        <v>197</v>
      </c>
      <c r="G998" t="s">
        <v>197</v>
      </c>
      <c r="H998" t="s">
        <v>197</v>
      </c>
      <c r="I998" t="s">
        <v>197</v>
      </c>
      <c r="J998" t="s">
        <v>197</v>
      </c>
      <c r="K998" t="s">
        <v>412</v>
      </c>
    </row>
    <row r="999" spans="1:24">
      <c r="B999" t="s">
        <v>197</v>
      </c>
      <c r="C999" t="s">
        <v>197</v>
      </c>
      <c r="D999" t="s">
        <v>197</v>
      </c>
      <c r="E999" t="s">
        <v>197</v>
      </c>
      <c r="F999" t="s">
        <v>197</v>
      </c>
      <c r="G999" t="s">
        <v>197</v>
      </c>
      <c r="H999" t="s">
        <v>197</v>
      </c>
      <c r="I999" t="s">
        <v>197</v>
      </c>
      <c r="J999" t="s">
        <v>197</v>
      </c>
      <c r="K999" t="s">
        <v>416</v>
      </c>
    </row>
    <row r="1000" spans="1:24">
      <c r="A1000" t="s">
        <v>1036</v>
      </c>
      <c r="K1000" t="s">
        <v>1037</v>
      </c>
      <c r="W1000" t="s">
        <v>171</v>
      </c>
      <c r="X1000" t="str">
        <f>A1000</f>
        <v>info_uniqueidentifier_dml_single_pk_irp</v>
      </c>
    </row>
    <row r="1001" spans="1:24">
      <c r="B1001" t="s">
        <v>196</v>
      </c>
      <c r="C1001" t="s">
        <v>197</v>
      </c>
      <c r="D1001" t="s">
        <v>197</v>
      </c>
      <c r="E1001" t="s">
        <v>197</v>
      </c>
      <c r="F1001" t="s">
        <v>197</v>
      </c>
      <c r="G1001" t="s">
        <v>197</v>
      </c>
      <c r="H1001" t="s">
        <v>197</v>
      </c>
      <c r="I1001" t="s">
        <v>1038</v>
      </c>
      <c r="J1001" t="s">
        <v>199</v>
      </c>
      <c r="K1001" t="s">
        <v>200</v>
      </c>
    </row>
    <row r="1002" spans="1:24">
      <c r="B1002" t="s">
        <v>197</v>
      </c>
      <c r="C1002" t="s">
        <v>197</v>
      </c>
      <c r="D1002" t="s">
        <v>197</v>
      </c>
      <c r="E1002" t="s">
        <v>197</v>
      </c>
      <c r="F1002" t="s">
        <v>197</v>
      </c>
      <c r="G1002" t="s">
        <v>197</v>
      </c>
      <c r="H1002" t="s">
        <v>197</v>
      </c>
      <c r="I1002" t="s">
        <v>197</v>
      </c>
      <c r="J1002" t="s">
        <v>197</v>
      </c>
      <c r="K1002" t="s">
        <v>1039</v>
      </c>
    </row>
    <row r="1003" spans="1:24">
      <c r="A1003" t="s">
        <v>1040</v>
      </c>
      <c r="K1003" t="s">
        <v>1041</v>
      </c>
      <c r="W1003" t="s">
        <v>171</v>
      </c>
      <c r="X1003" t="str">
        <f>A1003</f>
        <v>info_datetime2_dml_single_pk_irp</v>
      </c>
    </row>
    <row r="1004" spans="1:24">
      <c r="B1004" t="s">
        <v>196</v>
      </c>
      <c r="C1004" t="s">
        <v>197</v>
      </c>
      <c r="D1004" t="s">
        <v>197</v>
      </c>
      <c r="E1004" t="s">
        <v>197</v>
      </c>
      <c r="F1004" t="s">
        <v>197</v>
      </c>
      <c r="G1004" t="s">
        <v>197</v>
      </c>
      <c r="H1004" t="s">
        <v>197</v>
      </c>
      <c r="I1004" t="s">
        <v>1042</v>
      </c>
      <c r="J1004" t="s">
        <v>199</v>
      </c>
      <c r="K1004" t="s">
        <v>200</v>
      </c>
    </row>
    <row r="1005" spans="1:24">
      <c r="B1005" t="s">
        <v>197</v>
      </c>
      <c r="C1005" t="s">
        <v>197</v>
      </c>
      <c r="D1005" t="s">
        <v>197</v>
      </c>
      <c r="E1005" t="s">
        <v>197</v>
      </c>
      <c r="F1005" t="s">
        <v>197</v>
      </c>
      <c r="G1005" t="s">
        <v>197</v>
      </c>
      <c r="H1005" t="s">
        <v>197</v>
      </c>
      <c r="I1005" t="s">
        <v>197</v>
      </c>
      <c r="J1005" t="s">
        <v>197</v>
      </c>
      <c r="K1005" t="s">
        <v>667</v>
      </c>
    </row>
    <row r="1006" spans="1:24">
      <c r="B1006" t="s">
        <v>197</v>
      </c>
      <c r="C1006" t="s">
        <v>197</v>
      </c>
      <c r="D1006" t="s">
        <v>197</v>
      </c>
      <c r="E1006" t="s">
        <v>197</v>
      </c>
      <c r="F1006" t="s">
        <v>197</v>
      </c>
      <c r="G1006" t="s">
        <v>197</v>
      </c>
      <c r="H1006" t="s">
        <v>197</v>
      </c>
      <c r="I1006" t="s">
        <v>197</v>
      </c>
      <c r="J1006" t="s">
        <v>197</v>
      </c>
      <c r="K1006" t="s">
        <v>668</v>
      </c>
    </row>
    <row r="1007" spans="1:24">
      <c r="B1007" t="s">
        <v>197</v>
      </c>
      <c r="C1007" t="s">
        <v>197</v>
      </c>
      <c r="D1007" t="s">
        <v>197</v>
      </c>
      <c r="E1007" t="s">
        <v>197</v>
      </c>
      <c r="F1007" t="s">
        <v>197</v>
      </c>
      <c r="G1007" t="s">
        <v>197</v>
      </c>
      <c r="H1007" t="s">
        <v>197</v>
      </c>
      <c r="I1007" t="s">
        <v>197</v>
      </c>
      <c r="J1007" t="s">
        <v>197</v>
      </c>
      <c r="K1007" t="s">
        <v>669</v>
      </c>
    </row>
    <row r="1008" spans="1:24">
      <c r="B1008" t="s">
        <v>197</v>
      </c>
      <c r="C1008" t="s">
        <v>197</v>
      </c>
      <c r="D1008" t="s">
        <v>197</v>
      </c>
      <c r="E1008" t="s">
        <v>197</v>
      </c>
      <c r="F1008" t="s">
        <v>197</v>
      </c>
      <c r="G1008" t="s">
        <v>197</v>
      </c>
      <c r="H1008" t="s">
        <v>197</v>
      </c>
      <c r="I1008" t="s">
        <v>197</v>
      </c>
      <c r="J1008" t="s">
        <v>197</v>
      </c>
      <c r="K1008" t="s">
        <v>670</v>
      </c>
    </row>
    <row r="1009" spans="1:24">
      <c r="B1009" t="s">
        <v>197</v>
      </c>
      <c r="C1009" t="s">
        <v>197</v>
      </c>
      <c r="D1009" t="s">
        <v>197</v>
      </c>
      <c r="E1009" t="s">
        <v>197</v>
      </c>
      <c r="F1009" t="s">
        <v>197</v>
      </c>
      <c r="G1009" t="s">
        <v>197</v>
      </c>
      <c r="H1009" t="s">
        <v>197</v>
      </c>
      <c r="I1009" t="s">
        <v>197</v>
      </c>
      <c r="J1009" t="s">
        <v>197</v>
      </c>
      <c r="K1009" t="s">
        <v>671</v>
      </c>
    </row>
    <row r="1010" spans="1:24">
      <c r="B1010" t="s">
        <v>197</v>
      </c>
      <c r="C1010" t="s">
        <v>197</v>
      </c>
      <c r="D1010" t="s">
        <v>197</v>
      </c>
      <c r="E1010" t="s">
        <v>197</v>
      </c>
      <c r="F1010" t="s">
        <v>197</v>
      </c>
      <c r="G1010" t="s">
        <v>197</v>
      </c>
      <c r="H1010" t="s">
        <v>197</v>
      </c>
      <c r="I1010" t="s">
        <v>197</v>
      </c>
      <c r="J1010" t="s">
        <v>197</v>
      </c>
      <c r="K1010" t="s">
        <v>672</v>
      </c>
    </row>
    <row r="1011" spans="1:24">
      <c r="B1011" t="s">
        <v>197</v>
      </c>
      <c r="C1011" t="s">
        <v>197</v>
      </c>
      <c r="D1011" t="s">
        <v>197</v>
      </c>
      <c r="E1011" t="s">
        <v>197</v>
      </c>
      <c r="F1011" t="s">
        <v>197</v>
      </c>
      <c r="G1011" t="s">
        <v>197</v>
      </c>
      <c r="H1011" t="s">
        <v>197</v>
      </c>
      <c r="I1011" t="s">
        <v>197</v>
      </c>
      <c r="J1011" t="s">
        <v>197</v>
      </c>
      <c r="K1011" t="s">
        <v>673</v>
      </c>
    </row>
    <row r="1012" spans="1:24">
      <c r="B1012" t="s">
        <v>197</v>
      </c>
      <c r="C1012" t="s">
        <v>197</v>
      </c>
      <c r="D1012" t="s">
        <v>197</v>
      </c>
      <c r="E1012" t="s">
        <v>197</v>
      </c>
      <c r="F1012" t="s">
        <v>197</v>
      </c>
      <c r="G1012" t="s">
        <v>197</v>
      </c>
      <c r="H1012" t="s">
        <v>197</v>
      </c>
      <c r="I1012" t="s">
        <v>197</v>
      </c>
      <c r="J1012" t="s">
        <v>197</v>
      </c>
      <c r="K1012" t="s">
        <v>674</v>
      </c>
    </row>
    <row r="1013" spans="1:24">
      <c r="A1013" t="s">
        <v>1043</v>
      </c>
      <c r="K1013" t="s">
        <v>1044</v>
      </c>
      <c r="W1013" s="1" t="str">
        <f>HYPERLINK("#2026042000hbase1!BA2","NO 源备存在差异，共4个")</f>
        <v>NO 源备存在差异，共4个</v>
      </c>
      <c r="X1013" t="str">
        <f>A1013</f>
        <v>info_char_dml_single_pk</v>
      </c>
    </row>
    <row r="1014" spans="1:24">
      <c r="B1014" t="s">
        <v>196</v>
      </c>
      <c r="C1014" t="s">
        <v>197</v>
      </c>
      <c r="D1014" t="s">
        <v>197</v>
      </c>
      <c r="E1014" t="s">
        <v>197</v>
      </c>
      <c r="F1014" t="s">
        <v>197</v>
      </c>
      <c r="G1014" t="s">
        <v>197</v>
      </c>
      <c r="H1014" t="s">
        <v>197</v>
      </c>
      <c r="I1014" t="s">
        <v>1045</v>
      </c>
      <c r="J1014" t="s">
        <v>199</v>
      </c>
      <c r="K1014" t="s">
        <v>200</v>
      </c>
    </row>
    <row r="1015" spans="1:24">
      <c r="B1015" t="s">
        <v>197</v>
      </c>
      <c r="C1015" t="s">
        <v>197</v>
      </c>
      <c r="D1015" t="s">
        <v>197</v>
      </c>
      <c r="E1015" t="s">
        <v>197</v>
      </c>
      <c r="F1015" t="s">
        <v>197</v>
      </c>
      <c r="G1015" t="s">
        <v>197</v>
      </c>
      <c r="H1015" t="s">
        <v>197</v>
      </c>
      <c r="I1015" t="s">
        <v>197</v>
      </c>
      <c r="J1015" t="s">
        <v>197</v>
      </c>
      <c r="K1015" t="s">
        <v>622</v>
      </c>
    </row>
    <row r="1016" spans="1:24">
      <c r="B1016" t="s">
        <v>197</v>
      </c>
      <c r="C1016" t="s">
        <v>197</v>
      </c>
      <c r="D1016" t="s">
        <v>197</v>
      </c>
      <c r="E1016" t="s">
        <v>197</v>
      </c>
      <c r="F1016" t="s">
        <v>197</v>
      </c>
      <c r="G1016" t="s">
        <v>197</v>
      </c>
      <c r="H1016" t="s">
        <v>197</v>
      </c>
      <c r="I1016" t="s">
        <v>197</v>
      </c>
      <c r="J1016" t="s">
        <v>197</v>
      </c>
      <c r="K1016" t="s">
        <v>623</v>
      </c>
    </row>
    <row r="1017" spans="1:24">
      <c r="B1017" t="s">
        <v>197</v>
      </c>
      <c r="C1017" t="s">
        <v>197</v>
      </c>
      <c r="D1017" t="s">
        <v>197</v>
      </c>
      <c r="E1017" t="s">
        <v>197</v>
      </c>
      <c r="F1017" t="s">
        <v>197</v>
      </c>
      <c r="G1017" t="s">
        <v>197</v>
      </c>
      <c r="H1017" t="s">
        <v>197</v>
      </c>
      <c r="I1017" t="s">
        <v>197</v>
      </c>
      <c r="J1017" t="s">
        <v>197</v>
      </c>
      <c r="K1017" t="s">
        <v>832</v>
      </c>
    </row>
    <row r="1018" spans="1:24">
      <c r="A1018" t="s">
        <v>1046</v>
      </c>
      <c r="K1018" t="s">
        <v>1047</v>
      </c>
      <c r="W1018" s="1" t="str">
        <f>HYPERLINK("#2026042000hbase1!BB2","NO 源备存在差异，共12个")</f>
        <v>NO 源备存在差异，共12个</v>
      </c>
      <c r="X1018" t="str">
        <f>A1018</f>
        <v>info_varbinary_dml_batch1_pk_irp1</v>
      </c>
    </row>
    <row r="1019" spans="1:24">
      <c r="B1019" t="s">
        <v>196</v>
      </c>
      <c r="C1019" t="s">
        <v>197</v>
      </c>
      <c r="D1019" t="s">
        <v>197</v>
      </c>
      <c r="E1019" t="s">
        <v>197</v>
      </c>
      <c r="F1019" t="s">
        <v>197</v>
      </c>
      <c r="G1019" t="s">
        <v>197</v>
      </c>
      <c r="H1019" t="s">
        <v>197</v>
      </c>
      <c r="I1019" t="s">
        <v>1048</v>
      </c>
      <c r="J1019" t="s">
        <v>199</v>
      </c>
      <c r="K1019" t="s">
        <v>200</v>
      </c>
    </row>
    <row r="1020" spans="1:24">
      <c r="B1020" t="s">
        <v>197</v>
      </c>
      <c r="C1020" t="s">
        <v>197</v>
      </c>
      <c r="D1020" t="s">
        <v>197</v>
      </c>
      <c r="E1020" t="s">
        <v>197</v>
      </c>
      <c r="F1020" t="s">
        <v>197</v>
      </c>
      <c r="G1020" t="s">
        <v>197</v>
      </c>
      <c r="H1020" t="s">
        <v>197</v>
      </c>
      <c r="I1020" t="s">
        <v>197</v>
      </c>
      <c r="J1020" t="s">
        <v>197</v>
      </c>
      <c r="K1020" t="s">
        <v>495</v>
      </c>
    </row>
    <row r="1021" spans="1:24">
      <c r="B1021" t="s">
        <v>197</v>
      </c>
      <c r="C1021" t="s">
        <v>197</v>
      </c>
      <c r="D1021" t="s">
        <v>197</v>
      </c>
      <c r="E1021" t="s">
        <v>197</v>
      </c>
      <c r="F1021" t="s">
        <v>197</v>
      </c>
      <c r="G1021" t="s">
        <v>197</v>
      </c>
      <c r="H1021" t="s">
        <v>197</v>
      </c>
      <c r="I1021" t="s">
        <v>197</v>
      </c>
      <c r="J1021" t="s">
        <v>197</v>
      </c>
      <c r="K1021" t="s">
        <v>499</v>
      </c>
    </row>
    <row r="1022" spans="1:24">
      <c r="B1022" t="s">
        <v>197</v>
      </c>
      <c r="C1022" t="s">
        <v>197</v>
      </c>
      <c r="D1022" t="s">
        <v>197</v>
      </c>
      <c r="E1022" t="s">
        <v>197</v>
      </c>
      <c r="F1022" t="s">
        <v>197</v>
      </c>
      <c r="G1022" t="s">
        <v>197</v>
      </c>
      <c r="H1022" t="s">
        <v>197</v>
      </c>
      <c r="I1022" t="s">
        <v>197</v>
      </c>
      <c r="J1022" t="s">
        <v>197</v>
      </c>
      <c r="K1022" t="s">
        <v>503</v>
      </c>
    </row>
    <row r="1023" spans="1:24">
      <c r="A1023" t="s">
        <v>1049</v>
      </c>
      <c r="K1023" t="s">
        <v>1050</v>
      </c>
      <c r="W1023" s="1" t="str">
        <f>HYPERLINK("#2026042000hbase1!BC2","NO 源备存在差异，共8个")</f>
        <v>NO 源备存在差异，共8个</v>
      </c>
      <c r="X1023" t="str">
        <f>A1023</f>
        <v>info_geography_dml_single_pk_irp</v>
      </c>
    </row>
    <row r="1024" spans="1:24">
      <c r="B1024" t="s">
        <v>196</v>
      </c>
      <c r="C1024" t="s">
        <v>197</v>
      </c>
      <c r="D1024" t="s">
        <v>197</v>
      </c>
      <c r="E1024" t="s">
        <v>197</v>
      </c>
      <c r="F1024" t="s">
        <v>197</v>
      </c>
      <c r="G1024" t="s">
        <v>197</v>
      </c>
      <c r="H1024" t="s">
        <v>197</v>
      </c>
      <c r="I1024" t="s">
        <v>1051</v>
      </c>
      <c r="J1024" t="s">
        <v>199</v>
      </c>
      <c r="K1024" t="s">
        <v>200</v>
      </c>
    </row>
    <row r="1025" spans="1:24">
      <c r="B1025" t="s">
        <v>197</v>
      </c>
      <c r="C1025" t="s">
        <v>197</v>
      </c>
      <c r="D1025" t="s">
        <v>197</v>
      </c>
      <c r="E1025" t="s">
        <v>197</v>
      </c>
      <c r="F1025" t="s">
        <v>197</v>
      </c>
      <c r="G1025" t="s">
        <v>197</v>
      </c>
      <c r="H1025" t="s">
        <v>197</v>
      </c>
      <c r="I1025" t="s">
        <v>197</v>
      </c>
      <c r="J1025" t="s">
        <v>197</v>
      </c>
      <c r="K1025" t="s">
        <v>1052</v>
      </c>
    </row>
    <row r="1026" spans="1:24">
      <c r="A1026" t="s">
        <v>1053</v>
      </c>
      <c r="K1026" t="s">
        <v>1054</v>
      </c>
      <c r="W1026" t="s">
        <v>171</v>
      </c>
      <c r="X1026" t="str">
        <f>A1026</f>
        <v>info_varchar_dml_single_pk_irp</v>
      </c>
    </row>
    <row r="1027" spans="1:24">
      <c r="B1027" t="s">
        <v>196</v>
      </c>
      <c r="C1027" t="s">
        <v>197</v>
      </c>
      <c r="D1027" t="s">
        <v>197</v>
      </c>
      <c r="E1027" t="s">
        <v>197</v>
      </c>
      <c r="F1027" t="s">
        <v>197</v>
      </c>
      <c r="G1027" t="s">
        <v>197</v>
      </c>
      <c r="H1027" t="s">
        <v>197</v>
      </c>
      <c r="I1027" t="s">
        <v>1055</v>
      </c>
      <c r="J1027" t="s">
        <v>199</v>
      </c>
      <c r="K1027" t="s">
        <v>200</v>
      </c>
    </row>
    <row r="1028" spans="1:24">
      <c r="B1028" t="s">
        <v>197</v>
      </c>
      <c r="C1028" t="s">
        <v>197</v>
      </c>
      <c r="D1028" t="s">
        <v>197</v>
      </c>
      <c r="E1028" t="s">
        <v>197</v>
      </c>
      <c r="F1028" t="s">
        <v>197</v>
      </c>
      <c r="G1028" t="s">
        <v>197</v>
      </c>
      <c r="H1028" t="s">
        <v>197</v>
      </c>
      <c r="I1028" t="s">
        <v>197</v>
      </c>
      <c r="J1028" t="s">
        <v>197</v>
      </c>
      <c r="K1028" t="s">
        <v>431</v>
      </c>
    </row>
    <row r="1029" spans="1:24">
      <c r="B1029" t="s">
        <v>197</v>
      </c>
      <c r="C1029" t="s">
        <v>197</v>
      </c>
      <c r="D1029" t="s">
        <v>197</v>
      </c>
      <c r="E1029" t="s">
        <v>197</v>
      </c>
      <c r="F1029" t="s">
        <v>197</v>
      </c>
      <c r="G1029" t="s">
        <v>197</v>
      </c>
      <c r="H1029" t="s">
        <v>197</v>
      </c>
      <c r="I1029" t="s">
        <v>197</v>
      </c>
      <c r="J1029" t="s">
        <v>197</v>
      </c>
      <c r="K1029" t="s">
        <v>1056</v>
      </c>
    </row>
    <row r="1030" spans="1:24">
      <c r="B1030" t="s">
        <v>197</v>
      </c>
      <c r="C1030" t="s">
        <v>197</v>
      </c>
      <c r="D1030" t="s">
        <v>197</v>
      </c>
      <c r="E1030" t="s">
        <v>197</v>
      </c>
      <c r="F1030" t="s">
        <v>197</v>
      </c>
      <c r="G1030" t="s">
        <v>197</v>
      </c>
      <c r="H1030" t="s">
        <v>197</v>
      </c>
      <c r="I1030" t="s">
        <v>197</v>
      </c>
      <c r="J1030" t="s">
        <v>197</v>
      </c>
      <c r="K1030" t="s">
        <v>963</v>
      </c>
    </row>
    <row r="1031" spans="1:24">
      <c r="A1031" t="s">
        <v>1057</v>
      </c>
      <c r="K1031" t="s">
        <v>1058</v>
      </c>
      <c r="W1031" t="s">
        <v>171</v>
      </c>
      <c r="X1031" t="str">
        <f>A1031</f>
        <v>info_time_dml_batch2_pk_irp1</v>
      </c>
    </row>
    <row r="1032" spans="1:24">
      <c r="B1032" t="s">
        <v>196</v>
      </c>
      <c r="C1032" t="s">
        <v>197</v>
      </c>
      <c r="D1032" t="s">
        <v>197</v>
      </c>
      <c r="E1032" t="s">
        <v>197</v>
      </c>
      <c r="F1032" t="s">
        <v>197</v>
      </c>
      <c r="G1032" t="s">
        <v>197</v>
      </c>
      <c r="H1032" t="s">
        <v>197</v>
      </c>
      <c r="I1032" t="s">
        <v>1059</v>
      </c>
      <c r="J1032" t="s">
        <v>199</v>
      </c>
      <c r="K1032" t="s">
        <v>200</v>
      </c>
    </row>
    <row r="1033" spans="1:24">
      <c r="B1033" t="s">
        <v>197</v>
      </c>
      <c r="C1033" t="s">
        <v>197</v>
      </c>
      <c r="D1033" t="s">
        <v>197</v>
      </c>
      <c r="E1033" t="s">
        <v>197</v>
      </c>
      <c r="F1033" t="s">
        <v>197</v>
      </c>
      <c r="G1033" t="s">
        <v>197</v>
      </c>
      <c r="H1033" t="s">
        <v>197</v>
      </c>
      <c r="I1033" t="s">
        <v>197</v>
      </c>
      <c r="J1033" t="s">
        <v>197</v>
      </c>
      <c r="K1033" t="s">
        <v>800</v>
      </c>
    </row>
    <row r="1034" spans="1:24">
      <c r="B1034" t="s">
        <v>197</v>
      </c>
      <c r="C1034" t="s">
        <v>197</v>
      </c>
      <c r="D1034" t="s">
        <v>197</v>
      </c>
      <c r="E1034" t="s">
        <v>197</v>
      </c>
      <c r="F1034" t="s">
        <v>197</v>
      </c>
      <c r="G1034" t="s">
        <v>197</v>
      </c>
      <c r="H1034" t="s">
        <v>197</v>
      </c>
      <c r="I1034" t="s">
        <v>197</v>
      </c>
      <c r="J1034" t="s">
        <v>197</v>
      </c>
      <c r="K1034" t="s">
        <v>801</v>
      </c>
    </row>
    <row r="1035" spans="1:24">
      <c r="B1035" t="s">
        <v>197</v>
      </c>
      <c r="C1035" t="s">
        <v>197</v>
      </c>
      <c r="D1035" t="s">
        <v>197</v>
      </c>
      <c r="E1035" t="s">
        <v>197</v>
      </c>
      <c r="F1035" t="s">
        <v>197</v>
      </c>
      <c r="G1035" t="s">
        <v>197</v>
      </c>
      <c r="H1035" t="s">
        <v>197</v>
      </c>
      <c r="I1035" t="s">
        <v>197</v>
      </c>
      <c r="J1035" t="s">
        <v>197</v>
      </c>
      <c r="K1035" t="s">
        <v>802</v>
      </c>
    </row>
    <row r="1036" spans="1:24">
      <c r="B1036" t="s">
        <v>197</v>
      </c>
      <c r="C1036" t="s">
        <v>197</v>
      </c>
      <c r="D1036" t="s">
        <v>197</v>
      </c>
      <c r="E1036" t="s">
        <v>197</v>
      </c>
      <c r="F1036" t="s">
        <v>197</v>
      </c>
      <c r="G1036" t="s">
        <v>197</v>
      </c>
      <c r="H1036" t="s">
        <v>197</v>
      </c>
      <c r="I1036" t="s">
        <v>197</v>
      </c>
      <c r="J1036" t="s">
        <v>197</v>
      </c>
      <c r="K1036" t="s">
        <v>803</v>
      </c>
    </row>
    <row r="1037" spans="1:24">
      <c r="B1037" t="s">
        <v>197</v>
      </c>
      <c r="C1037" t="s">
        <v>197</v>
      </c>
      <c r="D1037" t="s">
        <v>197</v>
      </c>
      <c r="E1037" t="s">
        <v>197</v>
      </c>
      <c r="F1037" t="s">
        <v>197</v>
      </c>
      <c r="G1037" t="s">
        <v>197</v>
      </c>
      <c r="H1037" t="s">
        <v>197</v>
      </c>
      <c r="I1037" t="s">
        <v>197</v>
      </c>
      <c r="J1037" t="s">
        <v>197</v>
      </c>
      <c r="K1037" t="s">
        <v>804</v>
      </c>
    </row>
    <row r="1038" spans="1:24">
      <c r="B1038" t="s">
        <v>197</v>
      </c>
      <c r="C1038" t="s">
        <v>197</v>
      </c>
      <c r="D1038" t="s">
        <v>197</v>
      </c>
      <c r="E1038" t="s">
        <v>197</v>
      </c>
      <c r="F1038" t="s">
        <v>197</v>
      </c>
      <c r="G1038" t="s">
        <v>197</v>
      </c>
      <c r="H1038" t="s">
        <v>197</v>
      </c>
      <c r="I1038" t="s">
        <v>197</v>
      </c>
      <c r="J1038" t="s">
        <v>197</v>
      </c>
      <c r="K1038" t="s">
        <v>805</v>
      </c>
    </row>
    <row r="1039" spans="1:24">
      <c r="B1039" t="s">
        <v>197</v>
      </c>
      <c r="C1039" t="s">
        <v>197</v>
      </c>
      <c r="D1039" t="s">
        <v>197</v>
      </c>
      <c r="E1039" t="s">
        <v>197</v>
      </c>
      <c r="F1039" t="s">
        <v>197</v>
      </c>
      <c r="G1039" t="s">
        <v>197</v>
      </c>
      <c r="H1039" t="s">
        <v>197</v>
      </c>
      <c r="I1039" t="s">
        <v>197</v>
      </c>
      <c r="J1039" t="s">
        <v>197</v>
      </c>
      <c r="K1039" t="s">
        <v>806</v>
      </c>
    </row>
    <row r="1040" spans="1:24">
      <c r="B1040" t="s">
        <v>197</v>
      </c>
      <c r="C1040" t="s">
        <v>197</v>
      </c>
      <c r="D1040" t="s">
        <v>197</v>
      </c>
      <c r="E1040" t="s">
        <v>197</v>
      </c>
      <c r="F1040" t="s">
        <v>197</v>
      </c>
      <c r="G1040" t="s">
        <v>197</v>
      </c>
      <c r="H1040" t="s">
        <v>197</v>
      </c>
      <c r="I1040" t="s">
        <v>197</v>
      </c>
      <c r="J1040" t="s">
        <v>197</v>
      </c>
      <c r="K1040" t="s">
        <v>807</v>
      </c>
    </row>
    <row r="1041" spans="1:24">
      <c r="A1041" t="s">
        <v>1060</v>
      </c>
      <c r="K1041" t="s">
        <v>1061</v>
      </c>
      <c r="W1041" t="s">
        <v>171</v>
      </c>
      <c r="X1041" t="str">
        <f>A1041</f>
        <v>info_varchar_dml_batch2_pk_irp1</v>
      </c>
    </row>
    <row r="1042" spans="1:24">
      <c r="B1042" t="s">
        <v>196</v>
      </c>
      <c r="C1042" t="s">
        <v>197</v>
      </c>
      <c r="D1042" t="s">
        <v>197</v>
      </c>
      <c r="E1042" t="s">
        <v>197</v>
      </c>
      <c r="F1042" t="s">
        <v>197</v>
      </c>
      <c r="G1042" t="s">
        <v>197</v>
      </c>
      <c r="H1042" t="s">
        <v>197</v>
      </c>
      <c r="I1042" t="s">
        <v>1062</v>
      </c>
      <c r="J1042" t="s">
        <v>199</v>
      </c>
      <c r="K1042" t="s">
        <v>200</v>
      </c>
    </row>
    <row r="1043" spans="1:24">
      <c r="B1043" t="s">
        <v>197</v>
      </c>
      <c r="C1043" t="s">
        <v>197</v>
      </c>
      <c r="D1043" t="s">
        <v>197</v>
      </c>
      <c r="E1043" t="s">
        <v>197</v>
      </c>
      <c r="F1043" t="s">
        <v>197</v>
      </c>
      <c r="G1043" t="s">
        <v>197</v>
      </c>
      <c r="H1043" t="s">
        <v>197</v>
      </c>
      <c r="I1043" t="s">
        <v>197</v>
      </c>
      <c r="J1043" t="s">
        <v>197</v>
      </c>
      <c r="K1043" t="s">
        <v>431</v>
      </c>
    </row>
    <row r="1044" spans="1:24">
      <c r="B1044" t="s">
        <v>197</v>
      </c>
      <c r="C1044" t="s">
        <v>197</v>
      </c>
      <c r="D1044" t="s">
        <v>197</v>
      </c>
      <c r="E1044" t="s">
        <v>197</v>
      </c>
      <c r="F1044" t="s">
        <v>197</v>
      </c>
      <c r="G1044" t="s">
        <v>197</v>
      </c>
      <c r="H1044" t="s">
        <v>197</v>
      </c>
      <c r="I1044" t="s">
        <v>197</v>
      </c>
      <c r="J1044" t="s">
        <v>197</v>
      </c>
      <c r="K1044" t="s">
        <v>434</v>
      </c>
    </row>
    <row r="1045" spans="1:24">
      <c r="B1045" t="s">
        <v>197</v>
      </c>
      <c r="C1045" t="s">
        <v>197</v>
      </c>
      <c r="D1045" t="s">
        <v>197</v>
      </c>
      <c r="E1045" t="s">
        <v>197</v>
      </c>
      <c r="F1045" t="s">
        <v>197</v>
      </c>
      <c r="G1045" t="s">
        <v>197</v>
      </c>
      <c r="H1045" t="s">
        <v>197</v>
      </c>
      <c r="I1045" t="s">
        <v>197</v>
      </c>
      <c r="J1045" t="s">
        <v>197</v>
      </c>
      <c r="K1045" t="s">
        <v>963</v>
      </c>
    </row>
    <row r="1046" spans="1:24">
      <c r="K1046" t="s">
        <v>443</v>
      </c>
    </row>
    <row r="1047" spans="1:24">
      <c r="A1047" t="s">
        <v>1063</v>
      </c>
      <c r="K1047" t="s">
        <v>1064</v>
      </c>
      <c r="W1047" s="1" t="str">
        <f>HYPERLINK("#2026042000hbase1!BD2","NO 源备存在差异，共44个")</f>
        <v>NO 源备存在差异，共44个</v>
      </c>
      <c r="X1047" t="str">
        <f>A1047</f>
        <v>info_varbinary_dml_batch1_pk_irp2</v>
      </c>
    </row>
    <row r="1048" spans="1:24">
      <c r="B1048" t="s">
        <v>196</v>
      </c>
      <c r="C1048" t="s">
        <v>197</v>
      </c>
      <c r="D1048" t="s">
        <v>197</v>
      </c>
      <c r="E1048" t="s">
        <v>197</v>
      </c>
      <c r="F1048" t="s">
        <v>197</v>
      </c>
      <c r="G1048" t="s">
        <v>197</v>
      </c>
      <c r="H1048" t="s">
        <v>197</v>
      </c>
      <c r="I1048" t="s">
        <v>1065</v>
      </c>
      <c r="J1048" t="s">
        <v>199</v>
      </c>
      <c r="K1048" t="s">
        <v>200</v>
      </c>
    </row>
    <row r="1049" spans="1:24">
      <c r="B1049" t="s">
        <v>197</v>
      </c>
      <c r="C1049" t="s">
        <v>197</v>
      </c>
      <c r="D1049" t="s">
        <v>197</v>
      </c>
      <c r="E1049" t="s">
        <v>197</v>
      </c>
      <c r="F1049" t="s">
        <v>197</v>
      </c>
      <c r="G1049" t="s">
        <v>197</v>
      </c>
      <c r="H1049" t="s">
        <v>197</v>
      </c>
      <c r="I1049" t="s">
        <v>197</v>
      </c>
      <c r="J1049" t="s">
        <v>197</v>
      </c>
      <c r="K1049" t="s">
        <v>495</v>
      </c>
    </row>
    <row r="1050" spans="1:24">
      <c r="B1050" t="s">
        <v>197</v>
      </c>
      <c r="C1050" t="s">
        <v>197</v>
      </c>
      <c r="D1050" t="s">
        <v>197</v>
      </c>
      <c r="E1050" t="s">
        <v>197</v>
      </c>
      <c r="F1050" t="s">
        <v>197</v>
      </c>
      <c r="G1050" t="s">
        <v>197</v>
      </c>
      <c r="H1050" t="s">
        <v>197</v>
      </c>
      <c r="I1050" t="s">
        <v>197</v>
      </c>
      <c r="J1050" t="s">
        <v>197</v>
      </c>
      <c r="K1050" t="s">
        <v>499</v>
      </c>
    </row>
    <row r="1051" spans="1:24">
      <c r="B1051" t="s">
        <v>197</v>
      </c>
      <c r="C1051" t="s">
        <v>197</v>
      </c>
      <c r="D1051" t="s">
        <v>197</v>
      </c>
      <c r="E1051" t="s">
        <v>197</v>
      </c>
      <c r="F1051" t="s">
        <v>197</v>
      </c>
      <c r="G1051" t="s">
        <v>197</v>
      </c>
      <c r="H1051" t="s">
        <v>197</v>
      </c>
      <c r="I1051" t="s">
        <v>197</v>
      </c>
      <c r="J1051" t="s">
        <v>197</v>
      </c>
      <c r="K1051" t="s">
        <v>503</v>
      </c>
    </row>
    <row r="1052" spans="1:24">
      <c r="A1052" t="s">
        <v>1066</v>
      </c>
      <c r="K1052" t="s">
        <v>1067</v>
      </c>
      <c r="W1052" s="1" t="str">
        <f>HYPERLINK("#2026042000hbase1!BE2","NO 源备存在差异，共4个")</f>
        <v>NO 源备存在差异，共4个</v>
      </c>
      <c r="X1052" t="str">
        <f>A1052</f>
        <v>info_sql_variant_dml_single_pk_urp</v>
      </c>
    </row>
    <row r="1053" spans="1:24">
      <c r="B1053" t="s">
        <v>196</v>
      </c>
      <c r="C1053" t="s">
        <v>197</v>
      </c>
      <c r="D1053" t="s">
        <v>197</v>
      </c>
      <c r="E1053" t="s">
        <v>197</v>
      </c>
      <c r="F1053" t="s">
        <v>197</v>
      </c>
      <c r="G1053" t="s">
        <v>197</v>
      </c>
      <c r="H1053" t="s">
        <v>197</v>
      </c>
      <c r="I1053" t="s">
        <v>1068</v>
      </c>
      <c r="J1053" t="s">
        <v>199</v>
      </c>
      <c r="K1053" t="s">
        <v>200</v>
      </c>
    </row>
    <row r="1054" spans="1:24">
      <c r="B1054" t="s">
        <v>197</v>
      </c>
      <c r="C1054" t="s">
        <v>197</v>
      </c>
      <c r="D1054" t="s">
        <v>197</v>
      </c>
      <c r="E1054" t="s">
        <v>197</v>
      </c>
      <c r="F1054" t="s">
        <v>197</v>
      </c>
      <c r="G1054" t="s">
        <v>197</v>
      </c>
      <c r="H1054" t="s">
        <v>197</v>
      </c>
      <c r="I1054" t="s">
        <v>197</v>
      </c>
      <c r="J1054" t="s">
        <v>197</v>
      </c>
      <c r="K1054" t="s">
        <v>1006</v>
      </c>
    </row>
    <row r="1055" spans="1:24">
      <c r="B1055" t="s">
        <v>197</v>
      </c>
      <c r="C1055" t="s">
        <v>197</v>
      </c>
      <c r="D1055" t="s">
        <v>197</v>
      </c>
      <c r="E1055" t="s">
        <v>197</v>
      </c>
      <c r="F1055" t="s">
        <v>197</v>
      </c>
      <c r="G1055" t="s">
        <v>197</v>
      </c>
      <c r="H1055" t="s">
        <v>197</v>
      </c>
      <c r="I1055" t="s">
        <v>197</v>
      </c>
      <c r="J1055" t="s">
        <v>197</v>
      </c>
      <c r="K1055" t="s">
        <v>1007</v>
      </c>
    </row>
    <row r="1056" spans="1:24">
      <c r="B1056" t="s">
        <v>197</v>
      </c>
      <c r="C1056" t="s">
        <v>197</v>
      </c>
      <c r="D1056" t="s">
        <v>197</v>
      </c>
      <c r="E1056" t="s">
        <v>197</v>
      </c>
      <c r="F1056" t="s">
        <v>197</v>
      </c>
      <c r="G1056" t="s">
        <v>197</v>
      </c>
      <c r="H1056" t="s">
        <v>197</v>
      </c>
      <c r="I1056" t="s">
        <v>197</v>
      </c>
      <c r="J1056" t="s">
        <v>197</v>
      </c>
      <c r="K1056" t="s">
        <v>1008</v>
      </c>
    </row>
    <row r="1057" spans="2:11">
      <c r="B1057" t="s">
        <v>197</v>
      </c>
      <c r="C1057" t="s">
        <v>197</v>
      </c>
      <c r="D1057" t="s">
        <v>197</v>
      </c>
      <c r="E1057" t="s">
        <v>197</v>
      </c>
      <c r="F1057" t="s">
        <v>197</v>
      </c>
      <c r="G1057" t="s">
        <v>197</v>
      </c>
      <c r="H1057" t="s">
        <v>197</v>
      </c>
      <c r="I1057" t="s">
        <v>197</v>
      </c>
      <c r="J1057" t="s">
        <v>197</v>
      </c>
      <c r="K1057" t="s">
        <v>1009</v>
      </c>
    </row>
    <row r="1058" spans="2:11">
      <c r="B1058" t="s">
        <v>197</v>
      </c>
      <c r="C1058" t="s">
        <v>197</v>
      </c>
      <c r="D1058" t="s">
        <v>197</v>
      </c>
      <c r="E1058" t="s">
        <v>197</v>
      </c>
      <c r="F1058" t="s">
        <v>197</v>
      </c>
      <c r="G1058" t="s">
        <v>197</v>
      </c>
      <c r="H1058" t="s">
        <v>197</v>
      </c>
      <c r="I1058" t="s">
        <v>197</v>
      </c>
      <c r="J1058" t="s">
        <v>197</v>
      </c>
      <c r="K1058" t="s">
        <v>1010</v>
      </c>
    </row>
    <row r="1059" spans="2:11">
      <c r="B1059" t="s">
        <v>197</v>
      </c>
      <c r="C1059" t="s">
        <v>197</v>
      </c>
      <c r="D1059" t="s">
        <v>197</v>
      </c>
      <c r="E1059" t="s">
        <v>197</v>
      </c>
      <c r="F1059" t="s">
        <v>197</v>
      </c>
      <c r="G1059" t="s">
        <v>197</v>
      </c>
      <c r="H1059" t="s">
        <v>197</v>
      </c>
      <c r="I1059" t="s">
        <v>197</v>
      </c>
      <c r="J1059" t="s">
        <v>197</v>
      </c>
      <c r="K1059" t="s">
        <v>1011</v>
      </c>
    </row>
    <row r="1060" spans="2:11">
      <c r="B1060" t="s">
        <v>197</v>
      </c>
      <c r="C1060" t="s">
        <v>197</v>
      </c>
      <c r="D1060" t="s">
        <v>197</v>
      </c>
      <c r="E1060" t="s">
        <v>197</v>
      </c>
      <c r="F1060" t="s">
        <v>197</v>
      </c>
      <c r="G1060" t="s">
        <v>197</v>
      </c>
      <c r="H1060" t="s">
        <v>197</v>
      </c>
      <c r="I1060" t="s">
        <v>197</v>
      </c>
      <c r="J1060" t="s">
        <v>197</v>
      </c>
      <c r="K1060" t="s">
        <v>1012</v>
      </c>
    </row>
    <row r="1061" spans="2:11">
      <c r="B1061" t="s">
        <v>197</v>
      </c>
      <c r="C1061" t="s">
        <v>197</v>
      </c>
      <c r="D1061" t="s">
        <v>197</v>
      </c>
      <c r="E1061" t="s">
        <v>197</v>
      </c>
      <c r="F1061" t="s">
        <v>197</v>
      </c>
      <c r="G1061" t="s">
        <v>197</v>
      </c>
      <c r="H1061" t="s">
        <v>197</v>
      </c>
      <c r="I1061" t="s">
        <v>197</v>
      </c>
      <c r="J1061" t="s">
        <v>197</v>
      </c>
      <c r="K1061" t="s">
        <v>1013</v>
      </c>
    </row>
    <row r="1062" spans="2:11">
      <c r="B1062" t="s">
        <v>197</v>
      </c>
      <c r="C1062" t="s">
        <v>197</v>
      </c>
      <c r="D1062" t="s">
        <v>197</v>
      </c>
      <c r="E1062" t="s">
        <v>197</v>
      </c>
      <c r="F1062" t="s">
        <v>197</v>
      </c>
      <c r="G1062" t="s">
        <v>197</v>
      </c>
      <c r="H1062" t="s">
        <v>197</v>
      </c>
      <c r="I1062" t="s">
        <v>197</v>
      </c>
      <c r="J1062" t="s">
        <v>197</v>
      </c>
      <c r="K1062" t="s">
        <v>1014</v>
      </c>
    </row>
    <row r="1063" spans="2:11">
      <c r="B1063" t="s">
        <v>197</v>
      </c>
      <c r="C1063" t="s">
        <v>197</v>
      </c>
      <c r="D1063" t="s">
        <v>197</v>
      </c>
      <c r="E1063" t="s">
        <v>197</v>
      </c>
      <c r="F1063" t="s">
        <v>197</v>
      </c>
      <c r="G1063" t="s">
        <v>197</v>
      </c>
      <c r="H1063" t="s">
        <v>197</v>
      </c>
      <c r="I1063" t="s">
        <v>197</v>
      </c>
      <c r="J1063" t="s">
        <v>197</v>
      </c>
      <c r="K1063" t="s">
        <v>1015</v>
      </c>
    </row>
    <row r="1064" spans="2:11">
      <c r="B1064" t="s">
        <v>197</v>
      </c>
      <c r="C1064" t="s">
        <v>197</v>
      </c>
      <c r="D1064" t="s">
        <v>197</v>
      </c>
      <c r="E1064" t="s">
        <v>197</v>
      </c>
      <c r="F1064" t="s">
        <v>197</v>
      </c>
      <c r="G1064" t="s">
        <v>197</v>
      </c>
      <c r="H1064" t="s">
        <v>197</v>
      </c>
      <c r="I1064" t="s">
        <v>197</v>
      </c>
      <c r="J1064" t="s">
        <v>197</v>
      </c>
      <c r="K1064" t="s">
        <v>1016</v>
      </c>
    </row>
    <row r="1065" spans="2:11">
      <c r="B1065" t="s">
        <v>197</v>
      </c>
      <c r="C1065" t="s">
        <v>197</v>
      </c>
      <c r="D1065" t="s">
        <v>197</v>
      </c>
      <c r="E1065" t="s">
        <v>197</v>
      </c>
      <c r="F1065" t="s">
        <v>197</v>
      </c>
      <c r="G1065" t="s">
        <v>197</v>
      </c>
      <c r="H1065" t="s">
        <v>197</v>
      </c>
      <c r="I1065" t="s">
        <v>197</v>
      </c>
      <c r="J1065" t="s">
        <v>197</v>
      </c>
      <c r="K1065" t="s">
        <v>1017</v>
      </c>
    </row>
    <row r="1066" spans="2:11">
      <c r="B1066" t="s">
        <v>197</v>
      </c>
      <c r="C1066" t="s">
        <v>197</v>
      </c>
      <c r="D1066" t="s">
        <v>197</v>
      </c>
      <c r="E1066" t="s">
        <v>197</v>
      </c>
      <c r="F1066" t="s">
        <v>197</v>
      </c>
      <c r="G1066" t="s">
        <v>197</v>
      </c>
      <c r="H1066" t="s">
        <v>197</v>
      </c>
      <c r="I1066" t="s">
        <v>197</v>
      </c>
      <c r="J1066" t="s">
        <v>197</v>
      </c>
      <c r="K1066" t="s">
        <v>1018</v>
      </c>
    </row>
    <row r="1067" spans="2:11">
      <c r="B1067" t="s">
        <v>197</v>
      </c>
      <c r="C1067" t="s">
        <v>197</v>
      </c>
      <c r="D1067" t="s">
        <v>197</v>
      </c>
      <c r="E1067" t="s">
        <v>197</v>
      </c>
      <c r="F1067" t="s">
        <v>197</v>
      </c>
      <c r="G1067" t="s">
        <v>197</v>
      </c>
      <c r="H1067" t="s">
        <v>197</v>
      </c>
      <c r="I1067" t="s">
        <v>197</v>
      </c>
      <c r="J1067" t="s">
        <v>197</v>
      </c>
      <c r="K1067" t="s">
        <v>1019</v>
      </c>
    </row>
    <row r="1068" spans="2:11">
      <c r="B1068" t="s">
        <v>197</v>
      </c>
      <c r="C1068" t="s">
        <v>197</v>
      </c>
      <c r="D1068" t="s">
        <v>197</v>
      </c>
      <c r="E1068" t="s">
        <v>197</v>
      </c>
      <c r="F1068" t="s">
        <v>197</v>
      </c>
      <c r="G1068" t="s">
        <v>197</v>
      </c>
      <c r="H1068" t="s">
        <v>197</v>
      </c>
      <c r="I1068" t="s">
        <v>197</v>
      </c>
      <c r="J1068" t="s">
        <v>197</v>
      </c>
      <c r="K1068" t="s">
        <v>1020</v>
      </c>
    </row>
    <row r="1069" spans="2:11">
      <c r="B1069" t="s">
        <v>197</v>
      </c>
      <c r="C1069" t="s">
        <v>197</v>
      </c>
      <c r="D1069" t="s">
        <v>197</v>
      </c>
      <c r="E1069" t="s">
        <v>197</v>
      </c>
      <c r="F1069" t="s">
        <v>197</v>
      </c>
      <c r="G1069" t="s">
        <v>197</v>
      </c>
      <c r="H1069" t="s">
        <v>197</v>
      </c>
      <c r="I1069" t="s">
        <v>197</v>
      </c>
      <c r="J1069" t="s">
        <v>197</v>
      </c>
      <c r="K1069" t="s">
        <v>1021</v>
      </c>
    </row>
    <row r="1070" spans="2:11">
      <c r="B1070" t="s">
        <v>197</v>
      </c>
      <c r="C1070" t="s">
        <v>197</v>
      </c>
      <c r="D1070" t="s">
        <v>197</v>
      </c>
      <c r="E1070" t="s">
        <v>197</v>
      </c>
      <c r="F1070" t="s">
        <v>197</v>
      </c>
      <c r="G1070" t="s">
        <v>197</v>
      </c>
      <c r="H1070" t="s">
        <v>197</v>
      </c>
      <c r="I1070" t="s">
        <v>197</v>
      </c>
      <c r="J1070" t="s">
        <v>197</v>
      </c>
      <c r="K1070" t="s">
        <v>1022</v>
      </c>
    </row>
    <row r="1071" spans="2:11">
      <c r="B1071" t="s">
        <v>197</v>
      </c>
      <c r="C1071" t="s">
        <v>197</v>
      </c>
      <c r="D1071" t="s">
        <v>197</v>
      </c>
      <c r="E1071" t="s">
        <v>197</v>
      </c>
      <c r="F1071" t="s">
        <v>197</v>
      </c>
      <c r="G1071" t="s">
        <v>197</v>
      </c>
      <c r="H1071" t="s">
        <v>197</v>
      </c>
      <c r="I1071" t="s">
        <v>197</v>
      </c>
      <c r="J1071" t="s">
        <v>197</v>
      </c>
      <c r="K1071" t="s">
        <v>1023</v>
      </c>
    </row>
    <row r="1072" spans="2:11">
      <c r="B1072" t="s">
        <v>197</v>
      </c>
      <c r="C1072" t="s">
        <v>197</v>
      </c>
      <c r="D1072" t="s">
        <v>197</v>
      </c>
      <c r="E1072" t="s">
        <v>197</v>
      </c>
      <c r="F1072" t="s">
        <v>197</v>
      </c>
      <c r="G1072" t="s">
        <v>197</v>
      </c>
      <c r="H1072" t="s">
        <v>197</v>
      </c>
      <c r="I1072" t="s">
        <v>197</v>
      </c>
      <c r="J1072" t="s">
        <v>197</v>
      </c>
      <c r="K1072" t="s">
        <v>1024</v>
      </c>
    </row>
    <row r="1073" spans="1:24">
      <c r="B1073" t="s">
        <v>197</v>
      </c>
      <c r="C1073" t="s">
        <v>197</v>
      </c>
      <c r="D1073" t="s">
        <v>197</v>
      </c>
      <c r="E1073" t="s">
        <v>197</v>
      </c>
      <c r="F1073" t="s">
        <v>197</v>
      </c>
      <c r="G1073" t="s">
        <v>197</v>
      </c>
      <c r="H1073" t="s">
        <v>197</v>
      </c>
      <c r="I1073" t="s">
        <v>197</v>
      </c>
      <c r="J1073" t="s">
        <v>197</v>
      </c>
      <c r="K1073" t="s">
        <v>1025</v>
      </c>
    </row>
    <row r="1074" spans="1:24">
      <c r="B1074" t="s">
        <v>197</v>
      </c>
      <c r="C1074" t="s">
        <v>197</v>
      </c>
      <c r="D1074" t="s">
        <v>197</v>
      </c>
      <c r="E1074" t="s">
        <v>197</v>
      </c>
      <c r="F1074" t="s">
        <v>197</v>
      </c>
      <c r="G1074" t="s">
        <v>197</v>
      </c>
      <c r="H1074" t="s">
        <v>197</v>
      </c>
      <c r="I1074" t="s">
        <v>197</v>
      </c>
      <c r="J1074" t="s">
        <v>197</v>
      </c>
      <c r="K1074" t="s">
        <v>1026</v>
      </c>
    </row>
    <row r="1075" spans="1:24">
      <c r="B1075" t="s">
        <v>197</v>
      </c>
      <c r="C1075" t="s">
        <v>197</v>
      </c>
      <c r="D1075" t="s">
        <v>197</v>
      </c>
      <c r="E1075" t="s">
        <v>197</v>
      </c>
      <c r="F1075" t="s">
        <v>197</v>
      </c>
      <c r="G1075" t="s">
        <v>197</v>
      </c>
      <c r="H1075" t="s">
        <v>197</v>
      </c>
      <c r="I1075" t="s">
        <v>197</v>
      </c>
      <c r="J1075" t="s">
        <v>197</v>
      </c>
      <c r="K1075" t="s">
        <v>1027</v>
      </c>
    </row>
    <row r="1076" spans="1:24">
      <c r="B1076" t="s">
        <v>197</v>
      </c>
      <c r="C1076" t="s">
        <v>197</v>
      </c>
      <c r="D1076" t="s">
        <v>197</v>
      </c>
      <c r="E1076" t="s">
        <v>197</v>
      </c>
      <c r="F1076" t="s">
        <v>197</v>
      </c>
      <c r="G1076" t="s">
        <v>197</v>
      </c>
      <c r="H1076" t="s">
        <v>197</v>
      </c>
      <c r="I1076" t="s">
        <v>197</v>
      </c>
      <c r="J1076" t="s">
        <v>197</v>
      </c>
      <c r="K1076" t="s">
        <v>1028</v>
      </c>
    </row>
    <row r="1077" spans="1:24">
      <c r="B1077" t="s">
        <v>197</v>
      </c>
      <c r="C1077" t="s">
        <v>197</v>
      </c>
      <c r="D1077" t="s">
        <v>197</v>
      </c>
      <c r="E1077" t="s">
        <v>197</v>
      </c>
      <c r="F1077" t="s">
        <v>197</v>
      </c>
      <c r="G1077" t="s">
        <v>197</v>
      </c>
      <c r="H1077" t="s">
        <v>197</v>
      </c>
      <c r="I1077" t="s">
        <v>197</v>
      </c>
      <c r="J1077" t="s">
        <v>197</v>
      </c>
      <c r="K1077" t="s">
        <v>1029</v>
      </c>
    </row>
    <row r="1078" spans="1:24">
      <c r="A1078" t="s">
        <v>1069</v>
      </c>
      <c r="K1078" t="s">
        <v>1070</v>
      </c>
      <c r="W1078" t="s">
        <v>171</v>
      </c>
      <c r="X1078" t="str">
        <f>A1078</f>
        <v>info_varchar_dml_batch2_pk_irp2</v>
      </c>
    </row>
    <row r="1079" spans="1:24">
      <c r="B1079" t="s">
        <v>196</v>
      </c>
      <c r="C1079" t="s">
        <v>197</v>
      </c>
      <c r="D1079" t="s">
        <v>197</v>
      </c>
      <c r="E1079" t="s">
        <v>197</v>
      </c>
      <c r="F1079" t="s">
        <v>197</v>
      </c>
      <c r="G1079" t="s">
        <v>197</v>
      </c>
      <c r="H1079" t="s">
        <v>197</v>
      </c>
      <c r="I1079" t="s">
        <v>1071</v>
      </c>
      <c r="J1079" t="s">
        <v>199</v>
      </c>
      <c r="K1079" t="s">
        <v>200</v>
      </c>
    </row>
    <row r="1080" spans="1:24">
      <c r="B1080" t="s">
        <v>197</v>
      </c>
      <c r="C1080" t="s">
        <v>197</v>
      </c>
      <c r="D1080" t="s">
        <v>197</v>
      </c>
      <c r="E1080" t="s">
        <v>197</v>
      </c>
      <c r="F1080" t="s">
        <v>197</v>
      </c>
      <c r="G1080" t="s">
        <v>197</v>
      </c>
      <c r="H1080" t="s">
        <v>197</v>
      </c>
      <c r="I1080" t="s">
        <v>197</v>
      </c>
      <c r="J1080" t="s">
        <v>197</v>
      </c>
      <c r="K1080" t="s">
        <v>431</v>
      </c>
    </row>
    <row r="1081" spans="1:24">
      <c r="B1081" t="s">
        <v>197</v>
      </c>
      <c r="C1081" t="s">
        <v>197</v>
      </c>
      <c r="D1081" t="s">
        <v>197</v>
      </c>
      <c r="E1081" t="s">
        <v>197</v>
      </c>
      <c r="F1081" t="s">
        <v>197</v>
      </c>
      <c r="G1081" t="s">
        <v>197</v>
      </c>
      <c r="H1081" t="s">
        <v>197</v>
      </c>
      <c r="I1081" t="s">
        <v>197</v>
      </c>
      <c r="J1081" t="s">
        <v>197</v>
      </c>
      <c r="K1081" t="s">
        <v>434</v>
      </c>
    </row>
    <row r="1082" spans="1:24">
      <c r="B1082" t="s">
        <v>197</v>
      </c>
      <c r="C1082" t="s">
        <v>197</v>
      </c>
      <c r="D1082" t="s">
        <v>197</v>
      </c>
      <c r="E1082" t="s">
        <v>197</v>
      </c>
      <c r="F1082" t="s">
        <v>197</v>
      </c>
      <c r="G1082" t="s">
        <v>197</v>
      </c>
      <c r="H1082" t="s">
        <v>197</v>
      </c>
      <c r="I1082" t="s">
        <v>197</v>
      </c>
      <c r="J1082" t="s">
        <v>197</v>
      </c>
      <c r="K1082" t="s">
        <v>963</v>
      </c>
    </row>
    <row r="1083" spans="1:24">
      <c r="K1083" t="s">
        <v>443</v>
      </c>
    </row>
    <row r="1084" spans="1:24">
      <c r="A1084" t="s">
        <v>1072</v>
      </c>
      <c r="K1084" t="s">
        <v>1073</v>
      </c>
      <c r="W1084" s="1" t="str">
        <f>HYPERLINK("#2026042000hbase1!BF2","NO 源备存在差异，共2个")</f>
        <v>NO 源备存在差异，共2个</v>
      </c>
      <c r="X1084" t="str">
        <f>A1084</f>
        <v>info_sql_variant_dml_single_pk_drp</v>
      </c>
    </row>
    <row r="1085" spans="1:24">
      <c r="B1085" t="s">
        <v>196</v>
      </c>
      <c r="C1085" t="s">
        <v>197</v>
      </c>
      <c r="D1085" t="s">
        <v>197</v>
      </c>
      <c r="E1085" t="s">
        <v>197</v>
      </c>
      <c r="F1085" t="s">
        <v>197</v>
      </c>
      <c r="G1085" t="s">
        <v>197</v>
      </c>
      <c r="H1085" t="s">
        <v>197</v>
      </c>
      <c r="I1085" t="s">
        <v>1074</v>
      </c>
      <c r="J1085" t="s">
        <v>199</v>
      </c>
      <c r="K1085" t="s">
        <v>200</v>
      </c>
    </row>
    <row r="1086" spans="1:24">
      <c r="B1086" t="s">
        <v>197</v>
      </c>
      <c r="C1086" t="s">
        <v>197</v>
      </c>
      <c r="D1086" t="s">
        <v>197</v>
      </c>
      <c r="E1086" t="s">
        <v>197</v>
      </c>
      <c r="F1086" t="s">
        <v>197</v>
      </c>
      <c r="G1086" t="s">
        <v>197</v>
      </c>
      <c r="H1086" t="s">
        <v>197</v>
      </c>
      <c r="I1086" t="s">
        <v>197</v>
      </c>
      <c r="J1086" t="s">
        <v>197</v>
      </c>
      <c r="K1086" t="s">
        <v>1006</v>
      </c>
    </row>
    <row r="1087" spans="1:24">
      <c r="B1087" t="s">
        <v>197</v>
      </c>
      <c r="C1087" t="s">
        <v>197</v>
      </c>
      <c r="D1087" t="s">
        <v>197</v>
      </c>
      <c r="E1087" t="s">
        <v>197</v>
      </c>
      <c r="F1087" t="s">
        <v>197</v>
      </c>
      <c r="G1087" t="s">
        <v>197</v>
      </c>
      <c r="H1087" t="s">
        <v>197</v>
      </c>
      <c r="I1087" t="s">
        <v>197</v>
      </c>
      <c r="J1087" t="s">
        <v>197</v>
      </c>
      <c r="K1087" t="s">
        <v>1007</v>
      </c>
    </row>
    <row r="1088" spans="1:24">
      <c r="B1088" t="s">
        <v>197</v>
      </c>
      <c r="C1088" t="s">
        <v>197</v>
      </c>
      <c r="D1088" t="s">
        <v>197</v>
      </c>
      <c r="E1088" t="s">
        <v>197</v>
      </c>
      <c r="F1088" t="s">
        <v>197</v>
      </c>
      <c r="G1088" t="s">
        <v>197</v>
      </c>
      <c r="H1088" t="s">
        <v>197</v>
      </c>
      <c r="I1088" t="s">
        <v>197</v>
      </c>
      <c r="J1088" t="s">
        <v>197</v>
      </c>
      <c r="K1088" t="s">
        <v>1008</v>
      </c>
    </row>
    <row r="1089" spans="2:11">
      <c r="B1089" t="s">
        <v>197</v>
      </c>
      <c r="C1089" t="s">
        <v>197</v>
      </c>
      <c r="D1089" t="s">
        <v>197</v>
      </c>
      <c r="E1089" t="s">
        <v>197</v>
      </c>
      <c r="F1089" t="s">
        <v>197</v>
      </c>
      <c r="G1089" t="s">
        <v>197</v>
      </c>
      <c r="H1089" t="s">
        <v>197</v>
      </c>
      <c r="I1089" t="s">
        <v>197</v>
      </c>
      <c r="J1089" t="s">
        <v>197</v>
      </c>
      <c r="K1089" t="s">
        <v>1009</v>
      </c>
    </row>
    <row r="1090" spans="2:11">
      <c r="B1090" t="s">
        <v>197</v>
      </c>
      <c r="C1090" t="s">
        <v>197</v>
      </c>
      <c r="D1090" t="s">
        <v>197</v>
      </c>
      <c r="E1090" t="s">
        <v>197</v>
      </c>
      <c r="F1090" t="s">
        <v>197</v>
      </c>
      <c r="G1090" t="s">
        <v>197</v>
      </c>
      <c r="H1090" t="s">
        <v>197</v>
      </c>
      <c r="I1090" t="s">
        <v>197</v>
      </c>
      <c r="J1090" t="s">
        <v>197</v>
      </c>
      <c r="K1090" t="s">
        <v>1010</v>
      </c>
    </row>
    <row r="1091" spans="2:11">
      <c r="B1091" t="s">
        <v>197</v>
      </c>
      <c r="C1091" t="s">
        <v>197</v>
      </c>
      <c r="D1091" t="s">
        <v>197</v>
      </c>
      <c r="E1091" t="s">
        <v>197</v>
      </c>
      <c r="F1091" t="s">
        <v>197</v>
      </c>
      <c r="G1091" t="s">
        <v>197</v>
      </c>
      <c r="H1091" t="s">
        <v>197</v>
      </c>
      <c r="I1091" t="s">
        <v>197</v>
      </c>
      <c r="J1091" t="s">
        <v>197</v>
      </c>
      <c r="K1091" t="s">
        <v>1011</v>
      </c>
    </row>
    <row r="1092" spans="2:11">
      <c r="B1092" t="s">
        <v>197</v>
      </c>
      <c r="C1092" t="s">
        <v>197</v>
      </c>
      <c r="D1092" t="s">
        <v>197</v>
      </c>
      <c r="E1092" t="s">
        <v>197</v>
      </c>
      <c r="F1092" t="s">
        <v>197</v>
      </c>
      <c r="G1092" t="s">
        <v>197</v>
      </c>
      <c r="H1092" t="s">
        <v>197</v>
      </c>
      <c r="I1092" t="s">
        <v>197</v>
      </c>
      <c r="J1092" t="s">
        <v>197</v>
      </c>
      <c r="K1092" t="s">
        <v>1012</v>
      </c>
    </row>
    <row r="1093" spans="2:11">
      <c r="B1093" t="s">
        <v>197</v>
      </c>
      <c r="C1093" t="s">
        <v>197</v>
      </c>
      <c r="D1093" t="s">
        <v>197</v>
      </c>
      <c r="E1093" t="s">
        <v>197</v>
      </c>
      <c r="F1093" t="s">
        <v>197</v>
      </c>
      <c r="G1093" t="s">
        <v>197</v>
      </c>
      <c r="H1093" t="s">
        <v>197</v>
      </c>
      <c r="I1093" t="s">
        <v>197</v>
      </c>
      <c r="J1093" t="s">
        <v>197</v>
      </c>
      <c r="K1093" t="s">
        <v>1013</v>
      </c>
    </row>
    <row r="1094" spans="2:11">
      <c r="B1094" t="s">
        <v>197</v>
      </c>
      <c r="C1094" t="s">
        <v>197</v>
      </c>
      <c r="D1094" t="s">
        <v>197</v>
      </c>
      <c r="E1094" t="s">
        <v>197</v>
      </c>
      <c r="F1094" t="s">
        <v>197</v>
      </c>
      <c r="G1094" t="s">
        <v>197</v>
      </c>
      <c r="H1094" t="s">
        <v>197</v>
      </c>
      <c r="I1094" t="s">
        <v>197</v>
      </c>
      <c r="J1094" t="s">
        <v>197</v>
      </c>
      <c r="K1094" t="s">
        <v>1014</v>
      </c>
    </row>
    <row r="1095" spans="2:11">
      <c r="B1095" t="s">
        <v>197</v>
      </c>
      <c r="C1095" t="s">
        <v>197</v>
      </c>
      <c r="D1095" t="s">
        <v>197</v>
      </c>
      <c r="E1095" t="s">
        <v>197</v>
      </c>
      <c r="F1095" t="s">
        <v>197</v>
      </c>
      <c r="G1095" t="s">
        <v>197</v>
      </c>
      <c r="H1095" t="s">
        <v>197</v>
      </c>
      <c r="I1095" t="s">
        <v>197</v>
      </c>
      <c r="J1095" t="s">
        <v>197</v>
      </c>
      <c r="K1095" t="s">
        <v>1015</v>
      </c>
    </row>
    <row r="1096" spans="2:11">
      <c r="B1096" t="s">
        <v>197</v>
      </c>
      <c r="C1096" t="s">
        <v>197</v>
      </c>
      <c r="D1096" t="s">
        <v>197</v>
      </c>
      <c r="E1096" t="s">
        <v>197</v>
      </c>
      <c r="F1096" t="s">
        <v>197</v>
      </c>
      <c r="G1096" t="s">
        <v>197</v>
      </c>
      <c r="H1096" t="s">
        <v>197</v>
      </c>
      <c r="I1096" t="s">
        <v>197</v>
      </c>
      <c r="J1096" t="s">
        <v>197</v>
      </c>
      <c r="K1096" t="s">
        <v>1016</v>
      </c>
    </row>
    <row r="1097" spans="2:11">
      <c r="B1097" t="s">
        <v>197</v>
      </c>
      <c r="C1097" t="s">
        <v>197</v>
      </c>
      <c r="D1097" t="s">
        <v>197</v>
      </c>
      <c r="E1097" t="s">
        <v>197</v>
      </c>
      <c r="F1097" t="s">
        <v>197</v>
      </c>
      <c r="G1097" t="s">
        <v>197</v>
      </c>
      <c r="H1097" t="s">
        <v>197</v>
      </c>
      <c r="I1097" t="s">
        <v>197</v>
      </c>
      <c r="J1097" t="s">
        <v>197</v>
      </c>
      <c r="K1097" t="s">
        <v>1017</v>
      </c>
    </row>
    <row r="1098" spans="2:11">
      <c r="B1098" t="s">
        <v>197</v>
      </c>
      <c r="C1098" t="s">
        <v>197</v>
      </c>
      <c r="D1098" t="s">
        <v>197</v>
      </c>
      <c r="E1098" t="s">
        <v>197</v>
      </c>
      <c r="F1098" t="s">
        <v>197</v>
      </c>
      <c r="G1098" t="s">
        <v>197</v>
      </c>
      <c r="H1098" t="s">
        <v>197</v>
      </c>
      <c r="I1098" t="s">
        <v>197</v>
      </c>
      <c r="J1098" t="s">
        <v>197</v>
      </c>
      <c r="K1098" t="s">
        <v>1018</v>
      </c>
    </row>
    <row r="1099" spans="2:11">
      <c r="B1099" t="s">
        <v>197</v>
      </c>
      <c r="C1099" t="s">
        <v>197</v>
      </c>
      <c r="D1099" t="s">
        <v>197</v>
      </c>
      <c r="E1099" t="s">
        <v>197</v>
      </c>
      <c r="F1099" t="s">
        <v>197</v>
      </c>
      <c r="G1099" t="s">
        <v>197</v>
      </c>
      <c r="H1099" t="s">
        <v>197</v>
      </c>
      <c r="I1099" t="s">
        <v>197</v>
      </c>
      <c r="J1099" t="s">
        <v>197</v>
      </c>
      <c r="K1099" t="s">
        <v>1019</v>
      </c>
    </row>
    <row r="1100" spans="2:11">
      <c r="B1100" t="s">
        <v>197</v>
      </c>
      <c r="C1100" t="s">
        <v>197</v>
      </c>
      <c r="D1100" t="s">
        <v>197</v>
      </c>
      <c r="E1100" t="s">
        <v>197</v>
      </c>
      <c r="F1100" t="s">
        <v>197</v>
      </c>
      <c r="G1100" t="s">
        <v>197</v>
      </c>
      <c r="H1100" t="s">
        <v>197</v>
      </c>
      <c r="I1100" t="s">
        <v>197</v>
      </c>
      <c r="J1100" t="s">
        <v>197</v>
      </c>
      <c r="K1100" t="s">
        <v>1020</v>
      </c>
    </row>
    <row r="1101" spans="2:11">
      <c r="B1101" t="s">
        <v>197</v>
      </c>
      <c r="C1101" t="s">
        <v>197</v>
      </c>
      <c r="D1101" t="s">
        <v>197</v>
      </c>
      <c r="E1101" t="s">
        <v>197</v>
      </c>
      <c r="F1101" t="s">
        <v>197</v>
      </c>
      <c r="G1101" t="s">
        <v>197</v>
      </c>
      <c r="H1101" t="s">
        <v>197</v>
      </c>
      <c r="I1101" t="s">
        <v>197</v>
      </c>
      <c r="J1101" t="s">
        <v>197</v>
      </c>
      <c r="K1101" t="s">
        <v>1021</v>
      </c>
    </row>
    <row r="1102" spans="2:11">
      <c r="B1102" t="s">
        <v>197</v>
      </c>
      <c r="C1102" t="s">
        <v>197</v>
      </c>
      <c r="D1102" t="s">
        <v>197</v>
      </c>
      <c r="E1102" t="s">
        <v>197</v>
      </c>
      <c r="F1102" t="s">
        <v>197</v>
      </c>
      <c r="G1102" t="s">
        <v>197</v>
      </c>
      <c r="H1102" t="s">
        <v>197</v>
      </c>
      <c r="I1102" t="s">
        <v>197</v>
      </c>
      <c r="J1102" t="s">
        <v>197</v>
      </c>
      <c r="K1102" t="s">
        <v>1022</v>
      </c>
    </row>
    <row r="1103" spans="2:11">
      <c r="B1103" t="s">
        <v>197</v>
      </c>
      <c r="C1103" t="s">
        <v>197</v>
      </c>
      <c r="D1103" t="s">
        <v>197</v>
      </c>
      <c r="E1103" t="s">
        <v>197</v>
      </c>
      <c r="F1103" t="s">
        <v>197</v>
      </c>
      <c r="G1103" t="s">
        <v>197</v>
      </c>
      <c r="H1103" t="s">
        <v>197</v>
      </c>
      <c r="I1103" t="s">
        <v>197</v>
      </c>
      <c r="J1103" t="s">
        <v>197</v>
      </c>
      <c r="K1103" t="s">
        <v>1023</v>
      </c>
    </row>
    <row r="1104" spans="2:11">
      <c r="B1104" t="s">
        <v>197</v>
      </c>
      <c r="C1104" t="s">
        <v>197</v>
      </c>
      <c r="D1104" t="s">
        <v>197</v>
      </c>
      <c r="E1104" t="s">
        <v>197</v>
      </c>
      <c r="F1104" t="s">
        <v>197</v>
      </c>
      <c r="G1104" t="s">
        <v>197</v>
      </c>
      <c r="H1104" t="s">
        <v>197</v>
      </c>
      <c r="I1104" t="s">
        <v>197</v>
      </c>
      <c r="J1104" t="s">
        <v>197</v>
      </c>
      <c r="K1104" t="s">
        <v>1024</v>
      </c>
    </row>
    <row r="1105" spans="1:24">
      <c r="B1105" t="s">
        <v>197</v>
      </c>
      <c r="C1105" t="s">
        <v>197</v>
      </c>
      <c r="D1105" t="s">
        <v>197</v>
      </c>
      <c r="E1105" t="s">
        <v>197</v>
      </c>
      <c r="F1105" t="s">
        <v>197</v>
      </c>
      <c r="G1105" t="s">
        <v>197</v>
      </c>
      <c r="H1105" t="s">
        <v>197</v>
      </c>
      <c r="I1105" t="s">
        <v>197</v>
      </c>
      <c r="J1105" t="s">
        <v>197</v>
      </c>
      <c r="K1105" t="s">
        <v>1025</v>
      </c>
    </row>
    <row r="1106" spans="1:24">
      <c r="B1106" t="s">
        <v>197</v>
      </c>
      <c r="C1106" t="s">
        <v>197</v>
      </c>
      <c r="D1106" t="s">
        <v>197</v>
      </c>
      <c r="E1106" t="s">
        <v>197</v>
      </c>
      <c r="F1106" t="s">
        <v>197</v>
      </c>
      <c r="G1106" t="s">
        <v>197</v>
      </c>
      <c r="H1106" t="s">
        <v>197</v>
      </c>
      <c r="I1106" t="s">
        <v>197</v>
      </c>
      <c r="J1106" t="s">
        <v>197</v>
      </c>
      <c r="K1106" t="s">
        <v>1026</v>
      </c>
    </row>
    <row r="1107" spans="1:24">
      <c r="B1107" t="s">
        <v>197</v>
      </c>
      <c r="C1107" t="s">
        <v>197</v>
      </c>
      <c r="D1107" t="s">
        <v>197</v>
      </c>
      <c r="E1107" t="s">
        <v>197</v>
      </c>
      <c r="F1107" t="s">
        <v>197</v>
      </c>
      <c r="G1107" t="s">
        <v>197</v>
      </c>
      <c r="H1107" t="s">
        <v>197</v>
      </c>
      <c r="I1107" t="s">
        <v>197</v>
      </c>
      <c r="J1107" t="s">
        <v>197</v>
      </c>
      <c r="K1107" t="s">
        <v>1027</v>
      </c>
    </row>
    <row r="1108" spans="1:24">
      <c r="B1108" t="s">
        <v>197</v>
      </c>
      <c r="C1108" t="s">
        <v>197</v>
      </c>
      <c r="D1108" t="s">
        <v>197</v>
      </c>
      <c r="E1108" t="s">
        <v>197</v>
      </c>
      <c r="F1108" t="s">
        <v>197</v>
      </c>
      <c r="G1108" t="s">
        <v>197</v>
      </c>
      <c r="H1108" t="s">
        <v>197</v>
      </c>
      <c r="I1108" t="s">
        <v>197</v>
      </c>
      <c r="J1108" t="s">
        <v>197</v>
      </c>
      <c r="K1108" t="s">
        <v>1028</v>
      </c>
    </row>
    <row r="1109" spans="1:24">
      <c r="B1109" t="s">
        <v>197</v>
      </c>
      <c r="C1109" t="s">
        <v>197</v>
      </c>
      <c r="D1109" t="s">
        <v>197</v>
      </c>
      <c r="E1109" t="s">
        <v>197</v>
      </c>
      <c r="F1109" t="s">
        <v>197</v>
      </c>
      <c r="G1109" t="s">
        <v>197</v>
      </c>
      <c r="H1109" t="s">
        <v>197</v>
      </c>
      <c r="I1109" t="s">
        <v>197</v>
      </c>
      <c r="J1109" t="s">
        <v>197</v>
      </c>
      <c r="K1109" t="s">
        <v>1029</v>
      </c>
    </row>
    <row r="1110" spans="1:24">
      <c r="A1110" t="s">
        <v>1075</v>
      </c>
      <c r="K1110" t="s">
        <v>1076</v>
      </c>
      <c r="W1110" s="1" t="str">
        <f>HYPERLINK("#2026042000hbase1!BG2","NO 源备存在差异，共14个")</f>
        <v>NO 源备存在差异，共14个</v>
      </c>
      <c r="X1110" t="str">
        <f>A1110</f>
        <v>info_int_dml_batch1_pk_irp1</v>
      </c>
    </row>
    <row r="1111" spans="1:24">
      <c r="B1111" t="s">
        <v>196</v>
      </c>
      <c r="C1111" t="s">
        <v>197</v>
      </c>
      <c r="D1111" t="s">
        <v>197</v>
      </c>
      <c r="E1111" t="s">
        <v>197</v>
      </c>
      <c r="F1111" t="s">
        <v>197</v>
      </c>
      <c r="G1111" t="s">
        <v>197</v>
      </c>
      <c r="H1111" t="s">
        <v>197</v>
      </c>
      <c r="I1111" t="s">
        <v>1077</v>
      </c>
      <c r="J1111" t="s">
        <v>199</v>
      </c>
      <c r="K1111" t="s">
        <v>200</v>
      </c>
    </row>
    <row r="1112" spans="1:24">
      <c r="B1112" t="s">
        <v>197</v>
      </c>
      <c r="C1112" t="s">
        <v>197</v>
      </c>
      <c r="D1112" t="s">
        <v>197</v>
      </c>
      <c r="E1112" t="s">
        <v>197</v>
      </c>
      <c r="F1112" t="s">
        <v>197</v>
      </c>
      <c r="G1112" t="s">
        <v>197</v>
      </c>
      <c r="H1112" t="s">
        <v>197</v>
      </c>
      <c r="I1112" t="s">
        <v>197</v>
      </c>
      <c r="J1112" t="s">
        <v>197</v>
      </c>
      <c r="K1112" t="s">
        <v>549</v>
      </c>
    </row>
    <row r="1113" spans="1:24">
      <c r="B1113" t="s">
        <v>197</v>
      </c>
      <c r="C1113" t="s">
        <v>197</v>
      </c>
      <c r="D1113" t="s">
        <v>197</v>
      </c>
      <c r="E1113" t="s">
        <v>197</v>
      </c>
      <c r="F1113" t="s">
        <v>197</v>
      </c>
      <c r="G1113" t="s">
        <v>197</v>
      </c>
      <c r="H1113" t="s">
        <v>197</v>
      </c>
      <c r="I1113" t="s">
        <v>197</v>
      </c>
      <c r="J1113" t="s">
        <v>197</v>
      </c>
      <c r="K1113" t="s">
        <v>550</v>
      </c>
    </row>
    <row r="1114" spans="1:24">
      <c r="B1114" t="s">
        <v>197</v>
      </c>
      <c r="C1114" t="s">
        <v>197</v>
      </c>
      <c r="D1114" t="s">
        <v>197</v>
      </c>
      <c r="E1114" t="s">
        <v>197</v>
      </c>
      <c r="F1114" t="s">
        <v>197</v>
      </c>
      <c r="G1114" t="s">
        <v>197</v>
      </c>
      <c r="H1114" t="s">
        <v>197</v>
      </c>
      <c r="I1114" t="s">
        <v>197</v>
      </c>
      <c r="J1114" t="s">
        <v>197</v>
      </c>
      <c r="K1114" t="s">
        <v>551</v>
      </c>
    </row>
    <row r="1115" spans="1:24">
      <c r="B1115" t="s">
        <v>197</v>
      </c>
      <c r="C1115" t="s">
        <v>197</v>
      </c>
      <c r="D1115" t="s">
        <v>197</v>
      </c>
      <c r="E1115" t="s">
        <v>197</v>
      </c>
      <c r="F1115" t="s">
        <v>197</v>
      </c>
      <c r="G1115" t="s">
        <v>197</v>
      </c>
      <c r="H1115" t="s">
        <v>197</v>
      </c>
      <c r="I1115" t="s">
        <v>197</v>
      </c>
      <c r="J1115" t="s">
        <v>197</v>
      </c>
      <c r="K1115" t="s">
        <v>552</v>
      </c>
    </row>
    <row r="1116" spans="1:24">
      <c r="B1116" t="s">
        <v>197</v>
      </c>
      <c r="C1116" t="s">
        <v>197</v>
      </c>
      <c r="D1116" t="s">
        <v>197</v>
      </c>
      <c r="E1116" t="s">
        <v>197</v>
      </c>
      <c r="F1116" t="s">
        <v>197</v>
      </c>
      <c r="G1116" t="s">
        <v>197</v>
      </c>
      <c r="H1116" t="s">
        <v>197</v>
      </c>
      <c r="I1116" t="s">
        <v>197</v>
      </c>
      <c r="J1116" t="s">
        <v>197</v>
      </c>
      <c r="K1116" t="s">
        <v>553</v>
      </c>
    </row>
    <row r="1117" spans="1:24">
      <c r="B1117" t="s">
        <v>197</v>
      </c>
      <c r="C1117" t="s">
        <v>197</v>
      </c>
      <c r="D1117" t="s">
        <v>197</v>
      </c>
      <c r="E1117" t="s">
        <v>197</v>
      </c>
      <c r="F1117" t="s">
        <v>197</v>
      </c>
      <c r="G1117" t="s">
        <v>197</v>
      </c>
      <c r="H1117" t="s">
        <v>197</v>
      </c>
      <c r="I1117" t="s">
        <v>197</v>
      </c>
      <c r="J1117" t="s">
        <v>197</v>
      </c>
      <c r="K1117" t="s">
        <v>554</v>
      </c>
    </row>
    <row r="1118" spans="1:24">
      <c r="B1118" t="s">
        <v>197</v>
      </c>
      <c r="C1118" t="s">
        <v>197</v>
      </c>
      <c r="D1118" t="s">
        <v>197</v>
      </c>
      <c r="E1118" t="s">
        <v>197</v>
      </c>
      <c r="F1118" t="s">
        <v>197</v>
      </c>
      <c r="G1118" t="s">
        <v>197</v>
      </c>
      <c r="H1118" t="s">
        <v>197</v>
      </c>
      <c r="I1118" t="s">
        <v>197</v>
      </c>
      <c r="J1118" t="s">
        <v>197</v>
      </c>
      <c r="K1118" t="s">
        <v>555</v>
      </c>
    </row>
    <row r="1119" spans="1:24">
      <c r="B1119" t="s">
        <v>197</v>
      </c>
      <c r="C1119" t="s">
        <v>197</v>
      </c>
      <c r="D1119" t="s">
        <v>197</v>
      </c>
      <c r="E1119" t="s">
        <v>197</v>
      </c>
      <c r="F1119" t="s">
        <v>197</v>
      </c>
      <c r="G1119" t="s">
        <v>197</v>
      </c>
      <c r="H1119" t="s">
        <v>197</v>
      </c>
      <c r="I1119" t="s">
        <v>197</v>
      </c>
      <c r="J1119" t="s">
        <v>197</v>
      </c>
      <c r="K1119" t="s">
        <v>556</v>
      </c>
    </row>
    <row r="1120" spans="1:24">
      <c r="B1120" t="s">
        <v>197</v>
      </c>
      <c r="C1120" t="s">
        <v>197</v>
      </c>
      <c r="D1120" t="s">
        <v>197</v>
      </c>
      <c r="E1120" t="s">
        <v>197</v>
      </c>
      <c r="F1120" t="s">
        <v>197</v>
      </c>
      <c r="G1120" t="s">
        <v>197</v>
      </c>
      <c r="H1120" t="s">
        <v>197</v>
      </c>
      <c r="I1120" t="s">
        <v>197</v>
      </c>
      <c r="J1120" t="s">
        <v>197</v>
      </c>
      <c r="K1120" t="s">
        <v>557</v>
      </c>
    </row>
    <row r="1121" spans="1:24">
      <c r="B1121" t="s">
        <v>197</v>
      </c>
      <c r="C1121" t="s">
        <v>197</v>
      </c>
      <c r="D1121" t="s">
        <v>197</v>
      </c>
      <c r="E1121" t="s">
        <v>197</v>
      </c>
      <c r="F1121" t="s">
        <v>197</v>
      </c>
      <c r="G1121" t="s">
        <v>197</v>
      </c>
      <c r="H1121" t="s">
        <v>197</v>
      </c>
      <c r="I1121" t="s">
        <v>197</v>
      </c>
      <c r="J1121" t="s">
        <v>197</v>
      </c>
      <c r="K1121" t="s">
        <v>558</v>
      </c>
    </row>
    <row r="1122" spans="1:24">
      <c r="B1122" t="s">
        <v>197</v>
      </c>
      <c r="C1122" t="s">
        <v>197</v>
      </c>
      <c r="D1122" t="s">
        <v>197</v>
      </c>
      <c r="E1122" t="s">
        <v>197</v>
      </c>
      <c r="F1122" t="s">
        <v>197</v>
      </c>
      <c r="G1122" t="s">
        <v>197</v>
      </c>
      <c r="H1122" t="s">
        <v>197</v>
      </c>
      <c r="I1122" t="s">
        <v>197</v>
      </c>
      <c r="J1122" t="s">
        <v>197</v>
      </c>
      <c r="K1122" t="s">
        <v>559</v>
      </c>
    </row>
    <row r="1123" spans="1:24">
      <c r="B1123" t="s">
        <v>197</v>
      </c>
      <c r="C1123" t="s">
        <v>197</v>
      </c>
      <c r="D1123" t="s">
        <v>197</v>
      </c>
      <c r="E1123" t="s">
        <v>197</v>
      </c>
      <c r="F1123" t="s">
        <v>197</v>
      </c>
      <c r="G1123" t="s">
        <v>197</v>
      </c>
      <c r="H1123" t="s">
        <v>197</v>
      </c>
      <c r="I1123" t="s">
        <v>197</v>
      </c>
      <c r="J1123" t="s">
        <v>197</v>
      </c>
      <c r="K1123" t="s">
        <v>560</v>
      </c>
    </row>
    <row r="1124" spans="1:24">
      <c r="B1124" t="s">
        <v>197</v>
      </c>
      <c r="C1124" t="s">
        <v>197</v>
      </c>
      <c r="D1124" t="s">
        <v>197</v>
      </c>
      <c r="E1124" t="s">
        <v>197</v>
      </c>
      <c r="F1124" t="s">
        <v>197</v>
      </c>
      <c r="G1124" t="s">
        <v>197</v>
      </c>
      <c r="H1124" t="s">
        <v>197</v>
      </c>
      <c r="I1124" t="s">
        <v>197</v>
      </c>
      <c r="J1124" t="s">
        <v>197</v>
      </c>
      <c r="K1124" t="s">
        <v>561</v>
      </c>
    </row>
    <row r="1125" spans="1:24">
      <c r="B1125" t="s">
        <v>197</v>
      </c>
      <c r="C1125" t="s">
        <v>197</v>
      </c>
      <c r="D1125" t="s">
        <v>197</v>
      </c>
      <c r="E1125" t="s">
        <v>197</v>
      </c>
      <c r="F1125" t="s">
        <v>197</v>
      </c>
      <c r="G1125" t="s">
        <v>197</v>
      </c>
      <c r="H1125" t="s">
        <v>197</v>
      </c>
      <c r="I1125" t="s">
        <v>197</v>
      </c>
      <c r="J1125" t="s">
        <v>197</v>
      </c>
      <c r="K1125" t="s">
        <v>562</v>
      </c>
    </row>
    <row r="1126" spans="1:24">
      <c r="B1126" t="s">
        <v>197</v>
      </c>
      <c r="C1126" t="s">
        <v>197</v>
      </c>
      <c r="D1126" t="s">
        <v>197</v>
      </c>
      <c r="E1126" t="s">
        <v>197</v>
      </c>
      <c r="F1126" t="s">
        <v>197</v>
      </c>
      <c r="G1126" t="s">
        <v>197</v>
      </c>
      <c r="H1126" t="s">
        <v>197</v>
      </c>
      <c r="I1126" t="s">
        <v>197</v>
      </c>
      <c r="J1126" t="s">
        <v>197</v>
      </c>
      <c r="K1126" t="s">
        <v>563</v>
      </c>
    </row>
    <row r="1127" spans="1:24">
      <c r="B1127" t="s">
        <v>197</v>
      </c>
      <c r="C1127" t="s">
        <v>197</v>
      </c>
      <c r="D1127" t="s">
        <v>197</v>
      </c>
      <c r="E1127" t="s">
        <v>197</v>
      </c>
      <c r="F1127" t="s">
        <v>197</v>
      </c>
      <c r="G1127" t="s">
        <v>197</v>
      </c>
      <c r="H1127" t="s">
        <v>197</v>
      </c>
      <c r="I1127" t="s">
        <v>197</v>
      </c>
      <c r="J1127" t="s">
        <v>197</v>
      </c>
      <c r="K1127" t="s">
        <v>564</v>
      </c>
    </row>
    <row r="1128" spans="1:24">
      <c r="B1128" t="s">
        <v>197</v>
      </c>
      <c r="C1128" t="s">
        <v>197</v>
      </c>
      <c r="D1128" t="s">
        <v>197</v>
      </c>
      <c r="E1128" t="s">
        <v>197</v>
      </c>
      <c r="F1128" t="s">
        <v>197</v>
      </c>
      <c r="G1128" t="s">
        <v>197</v>
      </c>
      <c r="H1128" t="s">
        <v>197</v>
      </c>
      <c r="I1128" t="s">
        <v>197</v>
      </c>
      <c r="J1128" t="s">
        <v>197</v>
      </c>
      <c r="K1128" t="s">
        <v>565</v>
      </c>
    </row>
    <row r="1129" spans="1:24">
      <c r="B1129" t="s">
        <v>197</v>
      </c>
      <c r="C1129" t="s">
        <v>197</v>
      </c>
      <c r="D1129" t="s">
        <v>197</v>
      </c>
      <c r="E1129" t="s">
        <v>197</v>
      </c>
      <c r="F1129" t="s">
        <v>197</v>
      </c>
      <c r="G1129" t="s">
        <v>197</v>
      </c>
      <c r="H1129" t="s">
        <v>197</v>
      </c>
      <c r="I1129" t="s">
        <v>197</v>
      </c>
      <c r="J1129" t="s">
        <v>197</v>
      </c>
      <c r="K1129" t="s">
        <v>566</v>
      </c>
    </row>
    <row r="1130" spans="1:24">
      <c r="B1130" t="s">
        <v>197</v>
      </c>
      <c r="C1130" t="s">
        <v>197</v>
      </c>
      <c r="D1130" t="s">
        <v>197</v>
      </c>
      <c r="E1130" t="s">
        <v>197</v>
      </c>
      <c r="F1130" t="s">
        <v>197</v>
      </c>
      <c r="G1130" t="s">
        <v>197</v>
      </c>
      <c r="H1130" t="s">
        <v>197</v>
      </c>
      <c r="I1130" t="s">
        <v>197</v>
      </c>
      <c r="J1130" t="s">
        <v>197</v>
      </c>
      <c r="K1130" t="s">
        <v>567</v>
      </c>
    </row>
    <row r="1131" spans="1:24">
      <c r="A1131" t="s">
        <v>1078</v>
      </c>
      <c r="K1131" t="s">
        <v>1079</v>
      </c>
      <c r="W1131" t="s">
        <v>171</v>
      </c>
      <c r="X1131" t="str">
        <f>A1131</f>
        <v>info_uniqueidentifier_dml_single_pk_urp</v>
      </c>
    </row>
    <row r="1132" spans="1:24">
      <c r="B1132" t="s">
        <v>196</v>
      </c>
      <c r="C1132" t="s">
        <v>197</v>
      </c>
      <c r="D1132" t="s">
        <v>197</v>
      </c>
      <c r="E1132" t="s">
        <v>197</v>
      </c>
      <c r="F1132" t="s">
        <v>197</v>
      </c>
      <c r="G1132" t="s">
        <v>197</v>
      </c>
      <c r="H1132" t="s">
        <v>197</v>
      </c>
      <c r="I1132" t="s">
        <v>1080</v>
      </c>
      <c r="J1132" t="s">
        <v>199</v>
      </c>
      <c r="K1132" t="s">
        <v>200</v>
      </c>
    </row>
    <row r="1133" spans="1:24">
      <c r="B1133" t="s">
        <v>197</v>
      </c>
      <c r="C1133" t="s">
        <v>197</v>
      </c>
      <c r="D1133" t="s">
        <v>197</v>
      </c>
      <c r="E1133" t="s">
        <v>197</v>
      </c>
      <c r="F1133" t="s">
        <v>197</v>
      </c>
      <c r="G1133" t="s">
        <v>197</v>
      </c>
      <c r="H1133" t="s">
        <v>197</v>
      </c>
      <c r="I1133" t="s">
        <v>197</v>
      </c>
      <c r="J1133" t="s">
        <v>197</v>
      </c>
      <c r="K1133" t="s">
        <v>1039</v>
      </c>
    </row>
    <row r="1134" spans="1:24">
      <c r="A1134" t="s">
        <v>1081</v>
      </c>
      <c r="K1134" t="s">
        <v>1082</v>
      </c>
      <c r="W1134" t="s">
        <v>171</v>
      </c>
      <c r="X1134" t="str">
        <f>A1134</f>
        <v>info_nvarchar_dml_batch2_pk_irp1</v>
      </c>
    </row>
    <row r="1135" spans="1:24">
      <c r="B1135" t="s">
        <v>196</v>
      </c>
      <c r="C1135" t="s">
        <v>197</v>
      </c>
      <c r="D1135" t="s">
        <v>197</v>
      </c>
      <c r="E1135" t="s">
        <v>197</v>
      </c>
      <c r="F1135" t="s">
        <v>197</v>
      </c>
      <c r="G1135" t="s">
        <v>197</v>
      </c>
      <c r="H1135" t="s">
        <v>197</v>
      </c>
      <c r="I1135" t="s">
        <v>1083</v>
      </c>
      <c r="J1135" t="s">
        <v>199</v>
      </c>
      <c r="K1135" t="s">
        <v>200</v>
      </c>
    </row>
    <row r="1136" spans="1:24">
      <c r="B1136" t="s">
        <v>197</v>
      </c>
      <c r="C1136" t="s">
        <v>197</v>
      </c>
      <c r="D1136" t="s">
        <v>197</v>
      </c>
      <c r="E1136" t="s">
        <v>197</v>
      </c>
      <c r="F1136" t="s">
        <v>197</v>
      </c>
      <c r="G1136" t="s">
        <v>197</v>
      </c>
      <c r="H1136" t="s">
        <v>197</v>
      </c>
      <c r="I1136" t="s">
        <v>197</v>
      </c>
      <c r="J1136" t="s">
        <v>197</v>
      </c>
      <c r="K1136" t="s">
        <v>408</v>
      </c>
    </row>
    <row r="1137" spans="1:24">
      <c r="B1137" t="s">
        <v>197</v>
      </c>
      <c r="C1137" t="s">
        <v>197</v>
      </c>
      <c r="D1137" t="s">
        <v>197</v>
      </c>
      <c r="E1137" t="s">
        <v>197</v>
      </c>
      <c r="F1137" t="s">
        <v>197</v>
      </c>
      <c r="G1137" t="s">
        <v>197</v>
      </c>
      <c r="H1137" t="s">
        <v>197</v>
      </c>
      <c r="I1137" t="s">
        <v>197</v>
      </c>
      <c r="J1137" t="s">
        <v>197</v>
      </c>
      <c r="K1137" t="s">
        <v>412</v>
      </c>
    </row>
    <row r="1138" spans="1:24">
      <c r="B1138" t="s">
        <v>197</v>
      </c>
      <c r="C1138" t="s">
        <v>197</v>
      </c>
      <c r="D1138" t="s">
        <v>197</v>
      </c>
      <c r="E1138" t="s">
        <v>197</v>
      </c>
      <c r="F1138" t="s">
        <v>197</v>
      </c>
      <c r="G1138" t="s">
        <v>197</v>
      </c>
      <c r="H1138" t="s">
        <v>197</v>
      </c>
      <c r="I1138" t="s">
        <v>197</v>
      </c>
      <c r="J1138" t="s">
        <v>197</v>
      </c>
      <c r="K1138" t="s">
        <v>416</v>
      </c>
    </row>
    <row r="1139" spans="1:24">
      <c r="A1139" t="s">
        <v>1084</v>
      </c>
      <c r="K1139" t="s">
        <v>1085</v>
      </c>
      <c r="W1139" t="s">
        <v>171</v>
      </c>
      <c r="X1139" t="str">
        <f>A1139</f>
        <v>info_datetime2_dml_single_pk_urp</v>
      </c>
    </row>
    <row r="1140" spans="1:24">
      <c r="B1140" t="s">
        <v>196</v>
      </c>
      <c r="C1140" t="s">
        <v>197</v>
      </c>
      <c r="D1140" t="s">
        <v>197</v>
      </c>
      <c r="E1140" t="s">
        <v>197</v>
      </c>
      <c r="F1140" t="s">
        <v>197</v>
      </c>
      <c r="G1140" t="s">
        <v>197</v>
      </c>
      <c r="H1140" t="s">
        <v>197</v>
      </c>
      <c r="I1140" t="s">
        <v>1086</v>
      </c>
      <c r="J1140" t="s">
        <v>199</v>
      </c>
      <c r="K1140" t="s">
        <v>200</v>
      </c>
    </row>
    <row r="1141" spans="1:24">
      <c r="B1141" t="s">
        <v>197</v>
      </c>
      <c r="C1141" t="s">
        <v>197</v>
      </c>
      <c r="D1141" t="s">
        <v>197</v>
      </c>
      <c r="E1141" t="s">
        <v>197</v>
      </c>
      <c r="F1141" t="s">
        <v>197</v>
      </c>
      <c r="G1141" t="s">
        <v>197</v>
      </c>
      <c r="H1141" t="s">
        <v>197</v>
      </c>
      <c r="I1141" t="s">
        <v>197</v>
      </c>
      <c r="J1141" t="s">
        <v>197</v>
      </c>
      <c r="K1141" t="s">
        <v>667</v>
      </c>
    </row>
    <row r="1142" spans="1:24">
      <c r="B1142" t="s">
        <v>197</v>
      </c>
      <c r="C1142" t="s">
        <v>197</v>
      </c>
      <c r="D1142" t="s">
        <v>197</v>
      </c>
      <c r="E1142" t="s">
        <v>197</v>
      </c>
      <c r="F1142" t="s">
        <v>197</v>
      </c>
      <c r="G1142" t="s">
        <v>197</v>
      </c>
      <c r="H1142" t="s">
        <v>197</v>
      </c>
      <c r="I1142" t="s">
        <v>197</v>
      </c>
      <c r="J1142" t="s">
        <v>197</v>
      </c>
      <c r="K1142" t="s">
        <v>668</v>
      </c>
    </row>
    <row r="1143" spans="1:24">
      <c r="B1143" t="s">
        <v>197</v>
      </c>
      <c r="C1143" t="s">
        <v>197</v>
      </c>
      <c r="D1143" t="s">
        <v>197</v>
      </c>
      <c r="E1143" t="s">
        <v>197</v>
      </c>
      <c r="F1143" t="s">
        <v>197</v>
      </c>
      <c r="G1143" t="s">
        <v>197</v>
      </c>
      <c r="H1143" t="s">
        <v>197</v>
      </c>
      <c r="I1143" t="s">
        <v>197</v>
      </c>
      <c r="J1143" t="s">
        <v>197</v>
      </c>
      <c r="K1143" t="s">
        <v>669</v>
      </c>
    </row>
    <row r="1144" spans="1:24">
      <c r="B1144" t="s">
        <v>197</v>
      </c>
      <c r="C1144" t="s">
        <v>197</v>
      </c>
      <c r="D1144" t="s">
        <v>197</v>
      </c>
      <c r="E1144" t="s">
        <v>197</v>
      </c>
      <c r="F1144" t="s">
        <v>197</v>
      </c>
      <c r="G1144" t="s">
        <v>197</v>
      </c>
      <c r="H1144" t="s">
        <v>197</v>
      </c>
      <c r="I1144" t="s">
        <v>197</v>
      </c>
      <c r="J1144" t="s">
        <v>197</v>
      </c>
      <c r="K1144" t="s">
        <v>670</v>
      </c>
    </row>
    <row r="1145" spans="1:24">
      <c r="B1145" t="s">
        <v>197</v>
      </c>
      <c r="C1145" t="s">
        <v>197</v>
      </c>
      <c r="D1145" t="s">
        <v>197</v>
      </c>
      <c r="E1145" t="s">
        <v>197</v>
      </c>
      <c r="F1145" t="s">
        <v>197</v>
      </c>
      <c r="G1145" t="s">
        <v>197</v>
      </c>
      <c r="H1145" t="s">
        <v>197</v>
      </c>
      <c r="I1145" t="s">
        <v>197</v>
      </c>
      <c r="J1145" t="s">
        <v>197</v>
      </c>
      <c r="K1145" t="s">
        <v>671</v>
      </c>
    </row>
    <row r="1146" spans="1:24">
      <c r="B1146" t="s">
        <v>197</v>
      </c>
      <c r="C1146" t="s">
        <v>197</v>
      </c>
      <c r="D1146" t="s">
        <v>197</v>
      </c>
      <c r="E1146" t="s">
        <v>197</v>
      </c>
      <c r="F1146" t="s">
        <v>197</v>
      </c>
      <c r="G1146" t="s">
        <v>197</v>
      </c>
      <c r="H1146" t="s">
        <v>197</v>
      </c>
      <c r="I1146" t="s">
        <v>197</v>
      </c>
      <c r="J1146" t="s">
        <v>197</v>
      </c>
      <c r="K1146" t="s">
        <v>672</v>
      </c>
    </row>
    <row r="1147" spans="1:24">
      <c r="B1147" t="s">
        <v>197</v>
      </c>
      <c r="C1147" t="s">
        <v>197</v>
      </c>
      <c r="D1147" t="s">
        <v>197</v>
      </c>
      <c r="E1147" t="s">
        <v>197</v>
      </c>
      <c r="F1147" t="s">
        <v>197</v>
      </c>
      <c r="G1147" t="s">
        <v>197</v>
      </c>
      <c r="H1147" t="s">
        <v>197</v>
      </c>
      <c r="I1147" t="s">
        <v>197</v>
      </c>
      <c r="J1147" t="s">
        <v>197</v>
      </c>
      <c r="K1147" t="s">
        <v>673</v>
      </c>
    </row>
    <row r="1148" spans="1:24">
      <c r="B1148" t="s">
        <v>197</v>
      </c>
      <c r="C1148" t="s">
        <v>197</v>
      </c>
      <c r="D1148" t="s">
        <v>197</v>
      </c>
      <c r="E1148" t="s">
        <v>197</v>
      </c>
      <c r="F1148" t="s">
        <v>197</v>
      </c>
      <c r="G1148" t="s">
        <v>197</v>
      </c>
      <c r="H1148" t="s">
        <v>197</v>
      </c>
      <c r="I1148" t="s">
        <v>197</v>
      </c>
      <c r="J1148" t="s">
        <v>197</v>
      </c>
      <c r="K1148" t="s">
        <v>674</v>
      </c>
    </row>
    <row r="1149" spans="1:24">
      <c r="A1149" t="s">
        <v>1087</v>
      </c>
      <c r="K1149" t="s">
        <v>1088</v>
      </c>
      <c r="W1149" s="1" t="str">
        <f>HYPERLINK("#2026042000hbase1!BH2","NO 源备存在差异，共4个")</f>
        <v>NO 源备存在差异，共4个</v>
      </c>
      <c r="X1149" t="str">
        <f>A1149</f>
        <v>info_geography_dml_single_pk_urp</v>
      </c>
    </row>
    <row r="1150" spans="1:24">
      <c r="B1150" t="s">
        <v>196</v>
      </c>
      <c r="C1150" t="s">
        <v>197</v>
      </c>
      <c r="D1150" t="s">
        <v>197</v>
      </c>
      <c r="E1150" t="s">
        <v>197</v>
      </c>
      <c r="F1150" t="s">
        <v>197</v>
      </c>
      <c r="G1150" t="s">
        <v>197</v>
      </c>
      <c r="H1150" t="s">
        <v>197</v>
      </c>
      <c r="I1150" t="s">
        <v>1089</v>
      </c>
      <c r="J1150" t="s">
        <v>199</v>
      </c>
      <c r="K1150" t="s">
        <v>200</v>
      </c>
    </row>
    <row r="1151" spans="1:24">
      <c r="B1151" t="s">
        <v>197</v>
      </c>
      <c r="C1151" t="s">
        <v>197</v>
      </c>
      <c r="D1151" t="s">
        <v>197</v>
      </c>
      <c r="E1151" t="s">
        <v>197</v>
      </c>
      <c r="F1151" t="s">
        <v>197</v>
      </c>
      <c r="G1151" t="s">
        <v>197</v>
      </c>
      <c r="H1151" t="s">
        <v>197</v>
      </c>
      <c r="I1151" t="s">
        <v>197</v>
      </c>
      <c r="J1151" t="s">
        <v>197</v>
      </c>
      <c r="K1151" t="s">
        <v>1052</v>
      </c>
    </row>
    <row r="1152" spans="1:24">
      <c r="A1152" t="s">
        <v>1090</v>
      </c>
      <c r="K1152" t="s">
        <v>1091</v>
      </c>
      <c r="W1152" t="s">
        <v>171</v>
      </c>
      <c r="X1152" t="str">
        <f>A1152</f>
        <v>info_time_dml_batch2_pk_irp2</v>
      </c>
    </row>
    <row r="1153" spans="1:24">
      <c r="B1153" t="s">
        <v>196</v>
      </c>
      <c r="C1153" t="s">
        <v>197</v>
      </c>
      <c r="D1153" t="s">
        <v>197</v>
      </c>
      <c r="E1153" t="s">
        <v>197</v>
      </c>
      <c r="F1153" t="s">
        <v>197</v>
      </c>
      <c r="G1153" t="s">
        <v>197</v>
      </c>
      <c r="H1153" t="s">
        <v>197</v>
      </c>
      <c r="I1153" t="s">
        <v>1092</v>
      </c>
      <c r="J1153" t="s">
        <v>199</v>
      </c>
      <c r="K1153" t="s">
        <v>200</v>
      </c>
    </row>
    <row r="1154" spans="1:24">
      <c r="B1154" t="s">
        <v>197</v>
      </c>
      <c r="C1154" t="s">
        <v>197</v>
      </c>
      <c r="D1154" t="s">
        <v>197</v>
      </c>
      <c r="E1154" t="s">
        <v>197</v>
      </c>
      <c r="F1154" t="s">
        <v>197</v>
      </c>
      <c r="G1154" t="s">
        <v>197</v>
      </c>
      <c r="H1154" t="s">
        <v>197</v>
      </c>
      <c r="I1154" t="s">
        <v>197</v>
      </c>
      <c r="J1154" t="s">
        <v>197</v>
      </c>
      <c r="K1154" t="s">
        <v>800</v>
      </c>
    </row>
    <row r="1155" spans="1:24">
      <c r="B1155" t="s">
        <v>197</v>
      </c>
      <c r="C1155" t="s">
        <v>197</v>
      </c>
      <c r="D1155" t="s">
        <v>197</v>
      </c>
      <c r="E1155" t="s">
        <v>197</v>
      </c>
      <c r="F1155" t="s">
        <v>197</v>
      </c>
      <c r="G1155" t="s">
        <v>197</v>
      </c>
      <c r="H1155" t="s">
        <v>197</v>
      </c>
      <c r="I1155" t="s">
        <v>197</v>
      </c>
      <c r="J1155" t="s">
        <v>197</v>
      </c>
      <c r="K1155" t="s">
        <v>801</v>
      </c>
    </row>
    <row r="1156" spans="1:24">
      <c r="B1156" t="s">
        <v>197</v>
      </c>
      <c r="C1156" t="s">
        <v>197</v>
      </c>
      <c r="D1156" t="s">
        <v>197</v>
      </c>
      <c r="E1156" t="s">
        <v>197</v>
      </c>
      <c r="F1156" t="s">
        <v>197</v>
      </c>
      <c r="G1156" t="s">
        <v>197</v>
      </c>
      <c r="H1156" t="s">
        <v>197</v>
      </c>
      <c r="I1156" t="s">
        <v>197</v>
      </c>
      <c r="J1156" t="s">
        <v>197</v>
      </c>
      <c r="K1156" t="s">
        <v>802</v>
      </c>
    </row>
    <row r="1157" spans="1:24">
      <c r="B1157" t="s">
        <v>197</v>
      </c>
      <c r="C1157" t="s">
        <v>197</v>
      </c>
      <c r="D1157" t="s">
        <v>197</v>
      </c>
      <c r="E1157" t="s">
        <v>197</v>
      </c>
      <c r="F1157" t="s">
        <v>197</v>
      </c>
      <c r="G1157" t="s">
        <v>197</v>
      </c>
      <c r="H1157" t="s">
        <v>197</v>
      </c>
      <c r="I1157" t="s">
        <v>197</v>
      </c>
      <c r="J1157" t="s">
        <v>197</v>
      </c>
      <c r="K1157" t="s">
        <v>803</v>
      </c>
    </row>
    <row r="1158" spans="1:24">
      <c r="B1158" t="s">
        <v>197</v>
      </c>
      <c r="C1158" t="s">
        <v>197</v>
      </c>
      <c r="D1158" t="s">
        <v>197</v>
      </c>
      <c r="E1158" t="s">
        <v>197</v>
      </c>
      <c r="F1158" t="s">
        <v>197</v>
      </c>
      <c r="G1158" t="s">
        <v>197</v>
      </c>
      <c r="H1158" t="s">
        <v>197</v>
      </c>
      <c r="I1158" t="s">
        <v>197</v>
      </c>
      <c r="J1158" t="s">
        <v>197</v>
      </c>
      <c r="K1158" t="s">
        <v>804</v>
      </c>
    </row>
    <row r="1159" spans="1:24">
      <c r="B1159" t="s">
        <v>197</v>
      </c>
      <c r="C1159" t="s">
        <v>197</v>
      </c>
      <c r="D1159" t="s">
        <v>197</v>
      </c>
      <c r="E1159" t="s">
        <v>197</v>
      </c>
      <c r="F1159" t="s">
        <v>197</v>
      </c>
      <c r="G1159" t="s">
        <v>197</v>
      </c>
      <c r="H1159" t="s">
        <v>197</v>
      </c>
      <c r="I1159" t="s">
        <v>197</v>
      </c>
      <c r="J1159" t="s">
        <v>197</v>
      </c>
      <c r="K1159" t="s">
        <v>805</v>
      </c>
    </row>
    <row r="1160" spans="1:24">
      <c r="B1160" t="s">
        <v>197</v>
      </c>
      <c r="C1160" t="s">
        <v>197</v>
      </c>
      <c r="D1160" t="s">
        <v>197</v>
      </c>
      <c r="E1160" t="s">
        <v>197</v>
      </c>
      <c r="F1160" t="s">
        <v>197</v>
      </c>
      <c r="G1160" t="s">
        <v>197</v>
      </c>
      <c r="H1160" t="s">
        <v>197</v>
      </c>
      <c r="I1160" t="s">
        <v>197</v>
      </c>
      <c r="J1160" t="s">
        <v>197</v>
      </c>
      <c r="K1160" t="s">
        <v>806</v>
      </c>
    </row>
    <row r="1161" spans="1:24">
      <c r="B1161" t="s">
        <v>197</v>
      </c>
      <c r="C1161" t="s">
        <v>197</v>
      </c>
      <c r="D1161" t="s">
        <v>197</v>
      </c>
      <c r="E1161" t="s">
        <v>197</v>
      </c>
      <c r="F1161" t="s">
        <v>197</v>
      </c>
      <c r="G1161" t="s">
        <v>197</v>
      </c>
      <c r="H1161" t="s">
        <v>197</v>
      </c>
      <c r="I1161" t="s">
        <v>197</v>
      </c>
      <c r="J1161" t="s">
        <v>197</v>
      </c>
      <c r="K1161" t="s">
        <v>807</v>
      </c>
    </row>
    <row r="1162" spans="1:24">
      <c r="A1162" t="s">
        <v>1093</v>
      </c>
      <c r="K1162" t="s">
        <v>1094</v>
      </c>
      <c r="W1162" s="1" t="str">
        <f>HYPERLINK("#2026042000hbase1!BI2","NO 源备存在差异，共14个")</f>
        <v>NO 源备存在差异，共14个</v>
      </c>
      <c r="X1162" t="str">
        <f>A1162</f>
        <v>info_varbinary_dml_batch2_pk_irp1</v>
      </c>
    </row>
    <row r="1163" spans="1:24">
      <c r="B1163" t="s">
        <v>196</v>
      </c>
      <c r="C1163" t="s">
        <v>197</v>
      </c>
      <c r="D1163" t="s">
        <v>197</v>
      </c>
      <c r="E1163" t="s">
        <v>197</v>
      </c>
      <c r="F1163" t="s">
        <v>197</v>
      </c>
      <c r="G1163" t="s">
        <v>197</v>
      </c>
      <c r="H1163" t="s">
        <v>197</v>
      </c>
      <c r="I1163" t="s">
        <v>1095</v>
      </c>
      <c r="J1163" t="s">
        <v>199</v>
      </c>
      <c r="K1163" t="s">
        <v>200</v>
      </c>
    </row>
    <row r="1164" spans="1:24">
      <c r="B1164" t="s">
        <v>197</v>
      </c>
      <c r="C1164" t="s">
        <v>197</v>
      </c>
      <c r="D1164" t="s">
        <v>197</v>
      </c>
      <c r="E1164" t="s">
        <v>197</v>
      </c>
      <c r="F1164" t="s">
        <v>197</v>
      </c>
      <c r="G1164" t="s">
        <v>197</v>
      </c>
      <c r="H1164" t="s">
        <v>197</v>
      </c>
      <c r="I1164" t="s">
        <v>197</v>
      </c>
      <c r="J1164" t="s">
        <v>197</v>
      </c>
      <c r="K1164" t="s">
        <v>495</v>
      </c>
    </row>
    <row r="1165" spans="1:24">
      <c r="B1165" t="s">
        <v>197</v>
      </c>
      <c r="C1165" t="s">
        <v>197</v>
      </c>
      <c r="D1165" t="s">
        <v>197</v>
      </c>
      <c r="E1165" t="s">
        <v>197</v>
      </c>
      <c r="F1165" t="s">
        <v>197</v>
      </c>
      <c r="G1165" t="s">
        <v>197</v>
      </c>
      <c r="H1165" t="s">
        <v>197</v>
      </c>
      <c r="I1165" t="s">
        <v>197</v>
      </c>
      <c r="J1165" t="s">
        <v>197</v>
      </c>
      <c r="K1165" t="s">
        <v>499</v>
      </c>
    </row>
    <row r="1166" spans="1:24">
      <c r="B1166" t="s">
        <v>197</v>
      </c>
      <c r="C1166" t="s">
        <v>197</v>
      </c>
      <c r="D1166" t="s">
        <v>197</v>
      </c>
      <c r="E1166" t="s">
        <v>197</v>
      </c>
      <c r="F1166" t="s">
        <v>197</v>
      </c>
      <c r="G1166" t="s">
        <v>197</v>
      </c>
      <c r="H1166" t="s">
        <v>197</v>
      </c>
      <c r="I1166" t="s">
        <v>197</v>
      </c>
      <c r="J1166" t="s">
        <v>197</v>
      </c>
      <c r="K1166" t="s">
        <v>503</v>
      </c>
    </row>
    <row r="1167" spans="1:24">
      <c r="A1167" t="s">
        <v>1096</v>
      </c>
      <c r="K1167" t="s">
        <v>1097</v>
      </c>
      <c r="W1167" t="s">
        <v>171</v>
      </c>
      <c r="X1167" t="str">
        <f>A1167</f>
        <v>info_time_dml_batch1_pk_urp1</v>
      </c>
    </row>
    <row r="1168" spans="1:24">
      <c r="B1168" t="s">
        <v>196</v>
      </c>
      <c r="C1168" t="s">
        <v>197</v>
      </c>
      <c r="D1168" t="s">
        <v>197</v>
      </c>
      <c r="E1168" t="s">
        <v>197</v>
      </c>
      <c r="F1168" t="s">
        <v>197</v>
      </c>
      <c r="G1168" t="s">
        <v>197</v>
      </c>
      <c r="H1168" t="s">
        <v>197</v>
      </c>
      <c r="I1168" t="s">
        <v>1098</v>
      </c>
      <c r="J1168" t="s">
        <v>199</v>
      </c>
      <c r="K1168" t="s">
        <v>200</v>
      </c>
    </row>
    <row r="1169" spans="1:24">
      <c r="B1169" t="s">
        <v>197</v>
      </c>
      <c r="C1169" t="s">
        <v>197</v>
      </c>
      <c r="D1169" t="s">
        <v>197</v>
      </c>
      <c r="E1169" t="s">
        <v>197</v>
      </c>
      <c r="F1169" t="s">
        <v>197</v>
      </c>
      <c r="G1169" t="s">
        <v>197</v>
      </c>
      <c r="H1169" t="s">
        <v>197</v>
      </c>
      <c r="I1169" t="s">
        <v>197</v>
      </c>
      <c r="J1169" t="s">
        <v>197</v>
      </c>
      <c r="K1169" t="s">
        <v>800</v>
      </c>
    </row>
    <row r="1170" spans="1:24">
      <c r="B1170" t="s">
        <v>197</v>
      </c>
      <c r="C1170" t="s">
        <v>197</v>
      </c>
      <c r="D1170" t="s">
        <v>197</v>
      </c>
      <c r="E1170" t="s">
        <v>197</v>
      </c>
      <c r="F1170" t="s">
        <v>197</v>
      </c>
      <c r="G1170" t="s">
        <v>197</v>
      </c>
      <c r="H1170" t="s">
        <v>197</v>
      </c>
      <c r="I1170" t="s">
        <v>197</v>
      </c>
      <c r="J1170" t="s">
        <v>197</v>
      </c>
      <c r="K1170" t="s">
        <v>801</v>
      </c>
    </row>
    <row r="1171" spans="1:24">
      <c r="B1171" t="s">
        <v>197</v>
      </c>
      <c r="C1171" t="s">
        <v>197</v>
      </c>
      <c r="D1171" t="s">
        <v>197</v>
      </c>
      <c r="E1171" t="s">
        <v>197</v>
      </c>
      <c r="F1171" t="s">
        <v>197</v>
      </c>
      <c r="G1171" t="s">
        <v>197</v>
      </c>
      <c r="H1171" t="s">
        <v>197</v>
      </c>
      <c r="I1171" t="s">
        <v>197</v>
      </c>
      <c r="J1171" t="s">
        <v>197</v>
      </c>
      <c r="K1171" t="s">
        <v>802</v>
      </c>
    </row>
    <row r="1172" spans="1:24">
      <c r="B1172" t="s">
        <v>197</v>
      </c>
      <c r="C1172" t="s">
        <v>197</v>
      </c>
      <c r="D1172" t="s">
        <v>197</v>
      </c>
      <c r="E1172" t="s">
        <v>197</v>
      </c>
      <c r="F1172" t="s">
        <v>197</v>
      </c>
      <c r="G1172" t="s">
        <v>197</v>
      </c>
      <c r="H1172" t="s">
        <v>197</v>
      </c>
      <c r="I1172" t="s">
        <v>197</v>
      </c>
      <c r="J1172" t="s">
        <v>197</v>
      </c>
      <c r="K1172" t="s">
        <v>803</v>
      </c>
    </row>
    <row r="1173" spans="1:24">
      <c r="B1173" t="s">
        <v>197</v>
      </c>
      <c r="C1173" t="s">
        <v>197</v>
      </c>
      <c r="D1173" t="s">
        <v>197</v>
      </c>
      <c r="E1173" t="s">
        <v>197</v>
      </c>
      <c r="F1173" t="s">
        <v>197</v>
      </c>
      <c r="G1173" t="s">
        <v>197</v>
      </c>
      <c r="H1173" t="s">
        <v>197</v>
      </c>
      <c r="I1173" t="s">
        <v>197</v>
      </c>
      <c r="J1173" t="s">
        <v>197</v>
      </c>
      <c r="K1173" t="s">
        <v>804</v>
      </c>
    </row>
    <row r="1174" spans="1:24">
      <c r="B1174" t="s">
        <v>197</v>
      </c>
      <c r="C1174" t="s">
        <v>197</v>
      </c>
      <c r="D1174" t="s">
        <v>197</v>
      </c>
      <c r="E1174" t="s">
        <v>197</v>
      </c>
      <c r="F1174" t="s">
        <v>197</v>
      </c>
      <c r="G1174" t="s">
        <v>197</v>
      </c>
      <c r="H1174" t="s">
        <v>197</v>
      </c>
      <c r="I1174" t="s">
        <v>197</v>
      </c>
      <c r="J1174" t="s">
        <v>197</v>
      </c>
      <c r="K1174" t="s">
        <v>805</v>
      </c>
    </row>
    <row r="1175" spans="1:24">
      <c r="B1175" t="s">
        <v>197</v>
      </c>
      <c r="C1175" t="s">
        <v>197</v>
      </c>
      <c r="D1175" t="s">
        <v>197</v>
      </c>
      <c r="E1175" t="s">
        <v>197</v>
      </c>
      <c r="F1175" t="s">
        <v>197</v>
      </c>
      <c r="G1175" t="s">
        <v>197</v>
      </c>
      <c r="H1175" t="s">
        <v>197</v>
      </c>
      <c r="I1175" t="s">
        <v>197</v>
      </c>
      <c r="J1175" t="s">
        <v>197</v>
      </c>
      <c r="K1175" t="s">
        <v>806</v>
      </c>
    </row>
    <row r="1176" spans="1:24">
      <c r="B1176" t="s">
        <v>197</v>
      </c>
      <c r="C1176" t="s">
        <v>197</v>
      </c>
      <c r="D1176" t="s">
        <v>197</v>
      </c>
      <c r="E1176" t="s">
        <v>197</v>
      </c>
      <c r="F1176" t="s">
        <v>197</v>
      </c>
      <c r="G1176" t="s">
        <v>197</v>
      </c>
      <c r="H1176" t="s">
        <v>197</v>
      </c>
      <c r="I1176" t="s">
        <v>197</v>
      </c>
      <c r="J1176" t="s">
        <v>197</v>
      </c>
      <c r="K1176" t="s">
        <v>807</v>
      </c>
    </row>
    <row r="1177" spans="1:24">
      <c r="A1177" t="s">
        <v>1099</v>
      </c>
      <c r="K1177" t="s">
        <v>1100</v>
      </c>
      <c r="W1177" s="1" t="str">
        <f>HYPERLINK("#2026042000hbase1!BJ2","NO 源备存在差异，共2个")</f>
        <v>NO 源备存在差异，共2个</v>
      </c>
      <c r="X1177" t="str">
        <f>A1177</f>
        <v>info_sql_variant_dml_single_pk</v>
      </c>
    </row>
    <row r="1178" spans="1:24">
      <c r="B1178" t="s">
        <v>196</v>
      </c>
      <c r="C1178" t="s">
        <v>197</v>
      </c>
      <c r="D1178" t="s">
        <v>197</v>
      </c>
      <c r="E1178" t="s">
        <v>197</v>
      </c>
      <c r="F1178" t="s">
        <v>197</v>
      </c>
      <c r="G1178" t="s">
        <v>197</v>
      </c>
      <c r="H1178" t="s">
        <v>197</v>
      </c>
      <c r="I1178" t="s">
        <v>1101</v>
      </c>
      <c r="J1178" t="s">
        <v>199</v>
      </c>
      <c r="K1178" t="s">
        <v>200</v>
      </c>
    </row>
    <row r="1179" spans="1:24">
      <c r="B1179" t="s">
        <v>197</v>
      </c>
      <c r="C1179" t="s">
        <v>197</v>
      </c>
      <c r="D1179" t="s">
        <v>197</v>
      </c>
      <c r="E1179" t="s">
        <v>197</v>
      </c>
      <c r="F1179" t="s">
        <v>197</v>
      </c>
      <c r="G1179" t="s">
        <v>197</v>
      </c>
      <c r="H1179" t="s">
        <v>197</v>
      </c>
      <c r="I1179" t="s">
        <v>197</v>
      </c>
      <c r="J1179" t="s">
        <v>197</v>
      </c>
      <c r="K1179" t="s">
        <v>1006</v>
      </c>
    </row>
    <row r="1180" spans="1:24">
      <c r="B1180" t="s">
        <v>197</v>
      </c>
      <c r="C1180" t="s">
        <v>197</v>
      </c>
      <c r="D1180" t="s">
        <v>197</v>
      </c>
      <c r="E1180" t="s">
        <v>197</v>
      </c>
      <c r="F1180" t="s">
        <v>197</v>
      </c>
      <c r="G1180" t="s">
        <v>197</v>
      </c>
      <c r="H1180" t="s">
        <v>197</v>
      </c>
      <c r="I1180" t="s">
        <v>197</v>
      </c>
      <c r="J1180" t="s">
        <v>197</v>
      </c>
      <c r="K1180" t="s">
        <v>1007</v>
      </c>
    </row>
    <row r="1181" spans="1:24">
      <c r="B1181" t="s">
        <v>197</v>
      </c>
      <c r="C1181" t="s">
        <v>197</v>
      </c>
      <c r="D1181" t="s">
        <v>197</v>
      </c>
      <c r="E1181" t="s">
        <v>197</v>
      </c>
      <c r="F1181" t="s">
        <v>197</v>
      </c>
      <c r="G1181" t="s">
        <v>197</v>
      </c>
      <c r="H1181" t="s">
        <v>197</v>
      </c>
      <c r="I1181" t="s">
        <v>197</v>
      </c>
      <c r="J1181" t="s">
        <v>197</v>
      </c>
      <c r="K1181" t="s">
        <v>1008</v>
      </c>
    </row>
    <row r="1182" spans="1:24">
      <c r="B1182" t="s">
        <v>197</v>
      </c>
      <c r="C1182" t="s">
        <v>197</v>
      </c>
      <c r="D1182" t="s">
        <v>197</v>
      </c>
      <c r="E1182" t="s">
        <v>197</v>
      </c>
      <c r="F1182" t="s">
        <v>197</v>
      </c>
      <c r="G1182" t="s">
        <v>197</v>
      </c>
      <c r="H1182" t="s">
        <v>197</v>
      </c>
      <c r="I1182" t="s">
        <v>197</v>
      </c>
      <c r="J1182" t="s">
        <v>197</v>
      </c>
      <c r="K1182" t="s">
        <v>1009</v>
      </c>
    </row>
    <row r="1183" spans="1:24">
      <c r="B1183" t="s">
        <v>197</v>
      </c>
      <c r="C1183" t="s">
        <v>197</v>
      </c>
      <c r="D1183" t="s">
        <v>197</v>
      </c>
      <c r="E1183" t="s">
        <v>197</v>
      </c>
      <c r="F1183" t="s">
        <v>197</v>
      </c>
      <c r="G1183" t="s">
        <v>197</v>
      </c>
      <c r="H1183" t="s">
        <v>197</v>
      </c>
      <c r="I1183" t="s">
        <v>197</v>
      </c>
      <c r="J1183" t="s">
        <v>197</v>
      </c>
      <c r="K1183" t="s">
        <v>1010</v>
      </c>
    </row>
    <row r="1184" spans="1:24">
      <c r="B1184" t="s">
        <v>197</v>
      </c>
      <c r="C1184" t="s">
        <v>197</v>
      </c>
      <c r="D1184" t="s">
        <v>197</v>
      </c>
      <c r="E1184" t="s">
        <v>197</v>
      </c>
      <c r="F1184" t="s">
        <v>197</v>
      </c>
      <c r="G1184" t="s">
        <v>197</v>
      </c>
      <c r="H1184" t="s">
        <v>197</v>
      </c>
      <c r="I1184" t="s">
        <v>197</v>
      </c>
      <c r="J1184" t="s">
        <v>197</v>
      </c>
      <c r="K1184" t="s">
        <v>1011</v>
      </c>
    </row>
    <row r="1185" spans="2:11">
      <c r="B1185" t="s">
        <v>197</v>
      </c>
      <c r="C1185" t="s">
        <v>197</v>
      </c>
      <c r="D1185" t="s">
        <v>197</v>
      </c>
      <c r="E1185" t="s">
        <v>197</v>
      </c>
      <c r="F1185" t="s">
        <v>197</v>
      </c>
      <c r="G1185" t="s">
        <v>197</v>
      </c>
      <c r="H1185" t="s">
        <v>197</v>
      </c>
      <c r="I1185" t="s">
        <v>197</v>
      </c>
      <c r="J1185" t="s">
        <v>197</v>
      </c>
      <c r="K1185" t="s">
        <v>1012</v>
      </c>
    </row>
    <row r="1186" spans="2:11">
      <c r="B1186" t="s">
        <v>197</v>
      </c>
      <c r="C1186" t="s">
        <v>197</v>
      </c>
      <c r="D1186" t="s">
        <v>197</v>
      </c>
      <c r="E1186" t="s">
        <v>197</v>
      </c>
      <c r="F1186" t="s">
        <v>197</v>
      </c>
      <c r="G1186" t="s">
        <v>197</v>
      </c>
      <c r="H1186" t="s">
        <v>197</v>
      </c>
      <c r="I1186" t="s">
        <v>197</v>
      </c>
      <c r="J1186" t="s">
        <v>197</v>
      </c>
      <c r="K1186" t="s">
        <v>1013</v>
      </c>
    </row>
    <row r="1187" spans="2:11">
      <c r="B1187" t="s">
        <v>197</v>
      </c>
      <c r="C1187" t="s">
        <v>197</v>
      </c>
      <c r="D1187" t="s">
        <v>197</v>
      </c>
      <c r="E1187" t="s">
        <v>197</v>
      </c>
      <c r="F1187" t="s">
        <v>197</v>
      </c>
      <c r="G1187" t="s">
        <v>197</v>
      </c>
      <c r="H1187" t="s">
        <v>197</v>
      </c>
      <c r="I1187" t="s">
        <v>197</v>
      </c>
      <c r="J1187" t="s">
        <v>197</v>
      </c>
      <c r="K1187" t="s">
        <v>1014</v>
      </c>
    </row>
    <row r="1188" spans="2:11">
      <c r="B1188" t="s">
        <v>197</v>
      </c>
      <c r="C1188" t="s">
        <v>197</v>
      </c>
      <c r="D1188" t="s">
        <v>197</v>
      </c>
      <c r="E1188" t="s">
        <v>197</v>
      </c>
      <c r="F1188" t="s">
        <v>197</v>
      </c>
      <c r="G1188" t="s">
        <v>197</v>
      </c>
      <c r="H1188" t="s">
        <v>197</v>
      </c>
      <c r="I1188" t="s">
        <v>197</v>
      </c>
      <c r="J1188" t="s">
        <v>197</v>
      </c>
      <c r="K1188" t="s">
        <v>1015</v>
      </c>
    </row>
    <row r="1189" spans="2:11">
      <c r="B1189" t="s">
        <v>197</v>
      </c>
      <c r="C1189" t="s">
        <v>197</v>
      </c>
      <c r="D1189" t="s">
        <v>197</v>
      </c>
      <c r="E1189" t="s">
        <v>197</v>
      </c>
      <c r="F1189" t="s">
        <v>197</v>
      </c>
      <c r="G1189" t="s">
        <v>197</v>
      </c>
      <c r="H1189" t="s">
        <v>197</v>
      </c>
      <c r="I1189" t="s">
        <v>197</v>
      </c>
      <c r="J1189" t="s">
        <v>197</v>
      </c>
      <c r="K1189" t="s">
        <v>1016</v>
      </c>
    </row>
    <row r="1190" spans="2:11">
      <c r="B1190" t="s">
        <v>197</v>
      </c>
      <c r="C1190" t="s">
        <v>197</v>
      </c>
      <c r="D1190" t="s">
        <v>197</v>
      </c>
      <c r="E1190" t="s">
        <v>197</v>
      </c>
      <c r="F1190" t="s">
        <v>197</v>
      </c>
      <c r="G1190" t="s">
        <v>197</v>
      </c>
      <c r="H1190" t="s">
        <v>197</v>
      </c>
      <c r="I1190" t="s">
        <v>197</v>
      </c>
      <c r="J1190" t="s">
        <v>197</v>
      </c>
      <c r="K1190" t="s">
        <v>1017</v>
      </c>
    </row>
    <row r="1191" spans="2:11">
      <c r="B1191" t="s">
        <v>197</v>
      </c>
      <c r="C1191" t="s">
        <v>197</v>
      </c>
      <c r="D1191" t="s">
        <v>197</v>
      </c>
      <c r="E1191" t="s">
        <v>197</v>
      </c>
      <c r="F1191" t="s">
        <v>197</v>
      </c>
      <c r="G1191" t="s">
        <v>197</v>
      </c>
      <c r="H1191" t="s">
        <v>197</v>
      </c>
      <c r="I1191" t="s">
        <v>197</v>
      </c>
      <c r="J1191" t="s">
        <v>197</v>
      </c>
      <c r="K1191" t="s">
        <v>1018</v>
      </c>
    </row>
    <row r="1192" spans="2:11">
      <c r="B1192" t="s">
        <v>197</v>
      </c>
      <c r="C1192" t="s">
        <v>197</v>
      </c>
      <c r="D1192" t="s">
        <v>197</v>
      </c>
      <c r="E1192" t="s">
        <v>197</v>
      </c>
      <c r="F1192" t="s">
        <v>197</v>
      </c>
      <c r="G1192" t="s">
        <v>197</v>
      </c>
      <c r="H1192" t="s">
        <v>197</v>
      </c>
      <c r="I1192" t="s">
        <v>197</v>
      </c>
      <c r="J1192" t="s">
        <v>197</v>
      </c>
      <c r="K1192" t="s">
        <v>1019</v>
      </c>
    </row>
    <row r="1193" spans="2:11">
      <c r="B1193" t="s">
        <v>197</v>
      </c>
      <c r="C1193" t="s">
        <v>197</v>
      </c>
      <c r="D1193" t="s">
        <v>197</v>
      </c>
      <c r="E1193" t="s">
        <v>197</v>
      </c>
      <c r="F1193" t="s">
        <v>197</v>
      </c>
      <c r="G1193" t="s">
        <v>197</v>
      </c>
      <c r="H1193" t="s">
        <v>197</v>
      </c>
      <c r="I1193" t="s">
        <v>197</v>
      </c>
      <c r="J1193" t="s">
        <v>197</v>
      </c>
      <c r="K1193" t="s">
        <v>1020</v>
      </c>
    </row>
    <row r="1194" spans="2:11">
      <c r="B1194" t="s">
        <v>197</v>
      </c>
      <c r="C1194" t="s">
        <v>197</v>
      </c>
      <c r="D1194" t="s">
        <v>197</v>
      </c>
      <c r="E1194" t="s">
        <v>197</v>
      </c>
      <c r="F1194" t="s">
        <v>197</v>
      </c>
      <c r="G1194" t="s">
        <v>197</v>
      </c>
      <c r="H1194" t="s">
        <v>197</v>
      </c>
      <c r="I1194" t="s">
        <v>197</v>
      </c>
      <c r="J1194" t="s">
        <v>197</v>
      </c>
      <c r="K1194" t="s">
        <v>1021</v>
      </c>
    </row>
    <row r="1195" spans="2:11">
      <c r="B1195" t="s">
        <v>197</v>
      </c>
      <c r="C1195" t="s">
        <v>197</v>
      </c>
      <c r="D1195" t="s">
        <v>197</v>
      </c>
      <c r="E1195" t="s">
        <v>197</v>
      </c>
      <c r="F1195" t="s">
        <v>197</v>
      </c>
      <c r="G1195" t="s">
        <v>197</v>
      </c>
      <c r="H1195" t="s">
        <v>197</v>
      </c>
      <c r="I1195" t="s">
        <v>197</v>
      </c>
      <c r="J1195" t="s">
        <v>197</v>
      </c>
      <c r="K1195" t="s">
        <v>1022</v>
      </c>
    </row>
    <row r="1196" spans="2:11">
      <c r="B1196" t="s">
        <v>197</v>
      </c>
      <c r="C1196" t="s">
        <v>197</v>
      </c>
      <c r="D1196" t="s">
        <v>197</v>
      </c>
      <c r="E1196" t="s">
        <v>197</v>
      </c>
      <c r="F1196" t="s">
        <v>197</v>
      </c>
      <c r="G1196" t="s">
        <v>197</v>
      </c>
      <c r="H1196" t="s">
        <v>197</v>
      </c>
      <c r="I1196" t="s">
        <v>197</v>
      </c>
      <c r="J1196" t="s">
        <v>197</v>
      </c>
      <c r="K1196" t="s">
        <v>1023</v>
      </c>
    </row>
    <row r="1197" spans="2:11">
      <c r="B1197" t="s">
        <v>197</v>
      </c>
      <c r="C1197" t="s">
        <v>197</v>
      </c>
      <c r="D1197" t="s">
        <v>197</v>
      </c>
      <c r="E1197" t="s">
        <v>197</v>
      </c>
      <c r="F1197" t="s">
        <v>197</v>
      </c>
      <c r="G1197" t="s">
        <v>197</v>
      </c>
      <c r="H1197" t="s">
        <v>197</v>
      </c>
      <c r="I1197" t="s">
        <v>197</v>
      </c>
      <c r="J1197" t="s">
        <v>197</v>
      </c>
      <c r="K1197" t="s">
        <v>1024</v>
      </c>
    </row>
    <row r="1198" spans="2:11">
      <c r="B1198" t="s">
        <v>197</v>
      </c>
      <c r="C1198" t="s">
        <v>197</v>
      </c>
      <c r="D1198" t="s">
        <v>197</v>
      </c>
      <c r="E1198" t="s">
        <v>197</v>
      </c>
      <c r="F1198" t="s">
        <v>197</v>
      </c>
      <c r="G1198" t="s">
        <v>197</v>
      </c>
      <c r="H1198" t="s">
        <v>197</v>
      </c>
      <c r="I1198" t="s">
        <v>197</v>
      </c>
      <c r="J1198" t="s">
        <v>197</v>
      </c>
      <c r="K1198" t="s">
        <v>1025</v>
      </c>
    </row>
    <row r="1199" spans="2:11">
      <c r="B1199" t="s">
        <v>197</v>
      </c>
      <c r="C1199" t="s">
        <v>197</v>
      </c>
      <c r="D1199" t="s">
        <v>197</v>
      </c>
      <c r="E1199" t="s">
        <v>197</v>
      </c>
      <c r="F1199" t="s">
        <v>197</v>
      </c>
      <c r="G1199" t="s">
        <v>197</v>
      </c>
      <c r="H1199" t="s">
        <v>197</v>
      </c>
      <c r="I1199" t="s">
        <v>197</v>
      </c>
      <c r="J1199" t="s">
        <v>197</v>
      </c>
      <c r="K1199" t="s">
        <v>1026</v>
      </c>
    </row>
    <row r="1200" spans="2:11">
      <c r="B1200" t="s">
        <v>197</v>
      </c>
      <c r="C1200" t="s">
        <v>197</v>
      </c>
      <c r="D1200" t="s">
        <v>197</v>
      </c>
      <c r="E1200" t="s">
        <v>197</v>
      </c>
      <c r="F1200" t="s">
        <v>197</v>
      </c>
      <c r="G1200" t="s">
        <v>197</v>
      </c>
      <c r="H1200" t="s">
        <v>197</v>
      </c>
      <c r="I1200" t="s">
        <v>197</v>
      </c>
      <c r="J1200" t="s">
        <v>197</v>
      </c>
      <c r="K1200" t="s">
        <v>1027</v>
      </c>
    </row>
    <row r="1201" spans="1:24">
      <c r="B1201" t="s">
        <v>197</v>
      </c>
      <c r="C1201" t="s">
        <v>197</v>
      </c>
      <c r="D1201" t="s">
        <v>197</v>
      </c>
      <c r="E1201" t="s">
        <v>197</v>
      </c>
      <c r="F1201" t="s">
        <v>197</v>
      </c>
      <c r="G1201" t="s">
        <v>197</v>
      </c>
      <c r="H1201" t="s">
        <v>197</v>
      </c>
      <c r="I1201" t="s">
        <v>197</v>
      </c>
      <c r="J1201" t="s">
        <v>197</v>
      </c>
      <c r="K1201" t="s">
        <v>1028</v>
      </c>
    </row>
    <row r="1202" spans="1:24">
      <c r="B1202" t="s">
        <v>197</v>
      </c>
      <c r="C1202" t="s">
        <v>197</v>
      </c>
      <c r="D1202" t="s">
        <v>197</v>
      </c>
      <c r="E1202" t="s">
        <v>197</v>
      </c>
      <c r="F1202" t="s">
        <v>197</v>
      </c>
      <c r="G1202" t="s">
        <v>197</v>
      </c>
      <c r="H1202" t="s">
        <v>197</v>
      </c>
      <c r="I1202" t="s">
        <v>197</v>
      </c>
      <c r="J1202" t="s">
        <v>197</v>
      </c>
      <c r="K1202" t="s">
        <v>1029</v>
      </c>
    </row>
    <row r="1203" spans="1:24">
      <c r="A1203" t="s">
        <v>1102</v>
      </c>
      <c r="K1203" t="s">
        <v>1103</v>
      </c>
      <c r="W1203" t="s">
        <v>171</v>
      </c>
      <c r="X1203" t="str">
        <f>A1203</f>
        <v>info_uniqueidentifier_dml_single_pk_drp</v>
      </c>
    </row>
    <row r="1204" spans="1:24">
      <c r="B1204" t="s">
        <v>196</v>
      </c>
      <c r="C1204" t="s">
        <v>197</v>
      </c>
      <c r="D1204" t="s">
        <v>197</v>
      </c>
      <c r="E1204" t="s">
        <v>197</v>
      </c>
      <c r="F1204" t="s">
        <v>197</v>
      </c>
      <c r="G1204" t="s">
        <v>197</v>
      </c>
      <c r="H1204" t="s">
        <v>197</v>
      </c>
      <c r="I1204" t="s">
        <v>1104</v>
      </c>
      <c r="J1204" t="s">
        <v>199</v>
      </c>
      <c r="K1204" t="s">
        <v>200</v>
      </c>
    </row>
    <row r="1205" spans="1:24">
      <c r="B1205" t="s">
        <v>197</v>
      </c>
      <c r="C1205" t="s">
        <v>197</v>
      </c>
      <c r="D1205" t="s">
        <v>197</v>
      </c>
      <c r="E1205" t="s">
        <v>197</v>
      </c>
      <c r="F1205" t="s">
        <v>197</v>
      </c>
      <c r="G1205" t="s">
        <v>197</v>
      </c>
      <c r="H1205" t="s">
        <v>197</v>
      </c>
      <c r="I1205" t="s">
        <v>197</v>
      </c>
      <c r="J1205" t="s">
        <v>197</v>
      </c>
      <c r="K1205" t="s">
        <v>1039</v>
      </c>
    </row>
    <row r="1206" spans="1:24">
      <c r="A1206" t="s">
        <v>1105</v>
      </c>
      <c r="K1206" t="s">
        <v>1106</v>
      </c>
      <c r="W1206" t="s">
        <v>171</v>
      </c>
      <c r="X1206" t="str">
        <f>A1206</f>
        <v>info_time_dml_batch1_pk_urp2</v>
      </c>
    </row>
    <row r="1207" spans="1:24">
      <c r="B1207" t="s">
        <v>196</v>
      </c>
      <c r="C1207" t="s">
        <v>197</v>
      </c>
      <c r="D1207" t="s">
        <v>197</v>
      </c>
      <c r="E1207" t="s">
        <v>197</v>
      </c>
      <c r="F1207" t="s">
        <v>197</v>
      </c>
      <c r="G1207" t="s">
        <v>197</v>
      </c>
      <c r="H1207" t="s">
        <v>197</v>
      </c>
      <c r="I1207" t="s">
        <v>1107</v>
      </c>
      <c r="J1207" t="s">
        <v>199</v>
      </c>
      <c r="K1207" t="s">
        <v>200</v>
      </c>
    </row>
    <row r="1208" spans="1:24">
      <c r="B1208" t="s">
        <v>197</v>
      </c>
      <c r="C1208" t="s">
        <v>197</v>
      </c>
      <c r="D1208" t="s">
        <v>197</v>
      </c>
      <c r="E1208" t="s">
        <v>197</v>
      </c>
      <c r="F1208" t="s">
        <v>197</v>
      </c>
      <c r="G1208" t="s">
        <v>197</v>
      </c>
      <c r="H1208" t="s">
        <v>197</v>
      </c>
      <c r="I1208" t="s">
        <v>197</v>
      </c>
      <c r="J1208" t="s">
        <v>197</v>
      </c>
      <c r="K1208" t="s">
        <v>800</v>
      </c>
    </row>
    <row r="1209" spans="1:24">
      <c r="B1209" t="s">
        <v>197</v>
      </c>
      <c r="C1209" t="s">
        <v>197</v>
      </c>
      <c r="D1209" t="s">
        <v>197</v>
      </c>
      <c r="E1209" t="s">
        <v>197</v>
      </c>
      <c r="F1209" t="s">
        <v>197</v>
      </c>
      <c r="G1209" t="s">
        <v>197</v>
      </c>
      <c r="H1209" t="s">
        <v>197</v>
      </c>
      <c r="I1209" t="s">
        <v>197</v>
      </c>
      <c r="J1209" t="s">
        <v>197</v>
      </c>
      <c r="K1209" t="s">
        <v>801</v>
      </c>
    </row>
    <row r="1210" spans="1:24">
      <c r="B1210" t="s">
        <v>197</v>
      </c>
      <c r="C1210" t="s">
        <v>197</v>
      </c>
      <c r="D1210" t="s">
        <v>197</v>
      </c>
      <c r="E1210" t="s">
        <v>197</v>
      </c>
      <c r="F1210" t="s">
        <v>197</v>
      </c>
      <c r="G1210" t="s">
        <v>197</v>
      </c>
      <c r="H1210" t="s">
        <v>197</v>
      </c>
      <c r="I1210" t="s">
        <v>197</v>
      </c>
      <c r="J1210" t="s">
        <v>197</v>
      </c>
      <c r="K1210" t="s">
        <v>802</v>
      </c>
    </row>
    <row r="1211" spans="1:24">
      <c r="B1211" t="s">
        <v>197</v>
      </c>
      <c r="C1211" t="s">
        <v>197</v>
      </c>
      <c r="D1211" t="s">
        <v>197</v>
      </c>
      <c r="E1211" t="s">
        <v>197</v>
      </c>
      <c r="F1211" t="s">
        <v>197</v>
      </c>
      <c r="G1211" t="s">
        <v>197</v>
      </c>
      <c r="H1211" t="s">
        <v>197</v>
      </c>
      <c r="I1211" t="s">
        <v>197</v>
      </c>
      <c r="J1211" t="s">
        <v>197</v>
      </c>
      <c r="K1211" t="s">
        <v>803</v>
      </c>
    </row>
    <row r="1212" spans="1:24">
      <c r="B1212" t="s">
        <v>197</v>
      </c>
      <c r="C1212" t="s">
        <v>197</v>
      </c>
      <c r="D1212" t="s">
        <v>197</v>
      </c>
      <c r="E1212" t="s">
        <v>197</v>
      </c>
      <c r="F1212" t="s">
        <v>197</v>
      </c>
      <c r="G1212" t="s">
        <v>197</v>
      </c>
      <c r="H1212" t="s">
        <v>197</v>
      </c>
      <c r="I1212" t="s">
        <v>197</v>
      </c>
      <c r="J1212" t="s">
        <v>197</v>
      </c>
      <c r="K1212" t="s">
        <v>804</v>
      </c>
    </row>
    <row r="1213" spans="1:24">
      <c r="B1213" t="s">
        <v>197</v>
      </c>
      <c r="C1213" t="s">
        <v>197</v>
      </c>
      <c r="D1213" t="s">
        <v>197</v>
      </c>
      <c r="E1213" t="s">
        <v>197</v>
      </c>
      <c r="F1213" t="s">
        <v>197</v>
      </c>
      <c r="G1213" t="s">
        <v>197</v>
      </c>
      <c r="H1213" t="s">
        <v>197</v>
      </c>
      <c r="I1213" t="s">
        <v>197</v>
      </c>
      <c r="J1213" t="s">
        <v>197</v>
      </c>
      <c r="K1213" t="s">
        <v>805</v>
      </c>
    </row>
    <row r="1214" spans="1:24">
      <c r="B1214" t="s">
        <v>197</v>
      </c>
      <c r="C1214" t="s">
        <v>197</v>
      </c>
      <c r="D1214" t="s">
        <v>197</v>
      </c>
      <c r="E1214" t="s">
        <v>197</v>
      </c>
      <c r="F1214" t="s">
        <v>197</v>
      </c>
      <c r="G1214" t="s">
        <v>197</v>
      </c>
      <c r="H1214" t="s">
        <v>197</v>
      </c>
      <c r="I1214" t="s">
        <v>197</v>
      </c>
      <c r="J1214" t="s">
        <v>197</v>
      </c>
      <c r="K1214" t="s">
        <v>806</v>
      </c>
    </row>
    <row r="1215" spans="1:24">
      <c r="B1215" t="s">
        <v>197</v>
      </c>
      <c r="C1215" t="s">
        <v>197</v>
      </c>
      <c r="D1215" t="s">
        <v>197</v>
      </c>
      <c r="E1215" t="s">
        <v>197</v>
      </c>
      <c r="F1215" t="s">
        <v>197</v>
      </c>
      <c r="G1215" t="s">
        <v>197</v>
      </c>
      <c r="H1215" t="s">
        <v>197</v>
      </c>
      <c r="I1215" t="s">
        <v>197</v>
      </c>
      <c r="J1215" t="s">
        <v>197</v>
      </c>
      <c r="K1215" t="s">
        <v>807</v>
      </c>
    </row>
    <row r="1216" spans="1:24">
      <c r="A1216" t="s">
        <v>1108</v>
      </c>
      <c r="K1216" t="s">
        <v>1109</v>
      </c>
      <c r="W1216" t="s">
        <v>171</v>
      </c>
      <c r="X1216" t="str">
        <f>A1216</f>
        <v>info_datetime2_dml_single_pk_drp</v>
      </c>
    </row>
    <row r="1217" spans="1:24">
      <c r="B1217" t="s">
        <v>196</v>
      </c>
      <c r="C1217" t="s">
        <v>197</v>
      </c>
      <c r="D1217" t="s">
        <v>197</v>
      </c>
      <c r="E1217" t="s">
        <v>197</v>
      </c>
      <c r="F1217" t="s">
        <v>197</v>
      </c>
      <c r="G1217" t="s">
        <v>197</v>
      </c>
      <c r="H1217" t="s">
        <v>197</v>
      </c>
      <c r="I1217" t="s">
        <v>1110</v>
      </c>
      <c r="J1217" t="s">
        <v>199</v>
      </c>
      <c r="K1217" t="s">
        <v>200</v>
      </c>
    </row>
    <row r="1218" spans="1:24">
      <c r="B1218" t="s">
        <v>197</v>
      </c>
      <c r="C1218" t="s">
        <v>197</v>
      </c>
      <c r="D1218" t="s">
        <v>197</v>
      </c>
      <c r="E1218" t="s">
        <v>197</v>
      </c>
      <c r="F1218" t="s">
        <v>197</v>
      </c>
      <c r="G1218" t="s">
        <v>197</v>
      </c>
      <c r="H1218" t="s">
        <v>197</v>
      </c>
      <c r="I1218" t="s">
        <v>197</v>
      </c>
      <c r="J1218" t="s">
        <v>197</v>
      </c>
      <c r="K1218" t="s">
        <v>667</v>
      </c>
    </row>
    <row r="1219" spans="1:24">
      <c r="B1219" t="s">
        <v>197</v>
      </c>
      <c r="C1219" t="s">
        <v>197</v>
      </c>
      <c r="D1219" t="s">
        <v>197</v>
      </c>
      <c r="E1219" t="s">
        <v>197</v>
      </c>
      <c r="F1219" t="s">
        <v>197</v>
      </c>
      <c r="G1219" t="s">
        <v>197</v>
      </c>
      <c r="H1219" t="s">
        <v>197</v>
      </c>
      <c r="I1219" t="s">
        <v>197</v>
      </c>
      <c r="J1219" t="s">
        <v>197</v>
      </c>
      <c r="K1219" t="s">
        <v>668</v>
      </c>
    </row>
    <row r="1220" spans="1:24">
      <c r="B1220" t="s">
        <v>197</v>
      </c>
      <c r="C1220" t="s">
        <v>197</v>
      </c>
      <c r="D1220" t="s">
        <v>197</v>
      </c>
      <c r="E1220" t="s">
        <v>197</v>
      </c>
      <c r="F1220" t="s">
        <v>197</v>
      </c>
      <c r="G1220" t="s">
        <v>197</v>
      </c>
      <c r="H1220" t="s">
        <v>197</v>
      </c>
      <c r="I1220" t="s">
        <v>197</v>
      </c>
      <c r="J1220" t="s">
        <v>197</v>
      </c>
      <c r="K1220" t="s">
        <v>669</v>
      </c>
    </row>
    <row r="1221" spans="1:24">
      <c r="B1221" t="s">
        <v>197</v>
      </c>
      <c r="C1221" t="s">
        <v>197</v>
      </c>
      <c r="D1221" t="s">
        <v>197</v>
      </c>
      <c r="E1221" t="s">
        <v>197</v>
      </c>
      <c r="F1221" t="s">
        <v>197</v>
      </c>
      <c r="G1221" t="s">
        <v>197</v>
      </c>
      <c r="H1221" t="s">
        <v>197</v>
      </c>
      <c r="I1221" t="s">
        <v>197</v>
      </c>
      <c r="J1221" t="s">
        <v>197</v>
      </c>
      <c r="K1221" t="s">
        <v>670</v>
      </c>
    </row>
    <row r="1222" spans="1:24">
      <c r="B1222" t="s">
        <v>197</v>
      </c>
      <c r="C1222" t="s">
        <v>197</v>
      </c>
      <c r="D1222" t="s">
        <v>197</v>
      </c>
      <c r="E1222" t="s">
        <v>197</v>
      </c>
      <c r="F1222" t="s">
        <v>197</v>
      </c>
      <c r="G1222" t="s">
        <v>197</v>
      </c>
      <c r="H1222" t="s">
        <v>197</v>
      </c>
      <c r="I1222" t="s">
        <v>197</v>
      </c>
      <c r="J1222" t="s">
        <v>197</v>
      </c>
      <c r="K1222" t="s">
        <v>671</v>
      </c>
    </row>
    <row r="1223" spans="1:24">
      <c r="B1223" t="s">
        <v>197</v>
      </c>
      <c r="C1223" t="s">
        <v>197</v>
      </c>
      <c r="D1223" t="s">
        <v>197</v>
      </c>
      <c r="E1223" t="s">
        <v>197</v>
      </c>
      <c r="F1223" t="s">
        <v>197</v>
      </c>
      <c r="G1223" t="s">
        <v>197</v>
      </c>
      <c r="H1223" t="s">
        <v>197</v>
      </c>
      <c r="I1223" t="s">
        <v>197</v>
      </c>
      <c r="J1223" t="s">
        <v>197</v>
      </c>
      <c r="K1223" t="s">
        <v>672</v>
      </c>
    </row>
    <row r="1224" spans="1:24">
      <c r="B1224" t="s">
        <v>197</v>
      </c>
      <c r="C1224" t="s">
        <v>197</v>
      </c>
      <c r="D1224" t="s">
        <v>197</v>
      </c>
      <c r="E1224" t="s">
        <v>197</v>
      </c>
      <c r="F1224" t="s">
        <v>197</v>
      </c>
      <c r="G1224" t="s">
        <v>197</v>
      </c>
      <c r="H1224" t="s">
        <v>197</v>
      </c>
      <c r="I1224" t="s">
        <v>197</v>
      </c>
      <c r="J1224" t="s">
        <v>197</v>
      </c>
      <c r="K1224" t="s">
        <v>673</v>
      </c>
    </row>
    <row r="1225" spans="1:24">
      <c r="B1225" t="s">
        <v>197</v>
      </c>
      <c r="C1225" t="s">
        <v>197</v>
      </c>
      <c r="D1225" t="s">
        <v>197</v>
      </c>
      <c r="E1225" t="s">
        <v>197</v>
      </c>
      <c r="F1225" t="s">
        <v>197</v>
      </c>
      <c r="G1225" t="s">
        <v>197</v>
      </c>
      <c r="H1225" t="s">
        <v>197</v>
      </c>
      <c r="I1225" t="s">
        <v>197</v>
      </c>
      <c r="J1225" t="s">
        <v>197</v>
      </c>
      <c r="K1225" t="s">
        <v>674</v>
      </c>
    </row>
    <row r="1226" spans="1:24">
      <c r="A1226" t="s">
        <v>1111</v>
      </c>
      <c r="K1226" t="s">
        <v>1112</v>
      </c>
      <c r="W1226" t="s">
        <v>171</v>
      </c>
      <c r="X1226" t="str">
        <f>A1226</f>
        <v>info_varchar_dml_single_pk_urp</v>
      </c>
    </row>
    <row r="1227" spans="1:24">
      <c r="B1227" t="s">
        <v>196</v>
      </c>
      <c r="C1227" t="s">
        <v>197</v>
      </c>
      <c r="D1227" t="s">
        <v>197</v>
      </c>
      <c r="E1227" t="s">
        <v>197</v>
      </c>
      <c r="F1227" t="s">
        <v>197</v>
      </c>
      <c r="G1227" t="s">
        <v>197</v>
      </c>
      <c r="H1227" t="s">
        <v>197</v>
      </c>
      <c r="I1227" t="s">
        <v>1113</v>
      </c>
      <c r="J1227" t="s">
        <v>199</v>
      </c>
      <c r="K1227" t="s">
        <v>200</v>
      </c>
    </row>
    <row r="1228" spans="1:24">
      <c r="B1228" t="s">
        <v>197</v>
      </c>
      <c r="C1228" t="s">
        <v>197</v>
      </c>
      <c r="D1228" t="s">
        <v>197</v>
      </c>
      <c r="E1228" t="s">
        <v>197</v>
      </c>
      <c r="F1228" t="s">
        <v>197</v>
      </c>
      <c r="G1228" t="s">
        <v>197</v>
      </c>
      <c r="H1228" t="s">
        <v>197</v>
      </c>
      <c r="I1228" t="s">
        <v>197</v>
      </c>
      <c r="J1228" t="s">
        <v>197</v>
      </c>
      <c r="K1228" t="s">
        <v>431</v>
      </c>
    </row>
    <row r="1229" spans="1:24">
      <c r="B1229" t="s">
        <v>197</v>
      </c>
      <c r="C1229" t="s">
        <v>197</v>
      </c>
      <c r="D1229" t="s">
        <v>197</v>
      </c>
      <c r="E1229" t="s">
        <v>197</v>
      </c>
      <c r="F1229" t="s">
        <v>197</v>
      </c>
      <c r="G1229" t="s">
        <v>197</v>
      </c>
      <c r="H1229" t="s">
        <v>197</v>
      </c>
      <c r="I1229" t="s">
        <v>197</v>
      </c>
      <c r="J1229" t="s">
        <v>197</v>
      </c>
      <c r="K1229" t="s">
        <v>1056</v>
      </c>
    </row>
    <row r="1230" spans="1:24">
      <c r="B1230" t="s">
        <v>197</v>
      </c>
      <c r="C1230" t="s">
        <v>197</v>
      </c>
      <c r="D1230" t="s">
        <v>197</v>
      </c>
      <c r="E1230" t="s">
        <v>197</v>
      </c>
      <c r="F1230" t="s">
        <v>197</v>
      </c>
      <c r="G1230" t="s">
        <v>197</v>
      </c>
      <c r="H1230" t="s">
        <v>197</v>
      </c>
      <c r="I1230" t="s">
        <v>197</v>
      </c>
      <c r="J1230" t="s">
        <v>197</v>
      </c>
      <c r="K1230" t="s">
        <v>963</v>
      </c>
    </row>
    <row r="1231" spans="1:24">
      <c r="A1231" t="s">
        <v>1114</v>
      </c>
      <c r="K1231" t="s">
        <v>1115</v>
      </c>
      <c r="W1231" t="s">
        <v>171</v>
      </c>
      <c r="X1231" t="str">
        <f>A1231</f>
        <v>info_time_dml_batch1_pk_drp1</v>
      </c>
    </row>
    <row r="1232" spans="1:24">
      <c r="B1232" t="s">
        <v>196</v>
      </c>
      <c r="C1232" t="s">
        <v>197</v>
      </c>
      <c r="D1232" t="s">
        <v>197</v>
      </c>
      <c r="E1232" t="s">
        <v>197</v>
      </c>
      <c r="F1232" t="s">
        <v>197</v>
      </c>
      <c r="G1232" t="s">
        <v>197</v>
      </c>
      <c r="H1232" t="s">
        <v>197</v>
      </c>
      <c r="I1232" t="s">
        <v>1116</v>
      </c>
      <c r="J1232" t="s">
        <v>199</v>
      </c>
      <c r="K1232" t="s">
        <v>200</v>
      </c>
    </row>
    <row r="1233" spans="1:24">
      <c r="B1233" t="s">
        <v>197</v>
      </c>
      <c r="C1233" t="s">
        <v>197</v>
      </c>
      <c r="D1233" t="s">
        <v>197</v>
      </c>
      <c r="E1233" t="s">
        <v>197</v>
      </c>
      <c r="F1233" t="s">
        <v>197</v>
      </c>
      <c r="G1233" t="s">
        <v>197</v>
      </c>
      <c r="H1233" t="s">
        <v>197</v>
      </c>
      <c r="I1233" t="s">
        <v>197</v>
      </c>
      <c r="J1233" t="s">
        <v>197</v>
      </c>
      <c r="K1233" t="s">
        <v>800</v>
      </c>
    </row>
    <row r="1234" spans="1:24">
      <c r="B1234" t="s">
        <v>197</v>
      </c>
      <c r="C1234" t="s">
        <v>197</v>
      </c>
      <c r="D1234" t="s">
        <v>197</v>
      </c>
      <c r="E1234" t="s">
        <v>197</v>
      </c>
      <c r="F1234" t="s">
        <v>197</v>
      </c>
      <c r="G1234" t="s">
        <v>197</v>
      </c>
      <c r="H1234" t="s">
        <v>197</v>
      </c>
      <c r="I1234" t="s">
        <v>197</v>
      </c>
      <c r="J1234" t="s">
        <v>197</v>
      </c>
      <c r="K1234" t="s">
        <v>801</v>
      </c>
    </row>
    <row r="1235" spans="1:24">
      <c r="B1235" t="s">
        <v>197</v>
      </c>
      <c r="C1235" t="s">
        <v>197</v>
      </c>
      <c r="D1235" t="s">
        <v>197</v>
      </c>
      <c r="E1235" t="s">
        <v>197</v>
      </c>
      <c r="F1235" t="s">
        <v>197</v>
      </c>
      <c r="G1235" t="s">
        <v>197</v>
      </c>
      <c r="H1235" t="s">
        <v>197</v>
      </c>
      <c r="I1235" t="s">
        <v>197</v>
      </c>
      <c r="J1235" t="s">
        <v>197</v>
      </c>
      <c r="K1235" t="s">
        <v>802</v>
      </c>
    </row>
    <row r="1236" spans="1:24">
      <c r="B1236" t="s">
        <v>197</v>
      </c>
      <c r="C1236" t="s">
        <v>197</v>
      </c>
      <c r="D1236" t="s">
        <v>197</v>
      </c>
      <c r="E1236" t="s">
        <v>197</v>
      </c>
      <c r="F1236" t="s">
        <v>197</v>
      </c>
      <c r="G1236" t="s">
        <v>197</v>
      </c>
      <c r="H1236" t="s">
        <v>197</v>
      </c>
      <c r="I1236" t="s">
        <v>197</v>
      </c>
      <c r="J1236" t="s">
        <v>197</v>
      </c>
      <c r="K1236" t="s">
        <v>803</v>
      </c>
    </row>
    <row r="1237" spans="1:24">
      <c r="B1237" t="s">
        <v>197</v>
      </c>
      <c r="C1237" t="s">
        <v>197</v>
      </c>
      <c r="D1237" t="s">
        <v>197</v>
      </c>
      <c r="E1237" t="s">
        <v>197</v>
      </c>
      <c r="F1237" t="s">
        <v>197</v>
      </c>
      <c r="G1237" t="s">
        <v>197</v>
      </c>
      <c r="H1237" t="s">
        <v>197</v>
      </c>
      <c r="I1237" t="s">
        <v>197</v>
      </c>
      <c r="J1237" t="s">
        <v>197</v>
      </c>
      <c r="K1237" t="s">
        <v>804</v>
      </c>
    </row>
    <row r="1238" spans="1:24">
      <c r="B1238" t="s">
        <v>197</v>
      </c>
      <c r="C1238" t="s">
        <v>197</v>
      </c>
      <c r="D1238" t="s">
        <v>197</v>
      </c>
      <c r="E1238" t="s">
        <v>197</v>
      </c>
      <c r="F1238" t="s">
        <v>197</v>
      </c>
      <c r="G1238" t="s">
        <v>197</v>
      </c>
      <c r="H1238" t="s">
        <v>197</v>
      </c>
      <c r="I1238" t="s">
        <v>197</v>
      </c>
      <c r="J1238" t="s">
        <v>197</v>
      </c>
      <c r="K1238" t="s">
        <v>805</v>
      </c>
    </row>
    <row r="1239" spans="1:24">
      <c r="B1239" t="s">
        <v>197</v>
      </c>
      <c r="C1239" t="s">
        <v>197</v>
      </c>
      <c r="D1239" t="s">
        <v>197</v>
      </c>
      <c r="E1239" t="s">
        <v>197</v>
      </c>
      <c r="F1239" t="s">
        <v>197</v>
      </c>
      <c r="G1239" t="s">
        <v>197</v>
      </c>
      <c r="H1239" t="s">
        <v>197</v>
      </c>
      <c r="I1239" t="s">
        <v>197</v>
      </c>
      <c r="J1239" t="s">
        <v>197</v>
      </c>
      <c r="K1239" t="s">
        <v>806</v>
      </c>
    </row>
    <row r="1240" spans="1:24">
      <c r="B1240" t="s">
        <v>197</v>
      </c>
      <c r="C1240" t="s">
        <v>197</v>
      </c>
      <c r="D1240" t="s">
        <v>197</v>
      </c>
      <c r="E1240" t="s">
        <v>197</v>
      </c>
      <c r="F1240" t="s">
        <v>197</v>
      </c>
      <c r="G1240" t="s">
        <v>197</v>
      </c>
      <c r="H1240" t="s">
        <v>197</v>
      </c>
      <c r="I1240" t="s">
        <v>197</v>
      </c>
      <c r="J1240" t="s">
        <v>197</v>
      </c>
      <c r="K1240" t="s">
        <v>807</v>
      </c>
    </row>
    <row r="1241" spans="1:24">
      <c r="K1241" t="s">
        <v>443</v>
      </c>
    </row>
    <row r="1242" spans="1:24">
      <c r="A1242" t="s">
        <v>1117</v>
      </c>
      <c r="K1242" t="s">
        <v>1118</v>
      </c>
      <c r="W1242" s="1" t="str">
        <f>HYPERLINK("#2026042000hbase1!BK2","NO 源备存在差异，共42个")</f>
        <v>NO 源备存在差异，共42个</v>
      </c>
      <c r="X1242" t="str">
        <f>A1242</f>
        <v>info_int_dml_batch1_pk_irp2</v>
      </c>
    </row>
    <row r="1243" spans="1:24">
      <c r="B1243" t="s">
        <v>196</v>
      </c>
      <c r="C1243" t="s">
        <v>197</v>
      </c>
      <c r="D1243" t="s">
        <v>197</v>
      </c>
      <c r="E1243" t="s">
        <v>197</v>
      </c>
      <c r="F1243" t="s">
        <v>197</v>
      </c>
      <c r="G1243" t="s">
        <v>197</v>
      </c>
      <c r="H1243" t="s">
        <v>197</v>
      </c>
      <c r="I1243" t="s">
        <v>1119</v>
      </c>
      <c r="J1243" t="s">
        <v>199</v>
      </c>
      <c r="K1243" t="s">
        <v>200</v>
      </c>
    </row>
    <row r="1244" spans="1:24">
      <c r="B1244" t="s">
        <v>197</v>
      </c>
      <c r="C1244" t="s">
        <v>197</v>
      </c>
      <c r="D1244" t="s">
        <v>197</v>
      </c>
      <c r="E1244" t="s">
        <v>197</v>
      </c>
      <c r="F1244" t="s">
        <v>197</v>
      </c>
      <c r="G1244" t="s">
        <v>197</v>
      </c>
      <c r="H1244" t="s">
        <v>197</v>
      </c>
      <c r="I1244" t="s">
        <v>197</v>
      </c>
      <c r="J1244" t="s">
        <v>197</v>
      </c>
      <c r="K1244" t="s">
        <v>549</v>
      </c>
    </row>
    <row r="1245" spans="1:24">
      <c r="B1245" t="s">
        <v>197</v>
      </c>
      <c r="C1245" t="s">
        <v>197</v>
      </c>
      <c r="D1245" t="s">
        <v>197</v>
      </c>
      <c r="E1245" t="s">
        <v>197</v>
      </c>
      <c r="F1245" t="s">
        <v>197</v>
      </c>
      <c r="G1245" t="s">
        <v>197</v>
      </c>
      <c r="H1245" t="s">
        <v>197</v>
      </c>
      <c r="I1245" t="s">
        <v>197</v>
      </c>
      <c r="J1245" t="s">
        <v>197</v>
      </c>
      <c r="K1245" t="s">
        <v>550</v>
      </c>
    </row>
    <row r="1246" spans="1:24">
      <c r="B1246" t="s">
        <v>197</v>
      </c>
      <c r="C1246" t="s">
        <v>197</v>
      </c>
      <c r="D1246" t="s">
        <v>197</v>
      </c>
      <c r="E1246" t="s">
        <v>197</v>
      </c>
      <c r="F1246" t="s">
        <v>197</v>
      </c>
      <c r="G1246" t="s">
        <v>197</v>
      </c>
      <c r="H1246" t="s">
        <v>197</v>
      </c>
      <c r="I1246" t="s">
        <v>197</v>
      </c>
      <c r="J1246" t="s">
        <v>197</v>
      </c>
      <c r="K1246" t="s">
        <v>551</v>
      </c>
    </row>
    <row r="1247" spans="1:24">
      <c r="B1247" t="s">
        <v>197</v>
      </c>
      <c r="C1247" t="s">
        <v>197</v>
      </c>
      <c r="D1247" t="s">
        <v>197</v>
      </c>
      <c r="E1247" t="s">
        <v>197</v>
      </c>
      <c r="F1247" t="s">
        <v>197</v>
      </c>
      <c r="G1247" t="s">
        <v>197</v>
      </c>
      <c r="H1247" t="s">
        <v>197</v>
      </c>
      <c r="I1247" t="s">
        <v>197</v>
      </c>
      <c r="J1247" t="s">
        <v>197</v>
      </c>
      <c r="K1247" t="s">
        <v>552</v>
      </c>
    </row>
    <row r="1248" spans="1:24">
      <c r="B1248" t="s">
        <v>197</v>
      </c>
      <c r="C1248" t="s">
        <v>197</v>
      </c>
      <c r="D1248" t="s">
        <v>197</v>
      </c>
      <c r="E1248" t="s">
        <v>197</v>
      </c>
      <c r="F1248" t="s">
        <v>197</v>
      </c>
      <c r="G1248" t="s">
        <v>197</v>
      </c>
      <c r="H1248" t="s">
        <v>197</v>
      </c>
      <c r="I1248" t="s">
        <v>197</v>
      </c>
      <c r="J1248" t="s">
        <v>197</v>
      </c>
      <c r="K1248" t="s">
        <v>553</v>
      </c>
    </row>
    <row r="1249" spans="1:24">
      <c r="B1249" t="s">
        <v>197</v>
      </c>
      <c r="C1249" t="s">
        <v>197</v>
      </c>
      <c r="D1249" t="s">
        <v>197</v>
      </c>
      <c r="E1249" t="s">
        <v>197</v>
      </c>
      <c r="F1249" t="s">
        <v>197</v>
      </c>
      <c r="G1249" t="s">
        <v>197</v>
      </c>
      <c r="H1249" t="s">
        <v>197</v>
      </c>
      <c r="I1249" t="s">
        <v>197</v>
      </c>
      <c r="J1249" t="s">
        <v>197</v>
      </c>
      <c r="K1249" t="s">
        <v>554</v>
      </c>
    </row>
    <row r="1250" spans="1:24">
      <c r="B1250" t="s">
        <v>197</v>
      </c>
      <c r="C1250" t="s">
        <v>197</v>
      </c>
      <c r="D1250" t="s">
        <v>197</v>
      </c>
      <c r="E1250" t="s">
        <v>197</v>
      </c>
      <c r="F1250" t="s">
        <v>197</v>
      </c>
      <c r="G1250" t="s">
        <v>197</v>
      </c>
      <c r="H1250" t="s">
        <v>197</v>
      </c>
      <c r="I1250" t="s">
        <v>197</v>
      </c>
      <c r="J1250" t="s">
        <v>197</v>
      </c>
      <c r="K1250" t="s">
        <v>555</v>
      </c>
    </row>
    <row r="1251" spans="1:24">
      <c r="B1251" t="s">
        <v>197</v>
      </c>
      <c r="C1251" t="s">
        <v>197</v>
      </c>
      <c r="D1251" t="s">
        <v>197</v>
      </c>
      <c r="E1251" t="s">
        <v>197</v>
      </c>
      <c r="F1251" t="s">
        <v>197</v>
      </c>
      <c r="G1251" t="s">
        <v>197</v>
      </c>
      <c r="H1251" t="s">
        <v>197</v>
      </c>
      <c r="I1251" t="s">
        <v>197</v>
      </c>
      <c r="J1251" t="s">
        <v>197</v>
      </c>
      <c r="K1251" t="s">
        <v>556</v>
      </c>
    </row>
    <row r="1252" spans="1:24">
      <c r="B1252" t="s">
        <v>197</v>
      </c>
      <c r="C1252" t="s">
        <v>197</v>
      </c>
      <c r="D1252" t="s">
        <v>197</v>
      </c>
      <c r="E1252" t="s">
        <v>197</v>
      </c>
      <c r="F1252" t="s">
        <v>197</v>
      </c>
      <c r="G1252" t="s">
        <v>197</v>
      </c>
      <c r="H1252" t="s">
        <v>197</v>
      </c>
      <c r="I1252" t="s">
        <v>197</v>
      </c>
      <c r="J1252" t="s">
        <v>197</v>
      </c>
      <c r="K1252" t="s">
        <v>557</v>
      </c>
    </row>
    <row r="1253" spans="1:24">
      <c r="B1253" t="s">
        <v>197</v>
      </c>
      <c r="C1253" t="s">
        <v>197</v>
      </c>
      <c r="D1253" t="s">
        <v>197</v>
      </c>
      <c r="E1253" t="s">
        <v>197</v>
      </c>
      <c r="F1253" t="s">
        <v>197</v>
      </c>
      <c r="G1253" t="s">
        <v>197</v>
      </c>
      <c r="H1253" t="s">
        <v>197</v>
      </c>
      <c r="I1253" t="s">
        <v>197</v>
      </c>
      <c r="J1253" t="s">
        <v>197</v>
      </c>
      <c r="K1253" t="s">
        <v>558</v>
      </c>
    </row>
    <row r="1254" spans="1:24">
      <c r="B1254" t="s">
        <v>197</v>
      </c>
      <c r="C1254" t="s">
        <v>197</v>
      </c>
      <c r="D1254" t="s">
        <v>197</v>
      </c>
      <c r="E1254" t="s">
        <v>197</v>
      </c>
      <c r="F1254" t="s">
        <v>197</v>
      </c>
      <c r="G1254" t="s">
        <v>197</v>
      </c>
      <c r="H1254" t="s">
        <v>197</v>
      </c>
      <c r="I1254" t="s">
        <v>197</v>
      </c>
      <c r="J1254" t="s">
        <v>197</v>
      </c>
      <c r="K1254" t="s">
        <v>559</v>
      </c>
    </row>
    <row r="1255" spans="1:24">
      <c r="B1255" t="s">
        <v>197</v>
      </c>
      <c r="C1255" t="s">
        <v>197</v>
      </c>
      <c r="D1255" t="s">
        <v>197</v>
      </c>
      <c r="E1255" t="s">
        <v>197</v>
      </c>
      <c r="F1255" t="s">
        <v>197</v>
      </c>
      <c r="G1255" t="s">
        <v>197</v>
      </c>
      <c r="H1255" t="s">
        <v>197</v>
      </c>
      <c r="I1255" t="s">
        <v>197</v>
      </c>
      <c r="J1255" t="s">
        <v>197</v>
      </c>
      <c r="K1255" t="s">
        <v>560</v>
      </c>
    </row>
    <row r="1256" spans="1:24">
      <c r="B1256" t="s">
        <v>197</v>
      </c>
      <c r="C1256" t="s">
        <v>197</v>
      </c>
      <c r="D1256" t="s">
        <v>197</v>
      </c>
      <c r="E1256" t="s">
        <v>197</v>
      </c>
      <c r="F1256" t="s">
        <v>197</v>
      </c>
      <c r="G1256" t="s">
        <v>197</v>
      </c>
      <c r="H1256" t="s">
        <v>197</v>
      </c>
      <c r="I1256" t="s">
        <v>197</v>
      </c>
      <c r="J1256" t="s">
        <v>197</v>
      </c>
      <c r="K1256" t="s">
        <v>561</v>
      </c>
    </row>
    <row r="1257" spans="1:24">
      <c r="B1257" t="s">
        <v>197</v>
      </c>
      <c r="C1257" t="s">
        <v>197</v>
      </c>
      <c r="D1257" t="s">
        <v>197</v>
      </c>
      <c r="E1257" t="s">
        <v>197</v>
      </c>
      <c r="F1257" t="s">
        <v>197</v>
      </c>
      <c r="G1257" t="s">
        <v>197</v>
      </c>
      <c r="H1257" t="s">
        <v>197</v>
      </c>
      <c r="I1257" t="s">
        <v>197</v>
      </c>
      <c r="J1257" t="s">
        <v>197</v>
      </c>
      <c r="K1257" t="s">
        <v>562</v>
      </c>
    </row>
    <row r="1258" spans="1:24">
      <c r="B1258" t="s">
        <v>197</v>
      </c>
      <c r="C1258" t="s">
        <v>197</v>
      </c>
      <c r="D1258" t="s">
        <v>197</v>
      </c>
      <c r="E1258" t="s">
        <v>197</v>
      </c>
      <c r="F1258" t="s">
        <v>197</v>
      </c>
      <c r="G1258" t="s">
        <v>197</v>
      </c>
      <c r="H1258" t="s">
        <v>197</v>
      </c>
      <c r="I1258" t="s">
        <v>197</v>
      </c>
      <c r="J1258" t="s">
        <v>197</v>
      </c>
      <c r="K1258" t="s">
        <v>563</v>
      </c>
    </row>
    <row r="1259" spans="1:24">
      <c r="B1259" t="s">
        <v>197</v>
      </c>
      <c r="C1259" t="s">
        <v>197</v>
      </c>
      <c r="D1259" t="s">
        <v>197</v>
      </c>
      <c r="E1259" t="s">
        <v>197</v>
      </c>
      <c r="F1259" t="s">
        <v>197</v>
      </c>
      <c r="G1259" t="s">
        <v>197</v>
      </c>
      <c r="H1259" t="s">
        <v>197</v>
      </c>
      <c r="I1259" t="s">
        <v>197</v>
      </c>
      <c r="J1259" t="s">
        <v>197</v>
      </c>
      <c r="K1259" t="s">
        <v>564</v>
      </c>
    </row>
    <row r="1260" spans="1:24">
      <c r="B1260" t="s">
        <v>197</v>
      </c>
      <c r="C1260" t="s">
        <v>197</v>
      </c>
      <c r="D1260" t="s">
        <v>197</v>
      </c>
      <c r="E1260" t="s">
        <v>197</v>
      </c>
      <c r="F1260" t="s">
        <v>197</v>
      </c>
      <c r="G1260" t="s">
        <v>197</v>
      </c>
      <c r="H1260" t="s">
        <v>197</v>
      </c>
      <c r="I1260" t="s">
        <v>197</v>
      </c>
      <c r="J1260" t="s">
        <v>197</v>
      </c>
      <c r="K1260" t="s">
        <v>565</v>
      </c>
    </row>
    <row r="1261" spans="1:24">
      <c r="B1261" t="s">
        <v>197</v>
      </c>
      <c r="C1261" t="s">
        <v>197</v>
      </c>
      <c r="D1261" t="s">
        <v>197</v>
      </c>
      <c r="E1261" t="s">
        <v>197</v>
      </c>
      <c r="F1261" t="s">
        <v>197</v>
      </c>
      <c r="G1261" t="s">
        <v>197</v>
      </c>
      <c r="H1261" t="s">
        <v>197</v>
      </c>
      <c r="I1261" t="s">
        <v>197</v>
      </c>
      <c r="J1261" t="s">
        <v>197</v>
      </c>
      <c r="K1261" t="s">
        <v>566</v>
      </c>
    </row>
    <row r="1262" spans="1:24">
      <c r="B1262" t="s">
        <v>197</v>
      </c>
      <c r="C1262" t="s">
        <v>197</v>
      </c>
      <c r="D1262" t="s">
        <v>197</v>
      </c>
      <c r="E1262" t="s">
        <v>197</v>
      </c>
      <c r="F1262" t="s">
        <v>197</v>
      </c>
      <c r="G1262" t="s">
        <v>197</v>
      </c>
      <c r="H1262" t="s">
        <v>197</v>
      </c>
      <c r="I1262" t="s">
        <v>197</v>
      </c>
      <c r="J1262" t="s">
        <v>197</v>
      </c>
      <c r="K1262" t="s">
        <v>567</v>
      </c>
    </row>
    <row r="1263" spans="1:24">
      <c r="A1263" t="s">
        <v>1120</v>
      </c>
      <c r="K1263" t="s">
        <v>1121</v>
      </c>
      <c r="W1263" t="s">
        <v>171</v>
      </c>
      <c r="X1263" t="str">
        <f>A1263</f>
        <v>info_uniqueidentifier_dml_single_pk</v>
      </c>
    </row>
    <row r="1264" spans="1:24">
      <c r="B1264" t="s">
        <v>196</v>
      </c>
      <c r="C1264" t="s">
        <v>197</v>
      </c>
      <c r="D1264" t="s">
        <v>197</v>
      </c>
      <c r="E1264" t="s">
        <v>197</v>
      </c>
      <c r="F1264" t="s">
        <v>197</v>
      </c>
      <c r="G1264" t="s">
        <v>197</v>
      </c>
      <c r="H1264" t="s">
        <v>197</v>
      </c>
      <c r="I1264" t="s">
        <v>1122</v>
      </c>
      <c r="J1264" t="s">
        <v>199</v>
      </c>
      <c r="K1264" t="s">
        <v>200</v>
      </c>
    </row>
    <row r="1265" spans="1:24">
      <c r="B1265" t="s">
        <v>197</v>
      </c>
      <c r="C1265" t="s">
        <v>197</v>
      </c>
      <c r="D1265" t="s">
        <v>197</v>
      </c>
      <c r="E1265" t="s">
        <v>197</v>
      </c>
      <c r="F1265" t="s">
        <v>197</v>
      </c>
      <c r="G1265" t="s">
        <v>197</v>
      </c>
      <c r="H1265" t="s">
        <v>197</v>
      </c>
      <c r="I1265" t="s">
        <v>197</v>
      </c>
      <c r="J1265" t="s">
        <v>197</v>
      </c>
      <c r="K1265" t="s">
        <v>1039</v>
      </c>
    </row>
    <row r="1266" spans="1:24">
      <c r="A1266" t="s">
        <v>1123</v>
      </c>
      <c r="K1266" t="s">
        <v>1124</v>
      </c>
      <c r="W1266" t="s">
        <v>171</v>
      </c>
      <c r="X1266" t="str">
        <f>A1266</f>
        <v>info_datetime2_dml_single_pk</v>
      </c>
    </row>
    <row r="1267" spans="1:24">
      <c r="B1267" t="s">
        <v>196</v>
      </c>
      <c r="C1267" t="s">
        <v>197</v>
      </c>
      <c r="D1267" t="s">
        <v>197</v>
      </c>
      <c r="E1267" t="s">
        <v>197</v>
      </c>
      <c r="F1267" t="s">
        <v>197</v>
      </c>
      <c r="G1267" t="s">
        <v>197</v>
      </c>
      <c r="H1267" t="s">
        <v>197</v>
      </c>
      <c r="I1267" t="s">
        <v>1125</v>
      </c>
      <c r="J1267" t="s">
        <v>199</v>
      </c>
      <c r="K1267" t="s">
        <v>200</v>
      </c>
    </row>
    <row r="1268" spans="1:24">
      <c r="B1268" t="s">
        <v>197</v>
      </c>
      <c r="C1268" t="s">
        <v>197</v>
      </c>
      <c r="D1268" t="s">
        <v>197</v>
      </c>
      <c r="E1268" t="s">
        <v>197</v>
      </c>
      <c r="F1268" t="s">
        <v>197</v>
      </c>
      <c r="G1268" t="s">
        <v>197</v>
      </c>
      <c r="H1268" t="s">
        <v>197</v>
      </c>
      <c r="I1268" t="s">
        <v>197</v>
      </c>
      <c r="J1268" t="s">
        <v>197</v>
      </c>
      <c r="K1268" t="s">
        <v>667</v>
      </c>
    </row>
    <row r="1269" spans="1:24">
      <c r="B1269" t="s">
        <v>197</v>
      </c>
      <c r="C1269" t="s">
        <v>197</v>
      </c>
      <c r="D1269" t="s">
        <v>197</v>
      </c>
      <c r="E1269" t="s">
        <v>197</v>
      </c>
      <c r="F1269" t="s">
        <v>197</v>
      </c>
      <c r="G1269" t="s">
        <v>197</v>
      </c>
      <c r="H1269" t="s">
        <v>197</v>
      </c>
      <c r="I1269" t="s">
        <v>197</v>
      </c>
      <c r="J1269" t="s">
        <v>197</v>
      </c>
      <c r="K1269" t="s">
        <v>668</v>
      </c>
    </row>
    <row r="1270" spans="1:24">
      <c r="B1270" t="s">
        <v>197</v>
      </c>
      <c r="C1270" t="s">
        <v>197</v>
      </c>
      <c r="D1270" t="s">
        <v>197</v>
      </c>
      <c r="E1270" t="s">
        <v>197</v>
      </c>
      <c r="F1270" t="s">
        <v>197</v>
      </c>
      <c r="G1270" t="s">
        <v>197</v>
      </c>
      <c r="H1270" t="s">
        <v>197</v>
      </c>
      <c r="I1270" t="s">
        <v>197</v>
      </c>
      <c r="J1270" t="s">
        <v>197</v>
      </c>
      <c r="K1270" t="s">
        <v>669</v>
      </c>
    </row>
    <row r="1271" spans="1:24">
      <c r="B1271" t="s">
        <v>197</v>
      </c>
      <c r="C1271" t="s">
        <v>197</v>
      </c>
      <c r="D1271" t="s">
        <v>197</v>
      </c>
      <c r="E1271" t="s">
        <v>197</v>
      </c>
      <c r="F1271" t="s">
        <v>197</v>
      </c>
      <c r="G1271" t="s">
        <v>197</v>
      </c>
      <c r="H1271" t="s">
        <v>197</v>
      </c>
      <c r="I1271" t="s">
        <v>197</v>
      </c>
      <c r="J1271" t="s">
        <v>197</v>
      </c>
      <c r="K1271" t="s">
        <v>670</v>
      </c>
    </row>
    <row r="1272" spans="1:24">
      <c r="B1272" t="s">
        <v>197</v>
      </c>
      <c r="C1272" t="s">
        <v>197</v>
      </c>
      <c r="D1272" t="s">
        <v>197</v>
      </c>
      <c r="E1272" t="s">
        <v>197</v>
      </c>
      <c r="F1272" t="s">
        <v>197</v>
      </c>
      <c r="G1272" t="s">
        <v>197</v>
      </c>
      <c r="H1272" t="s">
        <v>197</v>
      </c>
      <c r="I1272" t="s">
        <v>197</v>
      </c>
      <c r="J1272" t="s">
        <v>197</v>
      </c>
      <c r="K1272" t="s">
        <v>671</v>
      </c>
    </row>
    <row r="1273" spans="1:24">
      <c r="B1273" t="s">
        <v>197</v>
      </c>
      <c r="C1273" t="s">
        <v>197</v>
      </c>
      <c r="D1273" t="s">
        <v>197</v>
      </c>
      <c r="E1273" t="s">
        <v>197</v>
      </c>
      <c r="F1273" t="s">
        <v>197</v>
      </c>
      <c r="G1273" t="s">
        <v>197</v>
      </c>
      <c r="H1273" t="s">
        <v>197</v>
      </c>
      <c r="I1273" t="s">
        <v>197</v>
      </c>
      <c r="J1273" t="s">
        <v>197</v>
      </c>
      <c r="K1273" t="s">
        <v>672</v>
      </c>
    </row>
    <row r="1274" spans="1:24">
      <c r="B1274" t="s">
        <v>197</v>
      </c>
      <c r="C1274" t="s">
        <v>197</v>
      </c>
      <c r="D1274" t="s">
        <v>197</v>
      </c>
      <c r="E1274" t="s">
        <v>197</v>
      </c>
      <c r="F1274" t="s">
        <v>197</v>
      </c>
      <c r="G1274" t="s">
        <v>197</v>
      </c>
      <c r="H1274" t="s">
        <v>197</v>
      </c>
      <c r="I1274" t="s">
        <v>197</v>
      </c>
      <c r="J1274" t="s">
        <v>197</v>
      </c>
      <c r="K1274" t="s">
        <v>673</v>
      </c>
    </row>
    <row r="1275" spans="1:24">
      <c r="B1275" t="s">
        <v>197</v>
      </c>
      <c r="C1275" t="s">
        <v>197</v>
      </c>
      <c r="D1275" t="s">
        <v>197</v>
      </c>
      <c r="E1275" t="s">
        <v>197</v>
      </c>
      <c r="F1275" t="s">
        <v>197</v>
      </c>
      <c r="G1275" t="s">
        <v>197</v>
      </c>
      <c r="H1275" t="s">
        <v>197</v>
      </c>
      <c r="I1275" t="s">
        <v>197</v>
      </c>
      <c r="J1275" t="s">
        <v>197</v>
      </c>
      <c r="K1275" t="s">
        <v>674</v>
      </c>
    </row>
    <row r="1276" spans="1:24">
      <c r="A1276" t="s">
        <v>1126</v>
      </c>
      <c r="K1276" t="s">
        <v>1127</v>
      </c>
      <c r="W1276" t="s">
        <v>171</v>
      </c>
      <c r="X1276" t="str">
        <f>A1276</f>
        <v>info_varchar_dml_single_pk_drp</v>
      </c>
    </row>
    <row r="1277" spans="1:24">
      <c r="B1277" t="s">
        <v>196</v>
      </c>
      <c r="C1277" t="s">
        <v>197</v>
      </c>
      <c r="D1277" t="s">
        <v>197</v>
      </c>
      <c r="E1277" t="s">
        <v>197</v>
      </c>
      <c r="F1277" t="s">
        <v>197</v>
      </c>
      <c r="G1277" t="s">
        <v>197</v>
      </c>
      <c r="H1277" t="s">
        <v>197</v>
      </c>
      <c r="I1277" t="s">
        <v>1128</v>
      </c>
      <c r="J1277" t="s">
        <v>199</v>
      </c>
      <c r="K1277" t="s">
        <v>200</v>
      </c>
    </row>
    <row r="1278" spans="1:24">
      <c r="B1278" t="s">
        <v>197</v>
      </c>
      <c r="C1278" t="s">
        <v>197</v>
      </c>
      <c r="D1278" t="s">
        <v>197</v>
      </c>
      <c r="E1278" t="s">
        <v>197</v>
      </c>
      <c r="F1278" t="s">
        <v>197</v>
      </c>
      <c r="G1278" t="s">
        <v>197</v>
      </c>
      <c r="H1278" t="s">
        <v>197</v>
      </c>
      <c r="I1278" t="s">
        <v>197</v>
      </c>
      <c r="J1278" t="s">
        <v>197</v>
      </c>
      <c r="K1278" t="s">
        <v>431</v>
      </c>
    </row>
    <row r="1279" spans="1:24">
      <c r="B1279" t="s">
        <v>197</v>
      </c>
      <c r="C1279" t="s">
        <v>197</v>
      </c>
      <c r="D1279" t="s">
        <v>197</v>
      </c>
      <c r="E1279" t="s">
        <v>197</v>
      </c>
      <c r="F1279" t="s">
        <v>197</v>
      </c>
      <c r="G1279" t="s">
        <v>197</v>
      </c>
      <c r="H1279" t="s">
        <v>197</v>
      </c>
      <c r="I1279" t="s">
        <v>197</v>
      </c>
      <c r="J1279" t="s">
        <v>197</v>
      </c>
      <c r="K1279" t="s">
        <v>1056</v>
      </c>
    </row>
    <row r="1280" spans="1:24">
      <c r="B1280" t="s">
        <v>197</v>
      </c>
      <c r="C1280" t="s">
        <v>197</v>
      </c>
      <c r="D1280" t="s">
        <v>197</v>
      </c>
      <c r="E1280" t="s">
        <v>197</v>
      </c>
      <c r="F1280" t="s">
        <v>197</v>
      </c>
      <c r="G1280" t="s">
        <v>197</v>
      </c>
      <c r="H1280" t="s">
        <v>197</v>
      </c>
      <c r="I1280" t="s">
        <v>197</v>
      </c>
      <c r="J1280" t="s">
        <v>197</v>
      </c>
      <c r="K1280" t="s">
        <v>963</v>
      </c>
    </row>
    <row r="1281" spans="1:24">
      <c r="A1281" t="s">
        <v>1129</v>
      </c>
      <c r="K1281" t="s">
        <v>1130</v>
      </c>
      <c r="W1281" s="1" t="str">
        <f>HYPERLINK("#2026042000hbase1!BL2","NO 源备存在差异，共4个")</f>
        <v>NO 源备存在差异，共4个</v>
      </c>
      <c r="X1281" t="str">
        <f>A1281</f>
        <v>info_geography_dml_single_pk_drp</v>
      </c>
    </row>
    <row r="1282" spans="1:24">
      <c r="B1282" t="s">
        <v>196</v>
      </c>
      <c r="C1282" t="s">
        <v>197</v>
      </c>
      <c r="D1282" t="s">
        <v>197</v>
      </c>
      <c r="E1282" t="s">
        <v>197</v>
      </c>
      <c r="F1282" t="s">
        <v>197</v>
      </c>
      <c r="G1282" t="s">
        <v>197</v>
      </c>
      <c r="H1282" t="s">
        <v>197</v>
      </c>
      <c r="I1282" t="s">
        <v>1131</v>
      </c>
      <c r="J1282" t="s">
        <v>199</v>
      </c>
      <c r="K1282" t="s">
        <v>200</v>
      </c>
    </row>
    <row r="1283" spans="1:24">
      <c r="B1283" t="s">
        <v>197</v>
      </c>
      <c r="C1283" t="s">
        <v>197</v>
      </c>
      <c r="D1283" t="s">
        <v>197</v>
      </c>
      <c r="E1283" t="s">
        <v>197</v>
      </c>
      <c r="F1283" t="s">
        <v>197</v>
      </c>
      <c r="G1283" t="s">
        <v>197</v>
      </c>
      <c r="H1283" t="s">
        <v>197</v>
      </c>
      <c r="I1283" t="s">
        <v>197</v>
      </c>
      <c r="J1283" t="s">
        <v>197</v>
      </c>
      <c r="K1283" t="s">
        <v>1052</v>
      </c>
    </row>
    <row r="1284" spans="1:24">
      <c r="A1284" t="s">
        <v>1132</v>
      </c>
      <c r="K1284" t="s">
        <v>1133</v>
      </c>
      <c r="W1284" t="s">
        <v>171</v>
      </c>
      <c r="X1284" t="str">
        <f>A1284</f>
        <v>info_time_dml_batch1_pk_drp2</v>
      </c>
    </row>
    <row r="1285" spans="1:24">
      <c r="B1285" t="s">
        <v>196</v>
      </c>
      <c r="C1285" t="s">
        <v>197</v>
      </c>
      <c r="D1285" t="s">
        <v>197</v>
      </c>
      <c r="E1285" t="s">
        <v>197</v>
      </c>
      <c r="F1285" t="s">
        <v>197</v>
      </c>
      <c r="G1285" t="s">
        <v>197</v>
      </c>
      <c r="H1285" t="s">
        <v>197</v>
      </c>
      <c r="I1285" t="s">
        <v>1134</v>
      </c>
      <c r="J1285" t="s">
        <v>199</v>
      </c>
      <c r="K1285" t="s">
        <v>200</v>
      </c>
    </row>
    <row r="1286" spans="1:24">
      <c r="B1286" t="s">
        <v>197</v>
      </c>
      <c r="C1286" t="s">
        <v>197</v>
      </c>
      <c r="D1286" t="s">
        <v>197</v>
      </c>
      <c r="E1286" t="s">
        <v>197</v>
      </c>
      <c r="F1286" t="s">
        <v>197</v>
      </c>
      <c r="G1286" t="s">
        <v>197</v>
      </c>
      <c r="H1286" t="s">
        <v>197</v>
      </c>
      <c r="I1286" t="s">
        <v>197</v>
      </c>
      <c r="J1286" t="s">
        <v>197</v>
      </c>
      <c r="K1286" t="s">
        <v>800</v>
      </c>
    </row>
    <row r="1287" spans="1:24">
      <c r="B1287" t="s">
        <v>197</v>
      </c>
      <c r="C1287" t="s">
        <v>197</v>
      </c>
      <c r="D1287" t="s">
        <v>197</v>
      </c>
      <c r="E1287" t="s">
        <v>197</v>
      </c>
      <c r="F1287" t="s">
        <v>197</v>
      </c>
      <c r="G1287" t="s">
        <v>197</v>
      </c>
      <c r="H1287" t="s">
        <v>197</v>
      </c>
      <c r="I1287" t="s">
        <v>197</v>
      </c>
      <c r="J1287" t="s">
        <v>197</v>
      </c>
      <c r="K1287" t="s">
        <v>801</v>
      </c>
    </row>
    <row r="1288" spans="1:24">
      <c r="B1288" t="s">
        <v>197</v>
      </c>
      <c r="C1288" t="s">
        <v>197</v>
      </c>
      <c r="D1288" t="s">
        <v>197</v>
      </c>
      <c r="E1288" t="s">
        <v>197</v>
      </c>
      <c r="F1288" t="s">
        <v>197</v>
      </c>
      <c r="G1288" t="s">
        <v>197</v>
      </c>
      <c r="H1288" t="s">
        <v>197</v>
      </c>
      <c r="I1288" t="s">
        <v>197</v>
      </c>
      <c r="J1288" t="s">
        <v>197</v>
      </c>
      <c r="K1288" t="s">
        <v>802</v>
      </c>
    </row>
    <row r="1289" spans="1:24">
      <c r="B1289" t="s">
        <v>197</v>
      </c>
      <c r="C1289" t="s">
        <v>197</v>
      </c>
      <c r="D1289" t="s">
        <v>197</v>
      </c>
      <c r="E1289" t="s">
        <v>197</v>
      </c>
      <c r="F1289" t="s">
        <v>197</v>
      </c>
      <c r="G1289" t="s">
        <v>197</v>
      </c>
      <c r="H1289" t="s">
        <v>197</v>
      </c>
      <c r="I1289" t="s">
        <v>197</v>
      </c>
      <c r="J1289" t="s">
        <v>197</v>
      </c>
      <c r="K1289" t="s">
        <v>803</v>
      </c>
    </row>
    <row r="1290" spans="1:24">
      <c r="B1290" t="s">
        <v>197</v>
      </c>
      <c r="C1290" t="s">
        <v>197</v>
      </c>
      <c r="D1290" t="s">
        <v>197</v>
      </c>
      <c r="E1290" t="s">
        <v>197</v>
      </c>
      <c r="F1290" t="s">
        <v>197</v>
      </c>
      <c r="G1290" t="s">
        <v>197</v>
      </c>
      <c r="H1290" t="s">
        <v>197</v>
      </c>
      <c r="I1290" t="s">
        <v>197</v>
      </c>
      <c r="J1290" t="s">
        <v>197</v>
      </c>
      <c r="K1290" t="s">
        <v>804</v>
      </c>
    </row>
    <row r="1291" spans="1:24">
      <c r="B1291" t="s">
        <v>197</v>
      </c>
      <c r="C1291" t="s">
        <v>197</v>
      </c>
      <c r="D1291" t="s">
        <v>197</v>
      </c>
      <c r="E1291" t="s">
        <v>197</v>
      </c>
      <c r="F1291" t="s">
        <v>197</v>
      </c>
      <c r="G1291" t="s">
        <v>197</v>
      </c>
      <c r="H1291" t="s">
        <v>197</v>
      </c>
      <c r="I1291" t="s">
        <v>197</v>
      </c>
      <c r="J1291" t="s">
        <v>197</v>
      </c>
      <c r="K1291" t="s">
        <v>805</v>
      </c>
    </row>
    <row r="1292" spans="1:24">
      <c r="B1292" t="s">
        <v>197</v>
      </c>
      <c r="C1292" t="s">
        <v>197</v>
      </c>
      <c r="D1292" t="s">
        <v>197</v>
      </c>
      <c r="E1292" t="s">
        <v>197</v>
      </c>
      <c r="F1292" t="s">
        <v>197</v>
      </c>
      <c r="G1292" t="s">
        <v>197</v>
      </c>
      <c r="H1292" t="s">
        <v>197</v>
      </c>
      <c r="I1292" t="s">
        <v>197</v>
      </c>
      <c r="J1292" t="s">
        <v>197</v>
      </c>
      <c r="K1292" t="s">
        <v>806</v>
      </c>
    </row>
    <row r="1293" spans="1:24">
      <c r="B1293" t="s">
        <v>197</v>
      </c>
      <c r="C1293" t="s">
        <v>197</v>
      </c>
      <c r="D1293" t="s">
        <v>197</v>
      </c>
      <c r="E1293" t="s">
        <v>197</v>
      </c>
      <c r="F1293" t="s">
        <v>197</v>
      </c>
      <c r="G1293" t="s">
        <v>197</v>
      </c>
      <c r="H1293" t="s">
        <v>197</v>
      </c>
      <c r="I1293" t="s">
        <v>197</v>
      </c>
      <c r="J1293" t="s">
        <v>197</v>
      </c>
      <c r="K1293" t="s">
        <v>807</v>
      </c>
    </row>
    <row r="1294" spans="1:24">
      <c r="A1294" t="s">
        <v>1135</v>
      </c>
      <c r="K1294" t="s">
        <v>1136</v>
      </c>
      <c r="W1294" t="s">
        <v>171</v>
      </c>
      <c r="X1294" t="str">
        <f>A1294</f>
        <v>info_varchar_dml_batch1_pk_urp1</v>
      </c>
    </row>
    <row r="1295" spans="1:24">
      <c r="B1295" t="s">
        <v>196</v>
      </c>
      <c r="C1295" t="s">
        <v>197</v>
      </c>
      <c r="D1295" t="s">
        <v>197</v>
      </c>
      <c r="E1295" t="s">
        <v>197</v>
      </c>
      <c r="F1295" t="s">
        <v>197</v>
      </c>
      <c r="G1295" t="s">
        <v>197</v>
      </c>
      <c r="H1295" t="s">
        <v>197</v>
      </c>
      <c r="I1295" t="s">
        <v>1137</v>
      </c>
      <c r="J1295" t="s">
        <v>199</v>
      </c>
      <c r="K1295" t="s">
        <v>200</v>
      </c>
    </row>
    <row r="1296" spans="1:24">
      <c r="B1296" t="s">
        <v>197</v>
      </c>
      <c r="C1296" t="s">
        <v>197</v>
      </c>
      <c r="D1296" t="s">
        <v>197</v>
      </c>
      <c r="E1296" t="s">
        <v>197</v>
      </c>
      <c r="F1296" t="s">
        <v>197</v>
      </c>
      <c r="G1296" t="s">
        <v>197</v>
      </c>
      <c r="H1296" t="s">
        <v>197</v>
      </c>
      <c r="I1296" t="s">
        <v>197</v>
      </c>
      <c r="J1296" t="s">
        <v>197</v>
      </c>
      <c r="K1296" t="s">
        <v>431</v>
      </c>
    </row>
    <row r="1297" spans="1:24">
      <c r="B1297" t="s">
        <v>197</v>
      </c>
      <c r="C1297" t="s">
        <v>197</v>
      </c>
      <c r="D1297" t="s">
        <v>197</v>
      </c>
      <c r="E1297" t="s">
        <v>197</v>
      </c>
      <c r="F1297" t="s">
        <v>197</v>
      </c>
      <c r="G1297" t="s">
        <v>197</v>
      </c>
      <c r="H1297" t="s">
        <v>197</v>
      </c>
      <c r="I1297" t="s">
        <v>197</v>
      </c>
      <c r="J1297" t="s">
        <v>197</v>
      </c>
      <c r="K1297" t="s">
        <v>434</v>
      </c>
    </row>
    <row r="1298" spans="1:24">
      <c r="B1298" t="s">
        <v>197</v>
      </c>
      <c r="C1298" t="s">
        <v>197</v>
      </c>
      <c r="D1298" t="s">
        <v>197</v>
      </c>
      <c r="E1298" t="s">
        <v>197</v>
      </c>
      <c r="F1298" t="s">
        <v>197</v>
      </c>
      <c r="G1298" t="s">
        <v>197</v>
      </c>
      <c r="H1298" t="s">
        <v>197</v>
      </c>
      <c r="I1298" t="s">
        <v>197</v>
      </c>
      <c r="J1298" t="s">
        <v>197</v>
      </c>
      <c r="K1298" t="s">
        <v>439</v>
      </c>
    </row>
    <row r="1299" spans="1:24">
      <c r="A1299" t="s">
        <v>1138</v>
      </c>
      <c r="K1299" t="s">
        <v>1139</v>
      </c>
      <c r="W1299" t="s">
        <v>171</v>
      </c>
      <c r="X1299" t="str">
        <f>A1299</f>
        <v>info_geography_dml_single_pk</v>
      </c>
    </row>
    <row r="1300" spans="1:24">
      <c r="B1300" t="s">
        <v>196</v>
      </c>
      <c r="C1300" t="s">
        <v>197</v>
      </c>
      <c r="D1300" t="s">
        <v>197</v>
      </c>
      <c r="E1300" t="s">
        <v>197</v>
      </c>
      <c r="F1300" t="s">
        <v>197</v>
      </c>
      <c r="G1300" t="s">
        <v>197</v>
      </c>
      <c r="H1300" t="s">
        <v>197</v>
      </c>
      <c r="I1300" t="s">
        <v>1140</v>
      </c>
      <c r="J1300" t="s">
        <v>199</v>
      </c>
      <c r="K1300" t="s">
        <v>200</v>
      </c>
    </row>
    <row r="1301" spans="1:24">
      <c r="B1301" t="s">
        <v>197</v>
      </c>
      <c r="C1301" t="s">
        <v>197</v>
      </c>
      <c r="D1301" t="s">
        <v>197</v>
      </c>
      <c r="E1301" t="s">
        <v>197</v>
      </c>
      <c r="F1301" t="s">
        <v>197</v>
      </c>
      <c r="G1301" t="s">
        <v>197</v>
      </c>
      <c r="H1301" t="s">
        <v>197</v>
      </c>
      <c r="I1301" t="s">
        <v>197</v>
      </c>
      <c r="J1301" t="s">
        <v>197</v>
      </c>
      <c r="K1301" t="s">
        <v>1052</v>
      </c>
    </row>
    <row r="1302" spans="1:24">
      <c r="A1302" t="s">
        <v>1141</v>
      </c>
      <c r="K1302" t="s">
        <v>1142</v>
      </c>
      <c r="W1302" t="s">
        <v>171</v>
      </c>
      <c r="X1302" t="str">
        <f>A1302</f>
        <v>info_nvarchar_dml_batch2_pk_irp2</v>
      </c>
    </row>
    <row r="1303" spans="1:24">
      <c r="B1303" t="s">
        <v>196</v>
      </c>
      <c r="C1303" t="s">
        <v>197</v>
      </c>
      <c r="D1303" t="s">
        <v>197</v>
      </c>
      <c r="E1303" t="s">
        <v>197</v>
      </c>
      <c r="F1303" t="s">
        <v>197</v>
      </c>
      <c r="G1303" t="s">
        <v>197</v>
      </c>
      <c r="H1303" t="s">
        <v>197</v>
      </c>
      <c r="I1303" t="s">
        <v>1143</v>
      </c>
      <c r="J1303" t="s">
        <v>199</v>
      </c>
      <c r="K1303" t="s">
        <v>200</v>
      </c>
    </row>
    <row r="1304" spans="1:24">
      <c r="B1304" t="s">
        <v>197</v>
      </c>
      <c r="C1304" t="s">
        <v>197</v>
      </c>
      <c r="D1304" t="s">
        <v>197</v>
      </c>
      <c r="E1304" t="s">
        <v>197</v>
      </c>
      <c r="F1304" t="s">
        <v>197</v>
      </c>
      <c r="G1304" t="s">
        <v>197</v>
      </c>
      <c r="H1304" t="s">
        <v>197</v>
      </c>
      <c r="I1304" t="s">
        <v>197</v>
      </c>
      <c r="J1304" t="s">
        <v>197</v>
      </c>
      <c r="K1304" t="s">
        <v>408</v>
      </c>
    </row>
    <row r="1305" spans="1:24">
      <c r="B1305" t="s">
        <v>197</v>
      </c>
      <c r="C1305" t="s">
        <v>197</v>
      </c>
      <c r="D1305" t="s">
        <v>197</v>
      </c>
      <c r="E1305" t="s">
        <v>197</v>
      </c>
      <c r="F1305" t="s">
        <v>197</v>
      </c>
      <c r="G1305" t="s">
        <v>197</v>
      </c>
      <c r="H1305" t="s">
        <v>197</v>
      </c>
      <c r="I1305" t="s">
        <v>197</v>
      </c>
      <c r="J1305" t="s">
        <v>197</v>
      </c>
      <c r="K1305" t="s">
        <v>412</v>
      </c>
    </row>
    <row r="1306" spans="1:24">
      <c r="B1306" t="s">
        <v>197</v>
      </c>
      <c r="C1306" t="s">
        <v>197</v>
      </c>
      <c r="D1306" t="s">
        <v>197</v>
      </c>
      <c r="E1306" t="s">
        <v>197</v>
      </c>
      <c r="F1306" t="s">
        <v>197</v>
      </c>
      <c r="G1306" t="s">
        <v>197</v>
      </c>
      <c r="H1306" t="s">
        <v>197</v>
      </c>
      <c r="I1306" t="s">
        <v>197</v>
      </c>
      <c r="J1306" t="s">
        <v>197</v>
      </c>
      <c r="K1306" t="s">
        <v>416</v>
      </c>
    </row>
    <row r="1307" spans="1:24">
      <c r="A1307" t="s">
        <v>1144</v>
      </c>
      <c r="K1307" t="s">
        <v>1145</v>
      </c>
      <c r="W1307" s="1" t="str">
        <f>HYPERLINK("#2026042000hbase1!BM2","NO 源备存在差异，共14个")</f>
        <v>NO 源备存在差异，共14个</v>
      </c>
      <c r="X1307" t="str">
        <f>A1307</f>
        <v>info_int_dml_batch2_pk_irp1</v>
      </c>
    </row>
    <row r="1308" spans="1:24">
      <c r="B1308" t="s">
        <v>196</v>
      </c>
      <c r="C1308" t="s">
        <v>197</v>
      </c>
      <c r="D1308" t="s">
        <v>197</v>
      </c>
      <c r="E1308" t="s">
        <v>197</v>
      </c>
      <c r="F1308" t="s">
        <v>197</v>
      </c>
      <c r="G1308" t="s">
        <v>197</v>
      </c>
      <c r="H1308" t="s">
        <v>197</v>
      </c>
      <c r="I1308" t="s">
        <v>1146</v>
      </c>
      <c r="J1308" t="s">
        <v>199</v>
      </c>
      <c r="K1308" t="s">
        <v>200</v>
      </c>
    </row>
    <row r="1309" spans="1:24">
      <c r="B1309" t="s">
        <v>197</v>
      </c>
      <c r="C1309" t="s">
        <v>197</v>
      </c>
      <c r="D1309" t="s">
        <v>197</v>
      </c>
      <c r="E1309" t="s">
        <v>197</v>
      </c>
      <c r="F1309" t="s">
        <v>197</v>
      </c>
      <c r="G1309" t="s">
        <v>197</v>
      </c>
      <c r="H1309" t="s">
        <v>197</v>
      </c>
      <c r="I1309" t="s">
        <v>197</v>
      </c>
      <c r="J1309" t="s">
        <v>197</v>
      </c>
      <c r="K1309" t="s">
        <v>549</v>
      </c>
    </row>
    <row r="1310" spans="1:24">
      <c r="B1310" t="s">
        <v>197</v>
      </c>
      <c r="C1310" t="s">
        <v>197</v>
      </c>
      <c r="D1310" t="s">
        <v>197</v>
      </c>
      <c r="E1310" t="s">
        <v>197</v>
      </c>
      <c r="F1310" t="s">
        <v>197</v>
      </c>
      <c r="G1310" t="s">
        <v>197</v>
      </c>
      <c r="H1310" t="s">
        <v>197</v>
      </c>
      <c r="I1310" t="s">
        <v>197</v>
      </c>
      <c r="J1310" t="s">
        <v>197</v>
      </c>
      <c r="K1310" t="s">
        <v>550</v>
      </c>
    </row>
    <row r="1311" spans="1:24">
      <c r="B1311" t="s">
        <v>197</v>
      </c>
      <c r="C1311" t="s">
        <v>197</v>
      </c>
      <c r="D1311" t="s">
        <v>197</v>
      </c>
      <c r="E1311" t="s">
        <v>197</v>
      </c>
      <c r="F1311" t="s">
        <v>197</v>
      </c>
      <c r="G1311" t="s">
        <v>197</v>
      </c>
      <c r="H1311" t="s">
        <v>197</v>
      </c>
      <c r="I1311" t="s">
        <v>197</v>
      </c>
      <c r="J1311" t="s">
        <v>197</v>
      </c>
      <c r="K1311" t="s">
        <v>551</v>
      </c>
    </row>
    <row r="1312" spans="1:24">
      <c r="B1312" t="s">
        <v>197</v>
      </c>
      <c r="C1312" t="s">
        <v>197</v>
      </c>
      <c r="D1312" t="s">
        <v>197</v>
      </c>
      <c r="E1312" t="s">
        <v>197</v>
      </c>
      <c r="F1312" t="s">
        <v>197</v>
      </c>
      <c r="G1312" t="s">
        <v>197</v>
      </c>
      <c r="H1312" t="s">
        <v>197</v>
      </c>
      <c r="I1312" t="s">
        <v>197</v>
      </c>
      <c r="J1312" t="s">
        <v>197</v>
      </c>
      <c r="K1312" t="s">
        <v>552</v>
      </c>
    </row>
    <row r="1313" spans="1:24">
      <c r="B1313" t="s">
        <v>197</v>
      </c>
      <c r="C1313" t="s">
        <v>197</v>
      </c>
      <c r="D1313" t="s">
        <v>197</v>
      </c>
      <c r="E1313" t="s">
        <v>197</v>
      </c>
      <c r="F1313" t="s">
        <v>197</v>
      </c>
      <c r="G1313" t="s">
        <v>197</v>
      </c>
      <c r="H1313" t="s">
        <v>197</v>
      </c>
      <c r="I1313" t="s">
        <v>197</v>
      </c>
      <c r="J1313" t="s">
        <v>197</v>
      </c>
      <c r="K1313" t="s">
        <v>553</v>
      </c>
    </row>
    <row r="1314" spans="1:24">
      <c r="B1314" t="s">
        <v>197</v>
      </c>
      <c r="C1314" t="s">
        <v>197</v>
      </c>
      <c r="D1314" t="s">
        <v>197</v>
      </c>
      <c r="E1314" t="s">
        <v>197</v>
      </c>
      <c r="F1314" t="s">
        <v>197</v>
      </c>
      <c r="G1314" t="s">
        <v>197</v>
      </c>
      <c r="H1314" t="s">
        <v>197</v>
      </c>
      <c r="I1314" t="s">
        <v>197</v>
      </c>
      <c r="J1314" t="s">
        <v>197</v>
      </c>
      <c r="K1314" t="s">
        <v>554</v>
      </c>
    </row>
    <row r="1315" spans="1:24">
      <c r="B1315" t="s">
        <v>197</v>
      </c>
      <c r="C1315" t="s">
        <v>197</v>
      </c>
      <c r="D1315" t="s">
        <v>197</v>
      </c>
      <c r="E1315" t="s">
        <v>197</v>
      </c>
      <c r="F1315" t="s">
        <v>197</v>
      </c>
      <c r="G1315" t="s">
        <v>197</v>
      </c>
      <c r="H1315" t="s">
        <v>197</v>
      </c>
      <c r="I1315" t="s">
        <v>197</v>
      </c>
      <c r="J1315" t="s">
        <v>197</v>
      </c>
      <c r="K1315" t="s">
        <v>555</v>
      </c>
    </row>
    <row r="1316" spans="1:24">
      <c r="B1316" t="s">
        <v>197</v>
      </c>
      <c r="C1316" t="s">
        <v>197</v>
      </c>
      <c r="D1316" t="s">
        <v>197</v>
      </c>
      <c r="E1316" t="s">
        <v>197</v>
      </c>
      <c r="F1316" t="s">
        <v>197</v>
      </c>
      <c r="G1316" t="s">
        <v>197</v>
      </c>
      <c r="H1316" t="s">
        <v>197</v>
      </c>
      <c r="I1316" t="s">
        <v>197</v>
      </c>
      <c r="J1316" t="s">
        <v>197</v>
      </c>
      <c r="K1316" t="s">
        <v>556</v>
      </c>
    </row>
    <row r="1317" spans="1:24">
      <c r="B1317" t="s">
        <v>197</v>
      </c>
      <c r="C1317" t="s">
        <v>197</v>
      </c>
      <c r="D1317" t="s">
        <v>197</v>
      </c>
      <c r="E1317" t="s">
        <v>197</v>
      </c>
      <c r="F1317" t="s">
        <v>197</v>
      </c>
      <c r="G1317" t="s">
        <v>197</v>
      </c>
      <c r="H1317" t="s">
        <v>197</v>
      </c>
      <c r="I1317" t="s">
        <v>197</v>
      </c>
      <c r="J1317" t="s">
        <v>197</v>
      </c>
      <c r="K1317" t="s">
        <v>557</v>
      </c>
    </row>
    <row r="1318" spans="1:24">
      <c r="B1318" t="s">
        <v>197</v>
      </c>
      <c r="C1318" t="s">
        <v>197</v>
      </c>
      <c r="D1318" t="s">
        <v>197</v>
      </c>
      <c r="E1318" t="s">
        <v>197</v>
      </c>
      <c r="F1318" t="s">
        <v>197</v>
      </c>
      <c r="G1318" t="s">
        <v>197</v>
      </c>
      <c r="H1318" t="s">
        <v>197</v>
      </c>
      <c r="I1318" t="s">
        <v>197</v>
      </c>
      <c r="J1318" t="s">
        <v>197</v>
      </c>
      <c r="K1318" t="s">
        <v>558</v>
      </c>
    </row>
    <row r="1319" spans="1:24">
      <c r="B1319" t="s">
        <v>197</v>
      </c>
      <c r="C1319" t="s">
        <v>197</v>
      </c>
      <c r="D1319" t="s">
        <v>197</v>
      </c>
      <c r="E1319" t="s">
        <v>197</v>
      </c>
      <c r="F1319" t="s">
        <v>197</v>
      </c>
      <c r="G1319" t="s">
        <v>197</v>
      </c>
      <c r="H1319" t="s">
        <v>197</v>
      </c>
      <c r="I1319" t="s">
        <v>197</v>
      </c>
      <c r="J1319" t="s">
        <v>197</v>
      </c>
      <c r="K1319" t="s">
        <v>559</v>
      </c>
    </row>
    <row r="1320" spans="1:24">
      <c r="B1320" t="s">
        <v>197</v>
      </c>
      <c r="C1320" t="s">
        <v>197</v>
      </c>
      <c r="D1320" t="s">
        <v>197</v>
      </c>
      <c r="E1320" t="s">
        <v>197</v>
      </c>
      <c r="F1320" t="s">
        <v>197</v>
      </c>
      <c r="G1320" t="s">
        <v>197</v>
      </c>
      <c r="H1320" t="s">
        <v>197</v>
      </c>
      <c r="I1320" t="s">
        <v>197</v>
      </c>
      <c r="J1320" t="s">
        <v>197</v>
      </c>
      <c r="K1320" t="s">
        <v>560</v>
      </c>
    </row>
    <row r="1321" spans="1:24">
      <c r="B1321" t="s">
        <v>197</v>
      </c>
      <c r="C1321" t="s">
        <v>197</v>
      </c>
      <c r="D1321" t="s">
        <v>197</v>
      </c>
      <c r="E1321" t="s">
        <v>197</v>
      </c>
      <c r="F1321" t="s">
        <v>197</v>
      </c>
      <c r="G1321" t="s">
        <v>197</v>
      </c>
      <c r="H1321" t="s">
        <v>197</v>
      </c>
      <c r="I1321" t="s">
        <v>197</v>
      </c>
      <c r="J1321" t="s">
        <v>197</v>
      </c>
      <c r="K1321" t="s">
        <v>561</v>
      </c>
    </row>
    <row r="1322" spans="1:24">
      <c r="B1322" t="s">
        <v>197</v>
      </c>
      <c r="C1322" t="s">
        <v>197</v>
      </c>
      <c r="D1322" t="s">
        <v>197</v>
      </c>
      <c r="E1322" t="s">
        <v>197</v>
      </c>
      <c r="F1322" t="s">
        <v>197</v>
      </c>
      <c r="G1322" t="s">
        <v>197</v>
      </c>
      <c r="H1322" t="s">
        <v>197</v>
      </c>
      <c r="I1322" t="s">
        <v>197</v>
      </c>
      <c r="J1322" t="s">
        <v>197</v>
      </c>
      <c r="K1322" t="s">
        <v>562</v>
      </c>
    </row>
    <row r="1323" spans="1:24">
      <c r="B1323" t="s">
        <v>197</v>
      </c>
      <c r="C1323" t="s">
        <v>197</v>
      </c>
      <c r="D1323" t="s">
        <v>197</v>
      </c>
      <c r="E1323" t="s">
        <v>197</v>
      </c>
      <c r="F1323" t="s">
        <v>197</v>
      </c>
      <c r="G1323" t="s">
        <v>197</v>
      </c>
      <c r="H1323" t="s">
        <v>197</v>
      </c>
      <c r="I1323" t="s">
        <v>197</v>
      </c>
      <c r="J1323" t="s">
        <v>197</v>
      </c>
      <c r="K1323" t="s">
        <v>563</v>
      </c>
    </row>
    <row r="1324" spans="1:24">
      <c r="B1324" t="s">
        <v>197</v>
      </c>
      <c r="C1324" t="s">
        <v>197</v>
      </c>
      <c r="D1324" t="s">
        <v>197</v>
      </c>
      <c r="E1324" t="s">
        <v>197</v>
      </c>
      <c r="F1324" t="s">
        <v>197</v>
      </c>
      <c r="G1324" t="s">
        <v>197</v>
      </c>
      <c r="H1324" t="s">
        <v>197</v>
      </c>
      <c r="I1324" t="s">
        <v>197</v>
      </c>
      <c r="J1324" t="s">
        <v>197</v>
      </c>
      <c r="K1324" t="s">
        <v>564</v>
      </c>
    </row>
    <row r="1325" spans="1:24">
      <c r="B1325" t="s">
        <v>197</v>
      </c>
      <c r="C1325" t="s">
        <v>197</v>
      </c>
      <c r="D1325" t="s">
        <v>197</v>
      </c>
      <c r="E1325" t="s">
        <v>197</v>
      </c>
      <c r="F1325" t="s">
        <v>197</v>
      </c>
      <c r="G1325" t="s">
        <v>197</v>
      </c>
      <c r="H1325" t="s">
        <v>197</v>
      </c>
      <c r="I1325" t="s">
        <v>197</v>
      </c>
      <c r="J1325" t="s">
        <v>197</v>
      </c>
      <c r="K1325" t="s">
        <v>565</v>
      </c>
    </row>
    <row r="1326" spans="1:24">
      <c r="B1326" t="s">
        <v>197</v>
      </c>
      <c r="C1326" t="s">
        <v>197</v>
      </c>
      <c r="D1326" t="s">
        <v>197</v>
      </c>
      <c r="E1326" t="s">
        <v>197</v>
      </c>
      <c r="F1326" t="s">
        <v>197</v>
      </c>
      <c r="G1326" t="s">
        <v>197</v>
      </c>
      <c r="H1326" t="s">
        <v>197</v>
      </c>
      <c r="I1326" t="s">
        <v>197</v>
      </c>
      <c r="J1326" t="s">
        <v>197</v>
      </c>
      <c r="K1326" t="s">
        <v>566</v>
      </c>
    </row>
    <row r="1327" spans="1:24">
      <c r="B1327" t="s">
        <v>197</v>
      </c>
      <c r="C1327" t="s">
        <v>197</v>
      </c>
      <c r="D1327" t="s">
        <v>197</v>
      </c>
      <c r="E1327" t="s">
        <v>197</v>
      </c>
      <c r="F1327" t="s">
        <v>197</v>
      </c>
      <c r="G1327" t="s">
        <v>197</v>
      </c>
      <c r="H1327" t="s">
        <v>197</v>
      </c>
      <c r="I1327" t="s">
        <v>197</v>
      </c>
      <c r="J1327" t="s">
        <v>197</v>
      </c>
      <c r="K1327" t="s">
        <v>567</v>
      </c>
    </row>
    <row r="1328" spans="1:24">
      <c r="A1328" t="s">
        <v>1147</v>
      </c>
      <c r="K1328" t="s">
        <v>1148</v>
      </c>
      <c r="W1328" s="1" t="str">
        <f>HYPERLINK("#2026042000hbase1!BN2","NO 源备存在差异，共38个")</f>
        <v>NO 源备存在差异，共38个</v>
      </c>
      <c r="X1328" t="str">
        <f>A1328</f>
        <v>info_varbinary_dml_batch2_pk_irp2</v>
      </c>
    </row>
    <row r="1329" spans="1:24">
      <c r="B1329" t="s">
        <v>196</v>
      </c>
      <c r="C1329" t="s">
        <v>197</v>
      </c>
      <c r="D1329" t="s">
        <v>197</v>
      </c>
      <c r="E1329" t="s">
        <v>197</v>
      </c>
      <c r="F1329" t="s">
        <v>197</v>
      </c>
      <c r="G1329" t="s">
        <v>197</v>
      </c>
      <c r="H1329" t="s">
        <v>197</v>
      </c>
      <c r="I1329" t="s">
        <v>1149</v>
      </c>
      <c r="J1329" t="s">
        <v>199</v>
      </c>
      <c r="K1329" t="s">
        <v>200</v>
      </c>
    </row>
    <row r="1330" spans="1:24">
      <c r="B1330" t="s">
        <v>197</v>
      </c>
      <c r="C1330" t="s">
        <v>197</v>
      </c>
      <c r="D1330" t="s">
        <v>197</v>
      </c>
      <c r="E1330" t="s">
        <v>197</v>
      </c>
      <c r="F1330" t="s">
        <v>197</v>
      </c>
      <c r="G1330" t="s">
        <v>197</v>
      </c>
      <c r="H1330" t="s">
        <v>197</v>
      </c>
      <c r="I1330" t="s">
        <v>197</v>
      </c>
      <c r="J1330" t="s">
        <v>197</v>
      </c>
      <c r="K1330" t="s">
        <v>495</v>
      </c>
    </row>
    <row r="1331" spans="1:24">
      <c r="B1331" t="s">
        <v>197</v>
      </c>
      <c r="C1331" t="s">
        <v>197</v>
      </c>
      <c r="D1331" t="s">
        <v>197</v>
      </c>
      <c r="E1331" t="s">
        <v>197</v>
      </c>
      <c r="F1331" t="s">
        <v>197</v>
      </c>
      <c r="G1331" t="s">
        <v>197</v>
      </c>
      <c r="H1331" t="s">
        <v>197</v>
      </c>
      <c r="I1331" t="s">
        <v>197</v>
      </c>
      <c r="J1331" t="s">
        <v>197</v>
      </c>
      <c r="K1331" t="s">
        <v>499</v>
      </c>
    </row>
    <row r="1332" spans="1:24">
      <c r="B1332" t="s">
        <v>197</v>
      </c>
      <c r="C1332" t="s">
        <v>197</v>
      </c>
      <c r="D1332" t="s">
        <v>197</v>
      </c>
      <c r="E1332" t="s">
        <v>197</v>
      </c>
      <c r="F1332" t="s">
        <v>197</v>
      </c>
      <c r="G1332" t="s">
        <v>197</v>
      </c>
      <c r="H1332" t="s">
        <v>197</v>
      </c>
      <c r="I1332" t="s">
        <v>197</v>
      </c>
      <c r="J1332" t="s">
        <v>197</v>
      </c>
      <c r="K1332" t="s">
        <v>503</v>
      </c>
    </row>
    <row r="1333" spans="1:24">
      <c r="A1333" t="s">
        <v>1150</v>
      </c>
      <c r="K1333" t="s">
        <v>1151</v>
      </c>
      <c r="W1333" t="s">
        <v>171</v>
      </c>
      <c r="X1333" t="str">
        <f>A1333</f>
        <v>info_time_dml_batch1_pk</v>
      </c>
    </row>
    <row r="1334" spans="1:24">
      <c r="B1334" t="s">
        <v>196</v>
      </c>
      <c r="C1334" t="s">
        <v>197</v>
      </c>
      <c r="D1334" t="s">
        <v>197</v>
      </c>
      <c r="E1334" t="s">
        <v>197</v>
      </c>
      <c r="F1334" t="s">
        <v>197</v>
      </c>
      <c r="G1334" t="s">
        <v>197</v>
      </c>
      <c r="H1334" t="s">
        <v>197</v>
      </c>
      <c r="I1334" t="s">
        <v>1152</v>
      </c>
      <c r="J1334" t="s">
        <v>199</v>
      </c>
      <c r="K1334" t="s">
        <v>200</v>
      </c>
    </row>
    <row r="1335" spans="1:24">
      <c r="B1335" t="s">
        <v>197</v>
      </c>
      <c r="C1335" t="s">
        <v>197</v>
      </c>
      <c r="D1335" t="s">
        <v>197</v>
      </c>
      <c r="E1335" t="s">
        <v>197</v>
      </c>
      <c r="F1335" t="s">
        <v>197</v>
      </c>
      <c r="G1335" t="s">
        <v>197</v>
      </c>
      <c r="H1335" t="s">
        <v>197</v>
      </c>
      <c r="I1335" t="s">
        <v>197</v>
      </c>
      <c r="J1335" t="s">
        <v>197</v>
      </c>
      <c r="K1335" t="s">
        <v>800</v>
      </c>
    </row>
    <row r="1336" spans="1:24">
      <c r="B1336" t="s">
        <v>197</v>
      </c>
      <c r="C1336" t="s">
        <v>197</v>
      </c>
      <c r="D1336" t="s">
        <v>197</v>
      </c>
      <c r="E1336" t="s">
        <v>197</v>
      </c>
      <c r="F1336" t="s">
        <v>197</v>
      </c>
      <c r="G1336" t="s">
        <v>197</v>
      </c>
      <c r="H1336" t="s">
        <v>197</v>
      </c>
      <c r="I1336" t="s">
        <v>197</v>
      </c>
      <c r="J1336" t="s">
        <v>197</v>
      </c>
      <c r="K1336" t="s">
        <v>801</v>
      </c>
    </row>
    <row r="1337" spans="1:24">
      <c r="B1337" t="s">
        <v>197</v>
      </c>
      <c r="C1337" t="s">
        <v>197</v>
      </c>
      <c r="D1337" t="s">
        <v>197</v>
      </c>
      <c r="E1337" t="s">
        <v>197</v>
      </c>
      <c r="F1337" t="s">
        <v>197</v>
      </c>
      <c r="G1337" t="s">
        <v>197</v>
      </c>
      <c r="H1337" t="s">
        <v>197</v>
      </c>
      <c r="I1337" t="s">
        <v>197</v>
      </c>
      <c r="J1337" t="s">
        <v>197</v>
      </c>
      <c r="K1337" t="s">
        <v>802</v>
      </c>
    </row>
    <row r="1338" spans="1:24">
      <c r="B1338" t="s">
        <v>197</v>
      </c>
      <c r="C1338" t="s">
        <v>197</v>
      </c>
      <c r="D1338" t="s">
        <v>197</v>
      </c>
      <c r="E1338" t="s">
        <v>197</v>
      </c>
      <c r="F1338" t="s">
        <v>197</v>
      </c>
      <c r="G1338" t="s">
        <v>197</v>
      </c>
      <c r="H1338" t="s">
        <v>197</v>
      </c>
      <c r="I1338" t="s">
        <v>197</v>
      </c>
      <c r="J1338" t="s">
        <v>197</v>
      </c>
      <c r="K1338" t="s">
        <v>803</v>
      </c>
    </row>
    <row r="1339" spans="1:24">
      <c r="B1339" t="s">
        <v>197</v>
      </c>
      <c r="C1339" t="s">
        <v>197</v>
      </c>
      <c r="D1339" t="s">
        <v>197</v>
      </c>
      <c r="E1339" t="s">
        <v>197</v>
      </c>
      <c r="F1339" t="s">
        <v>197</v>
      </c>
      <c r="G1339" t="s">
        <v>197</v>
      </c>
      <c r="H1339" t="s">
        <v>197</v>
      </c>
      <c r="I1339" t="s">
        <v>197</v>
      </c>
      <c r="J1339" t="s">
        <v>197</v>
      </c>
      <c r="K1339" t="s">
        <v>804</v>
      </c>
    </row>
    <row r="1340" spans="1:24">
      <c r="B1340" t="s">
        <v>197</v>
      </c>
      <c r="C1340" t="s">
        <v>197</v>
      </c>
      <c r="D1340" t="s">
        <v>197</v>
      </c>
      <c r="E1340" t="s">
        <v>197</v>
      </c>
      <c r="F1340" t="s">
        <v>197</v>
      </c>
      <c r="G1340" t="s">
        <v>197</v>
      </c>
      <c r="H1340" t="s">
        <v>197</v>
      </c>
      <c r="I1340" t="s">
        <v>197</v>
      </c>
      <c r="J1340" t="s">
        <v>197</v>
      </c>
      <c r="K1340" t="s">
        <v>805</v>
      </c>
    </row>
    <row r="1341" spans="1:24">
      <c r="B1341" t="s">
        <v>197</v>
      </c>
      <c r="C1341" t="s">
        <v>197</v>
      </c>
      <c r="D1341" t="s">
        <v>197</v>
      </c>
      <c r="E1341" t="s">
        <v>197</v>
      </c>
      <c r="F1341" t="s">
        <v>197</v>
      </c>
      <c r="G1341" t="s">
        <v>197</v>
      </c>
      <c r="H1341" t="s">
        <v>197</v>
      </c>
      <c r="I1341" t="s">
        <v>197</v>
      </c>
      <c r="J1341" t="s">
        <v>197</v>
      </c>
      <c r="K1341" t="s">
        <v>806</v>
      </c>
    </row>
    <row r="1342" spans="1:24">
      <c r="B1342" t="s">
        <v>197</v>
      </c>
      <c r="C1342" t="s">
        <v>197</v>
      </c>
      <c r="D1342" t="s">
        <v>197</v>
      </c>
      <c r="E1342" t="s">
        <v>197</v>
      </c>
      <c r="F1342" t="s">
        <v>197</v>
      </c>
      <c r="G1342" t="s">
        <v>197</v>
      </c>
      <c r="H1342" t="s">
        <v>197</v>
      </c>
      <c r="I1342" t="s">
        <v>197</v>
      </c>
      <c r="J1342" t="s">
        <v>197</v>
      </c>
      <c r="K1342" t="s">
        <v>807</v>
      </c>
    </row>
    <row r="1343" spans="1:24">
      <c r="A1343" t="s">
        <v>1153</v>
      </c>
      <c r="K1343" t="s">
        <v>1154</v>
      </c>
      <c r="W1343" t="s">
        <v>171</v>
      </c>
      <c r="X1343" t="str">
        <f>A1343</f>
        <v>info_sdt_dml_batch1_pk_irp1</v>
      </c>
    </row>
    <row r="1344" spans="1:24">
      <c r="B1344" t="s">
        <v>196</v>
      </c>
      <c r="C1344" t="s">
        <v>197</v>
      </c>
      <c r="D1344" t="s">
        <v>197</v>
      </c>
      <c r="E1344" t="s">
        <v>197</v>
      </c>
      <c r="F1344" t="s">
        <v>197</v>
      </c>
      <c r="G1344" t="s">
        <v>197</v>
      </c>
      <c r="H1344" t="s">
        <v>197</v>
      </c>
      <c r="I1344" t="s">
        <v>1155</v>
      </c>
      <c r="J1344" t="s">
        <v>199</v>
      </c>
      <c r="K1344" t="s">
        <v>200</v>
      </c>
    </row>
    <row r="1345" spans="1:24">
      <c r="B1345" t="s">
        <v>197</v>
      </c>
      <c r="C1345" t="s">
        <v>197</v>
      </c>
      <c r="D1345" t="s">
        <v>197</v>
      </c>
      <c r="E1345" t="s">
        <v>197</v>
      </c>
      <c r="F1345" t="s">
        <v>197</v>
      </c>
      <c r="G1345" t="s">
        <v>197</v>
      </c>
      <c r="H1345" t="s">
        <v>197</v>
      </c>
      <c r="I1345" t="s">
        <v>197</v>
      </c>
      <c r="J1345" t="s">
        <v>197</v>
      </c>
      <c r="K1345" t="s">
        <v>422</v>
      </c>
    </row>
    <row r="1346" spans="1:24">
      <c r="A1346" t="s">
        <v>1156</v>
      </c>
      <c r="K1346" t="s">
        <v>1157</v>
      </c>
      <c r="W1346" t="s">
        <v>171</v>
      </c>
      <c r="X1346" t="str">
        <f>A1346</f>
        <v>info_sdt_dml_batch1_pk_irp2</v>
      </c>
    </row>
    <row r="1347" spans="1:24">
      <c r="B1347" t="s">
        <v>196</v>
      </c>
      <c r="C1347" t="s">
        <v>197</v>
      </c>
      <c r="D1347" t="s">
        <v>197</v>
      </c>
      <c r="E1347" t="s">
        <v>197</v>
      </c>
      <c r="F1347" t="s">
        <v>197</v>
      </c>
      <c r="G1347" t="s">
        <v>197</v>
      </c>
      <c r="H1347" t="s">
        <v>197</v>
      </c>
      <c r="I1347" t="s">
        <v>1158</v>
      </c>
      <c r="J1347" t="s">
        <v>199</v>
      </c>
      <c r="K1347" t="s">
        <v>200</v>
      </c>
    </row>
    <row r="1348" spans="1:24">
      <c r="B1348" t="s">
        <v>197</v>
      </c>
      <c r="C1348" t="s">
        <v>197</v>
      </c>
      <c r="D1348" t="s">
        <v>197</v>
      </c>
      <c r="E1348" t="s">
        <v>197</v>
      </c>
      <c r="F1348" t="s">
        <v>197</v>
      </c>
      <c r="G1348" t="s">
        <v>197</v>
      </c>
      <c r="H1348" t="s">
        <v>197</v>
      </c>
      <c r="I1348" t="s">
        <v>197</v>
      </c>
      <c r="J1348" t="s">
        <v>197</v>
      </c>
      <c r="K1348" t="s">
        <v>422</v>
      </c>
    </row>
    <row r="1349" spans="1:24">
      <c r="A1349" t="s">
        <v>1159</v>
      </c>
      <c r="K1349" t="s">
        <v>1160</v>
      </c>
      <c r="W1349" t="s">
        <v>171</v>
      </c>
      <c r="X1349" t="str">
        <f>A1349</f>
        <v>info_datetimeoffset_dml_single_pk_irp</v>
      </c>
    </row>
    <row r="1350" spans="1:24">
      <c r="B1350" t="s">
        <v>196</v>
      </c>
      <c r="C1350" t="s">
        <v>197</v>
      </c>
      <c r="D1350" t="s">
        <v>197</v>
      </c>
      <c r="E1350" t="s">
        <v>197</v>
      </c>
      <c r="F1350" t="s">
        <v>197</v>
      </c>
      <c r="G1350" t="s">
        <v>197</v>
      </c>
      <c r="H1350" t="s">
        <v>197</v>
      </c>
      <c r="I1350" t="s">
        <v>1161</v>
      </c>
      <c r="J1350" t="s">
        <v>199</v>
      </c>
      <c r="K1350" t="s">
        <v>200</v>
      </c>
    </row>
    <row r="1351" spans="1:24">
      <c r="B1351" t="s">
        <v>197</v>
      </c>
      <c r="C1351" t="s">
        <v>197</v>
      </c>
      <c r="D1351" t="s">
        <v>197</v>
      </c>
      <c r="E1351" t="s">
        <v>197</v>
      </c>
      <c r="F1351" t="s">
        <v>197</v>
      </c>
      <c r="G1351" t="s">
        <v>197</v>
      </c>
      <c r="H1351" t="s">
        <v>197</v>
      </c>
      <c r="I1351" t="s">
        <v>197</v>
      </c>
      <c r="J1351" t="s">
        <v>197</v>
      </c>
      <c r="K1351" t="s">
        <v>301</v>
      </c>
    </row>
    <row r="1352" spans="1:24">
      <c r="B1352" t="s">
        <v>197</v>
      </c>
      <c r="C1352" t="s">
        <v>197</v>
      </c>
      <c r="D1352" t="s">
        <v>197</v>
      </c>
      <c r="E1352" t="s">
        <v>197</v>
      </c>
      <c r="F1352" t="s">
        <v>197</v>
      </c>
      <c r="G1352" t="s">
        <v>197</v>
      </c>
      <c r="H1352" t="s">
        <v>197</v>
      </c>
      <c r="I1352" t="s">
        <v>197</v>
      </c>
      <c r="J1352" t="s">
        <v>197</v>
      </c>
      <c r="K1352" t="s">
        <v>314</v>
      </c>
    </row>
    <row r="1353" spans="1:24">
      <c r="B1353" t="s">
        <v>197</v>
      </c>
      <c r="C1353" t="s">
        <v>197</v>
      </c>
      <c r="D1353" t="s">
        <v>197</v>
      </c>
      <c r="E1353" t="s">
        <v>197</v>
      </c>
      <c r="F1353" t="s">
        <v>197</v>
      </c>
      <c r="G1353" t="s">
        <v>197</v>
      </c>
      <c r="H1353" t="s">
        <v>197</v>
      </c>
      <c r="I1353" t="s">
        <v>197</v>
      </c>
      <c r="J1353" t="s">
        <v>197</v>
      </c>
      <c r="K1353" t="s">
        <v>324</v>
      </c>
    </row>
    <row r="1354" spans="1:24">
      <c r="B1354" t="s">
        <v>197</v>
      </c>
      <c r="C1354" t="s">
        <v>197</v>
      </c>
      <c r="D1354" t="s">
        <v>197</v>
      </c>
      <c r="E1354" t="s">
        <v>197</v>
      </c>
      <c r="F1354" t="s">
        <v>197</v>
      </c>
      <c r="G1354" t="s">
        <v>197</v>
      </c>
      <c r="H1354" t="s">
        <v>197</v>
      </c>
      <c r="I1354" t="s">
        <v>197</v>
      </c>
      <c r="J1354" t="s">
        <v>197</v>
      </c>
      <c r="K1354" t="s">
        <v>335</v>
      </c>
    </row>
    <row r="1355" spans="1:24">
      <c r="B1355" t="s">
        <v>197</v>
      </c>
      <c r="C1355" t="s">
        <v>197</v>
      </c>
      <c r="D1355" t="s">
        <v>197</v>
      </c>
      <c r="E1355" t="s">
        <v>197</v>
      </c>
      <c r="F1355" t="s">
        <v>197</v>
      </c>
      <c r="G1355" t="s">
        <v>197</v>
      </c>
      <c r="H1355" t="s">
        <v>197</v>
      </c>
      <c r="I1355" t="s">
        <v>197</v>
      </c>
      <c r="J1355" t="s">
        <v>197</v>
      </c>
      <c r="K1355" t="s">
        <v>350</v>
      </c>
    </row>
    <row r="1356" spans="1:24">
      <c r="B1356" t="s">
        <v>197</v>
      </c>
      <c r="C1356" t="s">
        <v>197</v>
      </c>
      <c r="D1356" t="s">
        <v>197</v>
      </c>
      <c r="E1356" t="s">
        <v>197</v>
      </c>
      <c r="F1356" t="s">
        <v>197</v>
      </c>
      <c r="G1356" t="s">
        <v>197</v>
      </c>
      <c r="H1356" t="s">
        <v>197</v>
      </c>
      <c r="I1356" t="s">
        <v>197</v>
      </c>
      <c r="J1356" t="s">
        <v>197</v>
      </c>
      <c r="K1356" t="s">
        <v>360</v>
      </c>
    </row>
    <row r="1357" spans="1:24">
      <c r="B1357" t="s">
        <v>197</v>
      </c>
      <c r="C1357" t="s">
        <v>197</v>
      </c>
      <c r="D1357" t="s">
        <v>197</v>
      </c>
      <c r="E1357" t="s">
        <v>197</v>
      </c>
      <c r="F1357" t="s">
        <v>197</v>
      </c>
      <c r="G1357" t="s">
        <v>197</v>
      </c>
      <c r="H1357" t="s">
        <v>197</v>
      </c>
      <c r="I1357" t="s">
        <v>197</v>
      </c>
      <c r="J1357" t="s">
        <v>197</v>
      </c>
      <c r="K1357" t="s">
        <v>367</v>
      </c>
    </row>
    <row r="1358" spans="1:24">
      <c r="B1358" t="s">
        <v>197</v>
      </c>
      <c r="C1358" t="s">
        <v>197</v>
      </c>
      <c r="D1358" t="s">
        <v>197</v>
      </c>
      <c r="E1358" t="s">
        <v>197</v>
      </c>
      <c r="F1358" t="s">
        <v>197</v>
      </c>
      <c r="G1358" t="s">
        <v>197</v>
      </c>
      <c r="H1358" t="s">
        <v>197</v>
      </c>
      <c r="I1358" t="s">
        <v>197</v>
      </c>
      <c r="J1358" t="s">
        <v>197</v>
      </c>
      <c r="K1358" t="s">
        <v>373</v>
      </c>
    </row>
    <row r="1359" spans="1:24">
      <c r="A1359" t="s">
        <v>1162</v>
      </c>
      <c r="K1359" t="s">
        <v>1163</v>
      </c>
      <c r="W1359" t="s">
        <v>171</v>
      </c>
      <c r="X1359" t="str">
        <f>A1359</f>
        <v>info_varchar_dml_batch1_pk_urp2</v>
      </c>
    </row>
    <row r="1360" spans="1:24">
      <c r="B1360" t="s">
        <v>196</v>
      </c>
      <c r="C1360" t="s">
        <v>197</v>
      </c>
      <c r="D1360" t="s">
        <v>197</v>
      </c>
      <c r="E1360" t="s">
        <v>197</v>
      </c>
      <c r="F1360" t="s">
        <v>197</v>
      </c>
      <c r="G1360" t="s">
        <v>197</v>
      </c>
      <c r="H1360" t="s">
        <v>197</v>
      </c>
      <c r="I1360" t="s">
        <v>1164</v>
      </c>
      <c r="J1360" t="s">
        <v>199</v>
      </c>
      <c r="K1360" t="s">
        <v>200</v>
      </c>
    </row>
    <row r="1361" spans="1:24">
      <c r="B1361" t="s">
        <v>197</v>
      </c>
      <c r="C1361" t="s">
        <v>197</v>
      </c>
      <c r="D1361" t="s">
        <v>197</v>
      </c>
      <c r="E1361" t="s">
        <v>197</v>
      </c>
      <c r="F1361" t="s">
        <v>197</v>
      </c>
      <c r="G1361" t="s">
        <v>197</v>
      </c>
      <c r="H1361" t="s">
        <v>197</v>
      </c>
      <c r="I1361" t="s">
        <v>197</v>
      </c>
      <c r="J1361" t="s">
        <v>197</v>
      </c>
      <c r="K1361" t="s">
        <v>431</v>
      </c>
    </row>
    <row r="1362" spans="1:24">
      <c r="B1362" t="s">
        <v>197</v>
      </c>
      <c r="C1362" t="s">
        <v>197</v>
      </c>
      <c r="D1362" t="s">
        <v>197</v>
      </c>
      <c r="E1362" t="s">
        <v>197</v>
      </c>
      <c r="F1362" t="s">
        <v>197</v>
      </c>
      <c r="G1362" t="s">
        <v>197</v>
      </c>
      <c r="H1362" t="s">
        <v>197</v>
      </c>
      <c r="I1362" t="s">
        <v>197</v>
      </c>
      <c r="J1362" t="s">
        <v>197</v>
      </c>
      <c r="K1362" t="s">
        <v>434</v>
      </c>
    </row>
    <row r="1363" spans="1:24">
      <c r="B1363" t="s">
        <v>197</v>
      </c>
      <c r="C1363" t="s">
        <v>197</v>
      </c>
      <c r="D1363" t="s">
        <v>197</v>
      </c>
      <c r="E1363" t="s">
        <v>197</v>
      </c>
      <c r="F1363" t="s">
        <v>197</v>
      </c>
      <c r="G1363" t="s">
        <v>197</v>
      </c>
      <c r="H1363" t="s">
        <v>197</v>
      </c>
      <c r="I1363" t="s">
        <v>197</v>
      </c>
      <c r="J1363" t="s">
        <v>197</v>
      </c>
      <c r="K1363" t="s">
        <v>439</v>
      </c>
    </row>
    <row r="1364" spans="1:24">
      <c r="A1364" t="s">
        <v>1165</v>
      </c>
      <c r="K1364" t="s">
        <v>1166</v>
      </c>
      <c r="W1364" s="1" t="str">
        <f>HYPERLINK("#2026042000hbase1!BO2","NO 源备存在差异，共36个")</f>
        <v>NO 源备存在差异，共36个</v>
      </c>
      <c r="X1364" t="str">
        <f>A1364</f>
        <v>info_int_dml_batch2_pk_irp2</v>
      </c>
    </row>
    <row r="1365" spans="1:24">
      <c r="B1365" t="s">
        <v>196</v>
      </c>
      <c r="C1365" t="s">
        <v>197</v>
      </c>
      <c r="D1365" t="s">
        <v>197</v>
      </c>
      <c r="E1365" t="s">
        <v>197</v>
      </c>
      <c r="F1365" t="s">
        <v>197</v>
      </c>
      <c r="G1365" t="s">
        <v>197</v>
      </c>
      <c r="H1365" t="s">
        <v>197</v>
      </c>
      <c r="I1365" t="s">
        <v>1167</v>
      </c>
      <c r="J1365" t="s">
        <v>199</v>
      </c>
      <c r="K1365" t="s">
        <v>200</v>
      </c>
    </row>
    <row r="1366" spans="1:24">
      <c r="B1366" t="s">
        <v>197</v>
      </c>
      <c r="C1366" t="s">
        <v>197</v>
      </c>
      <c r="D1366" t="s">
        <v>197</v>
      </c>
      <c r="E1366" t="s">
        <v>197</v>
      </c>
      <c r="F1366" t="s">
        <v>197</v>
      </c>
      <c r="G1366" t="s">
        <v>197</v>
      </c>
      <c r="H1366" t="s">
        <v>197</v>
      </c>
      <c r="I1366" t="s">
        <v>197</v>
      </c>
      <c r="J1366" t="s">
        <v>197</v>
      </c>
      <c r="K1366" t="s">
        <v>549</v>
      </c>
    </row>
    <row r="1367" spans="1:24">
      <c r="B1367" t="s">
        <v>197</v>
      </c>
      <c r="C1367" t="s">
        <v>197</v>
      </c>
      <c r="D1367" t="s">
        <v>197</v>
      </c>
      <c r="E1367" t="s">
        <v>197</v>
      </c>
      <c r="F1367" t="s">
        <v>197</v>
      </c>
      <c r="G1367" t="s">
        <v>197</v>
      </c>
      <c r="H1367" t="s">
        <v>197</v>
      </c>
      <c r="I1367" t="s">
        <v>197</v>
      </c>
      <c r="J1367" t="s">
        <v>197</v>
      </c>
      <c r="K1367" t="s">
        <v>550</v>
      </c>
    </row>
    <row r="1368" spans="1:24">
      <c r="B1368" t="s">
        <v>197</v>
      </c>
      <c r="C1368" t="s">
        <v>197</v>
      </c>
      <c r="D1368" t="s">
        <v>197</v>
      </c>
      <c r="E1368" t="s">
        <v>197</v>
      </c>
      <c r="F1368" t="s">
        <v>197</v>
      </c>
      <c r="G1368" t="s">
        <v>197</v>
      </c>
      <c r="H1368" t="s">
        <v>197</v>
      </c>
      <c r="I1368" t="s">
        <v>197</v>
      </c>
      <c r="J1368" t="s">
        <v>197</v>
      </c>
      <c r="K1368" t="s">
        <v>551</v>
      </c>
    </row>
    <row r="1369" spans="1:24">
      <c r="B1369" t="s">
        <v>197</v>
      </c>
      <c r="C1369" t="s">
        <v>197</v>
      </c>
      <c r="D1369" t="s">
        <v>197</v>
      </c>
      <c r="E1369" t="s">
        <v>197</v>
      </c>
      <c r="F1369" t="s">
        <v>197</v>
      </c>
      <c r="G1369" t="s">
        <v>197</v>
      </c>
      <c r="H1369" t="s">
        <v>197</v>
      </c>
      <c r="I1369" t="s">
        <v>197</v>
      </c>
      <c r="J1369" t="s">
        <v>197</v>
      </c>
      <c r="K1369" t="s">
        <v>552</v>
      </c>
    </row>
    <row r="1370" spans="1:24">
      <c r="B1370" t="s">
        <v>197</v>
      </c>
      <c r="C1370" t="s">
        <v>197</v>
      </c>
      <c r="D1370" t="s">
        <v>197</v>
      </c>
      <c r="E1370" t="s">
        <v>197</v>
      </c>
      <c r="F1370" t="s">
        <v>197</v>
      </c>
      <c r="G1370" t="s">
        <v>197</v>
      </c>
      <c r="H1370" t="s">
        <v>197</v>
      </c>
      <c r="I1370" t="s">
        <v>197</v>
      </c>
      <c r="J1370" t="s">
        <v>197</v>
      </c>
      <c r="K1370" t="s">
        <v>553</v>
      </c>
    </row>
    <row r="1371" spans="1:24">
      <c r="B1371" t="s">
        <v>197</v>
      </c>
      <c r="C1371" t="s">
        <v>197</v>
      </c>
      <c r="D1371" t="s">
        <v>197</v>
      </c>
      <c r="E1371" t="s">
        <v>197</v>
      </c>
      <c r="F1371" t="s">
        <v>197</v>
      </c>
      <c r="G1371" t="s">
        <v>197</v>
      </c>
      <c r="H1371" t="s">
        <v>197</v>
      </c>
      <c r="I1371" t="s">
        <v>197</v>
      </c>
      <c r="J1371" t="s">
        <v>197</v>
      </c>
      <c r="K1371" t="s">
        <v>554</v>
      </c>
    </row>
    <row r="1372" spans="1:24">
      <c r="B1372" t="s">
        <v>197</v>
      </c>
      <c r="C1372" t="s">
        <v>197</v>
      </c>
      <c r="D1372" t="s">
        <v>197</v>
      </c>
      <c r="E1372" t="s">
        <v>197</v>
      </c>
      <c r="F1372" t="s">
        <v>197</v>
      </c>
      <c r="G1372" t="s">
        <v>197</v>
      </c>
      <c r="H1372" t="s">
        <v>197</v>
      </c>
      <c r="I1372" t="s">
        <v>197</v>
      </c>
      <c r="J1372" t="s">
        <v>197</v>
      </c>
      <c r="K1372" t="s">
        <v>555</v>
      </c>
    </row>
    <row r="1373" spans="1:24">
      <c r="B1373" t="s">
        <v>197</v>
      </c>
      <c r="C1373" t="s">
        <v>197</v>
      </c>
      <c r="D1373" t="s">
        <v>197</v>
      </c>
      <c r="E1373" t="s">
        <v>197</v>
      </c>
      <c r="F1373" t="s">
        <v>197</v>
      </c>
      <c r="G1373" t="s">
        <v>197</v>
      </c>
      <c r="H1373" t="s">
        <v>197</v>
      </c>
      <c r="I1373" t="s">
        <v>197</v>
      </c>
      <c r="J1373" t="s">
        <v>197</v>
      </c>
      <c r="K1373" t="s">
        <v>556</v>
      </c>
    </row>
    <row r="1374" spans="1:24">
      <c r="B1374" t="s">
        <v>197</v>
      </c>
      <c r="C1374" t="s">
        <v>197</v>
      </c>
      <c r="D1374" t="s">
        <v>197</v>
      </c>
      <c r="E1374" t="s">
        <v>197</v>
      </c>
      <c r="F1374" t="s">
        <v>197</v>
      </c>
      <c r="G1374" t="s">
        <v>197</v>
      </c>
      <c r="H1374" t="s">
        <v>197</v>
      </c>
      <c r="I1374" t="s">
        <v>197</v>
      </c>
      <c r="J1374" t="s">
        <v>197</v>
      </c>
      <c r="K1374" t="s">
        <v>557</v>
      </c>
    </row>
    <row r="1375" spans="1:24">
      <c r="B1375" t="s">
        <v>197</v>
      </c>
      <c r="C1375" t="s">
        <v>197</v>
      </c>
      <c r="D1375" t="s">
        <v>197</v>
      </c>
      <c r="E1375" t="s">
        <v>197</v>
      </c>
      <c r="F1375" t="s">
        <v>197</v>
      </c>
      <c r="G1375" t="s">
        <v>197</v>
      </c>
      <c r="H1375" t="s">
        <v>197</v>
      </c>
      <c r="I1375" t="s">
        <v>197</v>
      </c>
      <c r="J1375" t="s">
        <v>197</v>
      </c>
      <c r="K1375" t="s">
        <v>558</v>
      </c>
    </row>
    <row r="1376" spans="1:24">
      <c r="B1376" t="s">
        <v>197</v>
      </c>
      <c r="C1376" t="s">
        <v>197</v>
      </c>
      <c r="D1376" t="s">
        <v>197</v>
      </c>
      <c r="E1376" t="s">
        <v>197</v>
      </c>
      <c r="F1376" t="s">
        <v>197</v>
      </c>
      <c r="G1376" t="s">
        <v>197</v>
      </c>
      <c r="H1376" t="s">
        <v>197</v>
      </c>
      <c r="I1376" t="s">
        <v>197</v>
      </c>
      <c r="J1376" t="s">
        <v>197</v>
      </c>
      <c r="K1376" t="s">
        <v>559</v>
      </c>
    </row>
    <row r="1377" spans="1:24">
      <c r="B1377" t="s">
        <v>197</v>
      </c>
      <c r="C1377" t="s">
        <v>197</v>
      </c>
      <c r="D1377" t="s">
        <v>197</v>
      </c>
      <c r="E1377" t="s">
        <v>197</v>
      </c>
      <c r="F1377" t="s">
        <v>197</v>
      </c>
      <c r="G1377" t="s">
        <v>197</v>
      </c>
      <c r="H1377" t="s">
        <v>197</v>
      </c>
      <c r="I1377" t="s">
        <v>197</v>
      </c>
      <c r="J1377" t="s">
        <v>197</v>
      </c>
      <c r="K1377" t="s">
        <v>560</v>
      </c>
    </row>
    <row r="1378" spans="1:24">
      <c r="B1378" t="s">
        <v>197</v>
      </c>
      <c r="C1378" t="s">
        <v>197</v>
      </c>
      <c r="D1378" t="s">
        <v>197</v>
      </c>
      <c r="E1378" t="s">
        <v>197</v>
      </c>
      <c r="F1378" t="s">
        <v>197</v>
      </c>
      <c r="G1378" t="s">
        <v>197</v>
      </c>
      <c r="H1378" t="s">
        <v>197</v>
      </c>
      <c r="I1378" t="s">
        <v>197</v>
      </c>
      <c r="J1378" t="s">
        <v>197</v>
      </c>
      <c r="K1378" t="s">
        <v>561</v>
      </c>
    </row>
    <row r="1379" spans="1:24">
      <c r="B1379" t="s">
        <v>197</v>
      </c>
      <c r="C1379" t="s">
        <v>197</v>
      </c>
      <c r="D1379" t="s">
        <v>197</v>
      </c>
      <c r="E1379" t="s">
        <v>197</v>
      </c>
      <c r="F1379" t="s">
        <v>197</v>
      </c>
      <c r="G1379" t="s">
        <v>197</v>
      </c>
      <c r="H1379" t="s">
        <v>197</v>
      </c>
      <c r="I1379" t="s">
        <v>197</v>
      </c>
      <c r="J1379" t="s">
        <v>197</v>
      </c>
      <c r="K1379" t="s">
        <v>562</v>
      </c>
    </row>
    <row r="1380" spans="1:24">
      <c r="B1380" t="s">
        <v>197</v>
      </c>
      <c r="C1380" t="s">
        <v>197</v>
      </c>
      <c r="D1380" t="s">
        <v>197</v>
      </c>
      <c r="E1380" t="s">
        <v>197</v>
      </c>
      <c r="F1380" t="s">
        <v>197</v>
      </c>
      <c r="G1380" t="s">
        <v>197</v>
      </c>
      <c r="H1380" t="s">
        <v>197</v>
      </c>
      <c r="I1380" t="s">
        <v>197</v>
      </c>
      <c r="J1380" t="s">
        <v>197</v>
      </c>
      <c r="K1380" t="s">
        <v>563</v>
      </c>
    </row>
    <row r="1381" spans="1:24">
      <c r="B1381" t="s">
        <v>197</v>
      </c>
      <c r="C1381" t="s">
        <v>197</v>
      </c>
      <c r="D1381" t="s">
        <v>197</v>
      </c>
      <c r="E1381" t="s">
        <v>197</v>
      </c>
      <c r="F1381" t="s">
        <v>197</v>
      </c>
      <c r="G1381" t="s">
        <v>197</v>
      </c>
      <c r="H1381" t="s">
        <v>197</v>
      </c>
      <c r="I1381" t="s">
        <v>197</v>
      </c>
      <c r="J1381" t="s">
        <v>197</v>
      </c>
      <c r="K1381" t="s">
        <v>564</v>
      </c>
    </row>
    <row r="1382" spans="1:24">
      <c r="B1382" t="s">
        <v>197</v>
      </c>
      <c r="C1382" t="s">
        <v>197</v>
      </c>
      <c r="D1382" t="s">
        <v>197</v>
      </c>
      <c r="E1382" t="s">
        <v>197</v>
      </c>
      <c r="F1382" t="s">
        <v>197</v>
      </c>
      <c r="G1382" t="s">
        <v>197</v>
      </c>
      <c r="H1382" t="s">
        <v>197</v>
      </c>
      <c r="I1382" t="s">
        <v>197</v>
      </c>
      <c r="J1382" t="s">
        <v>197</v>
      </c>
      <c r="K1382" t="s">
        <v>565</v>
      </c>
    </row>
    <row r="1383" spans="1:24">
      <c r="B1383" t="s">
        <v>197</v>
      </c>
      <c r="C1383" t="s">
        <v>197</v>
      </c>
      <c r="D1383" t="s">
        <v>197</v>
      </c>
      <c r="E1383" t="s">
        <v>197</v>
      </c>
      <c r="F1383" t="s">
        <v>197</v>
      </c>
      <c r="G1383" t="s">
        <v>197</v>
      </c>
      <c r="H1383" t="s">
        <v>197</v>
      </c>
      <c r="I1383" t="s">
        <v>197</v>
      </c>
      <c r="J1383" t="s">
        <v>197</v>
      </c>
      <c r="K1383" t="s">
        <v>566</v>
      </c>
    </row>
    <row r="1384" spans="1:24">
      <c r="B1384" t="s">
        <v>197</v>
      </c>
      <c r="C1384" t="s">
        <v>197</v>
      </c>
      <c r="D1384" t="s">
        <v>197</v>
      </c>
      <c r="E1384" t="s">
        <v>197</v>
      </c>
      <c r="F1384" t="s">
        <v>197</v>
      </c>
      <c r="G1384" t="s">
        <v>197</v>
      </c>
      <c r="H1384" t="s">
        <v>197</v>
      </c>
      <c r="I1384" t="s">
        <v>197</v>
      </c>
      <c r="J1384" t="s">
        <v>197</v>
      </c>
      <c r="K1384" t="s">
        <v>567</v>
      </c>
    </row>
    <row r="1385" spans="1:24">
      <c r="A1385" t="s">
        <v>1168</v>
      </c>
      <c r="K1385" t="s">
        <v>1169</v>
      </c>
      <c r="W1385" t="s">
        <v>171</v>
      </c>
      <c r="X1385" t="str">
        <f>A1385</f>
        <v>info_varchar_dml_single_pk</v>
      </c>
    </row>
    <row r="1386" spans="1:24">
      <c r="B1386" t="s">
        <v>196</v>
      </c>
      <c r="C1386" t="s">
        <v>197</v>
      </c>
      <c r="D1386" t="s">
        <v>197</v>
      </c>
      <c r="E1386" t="s">
        <v>197</v>
      </c>
      <c r="F1386" t="s">
        <v>197</v>
      </c>
      <c r="G1386" t="s">
        <v>197</v>
      </c>
      <c r="H1386" t="s">
        <v>197</v>
      </c>
      <c r="I1386" t="s">
        <v>1170</v>
      </c>
      <c r="J1386" t="s">
        <v>199</v>
      </c>
      <c r="K1386" t="s">
        <v>200</v>
      </c>
    </row>
    <row r="1387" spans="1:24">
      <c r="B1387" t="s">
        <v>197</v>
      </c>
      <c r="C1387" t="s">
        <v>197</v>
      </c>
      <c r="D1387" t="s">
        <v>197</v>
      </c>
      <c r="E1387" t="s">
        <v>197</v>
      </c>
      <c r="F1387" t="s">
        <v>197</v>
      </c>
      <c r="G1387" t="s">
        <v>197</v>
      </c>
      <c r="H1387" t="s">
        <v>197</v>
      </c>
      <c r="I1387" t="s">
        <v>197</v>
      </c>
      <c r="J1387" t="s">
        <v>197</v>
      </c>
      <c r="K1387" t="s">
        <v>431</v>
      </c>
    </row>
    <row r="1388" spans="1:24">
      <c r="B1388" t="s">
        <v>197</v>
      </c>
      <c r="C1388" t="s">
        <v>197</v>
      </c>
      <c r="D1388" t="s">
        <v>197</v>
      </c>
      <c r="E1388" t="s">
        <v>197</v>
      </c>
      <c r="F1388" t="s">
        <v>197</v>
      </c>
      <c r="G1388" t="s">
        <v>197</v>
      </c>
      <c r="H1388" t="s">
        <v>197</v>
      </c>
      <c r="I1388" t="s">
        <v>197</v>
      </c>
      <c r="J1388" t="s">
        <v>197</v>
      </c>
      <c r="K1388" t="s">
        <v>1056</v>
      </c>
    </row>
    <row r="1389" spans="1:24">
      <c r="B1389" t="s">
        <v>197</v>
      </c>
      <c r="C1389" t="s">
        <v>197</v>
      </c>
      <c r="D1389" t="s">
        <v>197</v>
      </c>
      <c r="E1389" t="s">
        <v>197</v>
      </c>
      <c r="F1389" t="s">
        <v>197</v>
      </c>
      <c r="G1389" t="s">
        <v>197</v>
      </c>
      <c r="H1389" t="s">
        <v>197</v>
      </c>
      <c r="I1389" t="s">
        <v>197</v>
      </c>
      <c r="J1389" t="s">
        <v>197</v>
      </c>
      <c r="K1389" t="s">
        <v>963</v>
      </c>
    </row>
    <row r="1390" spans="1:24">
      <c r="A1390" t="s">
        <v>1171</v>
      </c>
      <c r="K1390" t="s">
        <v>1172</v>
      </c>
      <c r="W1390" t="s">
        <v>171</v>
      </c>
      <c r="X1390" t="str">
        <f>A1390</f>
        <v>info_sdt_dml_batch2_pk_irp1</v>
      </c>
    </row>
    <row r="1391" spans="1:24">
      <c r="B1391" t="s">
        <v>196</v>
      </c>
      <c r="C1391" t="s">
        <v>197</v>
      </c>
      <c r="D1391" t="s">
        <v>197</v>
      </c>
      <c r="E1391" t="s">
        <v>197</v>
      </c>
      <c r="F1391" t="s">
        <v>197</v>
      </c>
      <c r="G1391" t="s">
        <v>197</v>
      </c>
      <c r="H1391" t="s">
        <v>197</v>
      </c>
      <c r="I1391" t="s">
        <v>1173</v>
      </c>
      <c r="J1391" t="s">
        <v>199</v>
      </c>
      <c r="K1391" t="s">
        <v>200</v>
      </c>
    </row>
    <row r="1392" spans="1:24">
      <c r="B1392" t="s">
        <v>197</v>
      </c>
      <c r="C1392" t="s">
        <v>197</v>
      </c>
      <c r="D1392" t="s">
        <v>197</v>
      </c>
      <c r="E1392" t="s">
        <v>197</v>
      </c>
      <c r="F1392" t="s">
        <v>197</v>
      </c>
      <c r="G1392" t="s">
        <v>197</v>
      </c>
      <c r="H1392" t="s">
        <v>197</v>
      </c>
      <c r="I1392" t="s">
        <v>197</v>
      </c>
      <c r="J1392" t="s">
        <v>197</v>
      </c>
      <c r="K1392" t="s">
        <v>422</v>
      </c>
    </row>
  </sheetData>
  <mergeCells count="202">
    <mergeCell ref="A3:A6"/>
    <mergeCell ref="A7:A16"/>
    <mergeCell ref="A17:A19"/>
    <mergeCell ref="A20:A24"/>
    <mergeCell ref="A25:A27"/>
    <mergeCell ref="A28:A33"/>
    <mergeCell ref="A34:A36"/>
    <mergeCell ref="A37:A39"/>
    <mergeCell ref="A40:A42"/>
    <mergeCell ref="A43:A47"/>
    <mergeCell ref="A48:A51"/>
    <mergeCell ref="A52:A56"/>
    <mergeCell ref="A57:A66"/>
    <mergeCell ref="A67:A70"/>
    <mergeCell ref="A71:A73"/>
    <mergeCell ref="A74:A76"/>
    <mergeCell ref="A77:A81"/>
    <mergeCell ref="A82:A86"/>
    <mergeCell ref="A87:A89"/>
    <mergeCell ref="A90:A110"/>
    <mergeCell ref="A111:A113"/>
    <mergeCell ref="A114:A116"/>
    <mergeCell ref="A117:A121"/>
    <mergeCell ref="A122:A124"/>
    <mergeCell ref="A125:A134"/>
    <mergeCell ref="A135:A138"/>
    <mergeCell ref="A139:A141"/>
    <mergeCell ref="A142:A147"/>
    <mergeCell ref="A148:A168"/>
    <mergeCell ref="A169:A173"/>
    <mergeCell ref="A174:A176"/>
    <mergeCell ref="A177:A181"/>
    <mergeCell ref="A182:A184"/>
    <mergeCell ref="A185:A189"/>
    <mergeCell ref="A190:A192"/>
    <mergeCell ref="A193:A214"/>
    <mergeCell ref="A215:A220"/>
    <mergeCell ref="A221:A223"/>
    <mergeCell ref="A224:A226"/>
    <mergeCell ref="A227:A231"/>
    <mergeCell ref="A232:A234"/>
    <mergeCell ref="A235:A239"/>
    <mergeCell ref="A240:A242"/>
    <mergeCell ref="A243:A246"/>
    <mergeCell ref="A247:A251"/>
    <mergeCell ref="A252:A254"/>
    <mergeCell ref="A255:A259"/>
    <mergeCell ref="A260:A262"/>
    <mergeCell ref="A263:A268"/>
    <mergeCell ref="A269:A273"/>
    <mergeCell ref="A274:A283"/>
    <mergeCell ref="A284:A286"/>
    <mergeCell ref="A287:A296"/>
    <mergeCell ref="A297:A306"/>
    <mergeCell ref="A307:A327"/>
    <mergeCell ref="A328:A332"/>
    <mergeCell ref="A333:A342"/>
    <mergeCell ref="A343:A363"/>
    <mergeCell ref="A364:A369"/>
    <mergeCell ref="A370:A372"/>
    <mergeCell ref="A373:A382"/>
    <mergeCell ref="A383:A388"/>
    <mergeCell ref="A389:A393"/>
    <mergeCell ref="A394:A396"/>
    <mergeCell ref="A397:A406"/>
    <mergeCell ref="A407:A411"/>
    <mergeCell ref="A412:A416"/>
    <mergeCell ref="A417:A427"/>
    <mergeCell ref="A428:A432"/>
    <mergeCell ref="A433:A437"/>
    <mergeCell ref="A438:A447"/>
    <mergeCell ref="A448:A450"/>
    <mergeCell ref="A451:A455"/>
    <mergeCell ref="A456:A465"/>
    <mergeCell ref="A466:A470"/>
    <mergeCell ref="A471:A475"/>
    <mergeCell ref="A476:A478"/>
    <mergeCell ref="A479:A481"/>
    <mergeCell ref="A482:A491"/>
    <mergeCell ref="A492:A496"/>
    <mergeCell ref="A497:A499"/>
    <mergeCell ref="A500:A503"/>
    <mergeCell ref="A504:A513"/>
    <mergeCell ref="A514:A518"/>
    <mergeCell ref="A519:A528"/>
    <mergeCell ref="A529:A533"/>
    <mergeCell ref="A534:A543"/>
    <mergeCell ref="A544:A548"/>
    <mergeCell ref="A549:A558"/>
    <mergeCell ref="A559:A568"/>
    <mergeCell ref="A569:A571"/>
    <mergeCell ref="A572:A581"/>
    <mergeCell ref="A582:A586"/>
    <mergeCell ref="A587:A597"/>
    <mergeCell ref="A598:A602"/>
    <mergeCell ref="A603:A605"/>
    <mergeCell ref="A606:A615"/>
    <mergeCell ref="A616:A621"/>
    <mergeCell ref="A622:A631"/>
    <mergeCell ref="A632:A636"/>
    <mergeCell ref="A637:A639"/>
    <mergeCell ref="A640:A649"/>
    <mergeCell ref="A650:A654"/>
    <mergeCell ref="A655:A664"/>
    <mergeCell ref="A665:A669"/>
    <mergeCell ref="A670:A672"/>
    <mergeCell ref="A673:A677"/>
    <mergeCell ref="A678:A687"/>
    <mergeCell ref="A688:A708"/>
    <mergeCell ref="A709:A711"/>
    <mergeCell ref="A712:A716"/>
    <mergeCell ref="A717:A722"/>
    <mergeCell ref="A723:A725"/>
    <mergeCell ref="A726:A730"/>
    <mergeCell ref="A731:A734"/>
    <mergeCell ref="A735:A737"/>
    <mergeCell ref="A738:A742"/>
    <mergeCell ref="A743:A745"/>
    <mergeCell ref="A746:A766"/>
    <mergeCell ref="A767:A771"/>
    <mergeCell ref="A772:A775"/>
    <mergeCell ref="A776:A781"/>
    <mergeCell ref="A782:A786"/>
    <mergeCell ref="A787:A792"/>
    <mergeCell ref="A793:A797"/>
    <mergeCell ref="A798:A800"/>
    <mergeCell ref="A801:A803"/>
    <mergeCell ref="A804:A808"/>
    <mergeCell ref="A809:A811"/>
    <mergeCell ref="A812:A832"/>
    <mergeCell ref="A833:A836"/>
    <mergeCell ref="A837:A841"/>
    <mergeCell ref="A842:A862"/>
    <mergeCell ref="A863:A867"/>
    <mergeCell ref="A868:A870"/>
    <mergeCell ref="A871:A875"/>
    <mergeCell ref="A876:A880"/>
    <mergeCell ref="A881:A885"/>
    <mergeCell ref="A886:A890"/>
    <mergeCell ref="A891:A894"/>
    <mergeCell ref="A895:A900"/>
    <mergeCell ref="A901:A903"/>
    <mergeCell ref="A904:A908"/>
    <mergeCell ref="A909:A912"/>
    <mergeCell ref="A913:A915"/>
    <mergeCell ref="A916:A918"/>
    <mergeCell ref="A919:A921"/>
    <mergeCell ref="A922:A926"/>
    <mergeCell ref="A927:A929"/>
    <mergeCell ref="A930:A939"/>
    <mergeCell ref="A940:A944"/>
    <mergeCell ref="A945:A950"/>
    <mergeCell ref="A951:A960"/>
    <mergeCell ref="A961:A963"/>
    <mergeCell ref="A964:A989"/>
    <mergeCell ref="A990:A994"/>
    <mergeCell ref="A995:A999"/>
    <mergeCell ref="A1000:A1002"/>
    <mergeCell ref="A1003:A1012"/>
    <mergeCell ref="A1013:A1017"/>
    <mergeCell ref="A1018:A1022"/>
    <mergeCell ref="A1023:A1025"/>
    <mergeCell ref="A1026:A1030"/>
    <mergeCell ref="A1031:A1040"/>
    <mergeCell ref="A1041:A1046"/>
    <mergeCell ref="A1047:A1051"/>
    <mergeCell ref="A1052:A1077"/>
    <mergeCell ref="A1078:A1083"/>
    <mergeCell ref="A1084:A1109"/>
    <mergeCell ref="A1110:A1130"/>
    <mergeCell ref="A1131:A1133"/>
    <mergeCell ref="A1134:A1138"/>
    <mergeCell ref="A1139:A1148"/>
    <mergeCell ref="A1149:A1151"/>
    <mergeCell ref="A1152:A1161"/>
    <mergeCell ref="A1162:A1166"/>
    <mergeCell ref="A1167:A1176"/>
    <mergeCell ref="A1177:A1202"/>
    <mergeCell ref="A1203:A1205"/>
    <mergeCell ref="A1206:A1215"/>
    <mergeCell ref="A1216:A1225"/>
    <mergeCell ref="A1226:A1230"/>
    <mergeCell ref="A1231:A1241"/>
    <mergeCell ref="A1242:A1262"/>
    <mergeCell ref="A1263:A1265"/>
    <mergeCell ref="A1266:A1275"/>
    <mergeCell ref="A1276:A1280"/>
    <mergeCell ref="A1281:A1283"/>
    <mergeCell ref="A1284:A1293"/>
    <mergeCell ref="A1294:A1298"/>
    <mergeCell ref="A1299:A1301"/>
    <mergeCell ref="A1302:A1306"/>
    <mergeCell ref="A1307:A1327"/>
    <mergeCell ref="A1328:A1332"/>
    <mergeCell ref="A1333:A1342"/>
    <mergeCell ref="A1343:A1345"/>
    <mergeCell ref="A1346:A1348"/>
    <mergeCell ref="A1349:A1358"/>
    <mergeCell ref="A1359:A1363"/>
    <mergeCell ref="A1364:A1384"/>
    <mergeCell ref="A1385:A1389"/>
    <mergeCell ref="A1390:A139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392"/>
  <sheetViews>
    <sheetView topLeftCell="AN2" workbookViewId="0">
      <selection activeCell="AP2" sqref="AP2"/>
    </sheetView>
  </sheetViews>
  <sheetFormatPr defaultColWidth="9" defaultRowHeight="13.5"/>
  <cols>
    <col min="23" max="23" width="24.75" style="2" customWidth="1"/>
    <col min="25" max="26" width="255.625" style="2" customWidth="1"/>
    <col min="28" max="28" width="255.625" style="2" customWidth="1"/>
    <col min="29" max="29" width="8" style="2" customWidth="1"/>
    <col min="30" max="30" width="96.5" style="2" customWidth="1"/>
    <col min="34" max="34" width="9.375" style="2" customWidth="1"/>
    <col min="39" max="39" width="255.625" style="2" customWidth="1"/>
    <col min="40" max="40" width="71.25" style="2" customWidth="1"/>
    <col min="41" max="41" width="41" style="2" customWidth="1"/>
    <col min="42" max="42" width="55.375" style="2" customWidth="1"/>
    <col min="44" max="45" width="255.625" style="2" customWidth="1"/>
    <col min="49" max="49" width="48.625" style="2" customWidth="1"/>
  </cols>
  <sheetData>
    <row r="1" spans="1:67">
      <c r="A1" t="s">
        <v>155</v>
      </c>
      <c r="E1" t="s">
        <v>156</v>
      </c>
    </row>
    <row r="2" spans="1:67">
      <c r="A2" t="s">
        <v>157</v>
      </c>
      <c r="B2" t="s">
        <v>158</v>
      </c>
      <c r="C2" t="s">
        <v>159</v>
      </c>
      <c r="D2" t="s">
        <v>160</v>
      </c>
      <c r="E2" t="s">
        <v>161</v>
      </c>
      <c r="F2" t="s">
        <v>162</v>
      </c>
      <c r="G2" t="s">
        <v>163</v>
      </c>
      <c r="H2" t="s">
        <v>164</v>
      </c>
      <c r="I2" t="s">
        <v>165</v>
      </c>
      <c r="J2" t="s">
        <v>166</v>
      </c>
      <c r="K2" t="s">
        <v>167</v>
      </c>
      <c r="W2" t="s">
        <v>168</v>
      </c>
      <c r="Y2" s="1" t="str">
        <f>HYPERLINK("#2026042000hbase2!W43","info_varbinary_dml_batch1_pk_urp1")</f>
        <v>info_varbinary_dml_batch1_pk_urp1</v>
      </c>
      <c r="Z2" s="1" t="str">
        <f>HYPERLINK("#2026042000hbase2!W71","info_geometry_dml_single_pk_urp")</f>
        <v>info_geometry_dml_single_pk_urp</v>
      </c>
      <c r="AA2" s="1" t="str">
        <f>HYPERLINK("#2026042000hbase2!W111","info_xml_dml_single_pk_urp")</f>
        <v>info_xml_dml_single_pk_urp</v>
      </c>
      <c r="AB2" s="1" t="str">
        <f>HYPERLINK("#2026042000hbase2!W117","info_varbinary_dml_batch1_pk_urp2")</f>
        <v>info_varbinary_dml_batch1_pk_urp2</v>
      </c>
      <c r="AC2" s="3" t="str">
        <f>HYPERLINK("#2026042000hbase2!W240","info_geometry_dml_single_pk")</f>
        <v>info_geometry_dml_single_pk</v>
      </c>
      <c r="AD2" s="1" t="str">
        <f>HYPERLINK("#2026042000hbase2!W307","info_binary_dml_batch1_pk_irp1")</f>
        <v>info_binary_dml_batch1_pk_irp1</v>
      </c>
      <c r="AE2" s="1" t="str">
        <f>HYPERLINK("#2026042000hbase2!W312","info_int_dml_batch1_pk_drp2")</f>
        <v>info_int_dml_batch1_pk_drp2</v>
      </c>
      <c r="AF2" s="1" t="str">
        <f>HYPERLINK("#2026042000hbase2!W343","info_int_dml_batch1_pk")</f>
        <v>info_int_dml_batch1_pk</v>
      </c>
      <c r="AG2" s="1" t="str">
        <f>HYPERLINK("#2026042000hbase2!W370","info_hierarchyid_dml_single_pk_irp")</f>
        <v>info_hierarchyid_dml_single_pk_irp</v>
      </c>
      <c r="AH2" s="1" t="str">
        <f>HYPERLINK("#2026042000hbase2!W433","info_binary_dml_batch1_pk_irp2")</f>
        <v>info_binary_dml_batch1_pk_irp2</v>
      </c>
      <c r="AI2" s="1" t="str">
        <f>HYPERLINK("#2026042000hbase2!W471","info_binary_dml_batch2_pk_irp1")</f>
        <v>info_binary_dml_batch2_pk_irp1</v>
      </c>
      <c r="AJ2" s="1" t="str">
        <f>HYPERLINK("#2026042000hbase2!W524","info_binary_dml_batch2_pk_irp2")</f>
        <v>info_binary_dml_batch2_pk_irp2</v>
      </c>
      <c r="AK2" s="1" t="str">
        <f>HYPERLINK("#2026042000hbase2!W650","info_binary_dml_batch1_pk_urp1")</f>
        <v>info_binary_dml_batch1_pk_urp1</v>
      </c>
      <c r="AL2" s="1" t="str">
        <f>HYPERLINK("#2026042000hbase2!W673","info_binary_dml_batch1_pk_urp2")</f>
        <v>info_binary_dml_batch1_pk_urp2</v>
      </c>
      <c r="AM2" s="3" t="str">
        <f>HYPERLINK("#2026042000hbase2!W688","info_int_dml_single_pk_irp")</f>
        <v>info_int_dml_single_pk_irp</v>
      </c>
      <c r="AN2" s="1" t="str">
        <f>HYPERLINK("#2026042000hbase2!W738","info_char_dml_batch1_pk_drp2")</f>
        <v>info_char_dml_batch1_pk_drp2</v>
      </c>
      <c r="AO2" s="1" t="str">
        <f>HYPERLINK("#2026042000hbase2!W746","info_int_dml_single_pk_urp")</f>
        <v>info_int_dml_single_pk_urp</v>
      </c>
      <c r="AP2" s="3" t="str">
        <f>HYPERLINK("#2026042000hbase2!W793","info_char_dml_single_pk_irp")</f>
        <v>info_char_dml_single_pk_irp</v>
      </c>
      <c r="AQ2" s="1" t="str">
        <f>HYPERLINK("#2026042000hbase2!W804","info_binary_dml_batch1_pk_drp2")</f>
        <v>info_binary_dml_batch1_pk_drp2</v>
      </c>
      <c r="AR2" s="3" t="str">
        <f>HYPERLINK("#2026042000hbase2!W816","info_int_dml_single_pk_drp")</f>
        <v>info_int_dml_single_pk_drp</v>
      </c>
      <c r="AS2" s="1" t="str">
        <f>HYPERLINK("#2026042000hbase2!W837","info_char_dml_batch1_pk_urp1")</f>
        <v>info_char_dml_batch1_pk_urp1</v>
      </c>
      <c r="AT2" s="1" t="str">
        <f>HYPERLINK("#2026042000hbase2!W868","info_timestamp_dml_single_pk_irp")</f>
        <v>info_timestamp_dml_single_pk_irp</v>
      </c>
      <c r="AU2" s="1" t="str">
        <f>HYPERLINK("#2026042000hbase2!W871","info_char_dml_batch1_pk_urp2")</f>
        <v>info_char_dml_batch1_pk_urp2</v>
      </c>
      <c r="AV2" s="1" t="str">
        <f>HYPERLINK("#2026042000hbase2!W876","info_char_dml_single_pk_urp")</f>
        <v>info_char_dml_single_pk_urp</v>
      </c>
      <c r="AW2" s="1" t="str">
        <f>HYPERLINK("#2026042000hbase2!W881","info_char_dml_single_pk_drp")</f>
        <v>info_char_dml_single_pk_drp</v>
      </c>
      <c r="AX2" s="1" t="str">
        <f>HYPERLINK("#2026042000hbase2!W916","info_timestamp_dml_single_pk_drp")</f>
        <v>info_timestamp_dml_single_pk_drp</v>
      </c>
      <c r="AY2" s="1" t="str">
        <f>HYPERLINK("#2026042000hbase2!W932","info_binary_dml_batch1_pk")</f>
        <v>info_binary_dml_batch1_pk</v>
      </c>
      <c r="AZ2" s="1" t="str">
        <f>HYPERLINK("#2026042000hbase2!W956","info_sql_variant_dml_single_pk_irp")</f>
        <v>info_sql_variant_dml_single_pk_irp</v>
      </c>
      <c r="BA2" s="1" t="str">
        <f>HYPERLINK("#2026042000hbase2!W1013","info_char_dml_single_pk")</f>
        <v>info_char_dml_single_pk</v>
      </c>
      <c r="BB2" s="1" t="str">
        <f>HYPERLINK("#2026042000hbase2!W1018","info_varbinary_dml_batch1_pk_irp1")</f>
        <v>info_varbinary_dml_batch1_pk_irp1</v>
      </c>
      <c r="BC2" s="1" t="str">
        <f>HYPERLINK("#2026042000hbase2!W1023","info_geography_dml_single_pk_irp")</f>
        <v>info_geography_dml_single_pk_irp</v>
      </c>
      <c r="BD2" s="1" t="str">
        <f>HYPERLINK("#2026042000hbase2!W1047","info_varbinary_dml_batch1_pk_irp2")</f>
        <v>info_varbinary_dml_batch1_pk_irp2</v>
      </c>
      <c r="BE2" s="1" t="str">
        <f>HYPERLINK("#2026042000hbase2!W1052","info_sql_variant_dml_single_pk_urp")</f>
        <v>info_sql_variant_dml_single_pk_urp</v>
      </c>
      <c r="BF2" s="1" t="str">
        <f>HYPERLINK("#2026042000hbase2!W1084","info_sql_variant_dml_single_pk_drp")</f>
        <v>info_sql_variant_dml_single_pk_drp</v>
      </c>
      <c r="BG2" s="1" t="str">
        <f>HYPERLINK("#2026042000hbase2!W1110","info_int_dml_batch1_pk_irp1")</f>
        <v>info_int_dml_batch1_pk_irp1</v>
      </c>
      <c r="BH2" s="1" t="str">
        <f>HYPERLINK("#2026042000hbase2!W1149","info_geography_dml_single_pk_urp")</f>
        <v>info_geography_dml_single_pk_urp</v>
      </c>
      <c r="BI2" s="1" t="str">
        <f>HYPERLINK("#2026042000hbase2!W1162","info_varbinary_dml_batch2_pk_irp1")</f>
        <v>info_varbinary_dml_batch2_pk_irp1</v>
      </c>
      <c r="BJ2" s="1" t="str">
        <f>HYPERLINK("#2026042000hbase2!W1177","info_sql_variant_dml_single_pk")</f>
        <v>info_sql_variant_dml_single_pk</v>
      </c>
      <c r="BK2" s="1" t="str">
        <f>HYPERLINK("#2026042000hbase2!W1242","info_int_dml_batch1_pk_irp2")</f>
        <v>info_int_dml_batch1_pk_irp2</v>
      </c>
      <c r="BL2" s="1" t="str">
        <f>HYPERLINK("#2026042000hbase2!W1276","info_geography_dml_single_pk_drp")</f>
        <v>info_geography_dml_single_pk_drp</v>
      </c>
      <c r="BM2" s="1" t="str">
        <f>HYPERLINK("#2026042000hbase2!W1320","info_int_dml_batch2_pk_irp1")</f>
        <v>info_int_dml_batch2_pk_irp1</v>
      </c>
      <c r="BN2" s="1" t="str">
        <f>HYPERLINK("#2026042000hbase2!W1341","info_varbinary_dml_batch2_pk_irp2")</f>
        <v>info_varbinary_dml_batch2_pk_irp2</v>
      </c>
      <c r="BO2" s="1" t="str">
        <f>HYPERLINK("#2026042000hbase2!W1349","info_int_dml_batch2_pk_irp2")</f>
        <v>info_int_dml_batch2_pk_irp2</v>
      </c>
    </row>
    <row r="3" spans="1:67">
      <c r="A3" t="s">
        <v>169</v>
      </c>
      <c r="K3" t="s">
        <v>170</v>
      </c>
      <c r="W3" t="s">
        <v>171</v>
      </c>
      <c r="X3" t="str">
        <f>A3</f>
        <v>info_text_dml_single_pk_irp</v>
      </c>
      <c r="Y3" t="s">
        <v>172</v>
      </c>
      <c r="Z3" t="s">
        <v>173</v>
      </c>
      <c r="AA3" t="s">
        <v>174</v>
      </c>
      <c r="AB3" t="s">
        <v>172</v>
      </c>
      <c r="AC3" t="s">
        <v>175</v>
      </c>
      <c r="AD3" t="s">
        <v>172</v>
      </c>
      <c r="AE3" t="s">
        <v>176</v>
      </c>
      <c r="AF3" t="s">
        <v>176</v>
      </c>
      <c r="AG3" t="s">
        <v>177</v>
      </c>
      <c r="AH3" t="s">
        <v>172</v>
      </c>
      <c r="AI3" t="s">
        <v>172</v>
      </c>
      <c r="AJ3" t="s">
        <v>172</v>
      </c>
      <c r="AK3" t="s">
        <v>178</v>
      </c>
      <c r="AL3" t="s">
        <v>178</v>
      </c>
      <c r="AM3" t="s">
        <v>179</v>
      </c>
      <c r="AN3" t="s">
        <v>180</v>
      </c>
      <c r="AO3" t="s">
        <v>179</v>
      </c>
      <c r="AP3" t="s">
        <v>181</v>
      </c>
      <c r="AQ3" t="s">
        <v>182</v>
      </c>
      <c r="AR3" t="s">
        <v>179</v>
      </c>
      <c r="AS3" t="s">
        <v>183</v>
      </c>
      <c r="AT3" t="s">
        <v>184</v>
      </c>
      <c r="AU3" t="s">
        <v>180</v>
      </c>
      <c r="AV3" t="s">
        <v>185</v>
      </c>
      <c r="AW3" t="s">
        <v>186</v>
      </c>
      <c r="AX3" t="s">
        <v>187</v>
      </c>
      <c r="AY3" t="s">
        <v>188</v>
      </c>
      <c r="AZ3" t="s">
        <v>189</v>
      </c>
      <c r="BA3" t="s">
        <v>186</v>
      </c>
      <c r="BB3" t="s">
        <v>172</v>
      </c>
      <c r="BC3" t="s">
        <v>190</v>
      </c>
      <c r="BD3" t="s">
        <v>172</v>
      </c>
      <c r="BE3" t="s">
        <v>191</v>
      </c>
      <c r="BF3" t="s">
        <v>192</v>
      </c>
      <c r="BG3" t="s">
        <v>179</v>
      </c>
      <c r="BH3" t="s">
        <v>193</v>
      </c>
      <c r="BI3" t="s">
        <v>172</v>
      </c>
      <c r="BJ3" t="s">
        <v>194</v>
      </c>
      <c r="BK3" t="s">
        <v>179</v>
      </c>
      <c r="BL3" t="s">
        <v>195</v>
      </c>
      <c r="BM3" t="s">
        <v>179</v>
      </c>
      <c r="BN3" t="s">
        <v>172</v>
      </c>
      <c r="BO3" t="s">
        <v>179</v>
      </c>
    </row>
    <row r="4" spans="1:67">
      <c r="B4" t="s">
        <v>196</v>
      </c>
      <c r="C4" t="s">
        <v>197</v>
      </c>
      <c r="D4" t="s">
        <v>197</v>
      </c>
      <c r="E4" t="s">
        <v>197</v>
      </c>
      <c r="F4" t="s">
        <v>197</v>
      </c>
      <c r="G4" t="s">
        <v>197</v>
      </c>
      <c r="H4" t="s">
        <v>197</v>
      </c>
      <c r="I4" t="s">
        <v>198</v>
      </c>
      <c r="J4" t="s">
        <v>199</v>
      </c>
      <c r="K4" t="s">
        <v>200</v>
      </c>
      <c r="Y4" t="s">
        <v>201</v>
      </c>
      <c r="Z4" t="s">
        <v>175</v>
      </c>
      <c r="AA4" t="s">
        <v>202</v>
      </c>
      <c r="AB4" t="s">
        <v>201</v>
      </c>
      <c r="AC4" t="s">
        <v>203</v>
      </c>
      <c r="AD4" t="s">
        <v>205</v>
      </c>
      <c r="AE4" t="s">
        <v>204</v>
      </c>
      <c r="AF4" t="s">
        <v>204</v>
      </c>
      <c r="AG4" t="s">
        <v>206</v>
      </c>
      <c r="AH4" t="s">
        <v>207</v>
      </c>
      <c r="AI4" t="s">
        <v>205</v>
      </c>
      <c r="AJ4" t="s">
        <v>208</v>
      </c>
      <c r="AK4" t="s">
        <v>209</v>
      </c>
      <c r="AL4" t="s">
        <v>210</v>
      </c>
      <c r="AM4" t="s">
        <v>211</v>
      </c>
      <c r="AN4" t="s">
        <v>212</v>
      </c>
      <c r="AO4" t="s">
        <v>211</v>
      </c>
      <c r="AP4" t="s">
        <v>213</v>
      </c>
      <c r="AQ4" t="s">
        <v>214</v>
      </c>
      <c r="AR4" t="s">
        <v>211</v>
      </c>
      <c r="AS4" t="s">
        <v>215</v>
      </c>
      <c r="AT4" t="s">
        <v>216</v>
      </c>
      <c r="AU4" t="s">
        <v>217</v>
      </c>
      <c r="AV4" t="s">
        <v>186</v>
      </c>
      <c r="AW4" t="s">
        <v>218</v>
      </c>
      <c r="AX4" t="s">
        <v>219</v>
      </c>
      <c r="AY4" t="s">
        <v>220</v>
      </c>
      <c r="AZ4" t="s">
        <v>221</v>
      </c>
      <c r="BA4" t="s">
        <v>218</v>
      </c>
      <c r="BB4" t="s">
        <v>201</v>
      </c>
      <c r="BC4" t="s">
        <v>195</v>
      </c>
      <c r="BD4" t="s">
        <v>222</v>
      </c>
      <c r="BE4" t="s">
        <v>223</v>
      </c>
      <c r="BF4" t="s">
        <v>224</v>
      </c>
      <c r="BG4" t="s">
        <v>176</v>
      </c>
      <c r="BH4" t="s">
        <v>225</v>
      </c>
      <c r="BI4" t="s">
        <v>201</v>
      </c>
      <c r="BJ4" t="s">
        <v>226</v>
      </c>
      <c r="BK4" t="s">
        <v>176</v>
      </c>
      <c r="BL4" t="s">
        <v>227</v>
      </c>
      <c r="BM4" t="s">
        <v>176</v>
      </c>
      <c r="BN4" t="s">
        <v>228</v>
      </c>
      <c r="BO4" t="s">
        <v>176</v>
      </c>
    </row>
    <row r="5" spans="1:67">
      <c r="B5" t="s">
        <v>197</v>
      </c>
      <c r="C5" t="s">
        <v>197</v>
      </c>
      <c r="D5" t="s">
        <v>197</v>
      </c>
      <c r="E5" t="s">
        <v>197</v>
      </c>
      <c r="F5" t="s">
        <v>197</v>
      </c>
      <c r="G5" t="s">
        <v>197</v>
      </c>
      <c r="H5" t="s">
        <v>197</v>
      </c>
      <c r="I5" t="s">
        <v>197</v>
      </c>
      <c r="J5" t="s">
        <v>197</v>
      </c>
      <c r="K5" t="s">
        <v>229</v>
      </c>
      <c r="Y5" t="s">
        <v>182</v>
      </c>
      <c r="Z5" t="s">
        <v>230</v>
      </c>
      <c r="AA5" t="s">
        <v>231</v>
      </c>
      <c r="AB5" t="s">
        <v>182</v>
      </c>
      <c r="AD5" t="s">
        <v>233</v>
      </c>
      <c r="AE5" t="s">
        <v>232</v>
      </c>
      <c r="AF5" t="s">
        <v>232</v>
      </c>
      <c r="AG5" t="s">
        <v>234</v>
      </c>
      <c r="AH5" t="s">
        <v>235</v>
      </c>
      <c r="AI5" t="s">
        <v>233</v>
      </c>
      <c r="AJ5" t="s">
        <v>236</v>
      </c>
      <c r="AK5" t="s">
        <v>237</v>
      </c>
      <c r="AL5" t="s">
        <v>237</v>
      </c>
      <c r="AM5" t="s">
        <v>238</v>
      </c>
      <c r="AN5" t="s">
        <v>1174</v>
      </c>
      <c r="AO5" t="s">
        <v>238</v>
      </c>
      <c r="AP5" t="s">
        <v>240</v>
      </c>
      <c r="AQ5" t="s">
        <v>241</v>
      </c>
      <c r="AR5" t="s">
        <v>238</v>
      </c>
      <c r="AS5" t="s">
        <v>242</v>
      </c>
      <c r="AT5" t="s">
        <v>219</v>
      </c>
      <c r="AU5" t="s">
        <v>212</v>
      </c>
      <c r="AV5" t="s">
        <v>218</v>
      </c>
      <c r="AW5" t="s">
        <v>1175</v>
      </c>
      <c r="AY5" t="s">
        <v>244</v>
      </c>
      <c r="AZ5" t="s">
        <v>245</v>
      </c>
      <c r="BA5" t="s">
        <v>1175</v>
      </c>
      <c r="BB5" t="s">
        <v>182</v>
      </c>
      <c r="BC5" t="s">
        <v>227</v>
      </c>
      <c r="BD5" t="s">
        <v>246</v>
      </c>
      <c r="BE5" t="s">
        <v>247</v>
      </c>
      <c r="BG5" t="s">
        <v>204</v>
      </c>
      <c r="BH5" t="s">
        <v>248</v>
      </c>
      <c r="BI5" t="s">
        <v>182</v>
      </c>
      <c r="BK5" t="s">
        <v>204</v>
      </c>
      <c r="BL5" t="s">
        <v>249</v>
      </c>
      <c r="BM5" t="s">
        <v>204</v>
      </c>
      <c r="BN5" t="s">
        <v>250</v>
      </c>
      <c r="BO5" t="s">
        <v>204</v>
      </c>
    </row>
    <row r="6" spans="1:67">
      <c r="B6" t="s">
        <v>197</v>
      </c>
      <c r="C6" t="s">
        <v>197</v>
      </c>
      <c r="D6" t="s">
        <v>197</v>
      </c>
      <c r="E6" t="s">
        <v>197</v>
      </c>
      <c r="F6" t="s">
        <v>197</v>
      </c>
      <c r="G6" t="s">
        <v>197</v>
      </c>
      <c r="H6" t="s">
        <v>197</v>
      </c>
      <c r="I6" t="s">
        <v>197</v>
      </c>
      <c r="J6" t="s">
        <v>197</v>
      </c>
      <c r="K6" t="s">
        <v>251</v>
      </c>
      <c r="Y6" t="s">
        <v>252</v>
      </c>
      <c r="Z6" t="s">
        <v>253</v>
      </c>
      <c r="AA6" t="s">
        <v>254</v>
      </c>
      <c r="AB6" t="s">
        <v>252</v>
      </c>
      <c r="AD6" t="s">
        <v>256</v>
      </c>
      <c r="AE6" t="s">
        <v>255</v>
      </c>
      <c r="AF6" t="s">
        <v>255</v>
      </c>
      <c r="AG6" t="s">
        <v>257</v>
      </c>
      <c r="AH6" t="s">
        <v>246</v>
      </c>
      <c r="AI6" t="s">
        <v>256</v>
      </c>
      <c r="AJ6" t="s">
        <v>250</v>
      </c>
      <c r="AK6" t="s">
        <v>188</v>
      </c>
      <c r="AL6" t="s">
        <v>188</v>
      </c>
      <c r="AM6" t="s">
        <v>258</v>
      </c>
      <c r="AN6" t="s">
        <v>1176</v>
      </c>
      <c r="AO6" t="s">
        <v>258</v>
      </c>
      <c r="AP6" t="s">
        <v>260</v>
      </c>
      <c r="AQ6" t="s">
        <v>261</v>
      </c>
      <c r="AR6" t="s">
        <v>258</v>
      </c>
      <c r="AS6" t="s">
        <v>262</v>
      </c>
      <c r="AT6" t="s">
        <v>263</v>
      </c>
      <c r="AU6" t="s">
        <v>264</v>
      </c>
      <c r="AV6" t="s">
        <v>265</v>
      </c>
      <c r="AW6" t="s">
        <v>1177</v>
      </c>
      <c r="AY6" t="s">
        <v>267</v>
      </c>
      <c r="AZ6" t="s">
        <v>268</v>
      </c>
      <c r="BA6" t="s">
        <v>1177</v>
      </c>
      <c r="BB6" t="s">
        <v>269</v>
      </c>
      <c r="BC6" t="s">
        <v>270</v>
      </c>
      <c r="BD6" t="s">
        <v>271</v>
      </c>
      <c r="BE6" t="s">
        <v>272</v>
      </c>
      <c r="BG6" t="s">
        <v>232</v>
      </c>
      <c r="BH6" t="s">
        <v>273</v>
      </c>
      <c r="BI6" t="s">
        <v>274</v>
      </c>
      <c r="BK6" t="s">
        <v>232</v>
      </c>
      <c r="BL6" t="s">
        <v>275</v>
      </c>
      <c r="BM6" t="s">
        <v>232</v>
      </c>
      <c r="BN6" t="s">
        <v>276</v>
      </c>
      <c r="BO6" t="s">
        <v>232</v>
      </c>
    </row>
    <row r="7" spans="1:67">
      <c r="A7" t="s">
        <v>397</v>
      </c>
      <c r="K7" t="s">
        <v>398</v>
      </c>
      <c r="W7" t="s">
        <v>171</v>
      </c>
      <c r="X7" t="str">
        <f>A7</f>
        <v>info_nvarchar_dml_batch1_pk_urp1</v>
      </c>
      <c r="Y7" t="s">
        <v>269</v>
      </c>
      <c r="Z7" t="s">
        <v>203</v>
      </c>
      <c r="AB7" t="s">
        <v>269</v>
      </c>
      <c r="AD7" t="s">
        <v>182</v>
      </c>
      <c r="AE7" t="s">
        <v>279</v>
      </c>
      <c r="AF7" t="s">
        <v>279</v>
      </c>
      <c r="AH7" t="s">
        <v>280</v>
      </c>
      <c r="AI7" t="s">
        <v>182</v>
      </c>
      <c r="AJ7" t="s">
        <v>281</v>
      </c>
      <c r="AK7" t="s">
        <v>282</v>
      </c>
      <c r="AL7" t="s">
        <v>256</v>
      </c>
      <c r="AP7" t="s">
        <v>283</v>
      </c>
      <c r="AS7" t="s">
        <v>284</v>
      </c>
      <c r="AU7" t="s">
        <v>285</v>
      </c>
      <c r="AV7" t="s">
        <v>286</v>
      </c>
      <c r="BB7" t="s">
        <v>287</v>
      </c>
      <c r="BC7" t="s">
        <v>288</v>
      </c>
      <c r="BD7" t="s">
        <v>289</v>
      </c>
      <c r="BG7" t="s">
        <v>211</v>
      </c>
      <c r="BI7" t="s">
        <v>269</v>
      </c>
      <c r="BK7" t="s">
        <v>211</v>
      </c>
      <c r="BM7" t="s">
        <v>211</v>
      </c>
      <c r="BN7" t="s">
        <v>290</v>
      </c>
      <c r="BO7" t="s">
        <v>211</v>
      </c>
    </row>
    <row r="8" spans="1:67">
      <c r="B8" t="s">
        <v>196</v>
      </c>
      <c r="C8" t="s">
        <v>197</v>
      </c>
      <c r="D8" t="s">
        <v>197</v>
      </c>
      <c r="E8" t="s">
        <v>197</v>
      </c>
      <c r="F8" t="s">
        <v>197</v>
      </c>
      <c r="G8" t="s">
        <v>197</v>
      </c>
      <c r="H8" t="s">
        <v>197</v>
      </c>
      <c r="I8" t="s">
        <v>403</v>
      </c>
      <c r="J8" t="s">
        <v>199</v>
      </c>
      <c r="K8" t="s">
        <v>200</v>
      </c>
      <c r="Y8" t="s">
        <v>287</v>
      </c>
      <c r="Z8" t="s">
        <v>292</v>
      </c>
      <c r="AB8" t="s">
        <v>287</v>
      </c>
      <c r="AD8" t="s">
        <v>214</v>
      </c>
      <c r="AE8" t="s">
        <v>293</v>
      </c>
      <c r="AF8" t="s">
        <v>293</v>
      </c>
      <c r="AH8" t="s">
        <v>294</v>
      </c>
      <c r="AI8" t="s">
        <v>214</v>
      </c>
      <c r="AJ8" t="s">
        <v>295</v>
      </c>
      <c r="AK8" t="s">
        <v>296</v>
      </c>
      <c r="AL8" t="s">
        <v>182</v>
      </c>
      <c r="AP8" t="s">
        <v>1175</v>
      </c>
      <c r="AS8" t="s">
        <v>297</v>
      </c>
      <c r="AU8" t="s">
        <v>1174</v>
      </c>
      <c r="AV8" t="s">
        <v>298</v>
      </c>
      <c r="BB8" t="s">
        <v>299</v>
      </c>
      <c r="BC8" t="s">
        <v>249</v>
      </c>
      <c r="BD8" t="s">
        <v>300</v>
      </c>
      <c r="BG8" t="s">
        <v>255</v>
      </c>
      <c r="BI8" t="s">
        <v>287</v>
      </c>
      <c r="BK8" t="s">
        <v>255</v>
      </c>
      <c r="BM8" t="s">
        <v>255</v>
      </c>
      <c r="BN8" t="s">
        <v>295</v>
      </c>
      <c r="BO8" t="s">
        <v>255</v>
      </c>
    </row>
    <row r="9" spans="1:67">
      <c r="B9" t="s">
        <v>197</v>
      </c>
      <c r="C9" t="s">
        <v>197</v>
      </c>
      <c r="D9" t="s">
        <v>197</v>
      </c>
      <c r="E9" t="s">
        <v>197</v>
      </c>
      <c r="F9" t="s">
        <v>197</v>
      </c>
      <c r="G9" t="s">
        <v>197</v>
      </c>
      <c r="H9" t="s">
        <v>197</v>
      </c>
      <c r="I9" t="s">
        <v>197</v>
      </c>
      <c r="J9" t="s">
        <v>197</v>
      </c>
      <c r="K9" t="s">
        <v>408</v>
      </c>
      <c r="Y9" t="s">
        <v>299</v>
      </c>
      <c r="AB9" t="s">
        <v>299</v>
      </c>
      <c r="AD9" t="s">
        <v>287</v>
      </c>
      <c r="AE9" t="s">
        <v>302</v>
      </c>
      <c r="AF9" t="s">
        <v>302</v>
      </c>
      <c r="AH9" t="s">
        <v>289</v>
      </c>
      <c r="AI9" t="s">
        <v>287</v>
      </c>
      <c r="AJ9" t="s">
        <v>303</v>
      </c>
      <c r="AK9" t="s">
        <v>304</v>
      </c>
      <c r="AL9" t="s">
        <v>305</v>
      </c>
      <c r="AP9" t="s">
        <v>1178</v>
      </c>
      <c r="AS9" t="s">
        <v>1179</v>
      </c>
      <c r="AU9" t="s">
        <v>1180</v>
      </c>
      <c r="AV9" t="s">
        <v>309</v>
      </c>
      <c r="BB9" t="s">
        <v>310</v>
      </c>
      <c r="BC9" t="s">
        <v>275</v>
      </c>
      <c r="BD9" t="s">
        <v>311</v>
      </c>
      <c r="BG9" t="s">
        <v>312</v>
      </c>
      <c r="BI9" t="s">
        <v>299</v>
      </c>
      <c r="BK9" t="s">
        <v>313</v>
      </c>
      <c r="BM9" t="s">
        <v>312</v>
      </c>
      <c r="BN9" t="s">
        <v>201</v>
      </c>
      <c r="BO9" t="s">
        <v>313</v>
      </c>
    </row>
    <row r="10" spans="1:67">
      <c r="B10" t="s">
        <v>197</v>
      </c>
      <c r="C10" t="s">
        <v>197</v>
      </c>
      <c r="D10" t="s">
        <v>197</v>
      </c>
      <c r="E10" t="s">
        <v>197</v>
      </c>
      <c r="F10" t="s">
        <v>197</v>
      </c>
      <c r="G10" t="s">
        <v>197</v>
      </c>
      <c r="H10" t="s">
        <v>197</v>
      </c>
      <c r="I10" t="s">
        <v>197</v>
      </c>
      <c r="J10" t="s">
        <v>197</v>
      </c>
      <c r="K10" t="s">
        <v>412</v>
      </c>
      <c r="Y10" t="s">
        <v>310</v>
      </c>
      <c r="AB10" t="s">
        <v>310</v>
      </c>
      <c r="AD10" t="s">
        <v>316</v>
      </c>
      <c r="AE10" t="s">
        <v>315</v>
      </c>
      <c r="AF10" t="s">
        <v>315</v>
      </c>
      <c r="AH10" t="s">
        <v>205</v>
      </c>
      <c r="AI10" t="s">
        <v>316</v>
      </c>
      <c r="AJ10" t="s">
        <v>317</v>
      </c>
      <c r="AK10" t="s">
        <v>318</v>
      </c>
      <c r="AL10" t="s">
        <v>214</v>
      </c>
      <c r="AP10" t="s">
        <v>1177</v>
      </c>
      <c r="AS10" t="s">
        <v>1181</v>
      </c>
      <c r="AU10" t="s">
        <v>1176</v>
      </c>
      <c r="AV10" t="s">
        <v>1182</v>
      </c>
      <c r="BB10" t="s">
        <v>241</v>
      </c>
      <c r="BC10" t="s">
        <v>321</v>
      </c>
      <c r="BD10" t="s">
        <v>322</v>
      </c>
      <c r="BG10" t="s">
        <v>238</v>
      </c>
      <c r="BI10" t="s">
        <v>310</v>
      </c>
      <c r="BK10" t="s">
        <v>323</v>
      </c>
      <c r="BM10" t="s">
        <v>238</v>
      </c>
      <c r="BN10" t="s">
        <v>182</v>
      </c>
      <c r="BO10" t="s">
        <v>323</v>
      </c>
    </row>
    <row r="11" spans="1:67">
      <c r="B11" t="s">
        <v>197</v>
      </c>
      <c r="C11" t="s">
        <v>197</v>
      </c>
      <c r="D11" t="s">
        <v>197</v>
      </c>
      <c r="E11" t="s">
        <v>197</v>
      </c>
      <c r="F11" t="s">
        <v>197</v>
      </c>
      <c r="G11" t="s">
        <v>197</v>
      </c>
      <c r="H11" t="s">
        <v>197</v>
      </c>
      <c r="I11" t="s">
        <v>197</v>
      </c>
      <c r="J11" t="s">
        <v>197</v>
      </c>
      <c r="K11" t="s">
        <v>416</v>
      </c>
      <c r="Y11" t="s">
        <v>241</v>
      </c>
      <c r="AB11" t="s">
        <v>241</v>
      </c>
      <c r="AD11" t="s">
        <v>325</v>
      </c>
      <c r="AH11" t="s">
        <v>326</v>
      </c>
      <c r="AI11" t="s">
        <v>325</v>
      </c>
      <c r="AJ11" t="s">
        <v>205</v>
      </c>
      <c r="AK11" t="s">
        <v>327</v>
      </c>
      <c r="AL11" t="s">
        <v>220</v>
      </c>
      <c r="AP11" t="s">
        <v>1183</v>
      </c>
      <c r="AS11" t="s">
        <v>1184</v>
      </c>
      <c r="AU11" t="s">
        <v>1185</v>
      </c>
      <c r="AV11" t="s">
        <v>1175</v>
      </c>
      <c r="BB11" t="s">
        <v>331</v>
      </c>
      <c r="BD11" t="s">
        <v>332</v>
      </c>
      <c r="BG11" t="s">
        <v>258</v>
      </c>
      <c r="BI11" t="s">
        <v>241</v>
      </c>
      <c r="BK11" t="s">
        <v>333</v>
      </c>
      <c r="BM11" t="s">
        <v>258</v>
      </c>
      <c r="BN11" t="s">
        <v>334</v>
      </c>
      <c r="BO11" t="s">
        <v>333</v>
      </c>
    </row>
    <row r="12" spans="1:67">
      <c r="A12" t="s">
        <v>277</v>
      </c>
      <c r="K12" t="s">
        <v>278</v>
      </c>
      <c r="W12" t="s">
        <v>171</v>
      </c>
      <c r="X12" t="str">
        <f>A12</f>
        <v>info_datetimeoffset_dml_single_pk_urp</v>
      </c>
      <c r="Y12" t="s">
        <v>336</v>
      </c>
      <c r="AB12" t="s">
        <v>336</v>
      </c>
      <c r="AD12" t="s">
        <v>337</v>
      </c>
      <c r="AH12" t="s">
        <v>338</v>
      </c>
      <c r="AI12" t="s">
        <v>337</v>
      </c>
      <c r="AJ12" t="s">
        <v>233</v>
      </c>
      <c r="AK12" t="s">
        <v>339</v>
      </c>
      <c r="AL12" t="s">
        <v>340</v>
      </c>
      <c r="AP12" t="s">
        <v>1186</v>
      </c>
      <c r="AS12" t="s">
        <v>1187</v>
      </c>
      <c r="AU12" t="s">
        <v>1188</v>
      </c>
      <c r="AV12" t="s">
        <v>1177</v>
      </c>
      <c r="BB12" t="s">
        <v>344</v>
      </c>
      <c r="BD12" t="s">
        <v>345</v>
      </c>
      <c r="BG12" t="s">
        <v>346</v>
      </c>
      <c r="BI12" t="s">
        <v>347</v>
      </c>
      <c r="BK12" t="s">
        <v>348</v>
      </c>
      <c r="BM12" t="s">
        <v>346</v>
      </c>
      <c r="BN12" t="s">
        <v>349</v>
      </c>
      <c r="BO12" t="s">
        <v>348</v>
      </c>
    </row>
    <row r="13" spans="1:67">
      <c r="B13" t="s">
        <v>196</v>
      </c>
      <c r="C13" t="s">
        <v>197</v>
      </c>
      <c r="D13" t="s">
        <v>197</v>
      </c>
      <c r="E13" t="s">
        <v>197</v>
      </c>
      <c r="F13" t="s">
        <v>197</v>
      </c>
      <c r="G13" t="s">
        <v>197</v>
      </c>
      <c r="H13" t="s">
        <v>197</v>
      </c>
      <c r="I13" t="s">
        <v>291</v>
      </c>
      <c r="J13" t="s">
        <v>199</v>
      </c>
      <c r="K13" t="s">
        <v>200</v>
      </c>
      <c r="Y13" t="s">
        <v>331</v>
      </c>
      <c r="AB13" t="s">
        <v>331</v>
      </c>
      <c r="AD13" t="s">
        <v>351</v>
      </c>
      <c r="AH13" t="s">
        <v>352</v>
      </c>
      <c r="AI13" t="s">
        <v>351</v>
      </c>
      <c r="AJ13" t="s">
        <v>256</v>
      </c>
      <c r="AK13" t="s">
        <v>353</v>
      </c>
      <c r="AL13" t="s">
        <v>353</v>
      </c>
      <c r="AS13" t="s">
        <v>1189</v>
      </c>
      <c r="AV13" t="s">
        <v>1190</v>
      </c>
      <c r="BB13" t="s">
        <v>356</v>
      </c>
      <c r="BD13" t="s">
        <v>357</v>
      </c>
      <c r="BG13" t="s">
        <v>279</v>
      </c>
      <c r="BI13" t="s">
        <v>331</v>
      </c>
      <c r="BK13" t="s">
        <v>358</v>
      </c>
      <c r="BM13" t="s">
        <v>279</v>
      </c>
      <c r="BN13" t="s">
        <v>359</v>
      </c>
      <c r="BO13" t="s">
        <v>358</v>
      </c>
    </row>
    <row r="14" spans="1:67">
      <c r="B14" t="s">
        <v>197</v>
      </c>
      <c r="C14" t="s">
        <v>197</v>
      </c>
      <c r="D14" t="s">
        <v>197</v>
      </c>
      <c r="E14" t="s">
        <v>197</v>
      </c>
      <c r="F14" t="s">
        <v>197</v>
      </c>
      <c r="G14" t="s">
        <v>197</v>
      </c>
      <c r="H14" t="s">
        <v>197</v>
      </c>
      <c r="I14" t="s">
        <v>197</v>
      </c>
      <c r="J14" t="s">
        <v>197</v>
      </c>
      <c r="K14" t="s">
        <v>301</v>
      </c>
      <c r="Y14" t="s">
        <v>344</v>
      </c>
      <c r="AB14" t="s">
        <v>344</v>
      </c>
      <c r="AD14" t="s">
        <v>241</v>
      </c>
      <c r="AH14" t="s">
        <v>311</v>
      </c>
      <c r="AI14" t="s">
        <v>241</v>
      </c>
      <c r="AJ14" t="s">
        <v>182</v>
      </c>
      <c r="AK14" t="s">
        <v>361</v>
      </c>
      <c r="AL14" t="s">
        <v>361</v>
      </c>
      <c r="AS14" t="s">
        <v>1191</v>
      </c>
      <c r="AV14" t="s">
        <v>1192</v>
      </c>
      <c r="BB14" t="s">
        <v>364</v>
      </c>
      <c r="BD14" t="s">
        <v>201</v>
      </c>
      <c r="BG14" t="s">
        <v>293</v>
      </c>
      <c r="BI14" t="s">
        <v>344</v>
      </c>
      <c r="BK14" t="s">
        <v>365</v>
      </c>
      <c r="BM14" t="s">
        <v>293</v>
      </c>
      <c r="BN14" t="s">
        <v>366</v>
      </c>
      <c r="BO14" t="s">
        <v>365</v>
      </c>
    </row>
    <row r="15" spans="1:67">
      <c r="B15" t="s">
        <v>197</v>
      </c>
      <c r="C15" t="s">
        <v>197</v>
      </c>
      <c r="D15" t="s">
        <v>197</v>
      </c>
      <c r="E15" t="s">
        <v>197</v>
      </c>
      <c r="F15" t="s">
        <v>197</v>
      </c>
      <c r="G15" t="s">
        <v>197</v>
      </c>
      <c r="H15" t="s">
        <v>197</v>
      </c>
      <c r="I15" t="s">
        <v>197</v>
      </c>
      <c r="J15" t="s">
        <v>197</v>
      </c>
      <c r="K15" t="s">
        <v>314</v>
      </c>
      <c r="Y15" t="s">
        <v>356</v>
      </c>
      <c r="AB15" t="s">
        <v>356</v>
      </c>
      <c r="AD15" t="s">
        <v>261</v>
      </c>
      <c r="AH15" t="s">
        <v>368</v>
      </c>
      <c r="AI15" t="s">
        <v>261</v>
      </c>
      <c r="AJ15" t="s">
        <v>369</v>
      </c>
      <c r="AK15" t="s">
        <v>244</v>
      </c>
      <c r="AL15" t="s">
        <v>244</v>
      </c>
      <c r="AV15" t="s">
        <v>1193</v>
      </c>
      <c r="BD15" t="s">
        <v>182</v>
      </c>
      <c r="BG15" t="s">
        <v>302</v>
      </c>
      <c r="BI15" t="s">
        <v>356</v>
      </c>
      <c r="BK15" t="s">
        <v>371</v>
      </c>
      <c r="BM15" t="s">
        <v>302</v>
      </c>
      <c r="BN15" t="s">
        <v>372</v>
      </c>
      <c r="BO15" t="s">
        <v>371</v>
      </c>
    </row>
    <row r="16" spans="1:67">
      <c r="B16" t="s">
        <v>197</v>
      </c>
      <c r="C16" t="s">
        <v>197</v>
      </c>
      <c r="D16" t="s">
        <v>197</v>
      </c>
      <c r="E16" t="s">
        <v>197</v>
      </c>
      <c r="F16" t="s">
        <v>197</v>
      </c>
      <c r="G16" t="s">
        <v>197</v>
      </c>
      <c r="H16" t="s">
        <v>197</v>
      </c>
      <c r="I16" t="s">
        <v>197</v>
      </c>
      <c r="J16" t="s">
        <v>197</v>
      </c>
      <c r="K16" t="s">
        <v>324</v>
      </c>
      <c r="Y16" t="s">
        <v>364</v>
      </c>
      <c r="AB16" t="s">
        <v>364</v>
      </c>
      <c r="AD16" t="s">
        <v>344</v>
      </c>
      <c r="AH16" t="s">
        <v>374</v>
      </c>
      <c r="AI16" t="s">
        <v>344</v>
      </c>
      <c r="AJ16" t="s">
        <v>375</v>
      </c>
      <c r="AK16" t="s">
        <v>376</v>
      </c>
      <c r="AL16" t="s">
        <v>351</v>
      </c>
      <c r="AV16" t="s">
        <v>1194</v>
      </c>
      <c r="BD16" t="s">
        <v>269</v>
      </c>
      <c r="BG16" t="s">
        <v>315</v>
      </c>
      <c r="BI16" t="s">
        <v>364</v>
      </c>
      <c r="BK16" t="s">
        <v>378</v>
      </c>
      <c r="BM16" t="s">
        <v>315</v>
      </c>
      <c r="BN16" t="s">
        <v>379</v>
      </c>
      <c r="BO16" t="s">
        <v>378</v>
      </c>
    </row>
    <row r="17" spans="1:67">
      <c r="B17" t="s">
        <v>197</v>
      </c>
      <c r="C17" t="s">
        <v>197</v>
      </c>
      <c r="D17" t="s">
        <v>197</v>
      </c>
      <c r="E17" t="s">
        <v>197</v>
      </c>
      <c r="F17" t="s">
        <v>197</v>
      </c>
      <c r="G17" t="s">
        <v>197</v>
      </c>
      <c r="H17" t="s">
        <v>197</v>
      </c>
      <c r="I17" t="s">
        <v>197</v>
      </c>
      <c r="J17" t="s">
        <v>197</v>
      </c>
      <c r="K17" t="s">
        <v>335</v>
      </c>
      <c r="AD17" t="s">
        <v>382</v>
      </c>
      <c r="AH17" t="s">
        <v>332</v>
      </c>
      <c r="AI17" t="s">
        <v>382</v>
      </c>
      <c r="AJ17" t="s">
        <v>349</v>
      </c>
      <c r="AK17" t="s">
        <v>383</v>
      </c>
      <c r="AL17" t="s">
        <v>241</v>
      </c>
      <c r="BD17" t="s">
        <v>384</v>
      </c>
      <c r="BK17" t="s">
        <v>312</v>
      </c>
      <c r="BN17" t="s">
        <v>274</v>
      </c>
      <c r="BO17" t="s">
        <v>312</v>
      </c>
    </row>
    <row r="18" spans="1:67">
      <c r="B18" t="s">
        <v>197</v>
      </c>
      <c r="C18" t="s">
        <v>197</v>
      </c>
      <c r="D18" t="s">
        <v>197</v>
      </c>
      <c r="E18" t="s">
        <v>197</v>
      </c>
      <c r="F18" t="s">
        <v>197</v>
      </c>
      <c r="G18" t="s">
        <v>197</v>
      </c>
      <c r="H18" t="s">
        <v>197</v>
      </c>
      <c r="I18" t="s">
        <v>197</v>
      </c>
      <c r="J18" t="s">
        <v>197</v>
      </c>
      <c r="K18" t="s">
        <v>350</v>
      </c>
      <c r="AD18" t="s">
        <v>364</v>
      </c>
      <c r="AH18" t="s">
        <v>386</v>
      </c>
      <c r="AI18" t="s">
        <v>364</v>
      </c>
      <c r="AJ18" t="s">
        <v>387</v>
      </c>
      <c r="AK18" t="s">
        <v>388</v>
      </c>
      <c r="AL18" t="s">
        <v>389</v>
      </c>
      <c r="BD18" t="s">
        <v>390</v>
      </c>
      <c r="BK18" t="s">
        <v>391</v>
      </c>
      <c r="BN18" t="s">
        <v>392</v>
      </c>
      <c r="BO18" t="s">
        <v>391</v>
      </c>
    </row>
    <row r="19" spans="1:67">
      <c r="B19" t="s">
        <v>197</v>
      </c>
      <c r="C19" t="s">
        <v>197</v>
      </c>
      <c r="D19" t="s">
        <v>197</v>
      </c>
      <c r="E19" t="s">
        <v>197</v>
      </c>
      <c r="F19" t="s">
        <v>197</v>
      </c>
      <c r="G19" t="s">
        <v>197</v>
      </c>
      <c r="H19" t="s">
        <v>197</v>
      </c>
      <c r="I19" t="s">
        <v>197</v>
      </c>
      <c r="J19" t="s">
        <v>197</v>
      </c>
      <c r="K19" t="s">
        <v>360</v>
      </c>
      <c r="AH19" t="s">
        <v>233</v>
      </c>
      <c r="AJ19" t="s">
        <v>372</v>
      </c>
      <c r="AK19" t="s">
        <v>394</v>
      </c>
      <c r="AL19" t="s">
        <v>261</v>
      </c>
      <c r="BD19" t="s">
        <v>395</v>
      </c>
      <c r="BK19" t="s">
        <v>396</v>
      </c>
      <c r="BN19" t="s">
        <v>269</v>
      </c>
      <c r="BO19" t="s">
        <v>396</v>
      </c>
    </row>
    <row r="20" spans="1:67">
      <c r="B20" t="s">
        <v>197</v>
      </c>
      <c r="C20" t="s">
        <v>197</v>
      </c>
      <c r="D20" t="s">
        <v>197</v>
      </c>
      <c r="E20" t="s">
        <v>197</v>
      </c>
      <c r="F20" t="s">
        <v>197</v>
      </c>
      <c r="G20" t="s">
        <v>197</v>
      </c>
      <c r="H20" t="s">
        <v>197</v>
      </c>
      <c r="I20" t="s">
        <v>197</v>
      </c>
      <c r="J20" t="s">
        <v>197</v>
      </c>
      <c r="K20" t="s">
        <v>367</v>
      </c>
      <c r="AH20" t="s">
        <v>357</v>
      </c>
      <c r="AJ20" t="s">
        <v>399</v>
      </c>
      <c r="AK20" t="s">
        <v>400</v>
      </c>
      <c r="AL20" t="s">
        <v>267</v>
      </c>
      <c r="BD20" t="s">
        <v>401</v>
      </c>
      <c r="BK20" t="s">
        <v>402</v>
      </c>
      <c r="BN20" t="s">
        <v>287</v>
      </c>
      <c r="BO20" t="s">
        <v>402</v>
      </c>
    </row>
    <row r="21" spans="1:67">
      <c r="B21" t="s">
        <v>197</v>
      </c>
      <c r="C21" t="s">
        <v>197</v>
      </c>
      <c r="D21" t="s">
        <v>197</v>
      </c>
      <c r="E21" t="s">
        <v>197</v>
      </c>
      <c r="F21" t="s">
        <v>197</v>
      </c>
      <c r="G21" t="s">
        <v>197</v>
      </c>
      <c r="H21" t="s">
        <v>197</v>
      </c>
      <c r="I21" t="s">
        <v>197</v>
      </c>
      <c r="J21" t="s">
        <v>197</v>
      </c>
      <c r="K21" t="s">
        <v>373</v>
      </c>
      <c r="AH21" t="s">
        <v>256</v>
      </c>
      <c r="AJ21" t="s">
        <v>392</v>
      </c>
      <c r="AK21" t="s">
        <v>404</v>
      </c>
      <c r="AL21" t="s">
        <v>405</v>
      </c>
      <c r="BD21" t="s">
        <v>406</v>
      </c>
      <c r="BK21" t="s">
        <v>407</v>
      </c>
      <c r="BN21" t="s">
        <v>299</v>
      </c>
      <c r="BO21" t="s">
        <v>238</v>
      </c>
    </row>
    <row r="22" spans="1:67">
      <c r="A22" t="s">
        <v>380</v>
      </c>
      <c r="K22" t="s">
        <v>381</v>
      </c>
      <c r="W22" t="s">
        <v>171</v>
      </c>
      <c r="X22" t="str">
        <f>A22</f>
        <v>info_geometry_dml_single_pk_irp</v>
      </c>
      <c r="AH22" t="s">
        <v>182</v>
      </c>
      <c r="AJ22" t="s">
        <v>214</v>
      </c>
      <c r="AK22" t="s">
        <v>409</v>
      </c>
      <c r="AL22" t="s">
        <v>410</v>
      </c>
      <c r="BD22" t="s">
        <v>287</v>
      </c>
      <c r="BK22" t="s">
        <v>411</v>
      </c>
      <c r="BN22" t="s">
        <v>310</v>
      </c>
      <c r="BO22" t="s">
        <v>258</v>
      </c>
    </row>
    <row r="23" spans="1:67">
      <c r="B23" t="s">
        <v>196</v>
      </c>
      <c r="C23" t="s">
        <v>197</v>
      </c>
      <c r="D23" t="s">
        <v>197</v>
      </c>
      <c r="E23" t="s">
        <v>197</v>
      </c>
      <c r="F23" t="s">
        <v>197</v>
      </c>
      <c r="G23" t="s">
        <v>197</v>
      </c>
      <c r="H23" t="s">
        <v>197</v>
      </c>
      <c r="I23" t="s">
        <v>385</v>
      </c>
      <c r="J23" t="s">
        <v>199</v>
      </c>
      <c r="K23" t="s">
        <v>200</v>
      </c>
      <c r="AH23" t="s">
        <v>413</v>
      </c>
      <c r="AJ23" t="s">
        <v>287</v>
      </c>
      <c r="BD23" t="s">
        <v>414</v>
      </c>
      <c r="BK23" t="s">
        <v>415</v>
      </c>
      <c r="BN23" t="s">
        <v>241</v>
      </c>
      <c r="BO23" t="s">
        <v>346</v>
      </c>
    </row>
    <row r="24" spans="1:67">
      <c r="B24" t="s">
        <v>197</v>
      </c>
      <c r="C24" t="s">
        <v>197</v>
      </c>
      <c r="D24" t="s">
        <v>197</v>
      </c>
      <c r="E24" t="s">
        <v>197</v>
      </c>
      <c r="F24" t="s">
        <v>197</v>
      </c>
      <c r="G24" t="s">
        <v>197</v>
      </c>
      <c r="H24" t="s">
        <v>197</v>
      </c>
      <c r="I24" t="s">
        <v>197</v>
      </c>
      <c r="J24" t="s">
        <v>197</v>
      </c>
      <c r="K24" t="s">
        <v>393</v>
      </c>
      <c r="AH24" t="s">
        <v>214</v>
      </c>
      <c r="AJ24" t="s">
        <v>316</v>
      </c>
      <c r="BD24" t="s">
        <v>299</v>
      </c>
      <c r="BK24" t="s">
        <v>238</v>
      </c>
      <c r="BN24" t="s">
        <v>347</v>
      </c>
      <c r="BO24" t="s">
        <v>279</v>
      </c>
    </row>
    <row r="25" spans="1:67">
      <c r="A25" t="s">
        <v>417</v>
      </c>
      <c r="K25" t="s">
        <v>418</v>
      </c>
      <c r="W25" t="s">
        <v>171</v>
      </c>
      <c r="X25" t="str">
        <f>A25</f>
        <v>info_sdt_dml_batch2_pk_irp2</v>
      </c>
      <c r="AH25" t="s">
        <v>419</v>
      </c>
      <c r="AJ25" t="s">
        <v>325</v>
      </c>
      <c r="BD25" t="s">
        <v>310</v>
      </c>
      <c r="BK25" t="s">
        <v>258</v>
      </c>
      <c r="BN25" t="s">
        <v>331</v>
      </c>
      <c r="BO25" t="s">
        <v>293</v>
      </c>
    </row>
    <row r="26" spans="1:67">
      <c r="B26" t="s">
        <v>196</v>
      </c>
      <c r="C26" t="s">
        <v>197</v>
      </c>
      <c r="D26" t="s">
        <v>197</v>
      </c>
      <c r="E26" t="s">
        <v>197</v>
      </c>
      <c r="F26" t="s">
        <v>197</v>
      </c>
      <c r="G26" t="s">
        <v>197</v>
      </c>
      <c r="H26" t="s">
        <v>197</v>
      </c>
      <c r="I26" t="s">
        <v>420</v>
      </c>
      <c r="J26" t="s">
        <v>199</v>
      </c>
      <c r="K26" t="s">
        <v>200</v>
      </c>
      <c r="AH26" t="s">
        <v>421</v>
      </c>
      <c r="AJ26" t="s">
        <v>337</v>
      </c>
      <c r="BD26" t="s">
        <v>241</v>
      </c>
      <c r="BK26" t="s">
        <v>346</v>
      </c>
      <c r="BN26" t="s">
        <v>344</v>
      </c>
      <c r="BO26" t="s">
        <v>302</v>
      </c>
    </row>
    <row r="27" spans="1:67">
      <c r="B27" t="s">
        <v>197</v>
      </c>
      <c r="C27" t="s">
        <v>197</v>
      </c>
      <c r="D27" t="s">
        <v>197</v>
      </c>
      <c r="E27" t="s">
        <v>197</v>
      </c>
      <c r="F27" t="s">
        <v>197</v>
      </c>
      <c r="G27" t="s">
        <v>197</v>
      </c>
      <c r="H27" t="s">
        <v>197</v>
      </c>
      <c r="I27" t="s">
        <v>197</v>
      </c>
      <c r="J27" t="s">
        <v>197</v>
      </c>
      <c r="K27" t="s">
        <v>422</v>
      </c>
      <c r="AH27" t="s">
        <v>390</v>
      </c>
      <c r="AJ27" t="s">
        <v>351</v>
      </c>
      <c r="BD27" t="s">
        <v>331</v>
      </c>
      <c r="BK27" t="s">
        <v>279</v>
      </c>
      <c r="BN27" t="s">
        <v>356</v>
      </c>
      <c r="BO27" t="s">
        <v>315</v>
      </c>
    </row>
    <row r="28" spans="1:67">
      <c r="A28" t="s">
        <v>448</v>
      </c>
      <c r="K28" t="s">
        <v>449</v>
      </c>
      <c r="W28" t="s">
        <v>171</v>
      </c>
      <c r="X28" t="str">
        <f>A28</f>
        <v>info_sdt_dml_batch1_pk_urp1</v>
      </c>
      <c r="AH28" t="s">
        <v>425</v>
      </c>
      <c r="AJ28" t="s">
        <v>241</v>
      </c>
      <c r="BD28" t="s">
        <v>344</v>
      </c>
      <c r="BK28" t="s">
        <v>293</v>
      </c>
      <c r="BN28" t="s">
        <v>364</v>
      </c>
      <c r="BO28" t="s">
        <v>426</v>
      </c>
    </row>
    <row r="29" spans="1:67">
      <c r="B29" t="s">
        <v>196</v>
      </c>
      <c r="C29" t="s">
        <v>197</v>
      </c>
      <c r="D29" t="s">
        <v>197</v>
      </c>
      <c r="E29" t="s">
        <v>197</v>
      </c>
      <c r="F29" t="s">
        <v>197</v>
      </c>
      <c r="G29" t="s">
        <v>197</v>
      </c>
      <c r="H29" t="s">
        <v>197</v>
      </c>
      <c r="I29" t="s">
        <v>454</v>
      </c>
      <c r="J29" t="s">
        <v>199</v>
      </c>
      <c r="K29" t="s">
        <v>200</v>
      </c>
      <c r="AH29" t="s">
        <v>428</v>
      </c>
      <c r="AJ29" t="s">
        <v>261</v>
      </c>
      <c r="BD29" t="s">
        <v>356</v>
      </c>
      <c r="BK29" t="s">
        <v>302</v>
      </c>
      <c r="BN29" t="s">
        <v>429</v>
      </c>
      <c r="BO29" t="s">
        <v>430</v>
      </c>
    </row>
    <row r="30" spans="1:67">
      <c r="B30" t="s">
        <v>197</v>
      </c>
      <c r="C30" t="s">
        <v>197</v>
      </c>
      <c r="D30" t="s">
        <v>197</v>
      </c>
      <c r="E30" t="s">
        <v>197</v>
      </c>
      <c r="F30" t="s">
        <v>197</v>
      </c>
      <c r="G30" t="s">
        <v>197</v>
      </c>
      <c r="H30" t="s">
        <v>197</v>
      </c>
      <c r="I30" t="s">
        <v>197</v>
      </c>
      <c r="J30" t="s">
        <v>197</v>
      </c>
      <c r="K30" t="s">
        <v>422</v>
      </c>
      <c r="AH30" t="s">
        <v>401</v>
      </c>
      <c r="AJ30" t="s">
        <v>344</v>
      </c>
      <c r="BD30" t="s">
        <v>364</v>
      </c>
      <c r="BK30" t="s">
        <v>315</v>
      </c>
      <c r="BN30" t="s">
        <v>432</v>
      </c>
      <c r="BO30" t="s">
        <v>433</v>
      </c>
    </row>
    <row r="31" spans="1:67">
      <c r="A31" t="s">
        <v>423</v>
      </c>
      <c r="K31" t="s">
        <v>424</v>
      </c>
      <c r="W31" t="s">
        <v>171</v>
      </c>
      <c r="X31" t="str">
        <f>A31</f>
        <v>info_varchar_dml_batch1_pk_drp1</v>
      </c>
      <c r="AH31" t="s">
        <v>435</v>
      </c>
      <c r="AJ31" t="s">
        <v>382</v>
      </c>
      <c r="BD31" t="s">
        <v>436</v>
      </c>
      <c r="BK31" t="s">
        <v>426</v>
      </c>
      <c r="BN31" t="s">
        <v>437</v>
      </c>
      <c r="BO31" t="s">
        <v>438</v>
      </c>
    </row>
    <row r="32" spans="1:67">
      <c r="B32" t="s">
        <v>196</v>
      </c>
      <c r="C32" t="s">
        <v>197</v>
      </c>
      <c r="D32" t="s">
        <v>197</v>
      </c>
      <c r="E32" t="s">
        <v>197</v>
      </c>
      <c r="F32" t="s">
        <v>197</v>
      </c>
      <c r="G32" t="s">
        <v>197</v>
      </c>
      <c r="H32" t="s">
        <v>197</v>
      </c>
      <c r="I32" t="s">
        <v>427</v>
      </c>
      <c r="J32" t="s">
        <v>199</v>
      </c>
      <c r="K32" t="s">
        <v>200</v>
      </c>
      <c r="AH32" t="s">
        <v>287</v>
      </c>
      <c r="AJ32" t="s">
        <v>364</v>
      </c>
      <c r="BD32" t="s">
        <v>440</v>
      </c>
      <c r="BK32" t="s">
        <v>430</v>
      </c>
      <c r="BN32" t="s">
        <v>441</v>
      </c>
      <c r="BO32" t="s">
        <v>442</v>
      </c>
    </row>
    <row r="33" spans="1:67">
      <c r="B33" t="s">
        <v>197</v>
      </c>
      <c r="C33" t="s">
        <v>197</v>
      </c>
      <c r="D33" t="s">
        <v>197</v>
      </c>
      <c r="E33" t="s">
        <v>197</v>
      </c>
      <c r="F33" t="s">
        <v>197</v>
      </c>
      <c r="G33" t="s">
        <v>197</v>
      </c>
      <c r="H33" t="s">
        <v>197</v>
      </c>
      <c r="I33" t="s">
        <v>197</v>
      </c>
      <c r="J33" t="s">
        <v>197</v>
      </c>
      <c r="K33" t="s">
        <v>431</v>
      </c>
      <c r="AH33" t="s">
        <v>414</v>
      </c>
      <c r="AJ33" t="s">
        <v>444</v>
      </c>
      <c r="BD33" t="s">
        <v>445</v>
      </c>
      <c r="BK33" t="s">
        <v>433</v>
      </c>
      <c r="BN33" t="s">
        <v>446</v>
      </c>
      <c r="BO33" t="s">
        <v>447</v>
      </c>
    </row>
    <row r="34" spans="1:67">
      <c r="B34" t="s">
        <v>197</v>
      </c>
      <c r="C34" t="s">
        <v>197</v>
      </c>
      <c r="D34" t="s">
        <v>197</v>
      </c>
      <c r="E34" t="s">
        <v>197</v>
      </c>
      <c r="F34" t="s">
        <v>197</v>
      </c>
      <c r="G34" t="s">
        <v>197</v>
      </c>
      <c r="H34" t="s">
        <v>197</v>
      </c>
      <c r="I34" t="s">
        <v>197</v>
      </c>
      <c r="J34" t="s">
        <v>197</v>
      </c>
      <c r="K34" t="s">
        <v>434</v>
      </c>
      <c r="AH34" t="s">
        <v>316</v>
      </c>
      <c r="AJ34" t="s">
        <v>450</v>
      </c>
      <c r="BD34" t="s">
        <v>451</v>
      </c>
      <c r="BK34" t="s">
        <v>438</v>
      </c>
      <c r="BN34" t="s">
        <v>452</v>
      </c>
      <c r="BO34" t="s">
        <v>453</v>
      </c>
    </row>
    <row r="35" spans="1:67">
      <c r="B35" t="s">
        <v>197</v>
      </c>
      <c r="C35" t="s">
        <v>197</v>
      </c>
      <c r="D35" t="s">
        <v>197</v>
      </c>
      <c r="E35" t="s">
        <v>197</v>
      </c>
      <c r="F35" t="s">
        <v>197</v>
      </c>
      <c r="G35" t="s">
        <v>197</v>
      </c>
      <c r="H35" t="s">
        <v>197</v>
      </c>
      <c r="I35" t="s">
        <v>197</v>
      </c>
      <c r="J35" t="s">
        <v>197</v>
      </c>
      <c r="K35" t="s">
        <v>439</v>
      </c>
      <c r="AH35" t="s">
        <v>325</v>
      </c>
      <c r="AJ35" t="s">
        <v>432</v>
      </c>
      <c r="BD35" t="s">
        <v>455</v>
      </c>
      <c r="BK35" t="s">
        <v>442</v>
      </c>
      <c r="BN35" t="s">
        <v>456</v>
      </c>
      <c r="BO35" t="s">
        <v>457</v>
      </c>
    </row>
    <row r="36" spans="1:67">
      <c r="K36" t="s">
        <v>443</v>
      </c>
      <c r="AH36" t="s">
        <v>337</v>
      </c>
      <c r="AJ36" t="s">
        <v>458</v>
      </c>
      <c r="BD36" t="s">
        <v>459</v>
      </c>
      <c r="BK36" t="s">
        <v>447</v>
      </c>
      <c r="BN36" t="s">
        <v>460</v>
      </c>
      <c r="BO36" t="s">
        <v>461</v>
      </c>
    </row>
    <row r="37" spans="1:67">
      <c r="A37" t="s">
        <v>462</v>
      </c>
      <c r="K37" t="s">
        <v>463</v>
      </c>
      <c r="W37" t="s">
        <v>171</v>
      </c>
      <c r="X37" t="str">
        <f>A37</f>
        <v>info_xml_dml_single_pk_irp</v>
      </c>
      <c r="AH37" t="s">
        <v>351</v>
      </c>
      <c r="AJ37" t="s">
        <v>446</v>
      </c>
      <c r="BD37" t="s">
        <v>464</v>
      </c>
      <c r="BK37" t="s">
        <v>453</v>
      </c>
      <c r="BN37" t="s">
        <v>465</v>
      </c>
      <c r="BO37" t="s">
        <v>466</v>
      </c>
    </row>
    <row r="38" spans="1:67">
      <c r="B38" t="s">
        <v>196</v>
      </c>
      <c r="C38" t="s">
        <v>197</v>
      </c>
      <c r="D38" t="s">
        <v>197</v>
      </c>
      <c r="E38" t="s">
        <v>197</v>
      </c>
      <c r="F38" t="s">
        <v>197</v>
      </c>
      <c r="G38" t="s">
        <v>197</v>
      </c>
      <c r="H38" t="s">
        <v>197</v>
      </c>
      <c r="I38" t="s">
        <v>467</v>
      </c>
      <c r="J38" t="s">
        <v>199</v>
      </c>
      <c r="K38" t="s">
        <v>200</v>
      </c>
      <c r="AH38" t="s">
        <v>241</v>
      </c>
      <c r="AJ38" t="s">
        <v>468</v>
      </c>
      <c r="BD38" t="s">
        <v>469</v>
      </c>
      <c r="BK38" t="s">
        <v>457</v>
      </c>
      <c r="BN38" t="s">
        <v>470</v>
      </c>
      <c r="BO38" t="s">
        <v>471</v>
      </c>
    </row>
    <row r="39" spans="1:67">
      <c r="B39" t="s">
        <v>197</v>
      </c>
      <c r="C39" t="s">
        <v>197</v>
      </c>
      <c r="D39" t="s">
        <v>197</v>
      </c>
      <c r="E39" t="s">
        <v>197</v>
      </c>
      <c r="F39" t="s">
        <v>197</v>
      </c>
      <c r="G39" t="s">
        <v>197</v>
      </c>
      <c r="H39" t="s">
        <v>197</v>
      </c>
      <c r="I39" t="s">
        <v>197</v>
      </c>
      <c r="J39" t="s">
        <v>197</v>
      </c>
      <c r="K39" t="s">
        <v>472</v>
      </c>
      <c r="AH39" t="s">
        <v>473</v>
      </c>
      <c r="AJ39" t="s">
        <v>456</v>
      </c>
      <c r="BD39" t="s">
        <v>474</v>
      </c>
      <c r="BK39" t="s">
        <v>461</v>
      </c>
      <c r="BN39" t="s">
        <v>475</v>
      </c>
    </row>
    <row r="40" spans="1:67">
      <c r="A40" t="s">
        <v>476</v>
      </c>
      <c r="K40" t="s">
        <v>477</v>
      </c>
      <c r="W40" t="s">
        <v>171</v>
      </c>
      <c r="X40" t="str">
        <f>A40</f>
        <v>info_sdt_dml_batch1_pk_urp2</v>
      </c>
      <c r="AH40" t="s">
        <v>261</v>
      </c>
      <c r="AJ40" t="s">
        <v>478</v>
      </c>
      <c r="BD40" t="s">
        <v>479</v>
      </c>
      <c r="BK40" t="s">
        <v>466</v>
      </c>
      <c r="BN40" t="s">
        <v>480</v>
      </c>
    </row>
    <row r="41" spans="1:67">
      <c r="B41" t="s">
        <v>196</v>
      </c>
      <c r="C41" t="s">
        <v>197</v>
      </c>
      <c r="D41" t="s">
        <v>197</v>
      </c>
      <c r="E41" t="s">
        <v>197</v>
      </c>
      <c r="F41" t="s">
        <v>197</v>
      </c>
      <c r="G41" t="s">
        <v>197</v>
      </c>
      <c r="H41" t="s">
        <v>197</v>
      </c>
      <c r="I41" t="s">
        <v>481</v>
      </c>
      <c r="J41" t="s">
        <v>199</v>
      </c>
      <c r="K41" t="s">
        <v>200</v>
      </c>
      <c r="AH41" t="s">
        <v>344</v>
      </c>
      <c r="AJ41" t="s">
        <v>482</v>
      </c>
      <c r="BD41" t="s">
        <v>483</v>
      </c>
      <c r="BK41" t="s">
        <v>471</v>
      </c>
    </row>
    <row r="42" spans="1:67">
      <c r="B42" t="s">
        <v>197</v>
      </c>
      <c r="C42" t="s">
        <v>197</v>
      </c>
      <c r="D42" t="s">
        <v>197</v>
      </c>
      <c r="E42" t="s">
        <v>197</v>
      </c>
      <c r="F42" t="s">
        <v>197</v>
      </c>
      <c r="G42" t="s">
        <v>197</v>
      </c>
      <c r="H42" t="s">
        <v>197</v>
      </c>
      <c r="I42" t="s">
        <v>197</v>
      </c>
      <c r="J42" t="s">
        <v>197</v>
      </c>
      <c r="K42" t="s">
        <v>422</v>
      </c>
      <c r="AH42" t="s">
        <v>382</v>
      </c>
      <c r="AJ42" t="s">
        <v>465</v>
      </c>
      <c r="BD42" t="s">
        <v>484</v>
      </c>
      <c r="BK42" t="s">
        <v>485</v>
      </c>
    </row>
    <row r="43" spans="1:67">
      <c r="A43" t="s">
        <v>486</v>
      </c>
      <c r="K43" t="s">
        <v>487</v>
      </c>
      <c r="W43" s="4" t="str">
        <f>HYPERLINK("#2026042000hbase2!Y2","NO 源备存在差异，共14个")</f>
        <v>NO 源备存在差异，共14个</v>
      </c>
      <c r="X43" t="str">
        <f>A43</f>
        <v>info_varbinary_dml_batch1_pk_urp1</v>
      </c>
      <c r="AH43" t="s">
        <v>364</v>
      </c>
      <c r="AJ43" t="s">
        <v>488</v>
      </c>
      <c r="BD43" t="s">
        <v>489</v>
      </c>
      <c r="BK43" t="s">
        <v>490</v>
      </c>
    </row>
    <row r="44" spans="1:67">
      <c r="B44" t="s">
        <v>196</v>
      </c>
      <c r="C44" t="s">
        <v>197</v>
      </c>
      <c r="D44" t="s">
        <v>197</v>
      </c>
      <c r="E44" t="s">
        <v>197</v>
      </c>
      <c r="F44" t="s">
        <v>197</v>
      </c>
      <c r="G44" t="s">
        <v>197</v>
      </c>
      <c r="H44" t="s">
        <v>197</v>
      </c>
      <c r="I44" t="s">
        <v>491</v>
      </c>
      <c r="J44" t="s">
        <v>199</v>
      </c>
      <c r="K44" t="s">
        <v>200</v>
      </c>
      <c r="AH44" t="s">
        <v>492</v>
      </c>
      <c r="AJ44" t="s">
        <v>480</v>
      </c>
      <c r="BD44" t="s">
        <v>493</v>
      </c>
      <c r="BK44" t="s">
        <v>494</v>
      </c>
    </row>
    <row r="45" spans="1:67">
      <c r="B45" t="s">
        <v>197</v>
      </c>
      <c r="C45" t="s">
        <v>197</v>
      </c>
      <c r="D45" t="s">
        <v>197</v>
      </c>
      <c r="E45" t="s">
        <v>197</v>
      </c>
      <c r="F45" t="s">
        <v>197</v>
      </c>
      <c r="G45" t="s">
        <v>197</v>
      </c>
      <c r="H45" t="s">
        <v>197</v>
      </c>
      <c r="I45" t="s">
        <v>197</v>
      </c>
      <c r="J45" t="s">
        <v>197</v>
      </c>
      <c r="K45" t="s">
        <v>495</v>
      </c>
      <c r="AH45" t="s">
        <v>496</v>
      </c>
      <c r="AJ45" t="s">
        <v>497</v>
      </c>
      <c r="BD45" t="s">
        <v>498</v>
      </c>
    </row>
    <row r="46" spans="1:67">
      <c r="B46" t="s">
        <v>197</v>
      </c>
      <c r="C46" t="s">
        <v>197</v>
      </c>
      <c r="D46" t="s">
        <v>197</v>
      </c>
      <c r="E46" t="s">
        <v>197</v>
      </c>
      <c r="F46" t="s">
        <v>197</v>
      </c>
      <c r="G46" t="s">
        <v>197</v>
      </c>
      <c r="H46" t="s">
        <v>197</v>
      </c>
      <c r="I46" t="s">
        <v>197</v>
      </c>
      <c r="J46" t="s">
        <v>197</v>
      </c>
      <c r="K46" t="s">
        <v>499</v>
      </c>
      <c r="AH46" t="s">
        <v>500</v>
      </c>
      <c r="AJ46" t="s">
        <v>501</v>
      </c>
      <c r="BD46" t="s">
        <v>502</v>
      </c>
    </row>
    <row r="47" spans="1:67">
      <c r="B47" t="s">
        <v>197</v>
      </c>
      <c r="C47" t="s">
        <v>197</v>
      </c>
      <c r="D47" t="s">
        <v>197</v>
      </c>
      <c r="E47" t="s">
        <v>197</v>
      </c>
      <c r="F47" t="s">
        <v>197</v>
      </c>
      <c r="G47" t="s">
        <v>197</v>
      </c>
      <c r="H47" t="s">
        <v>197</v>
      </c>
      <c r="I47" t="s">
        <v>197</v>
      </c>
      <c r="J47" t="s">
        <v>197</v>
      </c>
      <c r="K47" t="s">
        <v>503</v>
      </c>
      <c r="AH47" t="s">
        <v>440</v>
      </c>
    </row>
    <row r="48" spans="1:67">
      <c r="A48" t="s">
        <v>504</v>
      </c>
      <c r="K48" t="s">
        <v>505</v>
      </c>
      <c r="W48" t="s">
        <v>171</v>
      </c>
      <c r="X48" t="str">
        <f>A48</f>
        <v>info_sdt_dml_batch1_pk_drp1</v>
      </c>
      <c r="AH48" t="s">
        <v>506</v>
      </c>
    </row>
    <row r="49" spans="1:34">
      <c r="B49" t="s">
        <v>196</v>
      </c>
      <c r="C49" t="s">
        <v>197</v>
      </c>
      <c r="D49" t="s">
        <v>197</v>
      </c>
      <c r="E49" t="s">
        <v>197</v>
      </c>
      <c r="F49" t="s">
        <v>197</v>
      </c>
      <c r="G49" t="s">
        <v>197</v>
      </c>
      <c r="H49" t="s">
        <v>197</v>
      </c>
      <c r="I49" t="s">
        <v>507</v>
      </c>
      <c r="J49" t="s">
        <v>199</v>
      </c>
      <c r="K49" t="s">
        <v>200</v>
      </c>
      <c r="AH49" t="s">
        <v>508</v>
      </c>
    </row>
    <row r="50" spans="1:34">
      <c r="B50" t="s">
        <v>197</v>
      </c>
      <c r="C50" t="s">
        <v>197</v>
      </c>
      <c r="D50" t="s">
        <v>197</v>
      </c>
      <c r="E50" t="s">
        <v>197</v>
      </c>
      <c r="F50" t="s">
        <v>197</v>
      </c>
      <c r="G50" t="s">
        <v>197</v>
      </c>
      <c r="H50" t="s">
        <v>197</v>
      </c>
      <c r="I50" t="s">
        <v>197</v>
      </c>
      <c r="J50" t="s">
        <v>197</v>
      </c>
      <c r="K50" t="s">
        <v>422</v>
      </c>
      <c r="AH50" t="s">
        <v>451</v>
      </c>
    </row>
    <row r="51" spans="1:34">
      <c r="K51" t="s">
        <v>443</v>
      </c>
      <c r="AH51" t="s">
        <v>509</v>
      </c>
    </row>
    <row r="52" spans="1:34">
      <c r="A52" t="s">
        <v>510</v>
      </c>
      <c r="K52" t="s">
        <v>511</v>
      </c>
      <c r="W52" t="s">
        <v>171</v>
      </c>
      <c r="X52" t="str">
        <f>A52</f>
        <v>info_nchar_dml_single_pk_irp</v>
      </c>
      <c r="AH52" t="s">
        <v>459</v>
      </c>
    </row>
    <row r="53" spans="1:34">
      <c r="B53" t="s">
        <v>196</v>
      </c>
      <c r="C53" t="s">
        <v>197</v>
      </c>
      <c r="D53" t="s">
        <v>197</v>
      </c>
      <c r="E53" t="s">
        <v>197</v>
      </c>
      <c r="F53" t="s">
        <v>197</v>
      </c>
      <c r="G53" t="s">
        <v>197</v>
      </c>
      <c r="H53" t="s">
        <v>197</v>
      </c>
      <c r="I53" t="s">
        <v>512</v>
      </c>
      <c r="J53" t="s">
        <v>199</v>
      </c>
      <c r="K53" t="s">
        <v>200</v>
      </c>
      <c r="AH53" t="s">
        <v>513</v>
      </c>
    </row>
    <row r="54" spans="1:34">
      <c r="B54" t="s">
        <v>197</v>
      </c>
      <c r="C54" t="s">
        <v>197</v>
      </c>
      <c r="D54" t="s">
        <v>197</v>
      </c>
      <c r="E54" t="s">
        <v>197</v>
      </c>
      <c r="F54" t="s">
        <v>197</v>
      </c>
      <c r="G54" t="s">
        <v>197</v>
      </c>
      <c r="H54" t="s">
        <v>197</v>
      </c>
      <c r="I54" t="s">
        <v>197</v>
      </c>
      <c r="J54" t="s">
        <v>197</v>
      </c>
      <c r="K54" t="s">
        <v>514</v>
      </c>
      <c r="AH54" t="s">
        <v>515</v>
      </c>
    </row>
    <row r="55" spans="1:34">
      <c r="B55" t="s">
        <v>197</v>
      </c>
      <c r="C55" t="s">
        <v>197</v>
      </c>
      <c r="D55" t="s">
        <v>197</v>
      </c>
      <c r="E55" t="s">
        <v>197</v>
      </c>
      <c r="F55" t="s">
        <v>197</v>
      </c>
      <c r="G55" t="s">
        <v>197</v>
      </c>
      <c r="H55" t="s">
        <v>197</v>
      </c>
      <c r="I55" t="s">
        <v>197</v>
      </c>
      <c r="J55" t="s">
        <v>197</v>
      </c>
      <c r="K55" t="s">
        <v>516</v>
      </c>
      <c r="AH55" t="s">
        <v>469</v>
      </c>
    </row>
    <row r="56" spans="1:34">
      <c r="B56" t="s">
        <v>197</v>
      </c>
      <c r="C56" t="s">
        <v>197</v>
      </c>
      <c r="D56" t="s">
        <v>197</v>
      </c>
      <c r="E56" t="s">
        <v>197</v>
      </c>
      <c r="F56" t="s">
        <v>197</v>
      </c>
      <c r="G56" t="s">
        <v>197</v>
      </c>
      <c r="H56" t="s">
        <v>197</v>
      </c>
      <c r="I56" t="s">
        <v>197</v>
      </c>
      <c r="J56" t="s">
        <v>197</v>
      </c>
      <c r="K56" t="s">
        <v>517</v>
      </c>
      <c r="AH56" t="s">
        <v>518</v>
      </c>
    </row>
    <row r="57" spans="1:34">
      <c r="A57" t="s">
        <v>519</v>
      </c>
      <c r="K57" t="s">
        <v>520</v>
      </c>
      <c r="W57" t="s">
        <v>171</v>
      </c>
      <c r="X57" t="str">
        <f>A57</f>
        <v>info_datetimeoffset_dml_single_pk_drp</v>
      </c>
      <c r="AH57" t="s">
        <v>521</v>
      </c>
    </row>
    <row r="58" spans="1:34">
      <c r="B58" t="s">
        <v>196</v>
      </c>
      <c r="C58" t="s">
        <v>197</v>
      </c>
      <c r="D58" t="s">
        <v>197</v>
      </c>
      <c r="E58" t="s">
        <v>197</v>
      </c>
      <c r="F58" t="s">
        <v>197</v>
      </c>
      <c r="G58" t="s">
        <v>197</v>
      </c>
      <c r="H58" t="s">
        <v>197</v>
      </c>
      <c r="I58" t="s">
        <v>522</v>
      </c>
      <c r="J58" t="s">
        <v>199</v>
      </c>
      <c r="K58" t="s">
        <v>200</v>
      </c>
      <c r="AH58" t="s">
        <v>479</v>
      </c>
    </row>
    <row r="59" spans="1:34">
      <c r="B59" t="s">
        <v>197</v>
      </c>
      <c r="C59" t="s">
        <v>197</v>
      </c>
      <c r="D59" t="s">
        <v>197</v>
      </c>
      <c r="E59" t="s">
        <v>197</v>
      </c>
      <c r="F59" t="s">
        <v>197</v>
      </c>
      <c r="G59" t="s">
        <v>197</v>
      </c>
      <c r="H59" t="s">
        <v>197</v>
      </c>
      <c r="I59" t="s">
        <v>197</v>
      </c>
      <c r="J59" t="s">
        <v>197</v>
      </c>
      <c r="K59" t="s">
        <v>301</v>
      </c>
      <c r="AH59" t="s">
        <v>523</v>
      </c>
    </row>
    <row r="60" spans="1:34">
      <c r="B60" t="s">
        <v>197</v>
      </c>
      <c r="C60" t="s">
        <v>197</v>
      </c>
      <c r="D60" t="s">
        <v>197</v>
      </c>
      <c r="E60" t="s">
        <v>197</v>
      </c>
      <c r="F60" t="s">
        <v>197</v>
      </c>
      <c r="G60" t="s">
        <v>197</v>
      </c>
      <c r="H60" t="s">
        <v>197</v>
      </c>
      <c r="I60" t="s">
        <v>197</v>
      </c>
      <c r="J60" t="s">
        <v>197</v>
      </c>
      <c r="K60" t="s">
        <v>314</v>
      </c>
      <c r="AH60" t="s">
        <v>484</v>
      </c>
    </row>
    <row r="61" spans="1:34">
      <c r="B61" t="s">
        <v>197</v>
      </c>
      <c r="C61" t="s">
        <v>197</v>
      </c>
      <c r="D61" t="s">
        <v>197</v>
      </c>
      <c r="E61" t="s">
        <v>197</v>
      </c>
      <c r="F61" t="s">
        <v>197</v>
      </c>
      <c r="G61" t="s">
        <v>197</v>
      </c>
      <c r="H61" t="s">
        <v>197</v>
      </c>
      <c r="I61" t="s">
        <v>197</v>
      </c>
      <c r="J61" t="s">
        <v>197</v>
      </c>
      <c r="K61" t="s">
        <v>324</v>
      </c>
      <c r="AH61" t="s">
        <v>524</v>
      </c>
    </row>
    <row r="62" spans="1:34">
      <c r="B62" t="s">
        <v>197</v>
      </c>
      <c r="C62" t="s">
        <v>197</v>
      </c>
      <c r="D62" t="s">
        <v>197</v>
      </c>
      <c r="E62" t="s">
        <v>197</v>
      </c>
      <c r="F62" t="s">
        <v>197</v>
      </c>
      <c r="G62" t="s">
        <v>197</v>
      </c>
      <c r="H62" t="s">
        <v>197</v>
      </c>
      <c r="I62" t="s">
        <v>197</v>
      </c>
      <c r="J62" t="s">
        <v>197</v>
      </c>
      <c r="K62" t="s">
        <v>335</v>
      </c>
      <c r="AH62" t="s">
        <v>525</v>
      </c>
    </row>
    <row r="63" spans="1:34">
      <c r="B63" t="s">
        <v>197</v>
      </c>
      <c r="C63" t="s">
        <v>197</v>
      </c>
      <c r="D63" t="s">
        <v>197</v>
      </c>
      <c r="E63" t="s">
        <v>197</v>
      </c>
      <c r="F63" t="s">
        <v>197</v>
      </c>
      <c r="G63" t="s">
        <v>197</v>
      </c>
      <c r="H63" t="s">
        <v>197</v>
      </c>
      <c r="I63" t="s">
        <v>197</v>
      </c>
      <c r="J63" t="s">
        <v>197</v>
      </c>
      <c r="K63" t="s">
        <v>350</v>
      </c>
      <c r="AH63" t="s">
        <v>493</v>
      </c>
    </row>
    <row r="64" spans="1:34">
      <c r="B64" t="s">
        <v>197</v>
      </c>
      <c r="C64" t="s">
        <v>197</v>
      </c>
      <c r="D64" t="s">
        <v>197</v>
      </c>
      <c r="E64" t="s">
        <v>197</v>
      </c>
      <c r="F64" t="s">
        <v>197</v>
      </c>
      <c r="G64" t="s">
        <v>197</v>
      </c>
      <c r="H64" t="s">
        <v>197</v>
      </c>
      <c r="I64" t="s">
        <v>197</v>
      </c>
      <c r="J64" t="s">
        <v>197</v>
      </c>
      <c r="K64" t="s">
        <v>360</v>
      </c>
      <c r="AH64" t="s">
        <v>526</v>
      </c>
    </row>
    <row r="65" spans="1:34">
      <c r="B65" t="s">
        <v>197</v>
      </c>
      <c r="C65" t="s">
        <v>197</v>
      </c>
      <c r="D65" t="s">
        <v>197</v>
      </c>
      <c r="E65" t="s">
        <v>197</v>
      </c>
      <c r="F65" t="s">
        <v>197</v>
      </c>
      <c r="G65" t="s">
        <v>197</v>
      </c>
      <c r="H65" t="s">
        <v>197</v>
      </c>
      <c r="I65" t="s">
        <v>197</v>
      </c>
      <c r="J65" t="s">
        <v>197</v>
      </c>
      <c r="K65" t="s">
        <v>367</v>
      </c>
      <c r="AH65" t="s">
        <v>527</v>
      </c>
    </row>
    <row r="66" spans="1:34">
      <c r="B66" t="s">
        <v>197</v>
      </c>
      <c r="C66" t="s">
        <v>197</v>
      </c>
      <c r="D66" t="s">
        <v>197</v>
      </c>
      <c r="E66" t="s">
        <v>197</v>
      </c>
      <c r="F66" t="s">
        <v>197</v>
      </c>
      <c r="G66" t="s">
        <v>197</v>
      </c>
      <c r="H66" t="s">
        <v>197</v>
      </c>
      <c r="I66" t="s">
        <v>197</v>
      </c>
      <c r="J66" t="s">
        <v>197</v>
      </c>
      <c r="K66" t="s">
        <v>373</v>
      </c>
      <c r="AH66" t="s">
        <v>502</v>
      </c>
    </row>
    <row r="67" spans="1:34">
      <c r="A67" t="s">
        <v>528</v>
      </c>
      <c r="K67" t="s">
        <v>529</v>
      </c>
      <c r="W67" t="s">
        <v>171</v>
      </c>
      <c r="X67" t="str">
        <f>A67</f>
        <v>info_text_dml_single_pk_urp</v>
      </c>
    </row>
    <row r="68" spans="1:34">
      <c r="B68" t="s">
        <v>196</v>
      </c>
      <c r="C68" t="s">
        <v>197</v>
      </c>
      <c r="D68" t="s">
        <v>197</v>
      </c>
      <c r="E68" t="s">
        <v>197</v>
      </c>
      <c r="F68" t="s">
        <v>197</v>
      </c>
      <c r="G68" t="s">
        <v>197</v>
      </c>
      <c r="H68" t="s">
        <v>197</v>
      </c>
      <c r="I68" t="s">
        <v>530</v>
      </c>
      <c r="J68" t="s">
        <v>199</v>
      </c>
      <c r="K68" t="s">
        <v>200</v>
      </c>
    </row>
    <row r="69" spans="1:34">
      <c r="B69" t="s">
        <v>197</v>
      </c>
      <c r="C69" t="s">
        <v>197</v>
      </c>
      <c r="D69" t="s">
        <v>197</v>
      </c>
      <c r="E69" t="s">
        <v>197</v>
      </c>
      <c r="F69" t="s">
        <v>197</v>
      </c>
      <c r="G69" t="s">
        <v>197</v>
      </c>
      <c r="H69" t="s">
        <v>197</v>
      </c>
      <c r="I69" t="s">
        <v>197</v>
      </c>
      <c r="J69" t="s">
        <v>197</v>
      </c>
      <c r="K69" t="s">
        <v>229</v>
      </c>
    </row>
    <row r="70" spans="1:34">
      <c r="B70" t="s">
        <v>197</v>
      </c>
      <c r="C70" t="s">
        <v>197</v>
      </c>
      <c r="D70" t="s">
        <v>197</v>
      </c>
      <c r="E70" t="s">
        <v>197</v>
      </c>
      <c r="F70" t="s">
        <v>197</v>
      </c>
      <c r="G70" t="s">
        <v>197</v>
      </c>
      <c r="H70" t="s">
        <v>197</v>
      </c>
      <c r="I70" t="s">
        <v>197</v>
      </c>
      <c r="J70" t="s">
        <v>197</v>
      </c>
      <c r="K70" t="s">
        <v>251</v>
      </c>
    </row>
    <row r="71" spans="1:34">
      <c r="A71" t="s">
        <v>531</v>
      </c>
      <c r="K71" t="s">
        <v>532</v>
      </c>
      <c r="W71" s="4" t="str">
        <f>HYPERLINK("#2026042000hbase2!Z2","NO 源备存在差异，共6个")</f>
        <v>NO 源备存在差异，共6个</v>
      </c>
      <c r="X71" t="str">
        <f>A71</f>
        <v>info_geometry_dml_single_pk_urp</v>
      </c>
    </row>
    <row r="72" spans="1:34">
      <c r="B72" t="s">
        <v>196</v>
      </c>
      <c r="C72" t="s">
        <v>197</v>
      </c>
      <c r="D72" t="s">
        <v>197</v>
      </c>
      <c r="E72" t="s">
        <v>197</v>
      </c>
      <c r="F72" t="s">
        <v>197</v>
      </c>
      <c r="G72" t="s">
        <v>197</v>
      </c>
      <c r="H72" t="s">
        <v>197</v>
      </c>
      <c r="I72" t="s">
        <v>533</v>
      </c>
      <c r="J72" t="s">
        <v>199</v>
      </c>
      <c r="K72" t="s">
        <v>200</v>
      </c>
    </row>
    <row r="73" spans="1:34">
      <c r="B73" t="s">
        <v>197</v>
      </c>
      <c r="C73" t="s">
        <v>197</v>
      </c>
      <c r="D73" t="s">
        <v>197</v>
      </c>
      <c r="E73" t="s">
        <v>197</v>
      </c>
      <c r="F73" t="s">
        <v>197</v>
      </c>
      <c r="G73" t="s">
        <v>197</v>
      </c>
      <c r="H73" t="s">
        <v>197</v>
      </c>
      <c r="I73" t="s">
        <v>197</v>
      </c>
      <c r="J73" t="s">
        <v>197</v>
      </c>
      <c r="K73" t="s">
        <v>393</v>
      </c>
    </row>
    <row r="74" spans="1:34">
      <c r="A74" t="s">
        <v>534</v>
      </c>
      <c r="K74" t="s">
        <v>535</v>
      </c>
      <c r="W74" t="s">
        <v>171</v>
      </c>
      <c r="X74" t="str">
        <f>A74</f>
        <v>info_sdt_dml_batch1_pk_drp2</v>
      </c>
    </row>
    <row r="75" spans="1:34">
      <c r="B75" t="s">
        <v>196</v>
      </c>
      <c r="C75" t="s">
        <v>197</v>
      </c>
      <c r="D75" t="s">
        <v>197</v>
      </c>
      <c r="E75" t="s">
        <v>197</v>
      </c>
      <c r="F75" t="s">
        <v>197</v>
      </c>
      <c r="G75" t="s">
        <v>197</v>
      </c>
      <c r="H75" t="s">
        <v>197</v>
      </c>
      <c r="I75" t="s">
        <v>536</v>
      </c>
      <c r="J75" t="s">
        <v>199</v>
      </c>
      <c r="K75" t="s">
        <v>200</v>
      </c>
    </row>
    <row r="76" spans="1:34">
      <c r="B76" t="s">
        <v>197</v>
      </c>
      <c r="C76" t="s">
        <v>197</v>
      </c>
      <c r="D76" t="s">
        <v>197</v>
      </c>
      <c r="E76" t="s">
        <v>197</v>
      </c>
      <c r="F76" t="s">
        <v>197</v>
      </c>
      <c r="G76" t="s">
        <v>197</v>
      </c>
      <c r="H76" t="s">
        <v>197</v>
      </c>
      <c r="I76" t="s">
        <v>197</v>
      </c>
      <c r="J76" t="s">
        <v>197</v>
      </c>
      <c r="K76" t="s">
        <v>422</v>
      </c>
    </row>
    <row r="77" spans="1:34">
      <c r="A77" t="s">
        <v>537</v>
      </c>
      <c r="K77" t="s">
        <v>538</v>
      </c>
      <c r="W77" t="s">
        <v>171</v>
      </c>
      <c r="X77" t="str">
        <f>A77</f>
        <v>info_nvarchar_dml_batch2_pk_urp2</v>
      </c>
    </row>
    <row r="78" spans="1:34">
      <c r="B78" t="s">
        <v>196</v>
      </c>
      <c r="C78" t="s">
        <v>197</v>
      </c>
      <c r="D78" t="s">
        <v>197</v>
      </c>
      <c r="E78" t="s">
        <v>197</v>
      </c>
      <c r="F78" t="s">
        <v>197</v>
      </c>
      <c r="G78" t="s">
        <v>197</v>
      </c>
      <c r="H78" t="s">
        <v>197</v>
      </c>
      <c r="I78" t="s">
        <v>539</v>
      </c>
      <c r="J78" t="s">
        <v>199</v>
      </c>
      <c r="K78" t="s">
        <v>200</v>
      </c>
    </row>
    <row r="79" spans="1:34">
      <c r="B79" t="s">
        <v>197</v>
      </c>
      <c r="C79" t="s">
        <v>197</v>
      </c>
      <c r="D79" t="s">
        <v>197</v>
      </c>
      <c r="E79" t="s">
        <v>197</v>
      </c>
      <c r="F79" t="s">
        <v>197</v>
      </c>
      <c r="G79" t="s">
        <v>197</v>
      </c>
      <c r="H79" t="s">
        <v>197</v>
      </c>
      <c r="I79" t="s">
        <v>197</v>
      </c>
      <c r="J79" t="s">
        <v>197</v>
      </c>
      <c r="K79" t="s">
        <v>408</v>
      </c>
    </row>
    <row r="80" spans="1:34">
      <c r="B80" t="s">
        <v>197</v>
      </c>
      <c r="C80" t="s">
        <v>197</v>
      </c>
      <c r="D80" t="s">
        <v>197</v>
      </c>
      <c r="E80" t="s">
        <v>197</v>
      </c>
      <c r="F80" t="s">
        <v>197</v>
      </c>
      <c r="G80" t="s">
        <v>197</v>
      </c>
      <c r="H80" t="s">
        <v>197</v>
      </c>
      <c r="I80" t="s">
        <v>197</v>
      </c>
      <c r="J80" t="s">
        <v>197</v>
      </c>
      <c r="K80" t="s">
        <v>412</v>
      </c>
    </row>
    <row r="81" spans="1:24">
      <c r="B81" t="s">
        <v>197</v>
      </c>
      <c r="C81" t="s">
        <v>197</v>
      </c>
      <c r="D81" t="s">
        <v>197</v>
      </c>
      <c r="E81" t="s">
        <v>197</v>
      </c>
      <c r="F81" t="s">
        <v>197</v>
      </c>
      <c r="G81" t="s">
        <v>197</v>
      </c>
      <c r="H81" t="s">
        <v>197</v>
      </c>
      <c r="I81" t="s">
        <v>197</v>
      </c>
      <c r="J81" t="s">
        <v>197</v>
      </c>
      <c r="K81" t="s">
        <v>416</v>
      </c>
    </row>
    <row r="82" spans="1:24">
      <c r="A82" t="s">
        <v>540</v>
      </c>
      <c r="K82" t="s">
        <v>541</v>
      </c>
      <c r="W82" t="s">
        <v>171</v>
      </c>
      <c r="X82" t="str">
        <f>A82</f>
        <v>info_varchar_dml_batch1_pk_drp2</v>
      </c>
    </row>
    <row r="83" spans="1:24">
      <c r="B83" t="s">
        <v>196</v>
      </c>
      <c r="C83" t="s">
        <v>197</v>
      </c>
      <c r="D83" t="s">
        <v>197</v>
      </c>
      <c r="E83" t="s">
        <v>197</v>
      </c>
      <c r="F83" t="s">
        <v>197</v>
      </c>
      <c r="G83" t="s">
        <v>197</v>
      </c>
      <c r="H83" t="s">
        <v>197</v>
      </c>
      <c r="I83" t="s">
        <v>542</v>
      </c>
      <c r="J83" t="s">
        <v>199</v>
      </c>
      <c r="K83" t="s">
        <v>200</v>
      </c>
    </row>
    <row r="84" spans="1:24">
      <c r="B84" t="s">
        <v>197</v>
      </c>
      <c r="C84" t="s">
        <v>197</v>
      </c>
      <c r="D84" t="s">
        <v>197</v>
      </c>
      <c r="E84" t="s">
        <v>197</v>
      </c>
      <c r="F84" t="s">
        <v>197</v>
      </c>
      <c r="G84" t="s">
        <v>197</v>
      </c>
      <c r="H84" t="s">
        <v>197</v>
      </c>
      <c r="I84" t="s">
        <v>197</v>
      </c>
      <c r="J84" t="s">
        <v>197</v>
      </c>
      <c r="K84" t="s">
        <v>431</v>
      </c>
    </row>
    <row r="85" spans="1:24">
      <c r="B85" t="s">
        <v>197</v>
      </c>
      <c r="C85" t="s">
        <v>197</v>
      </c>
      <c r="D85" t="s">
        <v>197</v>
      </c>
      <c r="E85" t="s">
        <v>197</v>
      </c>
      <c r="F85" t="s">
        <v>197</v>
      </c>
      <c r="G85" t="s">
        <v>197</v>
      </c>
      <c r="H85" t="s">
        <v>197</v>
      </c>
      <c r="I85" t="s">
        <v>197</v>
      </c>
      <c r="J85" t="s">
        <v>197</v>
      </c>
      <c r="K85" t="s">
        <v>434</v>
      </c>
    </row>
    <row r="86" spans="1:24">
      <c r="B86" t="s">
        <v>197</v>
      </c>
      <c r="C86" t="s">
        <v>197</v>
      </c>
      <c r="D86" t="s">
        <v>197</v>
      </c>
      <c r="E86" t="s">
        <v>197</v>
      </c>
      <c r="F86" t="s">
        <v>197</v>
      </c>
      <c r="G86" t="s">
        <v>197</v>
      </c>
      <c r="H86" t="s">
        <v>197</v>
      </c>
      <c r="I86" t="s">
        <v>197</v>
      </c>
      <c r="J86" t="s">
        <v>197</v>
      </c>
      <c r="K86" t="s">
        <v>439</v>
      </c>
    </row>
    <row r="87" spans="1:24">
      <c r="A87" t="s">
        <v>543</v>
      </c>
      <c r="K87" t="s">
        <v>544</v>
      </c>
      <c r="W87" t="s">
        <v>171</v>
      </c>
      <c r="X87" t="str">
        <f>A87</f>
        <v>info_sdt_dml_batch1_pk</v>
      </c>
    </row>
    <row r="88" spans="1:24">
      <c r="B88" t="s">
        <v>196</v>
      </c>
      <c r="C88" t="s">
        <v>197</v>
      </c>
      <c r="D88" t="s">
        <v>197</v>
      </c>
      <c r="E88" t="s">
        <v>197</v>
      </c>
      <c r="F88" t="s">
        <v>197</v>
      </c>
      <c r="G88" t="s">
        <v>197</v>
      </c>
      <c r="H88" t="s">
        <v>197</v>
      </c>
      <c r="I88" t="s">
        <v>545</v>
      </c>
      <c r="J88" t="s">
        <v>199</v>
      </c>
      <c r="K88" t="s">
        <v>200</v>
      </c>
    </row>
    <row r="89" spans="1:24">
      <c r="B89" t="s">
        <v>197</v>
      </c>
      <c r="C89" t="s">
        <v>197</v>
      </c>
      <c r="D89" t="s">
        <v>197</v>
      </c>
      <c r="E89" t="s">
        <v>197</v>
      </c>
      <c r="F89" t="s">
        <v>197</v>
      </c>
      <c r="G89" t="s">
        <v>197</v>
      </c>
      <c r="H89" t="s">
        <v>197</v>
      </c>
      <c r="I89" t="s">
        <v>197</v>
      </c>
      <c r="J89" t="s">
        <v>197</v>
      </c>
      <c r="K89" t="s">
        <v>422</v>
      </c>
    </row>
    <row r="90" spans="1:24">
      <c r="A90" t="s">
        <v>546</v>
      </c>
      <c r="K90" t="s">
        <v>547</v>
      </c>
      <c r="W90" t="s">
        <v>171</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568</v>
      </c>
      <c r="K111" t="s">
        <v>569</v>
      </c>
      <c r="W111" s="1" t="str">
        <f>HYPERLINK("#2026042000hbase2!AA2","NO 源备存在差异，共4个")</f>
        <v>NO 源备存在差异，共4个</v>
      </c>
      <c r="X111" t="str">
        <f>A111</f>
        <v>info_xml_dml_single_pk_urp</v>
      </c>
    </row>
    <row r="112" spans="1:24">
      <c r="B112" t="s">
        <v>196</v>
      </c>
      <c r="C112" t="s">
        <v>197</v>
      </c>
      <c r="D112" t="s">
        <v>197</v>
      </c>
      <c r="E112" t="s">
        <v>197</v>
      </c>
      <c r="F112" t="s">
        <v>197</v>
      </c>
      <c r="G112" t="s">
        <v>197</v>
      </c>
      <c r="H112" t="s">
        <v>197</v>
      </c>
      <c r="I112" t="s">
        <v>570</v>
      </c>
      <c r="J112" t="s">
        <v>199</v>
      </c>
      <c r="K112" t="s">
        <v>200</v>
      </c>
    </row>
    <row r="113" spans="1:24">
      <c r="B113" t="s">
        <v>197</v>
      </c>
      <c r="C113" t="s">
        <v>197</v>
      </c>
      <c r="D113" t="s">
        <v>197</v>
      </c>
      <c r="E113" t="s">
        <v>197</v>
      </c>
      <c r="F113" t="s">
        <v>197</v>
      </c>
      <c r="G113" t="s">
        <v>197</v>
      </c>
      <c r="H113" t="s">
        <v>197</v>
      </c>
      <c r="I113" t="s">
        <v>197</v>
      </c>
      <c r="J113" t="s">
        <v>197</v>
      </c>
      <c r="K113" t="s">
        <v>472</v>
      </c>
    </row>
    <row r="114" spans="1:24">
      <c r="A114" t="s">
        <v>571</v>
      </c>
      <c r="K114" t="s">
        <v>572</v>
      </c>
      <c r="W114" t="s">
        <v>171</v>
      </c>
      <c r="X114" t="str">
        <f>A114</f>
        <v>info_datetime_dml_batch1_pk_irp1</v>
      </c>
    </row>
    <row r="115" spans="1:24">
      <c r="B115" t="s">
        <v>196</v>
      </c>
      <c r="C115" t="s">
        <v>197</v>
      </c>
      <c r="D115" t="s">
        <v>197</v>
      </c>
      <c r="E115" t="s">
        <v>197</v>
      </c>
      <c r="F115" t="s">
        <v>197</v>
      </c>
      <c r="G115" t="s">
        <v>197</v>
      </c>
      <c r="H115" t="s">
        <v>197</v>
      </c>
      <c r="I115" t="s">
        <v>573</v>
      </c>
      <c r="J115" t="s">
        <v>199</v>
      </c>
      <c r="K115" t="s">
        <v>200</v>
      </c>
    </row>
    <row r="116" spans="1:24">
      <c r="B116" t="s">
        <v>197</v>
      </c>
      <c r="C116" t="s">
        <v>197</v>
      </c>
      <c r="D116" t="s">
        <v>197</v>
      </c>
      <c r="E116" t="s">
        <v>197</v>
      </c>
      <c r="F116" t="s">
        <v>197</v>
      </c>
      <c r="G116" t="s">
        <v>197</v>
      </c>
      <c r="H116" t="s">
        <v>197</v>
      </c>
      <c r="I116" t="s">
        <v>197</v>
      </c>
      <c r="J116" t="s">
        <v>197</v>
      </c>
      <c r="K116" t="s">
        <v>574</v>
      </c>
    </row>
    <row r="117" spans="1:24">
      <c r="A117" t="s">
        <v>575</v>
      </c>
      <c r="K117" t="s">
        <v>576</v>
      </c>
      <c r="W117" s="4" t="str">
        <f>HYPERLINK("#2026042000hbase2!AB2","NO 源备存在差异，共14个")</f>
        <v>NO 源备存在差异，共14个</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596</v>
      </c>
      <c r="K148" t="s">
        <v>597</v>
      </c>
      <c r="W148" t="s">
        <v>171</v>
      </c>
      <c r="X148" t="str">
        <f>A148</f>
        <v>info_text_dml_single_pk</v>
      </c>
    </row>
    <row r="149" spans="1:24">
      <c r="B149" t="s">
        <v>196</v>
      </c>
      <c r="C149" t="s">
        <v>197</v>
      </c>
      <c r="D149" t="s">
        <v>197</v>
      </c>
      <c r="E149" t="s">
        <v>197</v>
      </c>
      <c r="F149" t="s">
        <v>197</v>
      </c>
      <c r="G149" t="s">
        <v>197</v>
      </c>
      <c r="H149" t="s">
        <v>197</v>
      </c>
      <c r="I149" t="s">
        <v>598</v>
      </c>
      <c r="J149" t="s">
        <v>199</v>
      </c>
      <c r="K149" t="s">
        <v>200</v>
      </c>
    </row>
    <row r="150" spans="1:24">
      <c r="B150" t="s">
        <v>197</v>
      </c>
      <c r="C150" t="s">
        <v>197</v>
      </c>
      <c r="D150" t="s">
        <v>197</v>
      </c>
      <c r="E150" t="s">
        <v>197</v>
      </c>
      <c r="F150" t="s">
        <v>197</v>
      </c>
      <c r="G150" t="s">
        <v>197</v>
      </c>
      <c r="H150" t="s">
        <v>197</v>
      </c>
      <c r="I150" t="s">
        <v>197</v>
      </c>
      <c r="J150" t="s">
        <v>197</v>
      </c>
      <c r="K150" t="s">
        <v>229</v>
      </c>
    </row>
    <row r="151" spans="1:24">
      <c r="B151" t="s">
        <v>197</v>
      </c>
      <c r="C151" t="s">
        <v>197</v>
      </c>
      <c r="D151" t="s">
        <v>197</v>
      </c>
      <c r="E151" t="s">
        <v>197</v>
      </c>
      <c r="F151" t="s">
        <v>197</v>
      </c>
      <c r="G151" t="s">
        <v>197</v>
      </c>
      <c r="H151" t="s">
        <v>197</v>
      </c>
      <c r="I151" t="s">
        <v>197</v>
      </c>
      <c r="J151" t="s">
        <v>197</v>
      </c>
      <c r="K151" t="s">
        <v>251</v>
      </c>
    </row>
    <row r="152" spans="1:24">
      <c r="K152" t="s">
        <v>443</v>
      </c>
    </row>
    <row r="153" spans="1:24">
      <c r="A153" t="s">
        <v>593</v>
      </c>
      <c r="K153" t="s">
        <v>594</v>
      </c>
      <c r="W153" t="s">
        <v>171</v>
      </c>
      <c r="X153" t="str">
        <f>A153</f>
        <v>info_int_dml_batch1_pk_urp2</v>
      </c>
    </row>
    <row r="154" spans="1:24">
      <c r="B154" t="s">
        <v>196</v>
      </c>
      <c r="C154" t="s">
        <v>197</v>
      </c>
      <c r="D154" t="s">
        <v>197</v>
      </c>
      <c r="E154" t="s">
        <v>197</v>
      </c>
      <c r="F154" t="s">
        <v>197</v>
      </c>
      <c r="G154" t="s">
        <v>197</v>
      </c>
      <c r="H154" t="s">
        <v>197</v>
      </c>
      <c r="I154" t="s">
        <v>595</v>
      </c>
      <c r="J154" t="s">
        <v>199</v>
      </c>
      <c r="K154" t="s">
        <v>200</v>
      </c>
    </row>
    <row r="155" spans="1:24">
      <c r="B155" t="s">
        <v>197</v>
      </c>
      <c r="C155" t="s">
        <v>197</v>
      </c>
      <c r="D155" t="s">
        <v>197</v>
      </c>
      <c r="E155" t="s">
        <v>197</v>
      </c>
      <c r="F155" t="s">
        <v>197</v>
      </c>
      <c r="G155" t="s">
        <v>197</v>
      </c>
      <c r="H155" t="s">
        <v>197</v>
      </c>
      <c r="I155" t="s">
        <v>197</v>
      </c>
      <c r="J155" t="s">
        <v>197</v>
      </c>
      <c r="K155" t="s">
        <v>549</v>
      </c>
    </row>
    <row r="156" spans="1:24">
      <c r="B156" t="s">
        <v>197</v>
      </c>
      <c r="C156" t="s">
        <v>197</v>
      </c>
      <c r="D156" t="s">
        <v>197</v>
      </c>
      <c r="E156" t="s">
        <v>197</v>
      </c>
      <c r="F156" t="s">
        <v>197</v>
      </c>
      <c r="G156" t="s">
        <v>197</v>
      </c>
      <c r="H156" t="s">
        <v>197</v>
      </c>
      <c r="I156" t="s">
        <v>197</v>
      </c>
      <c r="J156" t="s">
        <v>197</v>
      </c>
      <c r="K156" t="s">
        <v>550</v>
      </c>
    </row>
    <row r="157" spans="1:24">
      <c r="B157" t="s">
        <v>197</v>
      </c>
      <c r="C157" t="s">
        <v>197</v>
      </c>
      <c r="D157" t="s">
        <v>197</v>
      </c>
      <c r="E157" t="s">
        <v>197</v>
      </c>
      <c r="F157" t="s">
        <v>197</v>
      </c>
      <c r="G157" t="s">
        <v>197</v>
      </c>
      <c r="H157" t="s">
        <v>197</v>
      </c>
      <c r="I157" t="s">
        <v>197</v>
      </c>
      <c r="J157" t="s">
        <v>197</v>
      </c>
      <c r="K157" t="s">
        <v>551</v>
      </c>
    </row>
    <row r="158" spans="1:24">
      <c r="B158" t="s">
        <v>197</v>
      </c>
      <c r="C158" t="s">
        <v>197</v>
      </c>
      <c r="D158" t="s">
        <v>197</v>
      </c>
      <c r="E158" t="s">
        <v>197</v>
      </c>
      <c r="F158" t="s">
        <v>197</v>
      </c>
      <c r="G158" t="s">
        <v>197</v>
      </c>
      <c r="H158" t="s">
        <v>197</v>
      </c>
      <c r="I158" t="s">
        <v>197</v>
      </c>
      <c r="J158" t="s">
        <v>197</v>
      </c>
      <c r="K158" t="s">
        <v>552</v>
      </c>
    </row>
    <row r="159" spans="1:24">
      <c r="B159" t="s">
        <v>197</v>
      </c>
      <c r="C159" t="s">
        <v>197</v>
      </c>
      <c r="D159" t="s">
        <v>197</v>
      </c>
      <c r="E159" t="s">
        <v>197</v>
      </c>
      <c r="F159" t="s">
        <v>197</v>
      </c>
      <c r="G159" t="s">
        <v>197</v>
      </c>
      <c r="H159" t="s">
        <v>197</v>
      </c>
      <c r="I159" t="s">
        <v>197</v>
      </c>
      <c r="J159" t="s">
        <v>197</v>
      </c>
      <c r="K159" t="s">
        <v>553</v>
      </c>
    </row>
    <row r="160" spans="1:24">
      <c r="B160" t="s">
        <v>197</v>
      </c>
      <c r="C160" t="s">
        <v>197</v>
      </c>
      <c r="D160" t="s">
        <v>197</v>
      </c>
      <c r="E160" t="s">
        <v>197</v>
      </c>
      <c r="F160" t="s">
        <v>197</v>
      </c>
      <c r="G160" t="s">
        <v>197</v>
      </c>
      <c r="H160" t="s">
        <v>197</v>
      </c>
      <c r="I160" t="s">
        <v>197</v>
      </c>
      <c r="J160" t="s">
        <v>197</v>
      </c>
      <c r="K160" t="s">
        <v>554</v>
      </c>
    </row>
    <row r="161" spans="1:24">
      <c r="B161" t="s">
        <v>197</v>
      </c>
      <c r="C161" t="s">
        <v>197</v>
      </c>
      <c r="D161" t="s">
        <v>197</v>
      </c>
      <c r="E161" t="s">
        <v>197</v>
      </c>
      <c r="F161" t="s">
        <v>197</v>
      </c>
      <c r="G161" t="s">
        <v>197</v>
      </c>
      <c r="H161" t="s">
        <v>197</v>
      </c>
      <c r="I161" t="s">
        <v>197</v>
      </c>
      <c r="J161" t="s">
        <v>197</v>
      </c>
      <c r="K161" t="s">
        <v>555</v>
      </c>
    </row>
    <row r="162" spans="1:24">
      <c r="B162" t="s">
        <v>197</v>
      </c>
      <c r="C162" t="s">
        <v>197</v>
      </c>
      <c r="D162" t="s">
        <v>197</v>
      </c>
      <c r="E162" t="s">
        <v>197</v>
      </c>
      <c r="F162" t="s">
        <v>197</v>
      </c>
      <c r="G162" t="s">
        <v>197</v>
      </c>
      <c r="H162" t="s">
        <v>197</v>
      </c>
      <c r="I162" t="s">
        <v>197</v>
      </c>
      <c r="J162" t="s">
        <v>197</v>
      </c>
      <c r="K162" t="s">
        <v>556</v>
      </c>
    </row>
    <row r="163" spans="1:24">
      <c r="B163" t="s">
        <v>197</v>
      </c>
      <c r="C163" t="s">
        <v>197</v>
      </c>
      <c r="D163" t="s">
        <v>197</v>
      </c>
      <c r="E163" t="s">
        <v>197</v>
      </c>
      <c r="F163" t="s">
        <v>197</v>
      </c>
      <c r="G163" t="s">
        <v>197</v>
      </c>
      <c r="H163" t="s">
        <v>197</v>
      </c>
      <c r="I163" t="s">
        <v>197</v>
      </c>
      <c r="J163" t="s">
        <v>197</v>
      </c>
      <c r="K163" t="s">
        <v>557</v>
      </c>
    </row>
    <row r="164" spans="1:24">
      <c r="B164" t="s">
        <v>197</v>
      </c>
      <c r="C164" t="s">
        <v>197</v>
      </c>
      <c r="D164" t="s">
        <v>197</v>
      </c>
      <c r="E164" t="s">
        <v>197</v>
      </c>
      <c r="F164" t="s">
        <v>197</v>
      </c>
      <c r="G164" t="s">
        <v>197</v>
      </c>
      <c r="H164" t="s">
        <v>197</v>
      </c>
      <c r="I164" t="s">
        <v>197</v>
      </c>
      <c r="J164" t="s">
        <v>197</v>
      </c>
      <c r="K164" t="s">
        <v>558</v>
      </c>
    </row>
    <row r="165" spans="1:24">
      <c r="B165" t="s">
        <v>197</v>
      </c>
      <c r="C165" t="s">
        <v>197</v>
      </c>
      <c r="D165" t="s">
        <v>197</v>
      </c>
      <c r="E165" t="s">
        <v>197</v>
      </c>
      <c r="F165" t="s">
        <v>197</v>
      </c>
      <c r="G165" t="s">
        <v>197</v>
      </c>
      <c r="H165" t="s">
        <v>197</v>
      </c>
      <c r="I165" t="s">
        <v>197</v>
      </c>
      <c r="J165" t="s">
        <v>197</v>
      </c>
      <c r="K165" t="s">
        <v>559</v>
      </c>
    </row>
    <row r="166" spans="1:24">
      <c r="B166" t="s">
        <v>197</v>
      </c>
      <c r="C166" t="s">
        <v>197</v>
      </c>
      <c r="D166" t="s">
        <v>197</v>
      </c>
      <c r="E166" t="s">
        <v>197</v>
      </c>
      <c r="F166" t="s">
        <v>197</v>
      </c>
      <c r="G166" t="s">
        <v>197</v>
      </c>
      <c r="H166" t="s">
        <v>197</v>
      </c>
      <c r="I166" t="s">
        <v>197</v>
      </c>
      <c r="J166" t="s">
        <v>197</v>
      </c>
      <c r="K166" t="s">
        <v>560</v>
      </c>
    </row>
    <row r="167" spans="1:24">
      <c r="B167" t="s">
        <v>197</v>
      </c>
      <c r="C167" t="s">
        <v>197</v>
      </c>
      <c r="D167" t="s">
        <v>197</v>
      </c>
      <c r="E167" t="s">
        <v>197</v>
      </c>
      <c r="F167" t="s">
        <v>197</v>
      </c>
      <c r="G167" t="s">
        <v>197</v>
      </c>
      <c r="H167" t="s">
        <v>197</v>
      </c>
      <c r="I167" t="s">
        <v>197</v>
      </c>
      <c r="J167" t="s">
        <v>197</v>
      </c>
      <c r="K167" t="s">
        <v>561</v>
      </c>
    </row>
    <row r="168" spans="1:24">
      <c r="B168" t="s">
        <v>197</v>
      </c>
      <c r="C168" t="s">
        <v>197</v>
      </c>
      <c r="D168" t="s">
        <v>197</v>
      </c>
      <c r="E168" t="s">
        <v>197</v>
      </c>
      <c r="F168" t="s">
        <v>197</v>
      </c>
      <c r="G168" t="s">
        <v>197</v>
      </c>
      <c r="H168" t="s">
        <v>197</v>
      </c>
      <c r="I168" t="s">
        <v>197</v>
      </c>
      <c r="J168" t="s">
        <v>197</v>
      </c>
      <c r="K168" t="s">
        <v>562</v>
      </c>
    </row>
    <row r="169" spans="1:24">
      <c r="B169" t="s">
        <v>197</v>
      </c>
      <c r="C169" t="s">
        <v>197</v>
      </c>
      <c r="D169" t="s">
        <v>197</v>
      </c>
      <c r="E169" t="s">
        <v>197</v>
      </c>
      <c r="F169" t="s">
        <v>197</v>
      </c>
      <c r="G169" t="s">
        <v>197</v>
      </c>
      <c r="H169" t="s">
        <v>197</v>
      </c>
      <c r="I169" t="s">
        <v>197</v>
      </c>
      <c r="J169" t="s">
        <v>197</v>
      </c>
      <c r="K169" t="s">
        <v>563</v>
      </c>
    </row>
    <row r="170" spans="1:24">
      <c r="B170" t="s">
        <v>197</v>
      </c>
      <c r="C170" t="s">
        <v>197</v>
      </c>
      <c r="D170" t="s">
        <v>197</v>
      </c>
      <c r="E170" t="s">
        <v>197</v>
      </c>
      <c r="F170" t="s">
        <v>197</v>
      </c>
      <c r="G170" t="s">
        <v>197</v>
      </c>
      <c r="H170" t="s">
        <v>197</v>
      </c>
      <c r="I170" t="s">
        <v>197</v>
      </c>
      <c r="J170" t="s">
        <v>197</v>
      </c>
      <c r="K170" t="s">
        <v>564</v>
      </c>
    </row>
    <row r="171" spans="1:24">
      <c r="B171" t="s">
        <v>197</v>
      </c>
      <c r="C171" t="s">
        <v>197</v>
      </c>
      <c r="D171" t="s">
        <v>197</v>
      </c>
      <c r="E171" t="s">
        <v>197</v>
      </c>
      <c r="F171" t="s">
        <v>197</v>
      </c>
      <c r="G171" t="s">
        <v>197</v>
      </c>
      <c r="H171" t="s">
        <v>197</v>
      </c>
      <c r="I171" t="s">
        <v>197</v>
      </c>
      <c r="J171" t="s">
        <v>197</v>
      </c>
      <c r="K171" t="s">
        <v>565</v>
      </c>
    </row>
    <row r="172" spans="1:24">
      <c r="B172" t="s">
        <v>197</v>
      </c>
      <c r="C172" t="s">
        <v>197</v>
      </c>
      <c r="D172" t="s">
        <v>197</v>
      </c>
      <c r="E172" t="s">
        <v>197</v>
      </c>
      <c r="F172" t="s">
        <v>197</v>
      </c>
      <c r="G172" t="s">
        <v>197</v>
      </c>
      <c r="H172" t="s">
        <v>197</v>
      </c>
      <c r="I172" t="s">
        <v>197</v>
      </c>
      <c r="J172" t="s">
        <v>197</v>
      </c>
      <c r="K172" t="s">
        <v>566</v>
      </c>
    </row>
    <row r="173" spans="1:24">
      <c r="B173" t="s">
        <v>197</v>
      </c>
      <c r="C173" t="s">
        <v>197</v>
      </c>
      <c r="D173" t="s">
        <v>197</v>
      </c>
      <c r="E173" t="s">
        <v>197</v>
      </c>
      <c r="F173" t="s">
        <v>197</v>
      </c>
      <c r="G173" t="s">
        <v>197</v>
      </c>
      <c r="H173" t="s">
        <v>197</v>
      </c>
      <c r="I173" t="s">
        <v>197</v>
      </c>
      <c r="J173" t="s">
        <v>197</v>
      </c>
      <c r="K173" t="s">
        <v>567</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606</v>
      </c>
      <c r="K182" t="s">
        <v>607</v>
      </c>
      <c r="W182" t="s">
        <v>171</v>
      </c>
      <c r="X182" t="str">
        <f>A182</f>
        <v>info_xml_dml_single_pk_drp</v>
      </c>
    </row>
    <row r="183" spans="1:24">
      <c r="B183" t="s">
        <v>196</v>
      </c>
      <c r="C183" t="s">
        <v>197</v>
      </c>
      <c r="D183" t="s">
        <v>197</v>
      </c>
      <c r="E183" t="s">
        <v>197</v>
      </c>
      <c r="F183" t="s">
        <v>197</v>
      </c>
      <c r="G183" t="s">
        <v>197</v>
      </c>
      <c r="H183" t="s">
        <v>197</v>
      </c>
      <c r="I183" t="s">
        <v>608</v>
      </c>
      <c r="J183" t="s">
        <v>199</v>
      </c>
      <c r="K183" t="s">
        <v>200</v>
      </c>
    </row>
    <row r="184" spans="1:24">
      <c r="B184" t="s">
        <v>197</v>
      </c>
      <c r="C184" t="s">
        <v>197</v>
      </c>
      <c r="D184" t="s">
        <v>197</v>
      </c>
      <c r="E184" t="s">
        <v>197</v>
      </c>
      <c r="F184" t="s">
        <v>197</v>
      </c>
      <c r="G184" t="s">
        <v>197</v>
      </c>
      <c r="H184" t="s">
        <v>197</v>
      </c>
      <c r="I184" t="s">
        <v>197</v>
      </c>
      <c r="J184" t="s">
        <v>197</v>
      </c>
      <c r="K184" t="s">
        <v>472</v>
      </c>
    </row>
    <row r="185" spans="1:24">
      <c r="A185" t="s">
        <v>609</v>
      </c>
      <c r="K185" t="s">
        <v>610</v>
      </c>
      <c r="W185" t="s">
        <v>171</v>
      </c>
      <c r="X185" t="str">
        <f>A185</f>
        <v>info_nchar_dml_single_pk_urp</v>
      </c>
    </row>
    <row r="186" spans="1:24">
      <c r="B186" t="s">
        <v>196</v>
      </c>
      <c r="C186" t="s">
        <v>197</v>
      </c>
      <c r="D186" t="s">
        <v>197</v>
      </c>
      <c r="E186" t="s">
        <v>197</v>
      </c>
      <c r="F186" t="s">
        <v>197</v>
      </c>
      <c r="G186" t="s">
        <v>197</v>
      </c>
      <c r="H186" t="s">
        <v>197</v>
      </c>
      <c r="I186" t="s">
        <v>611</v>
      </c>
      <c r="J186" t="s">
        <v>199</v>
      </c>
      <c r="K186" t="s">
        <v>200</v>
      </c>
    </row>
    <row r="187" spans="1:24">
      <c r="B187" t="s">
        <v>197</v>
      </c>
      <c r="C187" t="s">
        <v>197</v>
      </c>
      <c r="D187" t="s">
        <v>197</v>
      </c>
      <c r="E187" t="s">
        <v>197</v>
      </c>
      <c r="F187" t="s">
        <v>197</v>
      </c>
      <c r="G187" t="s">
        <v>197</v>
      </c>
      <c r="H187" t="s">
        <v>197</v>
      </c>
      <c r="I187" t="s">
        <v>197</v>
      </c>
      <c r="J187" t="s">
        <v>197</v>
      </c>
      <c r="K187" t="s">
        <v>514</v>
      </c>
    </row>
    <row r="188" spans="1:24">
      <c r="B188" t="s">
        <v>197</v>
      </c>
      <c r="C188" t="s">
        <v>197</v>
      </c>
      <c r="D188" t="s">
        <v>197</v>
      </c>
      <c r="E188" t="s">
        <v>197</v>
      </c>
      <c r="F188" t="s">
        <v>197</v>
      </c>
      <c r="G188" t="s">
        <v>197</v>
      </c>
      <c r="H188" t="s">
        <v>197</v>
      </c>
      <c r="I188" t="s">
        <v>197</v>
      </c>
      <c r="J188" t="s">
        <v>197</v>
      </c>
      <c r="K188" t="s">
        <v>516</v>
      </c>
    </row>
    <row r="189" spans="1:24">
      <c r="B189" t="s">
        <v>197</v>
      </c>
      <c r="C189" t="s">
        <v>197</v>
      </c>
      <c r="D189" t="s">
        <v>197</v>
      </c>
      <c r="E189" t="s">
        <v>197</v>
      </c>
      <c r="F189" t="s">
        <v>197</v>
      </c>
      <c r="G189" t="s">
        <v>197</v>
      </c>
      <c r="H189" t="s">
        <v>197</v>
      </c>
      <c r="I189" t="s">
        <v>197</v>
      </c>
      <c r="J189" t="s">
        <v>197</v>
      </c>
      <c r="K189" t="s">
        <v>612</v>
      </c>
    </row>
    <row r="190" spans="1:24">
      <c r="A190" t="s">
        <v>613</v>
      </c>
      <c r="K190" t="s">
        <v>614</v>
      </c>
      <c r="W190" t="s">
        <v>171</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4" t="str">
        <f>HYPERLINK("#2026042000hbase2!AC2","NO 源备存在差异，共2个")</f>
        <v>NO 源备存在差异，共2个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646</v>
      </c>
      <c r="K250" t="s">
        <v>647</v>
      </c>
      <c r="W250" t="s">
        <v>171</v>
      </c>
      <c r="X250" t="str">
        <f>A250</f>
        <v>info_nchar_dml_batch1_pk_irp1</v>
      </c>
    </row>
    <row r="251" spans="1:24">
      <c r="B251" t="s">
        <v>196</v>
      </c>
      <c r="C251" t="s">
        <v>197</v>
      </c>
      <c r="D251" t="s">
        <v>197</v>
      </c>
      <c r="E251" t="s">
        <v>197</v>
      </c>
      <c r="F251" t="s">
        <v>197</v>
      </c>
      <c r="G251" t="s">
        <v>197</v>
      </c>
      <c r="H251" t="s">
        <v>197</v>
      </c>
      <c r="I251" t="s">
        <v>648</v>
      </c>
      <c r="J251" t="s">
        <v>199</v>
      </c>
      <c r="K251" t="s">
        <v>200</v>
      </c>
    </row>
    <row r="252" spans="1:24">
      <c r="B252" t="s">
        <v>197</v>
      </c>
      <c r="C252" t="s">
        <v>197</v>
      </c>
      <c r="D252" t="s">
        <v>197</v>
      </c>
      <c r="E252" t="s">
        <v>197</v>
      </c>
      <c r="F252" t="s">
        <v>197</v>
      </c>
      <c r="G252" t="s">
        <v>197</v>
      </c>
      <c r="H252" t="s">
        <v>197</v>
      </c>
      <c r="I252" t="s">
        <v>197</v>
      </c>
      <c r="J252" t="s">
        <v>197</v>
      </c>
      <c r="K252" t="s">
        <v>514</v>
      </c>
    </row>
    <row r="253" spans="1:24">
      <c r="B253" t="s">
        <v>197</v>
      </c>
      <c r="C253" t="s">
        <v>197</v>
      </c>
      <c r="D253" t="s">
        <v>197</v>
      </c>
      <c r="E253" t="s">
        <v>197</v>
      </c>
      <c r="F253" t="s">
        <v>197</v>
      </c>
      <c r="G253" t="s">
        <v>197</v>
      </c>
      <c r="H253" t="s">
        <v>197</v>
      </c>
      <c r="I253" t="s">
        <v>197</v>
      </c>
      <c r="J253" t="s">
        <v>197</v>
      </c>
      <c r="K253" t="s">
        <v>516</v>
      </c>
    </row>
    <row r="254" spans="1:24">
      <c r="B254" t="s">
        <v>197</v>
      </c>
      <c r="C254" t="s">
        <v>197</v>
      </c>
      <c r="D254" t="s">
        <v>197</v>
      </c>
      <c r="E254" t="s">
        <v>197</v>
      </c>
      <c r="F254" t="s">
        <v>197</v>
      </c>
      <c r="G254" t="s">
        <v>197</v>
      </c>
      <c r="H254" t="s">
        <v>197</v>
      </c>
      <c r="I254" t="s">
        <v>197</v>
      </c>
      <c r="J254" t="s">
        <v>197</v>
      </c>
      <c r="K254" t="s">
        <v>517</v>
      </c>
    </row>
    <row r="255" spans="1:24">
      <c r="A255" t="s">
        <v>652</v>
      </c>
      <c r="K255" t="s">
        <v>653</v>
      </c>
      <c r="W255" t="s">
        <v>171</v>
      </c>
      <c r="X255" t="str">
        <f>A255</f>
        <v>info_nvarchar_dml_batch1_pk</v>
      </c>
    </row>
    <row r="256" spans="1:24">
      <c r="B256" t="s">
        <v>196</v>
      </c>
      <c r="C256" t="s">
        <v>197</v>
      </c>
      <c r="D256" t="s">
        <v>197</v>
      </c>
      <c r="E256" t="s">
        <v>197</v>
      </c>
      <c r="F256" t="s">
        <v>197</v>
      </c>
      <c r="G256" t="s">
        <v>197</v>
      </c>
      <c r="H256" t="s">
        <v>197</v>
      </c>
      <c r="I256" t="s">
        <v>654</v>
      </c>
      <c r="J256" t="s">
        <v>199</v>
      </c>
      <c r="K256" t="s">
        <v>200</v>
      </c>
    </row>
    <row r="257" spans="1:24">
      <c r="B257" t="s">
        <v>197</v>
      </c>
      <c r="C257" t="s">
        <v>197</v>
      </c>
      <c r="D257" t="s">
        <v>197</v>
      </c>
      <c r="E257" t="s">
        <v>197</v>
      </c>
      <c r="F257" t="s">
        <v>197</v>
      </c>
      <c r="G257" t="s">
        <v>197</v>
      </c>
      <c r="H257" t="s">
        <v>197</v>
      </c>
      <c r="I257" t="s">
        <v>197</v>
      </c>
      <c r="J257" t="s">
        <v>197</v>
      </c>
      <c r="K257" t="s">
        <v>408</v>
      </c>
    </row>
    <row r="258" spans="1:24">
      <c r="B258" t="s">
        <v>197</v>
      </c>
      <c r="C258" t="s">
        <v>197</v>
      </c>
      <c r="D258" t="s">
        <v>197</v>
      </c>
      <c r="E258" t="s">
        <v>197</v>
      </c>
      <c r="F258" t="s">
        <v>197</v>
      </c>
      <c r="G258" t="s">
        <v>197</v>
      </c>
      <c r="H258" t="s">
        <v>197</v>
      </c>
      <c r="I258" t="s">
        <v>197</v>
      </c>
      <c r="J258" t="s">
        <v>197</v>
      </c>
      <c r="K258" t="s">
        <v>412</v>
      </c>
    </row>
    <row r="259" spans="1:24">
      <c r="B259" t="s">
        <v>197</v>
      </c>
      <c r="C259" t="s">
        <v>197</v>
      </c>
      <c r="D259" t="s">
        <v>197</v>
      </c>
      <c r="E259" t="s">
        <v>197</v>
      </c>
      <c r="F259" t="s">
        <v>197</v>
      </c>
      <c r="G259" t="s">
        <v>197</v>
      </c>
      <c r="H259" t="s">
        <v>197</v>
      </c>
      <c r="I259" t="s">
        <v>197</v>
      </c>
      <c r="J259" t="s">
        <v>197</v>
      </c>
      <c r="K259" t="s">
        <v>605</v>
      </c>
    </row>
    <row r="260" spans="1:24">
      <c r="A260" t="s">
        <v>655</v>
      </c>
      <c r="K260" t="s">
        <v>656</v>
      </c>
      <c r="W260" t="s">
        <v>171</v>
      </c>
      <c r="X260" t="str">
        <f>A260</f>
        <v>info_datetime_dml_batch1_pk</v>
      </c>
    </row>
    <row r="261" spans="1:24">
      <c r="B261" t="s">
        <v>196</v>
      </c>
      <c r="C261" t="s">
        <v>197</v>
      </c>
      <c r="D261" t="s">
        <v>197</v>
      </c>
      <c r="E261" t="s">
        <v>197</v>
      </c>
      <c r="F261" t="s">
        <v>197</v>
      </c>
      <c r="G261" t="s">
        <v>197</v>
      </c>
      <c r="H261" t="s">
        <v>197</v>
      </c>
      <c r="I261" t="s">
        <v>657</v>
      </c>
      <c r="J261" t="s">
        <v>199</v>
      </c>
      <c r="K261" t="s">
        <v>200</v>
      </c>
    </row>
    <row r="262" spans="1:24">
      <c r="B262" t="s">
        <v>197</v>
      </c>
      <c r="C262" t="s">
        <v>197</v>
      </c>
      <c r="D262" t="s">
        <v>197</v>
      </c>
      <c r="E262" t="s">
        <v>197</v>
      </c>
      <c r="F262" t="s">
        <v>197</v>
      </c>
      <c r="G262" t="s">
        <v>197</v>
      </c>
      <c r="H262" t="s">
        <v>197</v>
      </c>
      <c r="I262" t="s">
        <v>197</v>
      </c>
      <c r="J262" t="s">
        <v>197</v>
      </c>
      <c r="K262" t="s">
        <v>574</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688</v>
      </c>
      <c r="K307" t="s">
        <v>689</v>
      </c>
      <c r="W307" s="1" t="str">
        <f>HYPERLINK("#2026042000hbase2!AD2","NO 源备存在差异，共16个")</f>
        <v>NO 源备存在差异，共16个</v>
      </c>
      <c r="X307" t="str">
        <f>A307</f>
        <v>info_binary_dml_batch1_pk_irp1</v>
      </c>
    </row>
    <row r="308" spans="1:24">
      <c r="B308" t="s">
        <v>196</v>
      </c>
      <c r="C308" t="s">
        <v>197</v>
      </c>
      <c r="D308" t="s">
        <v>197</v>
      </c>
      <c r="E308" t="s">
        <v>197</v>
      </c>
      <c r="F308" t="s">
        <v>197</v>
      </c>
      <c r="G308" t="s">
        <v>197</v>
      </c>
      <c r="H308" t="s">
        <v>197</v>
      </c>
      <c r="I308" t="s">
        <v>690</v>
      </c>
      <c r="J308" t="s">
        <v>199</v>
      </c>
      <c r="K308" t="s">
        <v>200</v>
      </c>
    </row>
    <row r="309" spans="1:24">
      <c r="B309" t="s">
        <v>197</v>
      </c>
      <c r="C309" t="s">
        <v>197</v>
      </c>
      <c r="D309" t="s">
        <v>197</v>
      </c>
      <c r="E309" t="s">
        <v>197</v>
      </c>
      <c r="F309" t="s">
        <v>197</v>
      </c>
      <c r="G309" t="s">
        <v>197</v>
      </c>
      <c r="H309" t="s">
        <v>197</v>
      </c>
      <c r="I309" t="s">
        <v>197</v>
      </c>
      <c r="J309" t="s">
        <v>197</v>
      </c>
      <c r="K309" t="s">
        <v>691</v>
      </c>
    </row>
    <row r="310" spans="1:24">
      <c r="B310" t="s">
        <v>197</v>
      </c>
      <c r="C310" t="s">
        <v>197</v>
      </c>
      <c r="D310" t="s">
        <v>197</v>
      </c>
      <c r="E310" t="s">
        <v>197</v>
      </c>
      <c r="F310" t="s">
        <v>197</v>
      </c>
      <c r="G310" t="s">
        <v>197</v>
      </c>
      <c r="H310" t="s">
        <v>197</v>
      </c>
      <c r="I310" t="s">
        <v>197</v>
      </c>
      <c r="J310" t="s">
        <v>197</v>
      </c>
      <c r="K310" t="s">
        <v>692</v>
      </c>
    </row>
    <row r="311" spans="1:24">
      <c r="B311" t="s">
        <v>197</v>
      </c>
      <c r="C311" t="s">
        <v>197</v>
      </c>
      <c r="D311" t="s">
        <v>197</v>
      </c>
      <c r="E311" t="s">
        <v>197</v>
      </c>
      <c r="F311" t="s">
        <v>197</v>
      </c>
      <c r="G311" t="s">
        <v>197</v>
      </c>
      <c r="H311" t="s">
        <v>197</v>
      </c>
      <c r="I311" t="s">
        <v>197</v>
      </c>
      <c r="J311" t="s">
        <v>197</v>
      </c>
      <c r="K311" t="s">
        <v>693</v>
      </c>
    </row>
    <row r="312" spans="1:24">
      <c r="A312" t="s">
        <v>685</v>
      </c>
      <c r="K312" t="s">
        <v>686</v>
      </c>
      <c r="W312" s="1" t="str">
        <f>HYPERLINK("#2026042000hbase2!AE2","NO 源备存在差异，共8个")</f>
        <v>NO 源备存在差异，共8个</v>
      </c>
      <c r="X312" t="str">
        <f>A312</f>
        <v>info_int_dml_batch1_pk_drp2</v>
      </c>
    </row>
    <row r="313" spans="1:24">
      <c r="B313" t="s">
        <v>196</v>
      </c>
      <c r="C313" t="s">
        <v>197</v>
      </c>
      <c r="D313" t="s">
        <v>197</v>
      </c>
      <c r="E313" t="s">
        <v>197</v>
      </c>
      <c r="F313" t="s">
        <v>197</v>
      </c>
      <c r="G313" t="s">
        <v>197</v>
      </c>
      <c r="H313" t="s">
        <v>197</v>
      </c>
      <c r="I313" t="s">
        <v>687</v>
      </c>
      <c r="J313" t="s">
        <v>199</v>
      </c>
      <c r="K313" t="s">
        <v>200</v>
      </c>
    </row>
    <row r="314" spans="1:24">
      <c r="B314" t="s">
        <v>197</v>
      </c>
      <c r="C314" t="s">
        <v>197</v>
      </c>
      <c r="D314" t="s">
        <v>197</v>
      </c>
      <c r="E314" t="s">
        <v>197</v>
      </c>
      <c r="F314" t="s">
        <v>197</v>
      </c>
      <c r="G314" t="s">
        <v>197</v>
      </c>
      <c r="H314" t="s">
        <v>197</v>
      </c>
      <c r="I314" t="s">
        <v>197</v>
      </c>
      <c r="J314" t="s">
        <v>197</v>
      </c>
      <c r="K314" t="s">
        <v>549</v>
      </c>
    </row>
    <row r="315" spans="1:24">
      <c r="B315" t="s">
        <v>197</v>
      </c>
      <c r="C315" t="s">
        <v>197</v>
      </c>
      <c r="D315" t="s">
        <v>197</v>
      </c>
      <c r="E315" t="s">
        <v>197</v>
      </c>
      <c r="F315" t="s">
        <v>197</v>
      </c>
      <c r="G315" t="s">
        <v>197</v>
      </c>
      <c r="H315" t="s">
        <v>197</v>
      </c>
      <c r="I315" t="s">
        <v>197</v>
      </c>
      <c r="J315" t="s">
        <v>197</v>
      </c>
      <c r="K315" t="s">
        <v>550</v>
      </c>
    </row>
    <row r="316" spans="1:24">
      <c r="B316" t="s">
        <v>197</v>
      </c>
      <c r="C316" t="s">
        <v>197</v>
      </c>
      <c r="D316" t="s">
        <v>197</v>
      </c>
      <c r="E316" t="s">
        <v>197</v>
      </c>
      <c r="F316" t="s">
        <v>197</v>
      </c>
      <c r="G316" t="s">
        <v>197</v>
      </c>
      <c r="H316" t="s">
        <v>197</v>
      </c>
      <c r="I316" t="s">
        <v>197</v>
      </c>
      <c r="J316" t="s">
        <v>197</v>
      </c>
      <c r="K316" t="s">
        <v>551</v>
      </c>
    </row>
    <row r="317" spans="1:24">
      <c r="B317" t="s">
        <v>197</v>
      </c>
      <c r="C317" t="s">
        <v>197</v>
      </c>
      <c r="D317" t="s">
        <v>197</v>
      </c>
      <c r="E317" t="s">
        <v>197</v>
      </c>
      <c r="F317" t="s">
        <v>197</v>
      </c>
      <c r="G317" t="s">
        <v>197</v>
      </c>
      <c r="H317" t="s">
        <v>197</v>
      </c>
      <c r="I317" t="s">
        <v>197</v>
      </c>
      <c r="J317" t="s">
        <v>197</v>
      </c>
      <c r="K317" t="s">
        <v>552</v>
      </c>
    </row>
    <row r="318" spans="1:24">
      <c r="B318" t="s">
        <v>197</v>
      </c>
      <c r="C318" t="s">
        <v>197</v>
      </c>
      <c r="D318" t="s">
        <v>197</v>
      </c>
      <c r="E318" t="s">
        <v>197</v>
      </c>
      <c r="F318" t="s">
        <v>197</v>
      </c>
      <c r="G318" t="s">
        <v>197</v>
      </c>
      <c r="H318" t="s">
        <v>197</v>
      </c>
      <c r="I318" t="s">
        <v>197</v>
      </c>
      <c r="J318" t="s">
        <v>197</v>
      </c>
      <c r="K318" t="s">
        <v>553</v>
      </c>
    </row>
    <row r="319" spans="1:24">
      <c r="B319" t="s">
        <v>197</v>
      </c>
      <c r="C319" t="s">
        <v>197</v>
      </c>
      <c r="D319" t="s">
        <v>197</v>
      </c>
      <c r="E319" t="s">
        <v>197</v>
      </c>
      <c r="F319" t="s">
        <v>197</v>
      </c>
      <c r="G319" t="s">
        <v>197</v>
      </c>
      <c r="H319" t="s">
        <v>197</v>
      </c>
      <c r="I319" t="s">
        <v>197</v>
      </c>
      <c r="J319" t="s">
        <v>197</v>
      </c>
      <c r="K319" t="s">
        <v>554</v>
      </c>
    </row>
    <row r="320" spans="1:24">
      <c r="B320" t="s">
        <v>197</v>
      </c>
      <c r="C320" t="s">
        <v>197</v>
      </c>
      <c r="D320" t="s">
        <v>197</v>
      </c>
      <c r="E320" t="s">
        <v>197</v>
      </c>
      <c r="F320" t="s">
        <v>197</v>
      </c>
      <c r="G320" t="s">
        <v>197</v>
      </c>
      <c r="H320" t="s">
        <v>197</v>
      </c>
      <c r="I320" t="s">
        <v>197</v>
      </c>
      <c r="J320" t="s">
        <v>197</v>
      </c>
      <c r="K320" t="s">
        <v>555</v>
      </c>
    </row>
    <row r="321" spans="1:24">
      <c r="B321" t="s">
        <v>197</v>
      </c>
      <c r="C321" t="s">
        <v>197</v>
      </c>
      <c r="D321" t="s">
        <v>197</v>
      </c>
      <c r="E321" t="s">
        <v>197</v>
      </c>
      <c r="F321" t="s">
        <v>197</v>
      </c>
      <c r="G321" t="s">
        <v>197</v>
      </c>
      <c r="H321" t="s">
        <v>197</v>
      </c>
      <c r="I321" t="s">
        <v>197</v>
      </c>
      <c r="J321" t="s">
        <v>197</v>
      </c>
      <c r="K321" t="s">
        <v>556</v>
      </c>
    </row>
    <row r="322" spans="1:24">
      <c r="B322" t="s">
        <v>197</v>
      </c>
      <c r="C322" t="s">
        <v>197</v>
      </c>
      <c r="D322" t="s">
        <v>197</v>
      </c>
      <c r="E322" t="s">
        <v>197</v>
      </c>
      <c r="F322" t="s">
        <v>197</v>
      </c>
      <c r="G322" t="s">
        <v>197</v>
      </c>
      <c r="H322" t="s">
        <v>197</v>
      </c>
      <c r="I322" t="s">
        <v>197</v>
      </c>
      <c r="J322" t="s">
        <v>197</v>
      </c>
      <c r="K322" t="s">
        <v>557</v>
      </c>
    </row>
    <row r="323" spans="1:24">
      <c r="B323" t="s">
        <v>197</v>
      </c>
      <c r="C323" t="s">
        <v>197</v>
      </c>
      <c r="D323" t="s">
        <v>197</v>
      </c>
      <c r="E323" t="s">
        <v>197</v>
      </c>
      <c r="F323" t="s">
        <v>197</v>
      </c>
      <c r="G323" t="s">
        <v>197</v>
      </c>
      <c r="H323" t="s">
        <v>197</v>
      </c>
      <c r="I323" t="s">
        <v>197</v>
      </c>
      <c r="J323" t="s">
        <v>197</v>
      </c>
      <c r="K323" t="s">
        <v>558</v>
      </c>
    </row>
    <row r="324" spans="1:24">
      <c r="B324" t="s">
        <v>197</v>
      </c>
      <c r="C324" t="s">
        <v>197</v>
      </c>
      <c r="D324" t="s">
        <v>197</v>
      </c>
      <c r="E324" t="s">
        <v>197</v>
      </c>
      <c r="F324" t="s">
        <v>197</v>
      </c>
      <c r="G324" t="s">
        <v>197</v>
      </c>
      <c r="H324" t="s">
        <v>197</v>
      </c>
      <c r="I324" t="s">
        <v>197</v>
      </c>
      <c r="J324" t="s">
        <v>197</v>
      </c>
      <c r="K324" t="s">
        <v>559</v>
      </c>
    </row>
    <row r="325" spans="1:24">
      <c r="B325" t="s">
        <v>197</v>
      </c>
      <c r="C325" t="s">
        <v>197</v>
      </c>
      <c r="D325" t="s">
        <v>197</v>
      </c>
      <c r="E325" t="s">
        <v>197</v>
      </c>
      <c r="F325" t="s">
        <v>197</v>
      </c>
      <c r="G325" t="s">
        <v>197</v>
      </c>
      <c r="H325" t="s">
        <v>197</v>
      </c>
      <c r="I325" t="s">
        <v>197</v>
      </c>
      <c r="J325" t="s">
        <v>197</v>
      </c>
      <c r="K325" t="s">
        <v>560</v>
      </c>
    </row>
    <row r="326" spans="1:24">
      <c r="B326" t="s">
        <v>197</v>
      </c>
      <c r="C326" t="s">
        <v>197</v>
      </c>
      <c r="D326" t="s">
        <v>197</v>
      </c>
      <c r="E326" t="s">
        <v>197</v>
      </c>
      <c r="F326" t="s">
        <v>197</v>
      </c>
      <c r="G326" t="s">
        <v>197</v>
      </c>
      <c r="H326" t="s">
        <v>197</v>
      </c>
      <c r="I326" t="s">
        <v>197</v>
      </c>
      <c r="J326" t="s">
        <v>197</v>
      </c>
      <c r="K326" t="s">
        <v>561</v>
      </c>
    </row>
    <row r="327" spans="1:24">
      <c r="B327" t="s">
        <v>197</v>
      </c>
      <c r="C327" t="s">
        <v>197</v>
      </c>
      <c r="D327" t="s">
        <v>197</v>
      </c>
      <c r="E327" t="s">
        <v>197</v>
      </c>
      <c r="F327" t="s">
        <v>197</v>
      </c>
      <c r="G327" t="s">
        <v>197</v>
      </c>
      <c r="H327" t="s">
        <v>197</v>
      </c>
      <c r="I327" t="s">
        <v>197</v>
      </c>
      <c r="J327" t="s">
        <v>197</v>
      </c>
      <c r="K327" t="s">
        <v>562</v>
      </c>
    </row>
    <row r="328" spans="1:24">
      <c r="B328" t="s">
        <v>197</v>
      </c>
      <c r="C328" t="s">
        <v>197</v>
      </c>
      <c r="D328" t="s">
        <v>197</v>
      </c>
      <c r="E328" t="s">
        <v>197</v>
      </c>
      <c r="F328" t="s">
        <v>197</v>
      </c>
      <c r="G328" t="s">
        <v>197</v>
      </c>
      <c r="H328" t="s">
        <v>197</v>
      </c>
      <c r="I328" t="s">
        <v>197</v>
      </c>
      <c r="J328" t="s">
        <v>197</v>
      </c>
      <c r="K328" t="s">
        <v>563</v>
      </c>
    </row>
    <row r="329" spans="1:24">
      <c r="B329" t="s">
        <v>197</v>
      </c>
      <c r="C329" t="s">
        <v>197</v>
      </c>
      <c r="D329" t="s">
        <v>197</v>
      </c>
      <c r="E329" t="s">
        <v>197</v>
      </c>
      <c r="F329" t="s">
        <v>197</v>
      </c>
      <c r="G329" t="s">
        <v>197</v>
      </c>
      <c r="H329" t="s">
        <v>197</v>
      </c>
      <c r="I329" t="s">
        <v>197</v>
      </c>
      <c r="J329" t="s">
        <v>197</v>
      </c>
      <c r="K329" t="s">
        <v>564</v>
      </c>
    </row>
    <row r="330" spans="1:24">
      <c r="B330" t="s">
        <v>197</v>
      </c>
      <c r="C330" t="s">
        <v>197</v>
      </c>
      <c r="D330" t="s">
        <v>197</v>
      </c>
      <c r="E330" t="s">
        <v>197</v>
      </c>
      <c r="F330" t="s">
        <v>197</v>
      </c>
      <c r="G330" t="s">
        <v>197</v>
      </c>
      <c r="H330" t="s">
        <v>197</v>
      </c>
      <c r="I330" t="s">
        <v>197</v>
      </c>
      <c r="J330" t="s">
        <v>197</v>
      </c>
      <c r="K330" t="s">
        <v>565</v>
      </c>
    </row>
    <row r="331" spans="1:24">
      <c r="B331" t="s">
        <v>197</v>
      </c>
      <c r="C331" t="s">
        <v>197</v>
      </c>
      <c r="D331" t="s">
        <v>197</v>
      </c>
      <c r="E331" t="s">
        <v>197</v>
      </c>
      <c r="F331" t="s">
        <v>197</v>
      </c>
      <c r="G331" t="s">
        <v>197</v>
      </c>
      <c r="H331" t="s">
        <v>197</v>
      </c>
      <c r="I331" t="s">
        <v>197</v>
      </c>
      <c r="J331" t="s">
        <v>197</v>
      </c>
      <c r="K331" t="s">
        <v>566</v>
      </c>
    </row>
    <row r="332" spans="1:24">
      <c r="B332" t="s">
        <v>197</v>
      </c>
      <c r="C332" t="s">
        <v>197</v>
      </c>
      <c r="D332" t="s">
        <v>197</v>
      </c>
      <c r="E332" t="s">
        <v>197</v>
      </c>
      <c r="F332" t="s">
        <v>197</v>
      </c>
      <c r="G332" t="s">
        <v>197</v>
      </c>
      <c r="H332" t="s">
        <v>197</v>
      </c>
      <c r="I332" t="s">
        <v>197</v>
      </c>
      <c r="J332" t="s">
        <v>197</v>
      </c>
      <c r="K332" t="s">
        <v>567</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697</v>
      </c>
      <c r="K343" t="s">
        <v>698</v>
      </c>
      <c r="W343" s="1" t="str">
        <f>HYPERLINK("#2026042000hbase2!AF2","NO 源备存在差异，共8个")</f>
        <v>NO 源备存在差异，共8个</v>
      </c>
      <c r="X343" t="str">
        <f>A343</f>
        <v>info_int_dml_batch1_pk</v>
      </c>
    </row>
    <row r="344" spans="1:24">
      <c r="B344" t="s">
        <v>196</v>
      </c>
      <c r="C344" t="s">
        <v>197</v>
      </c>
      <c r="D344" t="s">
        <v>197</v>
      </c>
      <c r="E344" t="s">
        <v>197</v>
      </c>
      <c r="F344" t="s">
        <v>197</v>
      </c>
      <c r="G344" t="s">
        <v>197</v>
      </c>
      <c r="H344" t="s">
        <v>197</v>
      </c>
      <c r="I344" t="s">
        <v>699</v>
      </c>
      <c r="J344" t="s">
        <v>199</v>
      </c>
      <c r="K344" t="s">
        <v>200</v>
      </c>
    </row>
    <row r="345" spans="1:24">
      <c r="B345" t="s">
        <v>197</v>
      </c>
      <c r="C345" t="s">
        <v>197</v>
      </c>
      <c r="D345" t="s">
        <v>197</v>
      </c>
      <c r="E345" t="s">
        <v>197</v>
      </c>
      <c r="F345" t="s">
        <v>197</v>
      </c>
      <c r="G345" t="s">
        <v>197</v>
      </c>
      <c r="H345" t="s">
        <v>197</v>
      </c>
      <c r="I345" t="s">
        <v>197</v>
      </c>
      <c r="J345" t="s">
        <v>197</v>
      </c>
      <c r="K345" t="s">
        <v>549</v>
      </c>
    </row>
    <row r="346" spans="1:24">
      <c r="B346" t="s">
        <v>197</v>
      </c>
      <c r="C346" t="s">
        <v>197</v>
      </c>
      <c r="D346" t="s">
        <v>197</v>
      </c>
      <c r="E346" t="s">
        <v>197</v>
      </c>
      <c r="F346" t="s">
        <v>197</v>
      </c>
      <c r="G346" t="s">
        <v>197</v>
      </c>
      <c r="H346" t="s">
        <v>197</v>
      </c>
      <c r="I346" t="s">
        <v>197</v>
      </c>
      <c r="J346" t="s">
        <v>197</v>
      </c>
      <c r="K346" t="s">
        <v>550</v>
      </c>
    </row>
    <row r="347" spans="1:24">
      <c r="B347" t="s">
        <v>197</v>
      </c>
      <c r="C347" t="s">
        <v>197</v>
      </c>
      <c r="D347" t="s">
        <v>197</v>
      </c>
      <c r="E347" t="s">
        <v>197</v>
      </c>
      <c r="F347" t="s">
        <v>197</v>
      </c>
      <c r="G347" t="s">
        <v>197</v>
      </c>
      <c r="H347" t="s">
        <v>197</v>
      </c>
      <c r="I347" t="s">
        <v>197</v>
      </c>
      <c r="J347" t="s">
        <v>197</v>
      </c>
      <c r="K347" t="s">
        <v>551</v>
      </c>
    </row>
    <row r="348" spans="1:24">
      <c r="B348" t="s">
        <v>197</v>
      </c>
      <c r="C348" t="s">
        <v>197</v>
      </c>
      <c r="D348" t="s">
        <v>197</v>
      </c>
      <c r="E348" t="s">
        <v>197</v>
      </c>
      <c r="F348" t="s">
        <v>197</v>
      </c>
      <c r="G348" t="s">
        <v>197</v>
      </c>
      <c r="H348" t="s">
        <v>197</v>
      </c>
      <c r="I348" t="s">
        <v>197</v>
      </c>
      <c r="J348" t="s">
        <v>197</v>
      </c>
      <c r="K348" t="s">
        <v>552</v>
      </c>
    </row>
    <row r="349" spans="1:24">
      <c r="B349" t="s">
        <v>197</v>
      </c>
      <c r="C349" t="s">
        <v>197</v>
      </c>
      <c r="D349" t="s">
        <v>197</v>
      </c>
      <c r="E349" t="s">
        <v>197</v>
      </c>
      <c r="F349" t="s">
        <v>197</v>
      </c>
      <c r="G349" t="s">
        <v>197</v>
      </c>
      <c r="H349" t="s">
        <v>197</v>
      </c>
      <c r="I349" t="s">
        <v>197</v>
      </c>
      <c r="J349" t="s">
        <v>197</v>
      </c>
      <c r="K349" t="s">
        <v>553</v>
      </c>
    </row>
    <row r="350" spans="1:24">
      <c r="B350" t="s">
        <v>197</v>
      </c>
      <c r="C350" t="s">
        <v>197</v>
      </c>
      <c r="D350" t="s">
        <v>197</v>
      </c>
      <c r="E350" t="s">
        <v>197</v>
      </c>
      <c r="F350" t="s">
        <v>197</v>
      </c>
      <c r="G350" t="s">
        <v>197</v>
      </c>
      <c r="H350" t="s">
        <v>197</v>
      </c>
      <c r="I350" t="s">
        <v>197</v>
      </c>
      <c r="J350" t="s">
        <v>197</v>
      </c>
      <c r="K350" t="s">
        <v>554</v>
      </c>
    </row>
    <row r="351" spans="1:24">
      <c r="B351" t="s">
        <v>197</v>
      </c>
      <c r="C351" t="s">
        <v>197</v>
      </c>
      <c r="D351" t="s">
        <v>197</v>
      </c>
      <c r="E351" t="s">
        <v>197</v>
      </c>
      <c r="F351" t="s">
        <v>197</v>
      </c>
      <c r="G351" t="s">
        <v>197</v>
      </c>
      <c r="H351" t="s">
        <v>197</v>
      </c>
      <c r="I351" t="s">
        <v>197</v>
      </c>
      <c r="J351" t="s">
        <v>197</v>
      </c>
      <c r="K351" t="s">
        <v>555</v>
      </c>
    </row>
    <row r="352" spans="1:24">
      <c r="B352" t="s">
        <v>197</v>
      </c>
      <c r="C352" t="s">
        <v>197</v>
      </c>
      <c r="D352" t="s">
        <v>197</v>
      </c>
      <c r="E352" t="s">
        <v>197</v>
      </c>
      <c r="F352" t="s">
        <v>197</v>
      </c>
      <c r="G352" t="s">
        <v>197</v>
      </c>
      <c r="H352" t="s">
        <v>197</v>
      </c>
      <c r="I352" t="s">
        <v>197</v>
      </c>
      <c r="J352" t="s">
        <v>197</v>
      </c>
      <c r="K352" t="s">
        <v>556</v>
      </c>
    </row>
    <row r="353" spans="1:24">
      <c r="B353" t="s">
        <v>197</v>
      </c>
      <c r="C353" t="s">
        <v>197</v>
      </c>
      <c r="D353" t="s">
        <v>197</v>
      </c>
      <c r="E353" t="s">
        <v>197</v>
      </c>
      <c r="F353" t="s">
        <v>197</v>
      </c>
      <c r="G353" t="s">
        <v>197</v>
      </c>
      <c r="H353" t="s">
        <v>197</v>
      </c>
      <c r="I353" t="s">
        <v>197</v>
      </c>
      <c r="J353" t="s">
        <v>197</v>
      </c>
      <c r="K353" t="s">
        <v>557</v>
      </c>
    </row>
    <row r="354" spans="1:24">
      <c r="B354" t="s">
        <v>197</v>
      </c>
      <c r="C354" t="s">
        <v>197</v>
      </c>
      <c r="D354" t="s">
        <v>197</v>
      </c>
      <c r="E354" t="s">
        <v>197</v>
      </c>
      <c r="F354" t="s">
        <v>197</v>
      </c>
      <c r="G354" t="s">
        <v>197</v>
      </c>
      <c r="H354" t="s">
        <v>197</v>
      </c>
      <c r="I354" t="s">
        <v>197</v>
      </c>
      <c r="J354" t="s">
        <v>197</v>
      </c>
      <c r="K354" t="s">
        <v>558</v>
      </c>
    </row>
    <row r="355" spans="1:24">
      <c r="B355" t="s">
        <v>197</v>
      </c>
      <c r="C355" t="s">
        <v>197</v>
      </c>
      <c r="D355" t="s">
        <v>197</v>
      </c>
      <c r="E355" t="s">
        <v>197</v>
      </c>
      <c r="F355" t="s">
        <v>197</v>
      </c>
      <c r="G355" t="s">
        <v>197</v>
      </c>
      <c r="H355" t="s">
        <v>197</v>
      </c>
      <c r="I355" t="s">
        <v>197</v>
      </c>
      <c r="J355" t="s">
        <v>197</v>
      </c>
      <c r="K355" t="s">
        <v>559</v>
      </c>
    </row>
    <row r="356" spans="1:24">
      <c r="B356" t="s">
        <v>197</v>
      </c>
      <c r="C356" t="s">
        <v>197</v>
      </c>
      <c r="D356" t="s">
        <v>197</v>
      </c>
      <c r="E356" t="s">
        <v>197</v>
      </c>
      <c r="F356" t="s">
        <v>197</v>
      </c>
      <c r="G356" t="s">
        <v>197</v>
      </c>
      <c r="H356" t="s">
        <v>197</v>
      </c>
      <c r="I356" t="s">
        <v>197</v>
      </c>
      <c r="J356" t="s">
        <v>197</v>
      </c>
      <c r="K356" t="s">
        <v>560</v>
      </c>
    </row>
    <row r="357" spans="1:24">
      <c r="B357" t="s">
        <v>197</v>
      </c>
      <c r="C357" t="s">
        <v>197</v>
      </c>
      <c r="D357" t="s">
        <v>197</v>
      </c>
      <c r="E357" t="s">
        <v>197</v>
      </c>
      <c r="F357" t="s">
        <v>197</v>
      </c>
      <c r="G357" t="s">
        <v>197</v>
      </c>
      <c r="H357" t="s">
        <v>197</v>
      </c>
      <c r="I357" t="s">
        <v>197</v>
      </c>
      <c r="J357" t="s">
        <v>197</v>
      </c>
      <c r="K357" t="s">
        <v>561</v>
      </c>
    </row>
    <row r="358" spans="1:24">
      <c r="B358" t="s">
        <v>197</v>
      </c>
      <c r="C358" t="s">
        <v>197</v>
      </c>
      <c r="D358" t="s">
        <v>197</v>
      </c>
      <c r="E358" t="s">
        <v>197</v>
      </c>
      <c r="F358" t="s">
        <v>197</v>
      </c>
      <c r="G358" t="s">
        <v>197</v>
      </c>
      <c r="H358" t="s">
        <v>197</v>
      </c>
      <c r="I358" t="s">
        <v>197</v>
      </c>
      <c r="J358" t="s">
        <v>197</v>
      </c>
      <c r="K358" t="s">
        <v>562</v>
      </c>
    </row>
    <row r="359" spans="1:24">
      <c r="B359" t="s">
        <v>197</v>
      </c>
      <c r="C359" t="s">
        <v>197</v>
      </c>
      <c r="D359" t="s">
        <v>197</v>
      </c>
      <c r="E359" t="s">
        <v>197</v>
      </c>
      <c r="F359" t="s">
        <v>197</v>
      </c>
      <c r="G359" t="s">
        <v>197</v>
      </c>
      <c r="H359" t="s">
        <v>197</v>
      </c>
      <c r="I359" t="s">
        <v>197</v>
      </c>
      <c r="J359" t="s">
        <v>197</v>
      </c>
      <c r="K359" t="s">
        <v>563</v>
      </c>
    </row>
    <row r="360" spans="1:24">
      <c r="B360" t="s">
        <v>197</v>
      </c>
      <c r="C360" t="s">
        <v>197</v>
      </c>
      <c r="D360" t="s">
        <v>197</v>
      </c>
      <c r="E360" t="s">
        <v>197</v>
      </c>
      <c r="F360" t="s">
        <v>197</v>
      </c>
      <c r="G360" t="s">
        <v>197</v>
      </c>
      <c r="H360" t="s">
        <v>197</v>
      </c>
      <c r="I360" t="s">
        <v>197</v>
      </c>
      <c r="J360" t="s">
        <v>197</v>
      </c>
      <c r="K360" t="s">
        <v>564</v>
      </c>
    </row>
    <row r="361" spans="1:24">
      <c r="B361" t="s">
        <v>197</v>
      </c>
      <c r="C361" t="s">
        <v>197</v>
      </c>
      <c r="D361" t="s">
        <v>197</v>
      </c>
      <c r="E361" t="s">
        <v>197</v>
      </c>
      <c r="F361" t="s">
        <v>197</v>
      </c>
      <c r="G361" t="s">
        <v>197</v>
      </c>
      <c r="H361" t="s">
        <v>197</v>
      </c>
      <c r="I361" t="s">
        <v>197</v>
      </c>
      <c r="J361" t="s">
        <v>197</v>
      </c>
      <c r="K361" t="s">
        <v>565</v>
      </c>
    </row>
    <row r="362" spans="1:24">
      <c r="B362" t="s">
        <v>197</v>
      </c>
      <c r="C362" t="s">
        <v>197</v>
      </c>
      <c r="D362" t="s">
        <v>197</v>
      </c>
      <c r="E362" t="s">
        <v>197</v>
      </c>
      <c r="F362" t="s">
        <v>197</v>
      </c>
      <c r="G362" t="s">
        <v>197</v>
      </c>
      <c r="H362" t="s">
        <v>197</v>
      </c>
      <c r="I362" t="s">
        <v>197</v>
      </c>
      <c r="J362" t="s">
        <v>197</v>
      </c>
      <c r="K362" t="s">
        <v>566</v>
      </c>
    </row>
    <row r="363" spans="1:24">
      <c r="B363" t="s">
        <v>197</v>
      </c>
      <c r="C363" t="s">
        <v>197</v>
      </c>
      <c r="D363" t="s">
        <v>197</v>
      </c>
      <c r="E363" t="s">
        <v>197</v>
      </c>
      <c r="F363" t="s">
        <v>197</v>
      </c>
      <c r="G363" t="s">
        <v>197</v>
      </c>
      <c r="H363" t="s">
        <v>197</v>
      </c>
      <c r="I363" t="s">
        <v>197</v>
      </c>
      <c r="J363" t="s">
        <v>197</v>
      </c>
      <c r="K363" t="s">
        <v>567</v>
      </c>
    </row>
    <row r="364" spans="1:24">
      <c r="A364" t="s">
        <v>700</v>
      </c>
      <c r="K364" t="s">
        <v>701</v>
      </c>
      <c r="W364" t="s">
        <v>171</v>
      </c>
      <c r="X364" t="str">
        <f>A364</f>
        <v>info_char_dml_batch2_pk_irp1</v>
      </c>
    </row>
    <row r="365" spans="1:24">
      <c r="B365" t="s">
        <v>196</v>
      </c>
      <c r="C365" t="s">
        <v>197</v>
      </c>
      <c r="D365" t="s">
        <v>197</v>
      </c>
      <c r="E365" t="s">
        <v>197</v>
      </c>
      <c r="F365" t="s">
        <v>197</v>
      </c>
      <c r="G365" t="s">
        <v>197</v>
      </c>
      <c r="H365" t="s">
        <v>197</v>
      </c>
      <c r="I365" t="s">
        <v>702</v>
      </c>
      <c r="J365" t="s">
        <v>199</v>
      </c>
      <c r="K365" t="s">
        <v>200</v>
      </c>
    </row>
    <row r="366" spans="1:24">
      <c r="B366" t="s">
        <v>197</v>
      </c>
      <c r="C366" t="s">
        <v>197</v>
      </c>
      <c r="D366" t="s">
        <v>197</v>
      </c>
      <c r="E366" t="s">
        <v>197</v>
      </c>
      <c r="F366" t="s">
        <v>197</v>
      </c>
      <c r="G366" t="s">
        <v>197</v>
      </c>
      <c r="H366" t="s">
        <v>197</v>
      </c>
      <c r="I366" t="s">
        <v>197</v>
      </c>
      <c r="J366" t="s">
        <v>197</v>
      </c>
      <c r="K366" t="s">
        <v>622</v>
      </c>
    </row>
    <row r="367" spans="1:24">
      <c r="B367" t="s">
        <v>197</v>
      </c>
      <c r="C367" t="s">
        <v>197</v>
      </c>
      <c r="D367" t="s">
        <v>197</v>
      </c>
      <c r="E367" t="s">
        <v>197</v>
      </c>
      <c r="F367" t="s">
        <v>197</v>
      </c>
      <c r="G367" t="s">
        <v>197</v>
      </c>
      <c r="H367" t="s">
        <v>197</v>
      </c>
      <c r="I367" t="s">
        <v>197</v>
      </c>
      <c r="J367" t="s">
        <v>197</v>
      </c>
      <c r="K367" t="s">
        <v>623</v>
      </c>
    </row>
    <row r="368" spans="1:24">
      <c r="B368" t="s">
        <v>197</v>
      </c>
      <c r="C368" t="s">
        <v>197</v>
      </c>
      <c r="D368" t="s">
        <v>197</v>
      </c>
      <c r="E368" t="s">
        <v>197</v>
      </c>
      <c r="F368" t="s">
        <v>197</v>
      </c>
      <c r="G368" t="s">
        <v>197</v>
      </c>
      <c r="H368" t="s">
        <v>197</v>
      </c>
      <c r="I368" t="s">
        <v>197</v>
      </c>
      <c r="J368" t="s">
        <v>197</v>
      </c>
      <c r="K368" t="s">
        <v>624</v>
      </c>
    </row>
    <row r="369" spans="1:24">
      <c r="K369" t="s">
        <v>443</v>
      </c>
    </row>
    <row r="370" spans="1:24">
      <c r="A370" t="s">
        <v>703</v>
      </c>
      <c r="K370" t="s">
        <v>704</v>
      </c>
      <c r="W370" s="1" t="str">
        <f>HYPERLINK("#2026042000hbase2!AG2","NO 源备存在差异，共4个")</f>
        <v>NO 源备存在差异，共4个</v>
      </c>
      <c r="X370" t="str">
        <f>A370</f>
        <v>info_hierarchyid_dml_single_pk_irp</v>
      </c>
    </row>
    <row r="371" spans="1:24">
      <c r="B371" t="s">
        <v>196</v>
      </c>
      <c r="C371" t="s">
        <v>197</v>
      </c>
      <c r="D371" t="s">
        <v>197</v>
      </c>
      <c r="E371" t="s">
        <v>197</v>
      </c>
      <c r="F371" t="s">
        <v>197</v>
      </c>
      <c r="G371" t="s">
        <v>197</v>
      </c>
      <c r="H371" t="s">
        <v>197</v>
      </c>
      <c r="I371" t="s">
        <v>705</v>
      </c>
      <c r="J371" t="s">
        <v>199</v>
      </c>
      <c r="K371" t="s">
        <v>200</v>
      </c>
    </row>
    <row r="372" spans="1:24">
      <c r="B372" t="s">
        <v>197</v>
      </c>
      <c r="C372" t="s">
        <v>197</v>
      </c>
      <c r="D372" t="s">
        <v>197</v>
      </c>
      <c r="E372" t="s">
        <v>197</v>
      </c>
      <c r="F372" t="s">
        <v>197</v>
      </c>
      <c r="G372" t="s">
        <v>197</v>
      </c>
      <c r="H372" t="s">
        <v>197</v>
      </c>
      <c r="I372" t="s">
        <v>197</v>
      </c>
      <c r="J372" t="s">
        <v>197</v>
      </c>
      <c r="K372" t="s">
        <v>706</v>
      </c>
    </row>
    <row r="373" spans="1:24">
      <c r="A373" t="s">
        <v>707</v>
      </c>
      <c r="K373" t="s">
        <v>708</v>
      </c>
      <c r="W373" t="s">
        <v>171</v>
      </c>
      <c r="X373" t="str">
        <f>A373</f>
        <v>info_datetime2_dml_batch1_pk_urp1</v>
      </c>
    </row>
    <row r="374" spans="1:24">
      <c r="B374" t="s">
        <v>196</v>
      </c>
      <c r="C374" t="s">
        <v>197</v>
      </c>
      <c r="D374" t="s">
        <v>197</v>
      </c>
      <c r="E374" t="s">
        <v>197</v>
      </c>
      <c r="F374" t="s">
        <v>197</v>
      </c>
      <c r="G374" t="s">
        <v>197</v>
      </c>
      <c r="H374" t="s">
        <v>197</v>
      </c>
      <c r="I374" t="s">
        <v>709</v>
      </c>
      <c r="J374" t="s">
        <v>199</v>
      </c>
      <c r="K374" t="s">
        <v>200</v>
      </c>
    </row>
    <row r="375" spans="1:24">
      <c r="B375" t="s">
        <v>197</v>
      </c>
      <c r="C375" t="s">
        <v>197</v>
      </c>
      <c r="D375" t="s">
        <v>197</v>
      </c>
      <c r="E375" t="s">
        <v>197</v>
      </c>
      <c r="F375" t="s">
        <v>197</v>
      </c>
      <c r="G375" t="s">
        <v>197</v>
      </c>
      <c r="H375" t="s">
        <v>197</v>
      </c>
      <c r="I375" t="s">
        <v>197</v>
      </c>
      <c r="J375" t="s">
        <v>197</v>
      </c>
      <c r="K375" t="s">
        <v>667</v>
      </c>
    </row>
    <row r="376" spans="1:24">
      <c r="B376" t="s">
        <v>197</v>
      </c>
      <c r="C376" t="s">
        <v>197</v>
      </c>
      <c r="D376" t="s">
        <v>197</v>
      </c>
      <c r="E376" t="s">
        <v>197</v>
      </c>
      <c r="F376" t="s">
        <v>197</v>
      </c>
      <c r="G376" t="s">
        <v>197</v>
      </c>
      <c r="H376" t="s">
        <v>197</v>
      </c>
      <c r="I376" t="s">
        <v>197</v>
      </c>
      <c r="J376" t="s">
        <v>197</v>
      </c>
      <c r="K376" t="s">
        <v>668</v>
      </c>
    </row>
    <row r="377" spans="1:24">
      <c r="B377" t="s">
        <v>197</v>
      </c>
      <c r="C377" t="s">
        <v>197</v>
      </c>
      <c r="D377" t="s">
        <v>197</v>
      </c>
      <c r="E377" t="s">
        <v>197</v>
      </c>
      <c r="F377" t="s">
        <v>197</v>
      </c>
      <c r="G377" t="s">
        <v>197</v>
      </c>
      <c r="H377" t="s">
        <v>197</v>
      </c>
      <c r="I377" t="s">
        <v>197</v>
      </c>
      <c r="J377" t="s">
        <v>197</v>
      </c>
      <c r="K377" t="s">
        <v>669</v>
      </c>
    </row>
    <row r="378" spans="1:24">
      <c r="B378" t="s">
        <v>197</v>
      </c>
      <c r="C378" t="s">
        <v>197</v>
      </c>
      <c r="D378" t="s">
        <v>197</v>
      </c>
      <c r="E378" t="s">
        <v>197</v>
      </c>
      <c r="F378" t="s">
        <v>197</v>
      </c>
      <c r="G378" t="s">
        <v>197</v>
      </c>
      <c r="H378" t="s">
        <v>197</v>
      </c>
      <c r="I378" t="s">
        <v>197</v>
      </c>
      <c r="J378" t="s">
        <v>197</v>
      </c>
      <c r="K378" t="s">
        <v>670</v>
      </c>
    </row>
    <row r="379" spans="1:24">
      <c r="B379" t="s">
        <v>197</v>
      </c>
      <c r="C379" t="s">
        <v>197</v>
      </c>
      <c r="D379" t="s">
        <v>197</v>
      </c>
      <c r="E379" t="s">
        <v>197</v>
      </c>
      <c r="F379" t="s">
        <v>197</v>
      </c>
      <c r="G379" t="s">
        <v>197</v>
      </c>
      <c r="H379" t="s">
        <v>197</v>
      </c>
      <c r="I379" t="s">
        <v>197</v>
      </c>
      <c r="J379" t="s">
        <v>197</v>
      </c>
      <c r="K379" t="s">
        <v>671</v>
      </c>
    </row>
    <row r="380" spans="1:24">
      <c r="B380" t="s">
        <v>197</v>
      </c>
      <c r="C380" t="s">
        <v>197</v>
      </c>
      <c r="D380" t="s">
        <v>197</v>
      </c>
      <c r="E380" t="s">
        <v>197</v>
      </c>
      <c r="F380" t="s">
        <v>197</v>
      </c>
      <c r="G380" t="s">
        <v>197</v>
      </c>
      <c r="H380" t="s">
        <v>197</v>
      </c>
      <c r="I380" t="s">
        <v>197</v>
      </c>
      <c r="J380" t="s">
        <v>197</v>
      </c>
      <c r="K380" t="s">
        <v>672</v>
      </c>
    </row>
    <row r="381" spans="1:24">
      <c r="B381" t="s">
        <v>197</v>
      </c>
      <c r="C381" t="s">
        <v>197</v>
      </c>
      <c r="D381" t="s">
        <v>197</v>
      </c>
      <c r="E381" t="s">
        <v>197</v>
      </c>
      <c r="F381" t="s">
        <v>197</v>
      </c>
      <c r="G381" t="s">
        <v>197</v>
      </c>
      <c r="H381" t="s">
        <v>197</v>
      </c>
      <c r="I381" t="s">
        <v>197</v>
      </c>
      <c r="J381" t="s">
        <v>197</v>
      </c>
      <c r="K381" t="s">
        <v>673</v>
      </c>
    </row>
    <row r="382" spans="1:24">
      <c r="B382" t="s">
        <v>197</v>
      </c>
      <c r="C382" t="s">
        <v>197</v>
      </c>
      <c r="D382" t="s">
        <v>197</v>
      </c>
      <c r="E382" t="s">
        <v>197</v>
      </c>
      <c r="F382" t="s">
        <v>197</v>
      </c>
      <c r="G382" t="s">
        <v>197</v>
      </c>
      <c r="H382" t="s">
        <v>197</v>
      </c>
      <c r="I382" t="s">
        <v>197</v>
      </c>
      <c r="J382" t="s">
        <v>197</v>
      </c>
      <c r="K382" t="s">
        <v>674</v>
      </c>
    </row>
    <row r="383" spans="1:24">
      <c r="A383" t="s">
        <v>710</v>
      </c>
      <c r="K383" t="s">
        <v>711</v>
      </c>
      <c r="W383" t="s">
        <v>171</v>
      </c>
      <c r="X383" t="str">
        <f>A383</f>
        <v>info_char_dml_batch2_pk_irp2</v>
      </c>
    </row>
    <row r="384" spans="1:24">
      <c r="B384" t="s">
        <v>196</v>
      </c>
      <c r="C384" t="s">
        <v>197</v>
      </c>
      <c r="D384" t="s">
        <v>197</v>
      </c>
      <c r="E384" t="s">
        <v>197</v>
      </c>
      <c r="F384" t="s">
        <v>197</v>
      </c>
      <c r="G384" t="s">
        <v>197</v>
      </c>
      <c r="H384" t="s">
        <v>197</v>
      </c>
      <c r="I384" t="s">
        <v>712</v>
      </c>
      <c r="J384" t="s">
        <v>199</v>
      </c>
      <c r="K384" t="s">
        <v>200</v>
      </c>
    </row>
    <row r="385" spans="1:24">
      <c r="B385" t="s">
        <v>197</v>
      </c>
      <c r="C385" t="s">
        <v>197</v>
      </c>
      <c r="D385" t="s">
        <v>197</v>
      </c>
      <c r="E385" t="s">
        <v>197</v>
      </c>
      <c r="F385" t="s">
        <v>197</v>
      </c>
      <c r="G385" t="s">
        <v>197</v>
      </c>
      <c r="H385" t="s">
        <v>197</v>
      </c>
      <c r="I385" t="s">
        <v>197</v>
      </c>
      <c r="J385" t="s">
        <v>197</v>
      </c>
      <c r="K385" t="s">
        <v>622</v>
      </c>
    </row>
    <row r="386" spans="1:24">
      <c r="B386" t="s">
        <v>197</v>
      </c>
      <c r="C386" t="s">
        <v>197</v>
      </c>
      <c r="D386" t="s">
        <v>197</v>
      </c>
      <c r="E386" t="s">
        <v>197</v>
      </c>
      <c r="F386" t="s">
        <v>197</v>
      </c>
      <c r="G386" t="s">
        <v>197</v>
      </c>
      <c r="H386" t="s">
        <v>197</v>
      </c>
      <c r="I386" t="s">
        <v>197</v>
      </c>
      <c r="J386" t="s">
        <v>197</v>
      </c>
      <c r="K386" t="s">
        <v>623</v>
      </c>
    </row>
    <row r="387" spans="1:24">
      <c r="B387" t="s">
        <v>197</v>
      </c>
      <c r="C387" t="s">
        <v>197</v>
      </c>
      <c r="D387" t="s">
        <v>197</v>
      </c>
      <c r="E387" t="s">
        <v>197</v>
      </c>
      <c r="F387" t="s">
        <v>197</v>
      </c>
      <c r="G387" t="s">
        <v>197</v>
      </c>
      <c r="H387" t="s">
        <v>197</v>
      </c>
      <c r="I387" t="s">
        <v>197</v>
      </c>
      <c r="J387" t="s">
        <v>197</v>
      </c>
      <c r="K387" t="s">
        <v>624</v>
      </c>
    </row>
    <row r="388" spans="1:24">
      <c r="K388" t="s">
        <v>443</v>
      </c>
    </row>
    <row r="389" spans="1:24">
      <c r="A389" t="s">
        <v>716</v>
      </c>
      <c r="K389" t="s">
        <v>717</v>
      </c>
      <c r="W389" t="s">
        <v>171</v>
      </c>
      <c r="X389" t="str">
        <f>A389</f>
        <v>info_date_dml_single_pk_urp</v>
      </c>
    </row>
    <row r="390" spans="1:24">
      <c r="B390" t="s">
        <v>196</v>
      </c>
      <c r="C390" t="s">
        <v>197</v>
      </c>
      <c r="D390" t="s">
        <v>197</v>
      </c>
      <c r="E390" t="s">
        <v>197</v>
      </c>
      <c r="F390" t="s">
        <v>197</v>
      </c>
      <c r="G390" t="s">
        <v>197</v>
      </c>
      <c r="H390" t="s">
        <v>197</v>
      </c>
      <c r="I390" t="s">
        <v>718</v>
      </c>
      <c r="J390" t="s">
        <v>199</v>
      </c>
      <c r="K390" t="s">
        <v>200</v>
      </c>
    </row>
    <row r="391" spans="1:24">
      <c r="B391" t="s">
        <v>197</v>
      </c>
      <c r="C391" t="s">
        <v>197</v>
      </c>
      <c r="D391" t="s">
        <v>197</v>
      </c>
      <c r="E391" t="s">
        <v>197</v>
      </c>
      <c r="F391" t="s">
        <v>197</v>
      </c>
      <c r="G391" t="s">
        <v>197</v>
      </c>
      <c r="H391" t="s">
        <v>197</v>
      </c>
      <c r="I391" t="s">
        <v>197</v>
      </c>
      <c r="J391" t="s">
        <v>197</v>
      </c>
      <c r="K391" t="s">
        <v>678</v>
      </c>
    </row>
    <row r="392" spans="1:24">
      <c r="A392" t="s">
        <v>713</v>
      </c>
      <c r="K392" t="s">
        <v>714</v>
      </c>
      <c r="W392" t="s">
        <v>171</v>
      </c>
      <c r="X392" t="str">
        <f>A392</f>
        <v>info_nchar_dml_batch1_pk_irp2</v>
      </c>
    </row>
    <row r="393" spans="1:24">
      <c r="B393" t="s">
        <v>196</v>
      </c>
      <c r="C393" t="s">
        <v>197</v>
      </c>
      <c r="D393" t="s">
        <v>197</v>
      </c>
      <c r="E393" t="s">
        <v>197</v>
      </c>
      <c r="F393" t="s">
        <v>197</v>
      </c>
      <c r="G393" t="s">
        <v>197</v>
      </c>
      <c r="H393" t="s">
        <v>197</v>
      </c>
      <c r="I393" t="s">
        <v>715</v>
      </c>
      <c r="J393" t="s">
        <v>199</v>
      </c>
      <c r="K393" t="s">
        <v>200</v>
      </c>
    </row>
    <row r="394" spans="1:24">
      <c r="B394" t="s">
        <v>197</v>
      </c>
      <c r="C394" t="s">
        <v>197</v>
      </c>
      <c r="D394" t="s">
        <v>197</v>
      </c>
      <c r="E394" t="s">
        <v>197</v>
      </c>
      <c r="F394" t="s">
        <v>197</v>
      </c>
      <c r="G394" t="s">
        <v>197</v>
      </c>
      <c r="H394" t="s">
        <v>197</v>
      </c>
      <c r="I394" t="s">
        <v>197</v>
      </c>
      <c r="J394" t="s">
        <v>197</v>
      </c>
      <c r="K394" t="s">
        <v>514</v>
      </c>
    </row>
    <row r="395" spans="1:24">
      <c r="B395" t="s">
        <v>197</v>
      </c>
      <c r="C395" t="s">
        <v>197</v>
      </c>
      <c r="D395" t="s">
        <v>197</v>
      </c>
      <c r="E395" t="s">
        <v>197</v>
      </c>
      <c r="F395" t="s">
        <v>197</v>
      </c>
      <c r="G395" t="s">
        <v>197</v>
      </c>
      <c r="H395" t="s">
        <v>197</v>
      </c>
      <c r="I395" t="s">
        <v>197</v>
      </c>
      <c r="J395" t="s">
        <v>197</v>
      </c>
      <c r="K395" t="s">
        <v>516</v>
      </c>
    </row>
    <row r="396" spans="1:24">
      <c r="B396" t="s">
        <v>197</v>
      </c>
      <c r="C396" t="s">
        <v>197</v>
      </c>
      <c r="D396" t="s">
        <v>197</v>
      </c>
      <c r="E396" t="s">
        <v>197</v>
      </c>
      <c r="F396" t="s">
        <v>197</v>
      </c>
      <c r="G396" t="s">
        <v>197</v>
      </c>
      <c r="H396" t="s">
        <v>197</v>
      </c>
      <c r="I396" t="s">
        <v>197</v>
      </c>
      <c r="J396" t="s">
        <v>197</v>
      </c>
      <c r="K396" t="s">
        <v>612</v>
      </c>
    </row>
    <row r="397" spans="1:24">
      <c r="A397" t="s">
        <v>719</v>
      </c>
      <c r="K397" t="s">
        <v>720</v>
      </c>
      <c r="W397" t="s">
        <v>171</v>
      </c>
      <c r="X397" t="str">
        <f>A397</f>
        <v>info_datetime2_dml_batch1_pk_urp2</v>
      </c>
    </row>
    <row r="398" spans="1:24">
      <c r="B398" t="s">
        <v>196</v>
      </c>
      <c r="C398" t="s">
        <v>197</v>
      </c>
      <c r="D398" t="s">
        <v>197</v>
      </c>
      <c r="E398" t="s">
        <v>197</v>
      </c>
      <c r="F398" t="s">
        <v>197</v>
      </c>
      <c r="G398" t="s">
        <v>197</v>
      </c>
      <c r="H398" t="s">
        <v>197</v>
      </c>
      <c r="I398" t="s">
        <v>721</v>
      </c>
      <c r="J398" t="s">
        <v>199</v>
      </c>
      <c r="K398" t="s">
        <v>200</v>
      </c>
    </row>
    <row r="399" spans="1:24">
      <c r="B399" t="s">
        <v>197</v>
      </c>
      <c r="C399" t="s">
        <v>197</v>
      </c>
      <c r="D399" t="s">
        <v>197</v>
      </c>
      <c r="E399" t="s">
        <v>197</v>
      </c>
      <c r="F399" t="s">
        <v>197</v>
      </c>
      <c r="G399" t="s">
        <v>197</v>
      </c>
      <c r="H399" t="s">
        <v>197</v>
      </c>
      <c r="I399" t="s">
        <v>197</v>
      </c>
      <c r="J399" t="s">
        <v>197</v>
      </c>
      <c r="K399" t="s">
        <v>667</v>
      </c>
    </row>
    <row r="400" spans="1:24">
      <c r="B400" t="s">
        <v>197</v>
      </c>
      <c r="C400" t="s">
        <v>197</v>
      </c>
      <c r="D400" t="s">
        <v>197</v>
      </c>
      <c r="E400" t="s">
        <v>197</v>
      </c>
      <c r="F400" t="s">
        <v>197</v>
      </c>
      <c r="G400" t="s">
        <v>197</v>
      </c>
      <c r="H400" t="s">
        <v>197</v>
      </c>
      <c r="I400" t="s">
        <v>197</v>
      </c>
      <c r="J400" t="s">
        <v>197</v>
      </c>
      <c r="K400" t="s">
        <v>668</v>
      </c>
    </row>
    <row r="401" spans="1:24">
      <c r="B401" t="s">
        <v>197</v>
      </c>
      <c r="C401" t="s">
        <v>197</v>
      </c>
      <c r="D401" t="s">
        <v>197</v>
      </c>
      <c r="E401" t="s">
        <v>197</v>
      </c>
      <c r="F401" t="s">
        <v>197</v>
      </c>
      <c r="G401" t="s">
        <v>197</v>
      </c>
      <c r="H401" t="s">
        <v>197</v>
      </c>
      <c r="I401" t="s">
        <v>197</v>
      </c>
      <c r="J401" t="s">
        <v>197</v>
      </c>
      <c r="K401" t="s">
        <v>669</v>
      </c>
    </row>
    <row r="402" spans="1:24">
      <c r="B402" t="s">
        <v>197</v>
      </c>
      <c r="C402" t="s">
        <v>197</v>
      </c>
      <c r="D402" t="s">
        <v>197</v>
      </c>
      <c r="E402" t="s">
        <v>197</v>
      </c>
      <c r="F402" t="s">
        <v>197</v>
      </c>
      <c r="G402" t="s">
        <v>197</v>
      </c>
      <c r="H402" t="s">
        <v>197</v>
      </c>
      <c r="I402" t="s">
        <v>197</v>
      </c>
      <c r="J402" t="s">
        <v>197</v>
      </c>
      <c r="K402" t="s">
        <v>670</v>
      </c>
    </row>
    <row r="403" spans="1:24">
      <c r="B403" t="s">
        <v>197</v>
      </c>
      <c r="C403" t="s">
        <v>197</v>
      </c>
      <c r="D403" t="s">
        <v>197</v>
      </c>
      <c r="E403" t="s">
        <v>197</v>
      </c>
      <c r="F403" t="s">
        <v>197</v>
      </c>
      <c r="G403" t="s">
        <v>197</v>
      </c>
      <c r="H403" t="s">
        <v>197</v>
      </c>
      <c r="I403" t="s">
        <v>197</v>
      </c>
      <c r="J403" t="s">
        <v>197</v>
      </c>
      <c r="K403" t="s">
        <v>671</v>
      </c>
    </row>
    <row r="404" spans="1:24">
      <c r="B404" t="s">
        <v>197</v>
      </c>
      <c r="C404" t="s">
        <v>197</v>
      </c>
      <c r="D404" t="s">
        <v>197</v>
      </c>
      <c r="E404" t="s">
        <v>197</v>
      </c>
      <c r="F404" t="s">
        <v>197</v>
      </c>
      <c r="G404" t="s">
        <v>197</v>
      </c>
      <c r="H404" t="s">
        <v>197</v>
      </c>
      <c r="I404" t="s">
        <v>197</v>
      </c>
      <c r="J404" t="s">
        <v>197</v>
      </c>
      <c r="K404" t="s">
        <v>672</v>
      </c>
    </row>
    <row r="405" spans="1:24">
      <c r="B405" t="s">
        <v>197</v>
      </c>
      <c r="C405" t="s">
        <v>197</v>
      </c>
      <c r="D405" t="s">
        <v>197</v>
      </c>
      <c r="E405" t="s">
        <v>197</v>
      </c>
      <c r="F405" t="s">
        <v>197</v>
      </c>
      <c r="G405" t="s">
        <v>197</v>
      </c>
      <c r="H405" t="s">
        <v>197</v>
      </c>
      <c r="I405" t="s">
        <v>197</v>
      </c>
      <c r="J405" t="s">
        <v>197</v>
      </c>
      <c r="K405" t="s">
        <v>673</v>
      </c>
    </row>
    <row r="406" spans="1:24">
      <c r="B406" t="s">
        <v>197</v>
      </c>
      <c r="C406" t="s">
        <v>197</v>
      </c>
      <c r="D406" t="s">
        <v>197</v>
      </c>
      <c r="E406" t="s">
        <v>197</v>
      </c>
      <c r="F406" t="s">
        <v>197</v>
      </c>
      <c r="G406" t="s">
        <v>197</v>
      </c>
      <c r="H406" t="s">
        <v>197</v>
      </c>
      <c r="I406" t="s">
        <v>197</v>
      </c>
      <c r="J406" t="s">
        <v>197</v>
      </c>
      <c r="K406" t="s">
        <v>674</v>
      </c>
    </row>
    <row r="407" spans="1:24">
      <c r="A407" t="s">
        <v>722</v>
      </c>
      <c r="K407" t="s">
        <v>723</v>
      </c>
      <c r="W407" t="s">
        <v>171</v>
      </c>
      <c r="X407" t="str">
        <f>A407</f>
        <v>info_varcharmax_dml_batch1_pk_irp1</v>
      </c>
    </row>
    <row r="408" spans="1:24">
      <c r="B408" t="s">
        <v>196</v>
      </c>
      <c r="C408" t="s">
        <v>197</v>
      </c>
      <c r="D408" t="s">
        <v>197</v>
      </c>
      <c r="E408" t="s">
        <v>197</v>
      </c>
      <c r="F408" t="s">
        <v>197</v>
      </c>
      <c r="G408" t="s">
        <v>197</v>
      </c>
      <c r="H408" t="s">
        <v>197</v>
      </c>
      <c r="I408" t="s">
        <v>724</v>
      </c>
      <c r="J408" t="s">
        <v>199</v>
      </c>
      <c r="K408" t="s">
        <v>200</v>
      </c>
    </row>
    <row r="409" spans="1:24">
      <c r="B409" t="s">
        <v>197</v>
      </c>
      <c r="C409" t="s">
        <v>197</v>
      </c>
      <c r="D409" t="s">
        <v>197</v>
      </c>
      <c r="E409" t="s">
        <v>197</v>
      </c>
      <c r="F409" t="s">
        <v>197</v>
      </c>
      <c r="G409" t="s">
        <v>197</v>
      </c>
      <c r="H409" t="s">
        <v>197</v>
      </c>
      <c r="I409" t="s">
        <v>197</v>
      </c>
      <c r="J409" t="s">
        <v>197</v>
      </c>
      <c r="K409" t="s">
        <v>725</v>
      </c>
    </row>
    <row r="410" spans="1:24">
      <c r="B410" t="s">
        <v>197</v>
      </c>
      <c r="C410" t="s">
        <v>197</v>
      </c>
      <c r="D410" t="s">
        <v>197</v>
      </c>
      <c r="E410" t="s">
        <v>197</v>
      </c>
      <c r="F410" t="s">
        <v>197</v>
      </c>
      <c r="G410" t="s">
        <v>197</v>
      </c>
      <c r="H410" t="s">
        <v>197</v>
      </c>
      <c r="I410" t="s">
        <v>197</v>
      </c>
      <c r="J410" t="s">
        <v>197</v>
      </c>
      <c r="K410" t="s">
        <v>726</v>
      </c>
    </row>
    <row r="411" spans="1:24">
      <c r="K411" t="s">
        <v>443</v>
      </c>
    </row>
    <row r="412" spans="1:24">
      <c r="A412" t="s">
        <v>731</v>
      </c>
      <c r="K412" t="s">
        <v>732</v>
      </c>
      <c r="W412" t="s">
        <v>171</v>
      </c>
      <c r="X412" t="str">
        <f>A412</f>
        <v>info_datetime2_dml_batch1_pk_drp1</v>
      </c>
    </row>
    <row r="413" spans="1:24">
      <c r="B413" t="s">
        <v>196</v>
      </c>
      <c r="C413" t="s">
        <v>197</v>
      </c>
      <c r="D413" t="s">
        <v>197</v>
      </c>
      <c r="E413" t="s">
        <v>197</v>
      </c>
      <c r="F413" t="s">
        <v>197</v>
      </c>
      <c r="G413" t="s">
        <v>197</v>
      </c>
      <c r="H413" t="s">
        <v>197</v>
      </c>
      <c r="I413" t="s">
        <v>733</v>
      </c>
      <c r="J413" t="s">
        <v>199</v>
      </c>
      <c r="K413" t="s">
        <v>200</v>
      </c>
    </row>
    <row r="414" spans="1:24">
      <c r="B414" t="s">
        <v>197</v>
      </c>
      <c r="C414" t="s">
        <v>197</v>
      </c>
      <c r="D414" t="s">
        <v>197</v>
      </c>
      <c r="E414" t="s">
        <v>197</v>
      </c>
      <c r="F414" t="s">
        <v>197</v>
      </c>
      <c r="G414" t="s">
        <v>197</v>
      </c>
      <c r="H414" t="s">
        <v>197</v>
      </c>
      <c r="I414" t="s">
        <v>197</v>
      </c>
      <c r="J414" t="s">
        <v>197</v>
      </c>
      <c r="K414" t="s">
        <v>667</v>
      </c>
    </row>
    <row r="415" spans="1:24">
      <c r="B415" t="s">
        <v>197</v>
      </c>
      <c r="C415" t="s">
        <v>197</v>
      </c>
      <c r="D415" t="s">
        <v>197</v>
      </c>
      <c r="E415" t="s">
        <v>197</v>
      </c>
      <c r="F415" t="s">
        <v>197</v>
      </c>
      <c r="G415" t="s">
        <v>197</v>
      </c>
      <c r="H415" t="s">
        <v>197</v>
      </c>
      <c r="I415" t="s">
        <v>197</v>
      </c>
      <c r="J415" t="s">
        <v>197</v>
      </c>
      <c r="K415" t="s">
        <v>668</v>
      </c>
    </row>
    <row r="416" spans="1:24">
      <c r="B416" t="s">
        <v>197</v>
      </c>
      <c r="C416" t="s">
        <v>197</v>
      </c>
      <c r="D416" t="s">
        <v>197</v>
      </c>
      <c r="E416" t="s">
        <v>197</v>
      </c>
      <c r="F416" t="s">
        <v>197</v>
      </c>
      <c r="G416" t="s">
        <v>197</v>
      </c>
      <c r="H416" t="s">
        <v>197</v>
      </c>
      <c r="I416" t="s">
        <v>197</v>
      </c>
      <c r="J416" t="s">
        <v>197</v>
      </c>
      <c r="K416" t="s">
        <v>669</v>
      </c>
    </row>
    <row r="417" spans="1:24">
      <c r="B417" t="s">
        <v>197</v>
      </c>
      <c r="C417" t="s">
        <v>197</v>
      </c>
      <c r="D417" t="s">
        <v>197</v>
      </c>
      <c r="E417" t="s">
        <v>197</v>
      </c>
      <c r="F417" t="s">
        <v>197</v>
      </c>
      <c r="G417" t="s">
        <v>197</v>
      </c>
      <c r="H417" t="s">
        <v>197</v>
      </c>
      <c r="I417" t="s">
        <v>197</v>
      </c>
      <c r="J417" t="s">
        <v>197</v>
      </c>
      <c r="K417" t="s">
        <v>670</v>
      </c>
    </row>
    <row r="418" spans="1:24">
      <c r="B418" t="s">
        <v>197</v>
      </c>
      <c r="C418" t="s">
        <v>197</v>
      </c>
      <c r="D418" t="s">
        <v>197</v>
      </c>
      <c r="E418" t="s">
        <v>197</v>
      </c>
      <c r="F418" t="s">
        <v>197</v>
      </c>
      <c r="G418" t="s">
        <v>197</v>
      </c>
      <c r="H418" t="s">
        <v>197</v>
      </c>
      <c r="I418" t="s">
        <v>197</v>
      </c>
      <c r="J418" t="s">
        <v>197</v>
      </c>
      <c r="K418" t="s">
        <v>671</v>
      </c>
    </row>
    <row r="419" spans="1:24">
      <c r="B419" t="s">
        <v>197</v>
      </c>
      <c r="C419" t="s">
        <v>197</v>
      </c>
      <c r="D419" t="s">
        <v>197</v>
      </c>
      <c r="E419" t="s">
        <v>197</v>
      </c>
      <c r="F419" t="s">
        <v>197</v>
      </c>
      <c r="G419" t="s">
        <v>197</v>
      </c>
      <c r="H419" t="s">
        <v>197</v>
      </c>
      <c r="I419" t="s">
        <v>197</v>
      </c>
      <c r="J419" t="s">
        <v>197</v>
      </c>
      <c r="K419" t="s">
        <v>672</v>
      </c>
    </row>
    <row r="420" spans="1:24">
      <c r="B420" t="s">
        <v>197</v>
      </c>
      <c r="C420" t="s">
        <v>197</v>
      </c>
      <c r="D420" t="s">
        <v>197</v>
      </c>
      <c r="E420" t="s">
        <v>197</v>
      </c>
      <c r="F420" t="s">
        <v>197</v>
      </c>
      <c r="G420" t="s">
        <v>197</v>
      </c>
      <c r="H420" t="s">
        <v>197</v>
      </c>
      <c r="I420" t="s">
        <v>197</v>
      </c>
      <c r="J420" t="s">
        <v>197</v>
      </c>
      <c r="K420" t="s">
        <v>673</v>
      </c>
    </row>
    <row r="421" spans="1:24">
      <c r="B421" t="s">
        <v>197</v>
      </c>
      <c r="C421" t="s">
        <v>197</v>
      </c>
      <c r="D421" t="s">
        <v>197</v>
      </c>
      <c r="E421" t="s">
        <v>197</v>
      </c>
      <c r="F421" t="s">
        <v>197</v>
      </c>
      <c r="G421" t="s">
        <v>197</v>
      </c>
      <c r="H421" t="s">
        <v>197</v>
      </c>
      <c r="I421" t="s">
        <v>197</v>
      </c>
      <c r="J421" t="s">
        <v>197</v>
      </c>
      <c r="K421" t="s">
        <v>674</v>
      </c>
    </row>
    <row r="422" spans="1:24">
      <c r="K422" t="s">
        <v>443</v>
      </c>
    </row>
    <row r="423" spans="1:24">
      <c r="A423" t="s">
        <v>734</v>
      </c>
      <c r="K423" t="s">
        <v>735</v>
      </c>
      <c r="W423" t="s">
        <v>171</v>
      </c>
      <c r="X423" t="str">
        <f>A423</f>
        <v>info_varcharmax_dml_batch1_pk_irp2</v>
      </c>
    </row>
    <row r="424" spans="1:24">
      <c r="B424" t="s">
        <v>196</v>
      </c>
      <c r="C424" t="s">
        <v>197</v>
      </c>
      <c r="D424" t="s">
        <v>197</v>
      </c>
      <c r="E424" t="s">
        <v>197</v>
      </c>
      <c r="F424" t="s">
        <v>197</v>
      </c>
      <c r="G424" t="s">
        <v>197</v>
      </c>
      <c r="H424" t="s">
        <v>197</v>
      </c>
      <c r="I424" t="s">
        <v>736</v>
      </c>
      <c r="J424" t="s">
        <v>199</v>
      </c>
      <c r="K424" t="s">
        <v>200</v>
      </c>
    </row>
    <row r="425" spans="1:24">
      <c r="B425" t="s">
        <v>197</v>
      </c>
      <c r="C425" t="s">
        <v>197</v>
      </c>
      <c r="D425" t="s">
        <v>197</v>
      </c>
      <c r="E425" t="s">
        <v>197</v>
      </c>
      <c r="F425" t="s">
        <v>197</v>
      </c>
      <c r="G425" t="s">
        <v>197</v>
      </c>
      <c r="H425" t="s">
        <v>197</v>
      </c>
      <c r="I425" t="s">
        <v>197</v>
      </c>
      <c r="J425" t="s">
        <v>197</v>
      </c>
      <c r="K425" t="s">
        <v>725</v>
      </c>
    </row>
    <row r="426" spans="1:24">
      <c r="B426" t="s">
        <v>197</v>
      </c>
      <c r="C426" t="s">
        <v>197</v>
      </c>
      <c r="D426" t="s">
        <v>197</v>
      </c>
      <c r="E426" t="s">
        <v>197</v>
      </c>
      <c r="F426" t="s">
        <v>197</v>
      </c>
      <c r="G426" t="s">
        <v>197</v>
      </c>
      <c r="H426" t="s">
        <v>197</v>
      </c>
      <c r="I426" t="s">
        <v>197</v>
      </c>
      <c r="J426" t="s">
        <v>197</v>
      </c>
      <c r="K426" t="s">
        <v>726</v>
      </c>
    </row>
    <row r="427" spans="1:24">
      <c r="K427" t="s">
        <v>443</v>
      </c>
    </row>
    <row r="428" spans="1:24">
      <c r="A428" t="s">
        <v>727</v>
      </c>
      <c r="K428" t="s">
        <v>728</v>
      </c>
      <c r="W428" t="s">
        <v>171</v>
      </c>
      <c r="X428" t="str">
        <f>A428</f>
        <v>info_nvarchar_dml_single_pk_irp</v>
      </c>
    </row>
    <row r="429" spans="1:24">
      <c r="B429" t="s">
        <v>196</v>
      </c>
      <c r="C429" t="s">
        <v>197</v>
      </c>
      <c r="D429" t="s">
        <v>197</v>
      </c>
      <c r="E429" t="s">
        <v>197</v>
      </c>
      <c r="F429" t="s">
        <v>197</v>
      </c>
      <c r="G429" t="s">
        <v>197</v>
      </c>
      <c r="H429" t="s">
        <v>197</v>
      </c>
      <c r="I429" t="s">
        <v>729</v>
      </c>
      <c r="J429" t="s">
        <v>199</v>
      </c>
      <c r="K429" t="s">
        <v>200</v>
      </c>
    </row>
    <row r="430" spans="1:24">
      <c r="B430" t="s">
        <v>197</v>
      </c>
      <c r="C430" t="s">
        <v>197</v>
      </c>
      <c r="D430" t="s">
        <v>197</v>
      </c>
      <c r="E430" t="s">
        <v>197</v>
      </c>
      <c r="F430" t="s">
        <v>197</v>
      </c>
      <c r="G430" t="s">
        <v>197</v>
      </c>
      <c r="H430" t="s">
        <v>197</v>
      </c>
      <c r="I430" t="s">
        <v>197</v>
      </c>
      <c r="J430" t="s">
        <v>197</v>
      </c>
      <c r="K430" t="s">
        <v>408</v>
      </c>
    </row>
    <row r="431" spans="1:24">
      <c r="B431" t="s">
        <v>197</v>
      </c>
      <c r="C431" t="s">
        <v>197</v>
      </c>
      <c r="D431" t="s">
        <v>197</v>
      </c>
      <c r="E431" t="s">
        <v>197</v>
      </c>
      <c r="F431" t="s">
        <v>197</v>
      </c>
      <c r="G431" t="s">
        <v>197</v>
      </c>
      <c r="H431" t="s">
        <v>197</v>
      </c>
      <c r="I431" t="s">
        <v>197</v>
      </c>
      <c r="J431" t="s">
        <v>197</v>
      </c>
      <c r="K431" t="s">
        <v>412</v>
      </c>
    </row>
    <row r="432" spans="1:24">
      <c r="B432" t="s">
        <v>197</v>
      </c>
      <c r="C432" t="s">
        <v>197</v>
      </c>
      <c r="D432" t="s">
        <v>197</v>
      </c>
      <c r="E432" t="s">
        <v>197</v>
      </c>
      <c r="F432" t="s">
        <v>197</v>
      </c>
      <c r="G432" t="s">
        <v>197</v>
      </c>
      <c r="H432" t="s">
        <v>197</v>
      </c>
      <c r="I432" t="s">
        <v>197</v>
      </c>
      <c r="J432" t="s">
        <v>197</v>
      </c>
      <c r="K432" t="s">
        <v>730</v>
      </c>
    </row>
    <row r="433" spans="1:24">
      <c r="A433" t="s">
        <v>737</v>
      </c>
      <c r="K433" t="s">
        <v>738</v>
      </c>
      <c r="W433" s="1" t="str">
        <f>HYPERLINK("#2026042000hbase2!AH2","NO 源备存在差异，共64个")</f>
        <v>NO 源备存在差异，共64个</v>
      </c>
      <c r="X433" t="str">
        <f>A433</f>
        <v>info_binary_dml_batch1_pk_irp2</v>
      </c>
    </row>
    <row r="434" spans="1:24">
      <c r="B434" t="s">
        <v>196</v>
      </c>
      <c r="C434" t="s">
        <v>197</v>
      </c>
      <c r="D434" t="s">
        <v>197</v>
      </c>
      <c r="E434" t="s">
        <v>197</v>
      </c>
      <c r="F434" t="s">
        <v>197</v>
      </c>
      <c r="G434" t="s">
        <v>197</v>
      </c>
      <c r="H434" t="s">
        <v>197</v>
      </c>
      <c r="I434" t="s">
        <v>739</v>
      </c>
      <c r="J434" t="s">
        <v>199</v>
      </c>
      <c r="K434" t="s">
        <v>200</v>
      </c>
    </row>
    <row r="435" spans="1:24">
      <c r="B435" t="s">
        <v>197</v>
      </c>
      <c r="C435" t="s">
        <v>197</v>
      </c>
      <c r="D435" t="s">
        <v>197</v>
      </c>
      <c r="E435" t="s">
        <v>197</v>
      </c>
      <c r="F435" t="s">
        <v>197</v>
      </c>
      <c r="G435" t="s">
        <v>197</v>
      </c>
      <c r="H435" t="s">
        <v>197</v>
      </c>
      <c r="I435" t="s">
        <v>197</v>
      </c>
      <c r="J435" t="s">
        <v>197</v>
      </c>
      <c r="K435" t="s">
        <v>691</v>
      </c>
    </row>
    <row r="436" spans="1:24">
      <c r="B436" t="s">
        <v>197</v>
      </c>
      <c r="C436" t="s">
        <v>197</v>
      </c>
      <c r="D436" t="s">
        <v>197</v>
      </c>
      <c r="E436" t="s">
        <v>197</v>
      </c>
      <c r="F436" t="s">
        <v>197</v>
      </c>
      <c r="G436" t="s">
        <v>197</v>
      </c>
      <c r="H436" t="s">
        <v>197</v>
      </c>
      <c r="I436" t="s">
        <v>197</v>
      </c>
      <c r="J436" t="s">
        <v>197</v>
      </c>
      <c r="K436" t="s">
        <v>692</v>
      </c>
    </row>
    <row r="437" spans="1:24">
      <c r="B437" t="s">
        <v>197</v>
      </c>
      <c r="C437" t="s">
        <v>197</v>
      </c>
      <c r="D437" t="s">
        <v>197</v>
      </c>
      <c r="E437" t="s">
        <v>197</v>
      </c>
      <c r="F437" t="s">
        <v>197</v>
      </c>
      <c r="G437" t="s">
        <v>197</v>
      </c>
      <c r="H437" t="s">
        <v>197</v>
      </c>
      <c r="I437" t="s">
        <v>197</v>
      </c>
      <c r="J437" t="s">
        <v>197</v>
      </c>
      <c r="K437" t="s">
        <v>693</v>
      </c>
    </row>
    <row r="438" spans="1:24">
      <c r="A438" t="s">
        <v>740</v>
      </c>
      <c r="K438" t="s">
        <v>741</v>
      </c>
      <c r="W438" t="s">
        <v>171</v>
      </c>
      <c r="X438" t="str">
        <f>A438</f>
        <v>info_datetime2_dml_batch1_pk_drp2</v>
      </c>
    </row>
    <row r="439" spans="1:24">
      <c r="B439" t="s">
        <v>196</v>
      </c>
      <c r="C439" t="s">
        <v>197</v>
      </c>
      <c r="D439" t="s">
        <v>197</v>
      </c>
      <c r="E439" t="s">
        <v>197</v>
      </c>
      <c r="F439" t="s">
        <v>197</v>
      </c>
      <c r="G439" t="s">
        <v>197</v>
      </c>
      <c r="H439" t="s">
        <v>197</v>
      </c>
      <c r="I439" t="s">
        <v>742</v>
      </c>
      <c r="J439" t="s">
        <v>199</v>
      </c>
      <c r="K439" t="s">
        <v>200</v>
      </c>
    </row>
    <row r="440" spans="1:24">
      <c r="B440" t="s">
        <v>197</v>
      </c>
      <c r="C440" t="s">
        <v>197</v>
      </c>
      <c r="D440" t="s">
        <v>197</v>
      </c>
      <c r="E440" t="s">
        <v>197</v>
      </c>
      <c r="F440" t="s">
        <v>197</v>
      </c>
      <c r="G440" t="s">
        <v>197</v>
      </c>
      <c r="H440" t="s">
        <v>197</v>
      </c>
      <c r="I440" t="s">
        <v>197</v>
      </c>
      <c r="J440" t="s">
        <v>197</v>
      </c>
      <c r="K440" t="s">
        <v>667</v>
      </c>
    </row>
    <row r="441" spans="1:24">
      <c r="B441" t="s">
        <v>197</v>
      </c>
      <c r="C441" t="s">
        <v>197</v>
      </c>
      <c r="D441" t="s">
        <v>197</v>
      </c>
      <c r="E441" t="s">
        <v>197</v>
      </c>
      <c r="F441" t="s">
        <v>197</v>
      </c>
      <c r="G441" t="s">
        <v>197</v>
      </c>
      <c r="H441" t="s">
        <v>197</v>
      </c>
      <c r="I441" t="s">
        <v>197</v>
      </c>
      <c r="J441" t="s">
        <v>197</v>
      </c>
      <c r="K441" t="s">
        <v>668</v>
      </c>
    </row>
    <row r="442" spans="1:24">
      <c r="B442" t="s">
        <v>197</v>
      </c>
      <c r="C442" t="s">
        <v>197</v>
      </c>
      <c r="D442" t="s">
        <v>197</v>
      </c>
      <c r="E442" t="s">
        <v>197</v>
      </c>
      <c r="F442" t="s">
        <v>197</v>
      </c>
      <c r="G442" t="s">
        <v>197</v>
      </c>
      <c r="H442" t="s">
        <v>197</v>
      </c>
      <c r="I442" t="s">
        <v>197</v>
      </c>
      <c r="J442" t="s">
        <v>197</v>
      </c>
      <c r="K442" t="s">
        <v>669</v>
      </c>
    </row>
    <row r="443" spans="1:24">
      <c r="B443" t="s">
        <v>197</v>
      </c>
      <c r="C443" t="s">
        <v>197</v>
      </c>
      <c r="D443" t="s">
        <v>197</v>
      </c>
      <c r="E443" t="s">
        <v>197</v>
      </c>
      <c r="F443" t="s">
        <v>197</v>
      </c>
      <c r="G443" t="s">
        <v>197</v>
      </c>
      <c r="H443" t="s">
        <v>197</v>
      </c>
      <c r="I443" t="s">
        <v>197</v>
      </c>
      <c r="J443" t="s">
        <v>197</v>
      </c>
      <c r="K443" t="s">
        <v>670</v>
      </c>
    </row>
    <row r="444" spans="1:24">
      <c r="B444" t="s">
        <v>197</v>
      </c>
      <c r="C444" t="s">
        <v>197</v>
      </c>
      <c r="D444" t="s">
        <v>197</v>
      </c>
      <c r="E444" t="s">
        <v>197</v>
      </c>
      <c r="F444" t="s">
        <v>197</v>
      </c>
      <c r="G444" t="s">
        <v>197</v>
      </c>
      <c r="H444" t="s">
        <v>197</v>
      </c>
      <c r="I444" t="s">
        <v>197</v>
      </c>
      <c r="J444" t="s">
        <v>197</v>
      </c>
      <c r="K444" t="s">
        <v>671</v>
      </c>
    </row>
    <row r="445" spans="1:24">
      <c r="B445" t="s">
        <v>197</v>
      </c>
      <c r="C445" t="s">
        <v>197</v>
      </c>
      <c r="D445" t="s">
        <v>197</v>
      </c>
      <c r="E445" t="s">
        <v>197</v>
      </c>
      <c r="F445" t="s">
        <v>197</v>
      </c>
      <c r="G445" t="s">
        <v>197</v>
      </c>
      <c r="H445" t="s">
        <v>197</v>
      </c>
      <c r="I445" t="s">
        <v>197</v>
      </c>
      <c r="J445" t="s">
        <v>197</v>
      </c>
      <c r="K445" t="s">
        <v>672</v>
      </c>
    </row>
    <row r="446" spans="1:24">
      <c r="B446" t="s">
        <v>197</v>
      </c>
      <c r="C446" t="s">
        <v>197</v>
      </c>
      <c r="D446" t="s">
        <v>197</v>
      </c>
      <c r="E446" t="s">
        <v>197</v>
      </c>
      <c r="F446" t="s">
        <v>197</v>
      </c>
      <c r="G446" t="s">
        <v>197</v>
      </c>
      <c r="H446" t="s">
        <v>197</v>
      </c>
      <c r="I446" t="s">
        <v>197</v>
      </c>
      <c r="J446" t="s">
        <v>197</v>
      </c>
      <c r="K446" t="s">
        <v>673</v>
      </c>
    </row>
    <row r="447" spans="1:24">
      <c r="B447" t="s">
        <v>197</v>
      </c>
      <c r="C447" t="s">
        <v>197</v>
      </c>
      <c r="D447" t="s">
        <v>197</v>
      </c>
      <c r="E447" t="s">
        <v>197</v>
      </c>
      <c r="F447" t="s">
        <v>197</v>
      </c>
      <c r="G447" t="s">
        <v>197</v>
      </c>
      <c r="H447" t="s">
        <v>197</v>
      </c>
      <c r="I447" t="s">
        <v>197</v>
      </c>
      <c r="J447" t="s">
        <v>197</v>
      </c>
      <c r="K447" t="s">
        <v>674</v>
      </c>
    </row>
    <row r="448" spans="1:24">
      <c r="A448" t="s">
        <v>743</v>
      </c>
      <c r="K448" t="s">
        <v>744</v>
      </c>
      <c r="W448" t="s">
        <v>171</v>
      </c>
      <c r="X448" t="str">
        <f>A448</f>
        <v>info_hierarchyid_dml_single_pk_urp</v>
      </c>
    </row>
    <row r="449" spans="1:24">
      <c r="B449" t="s">
        <v>196</v>
      </c>
      <c r="C449" t="s">
        <v>197</v>
      </c>
      <c r="D449" t="s">
        <v>197</v>
      </c>
      <c r="E449" t="s">
        <v>197</v>
      </c>
      <c r="F449" t="s">
        <v>197</v>
      </c>
      <c r="G449" t="s">
        <v>197</v>
      </c>
      <c r="H449" t="s">
        <v>197</v>
      </c>
      <c r="I449" t="s">
        <v>745</v>
      </c>
      <c r="J449" t="s">
        <v>199</v>
      </c>
      <c r="K449" t="s">
        <v>200</v>
      </c>
    </row>
    <row r="450" spans="1:24">
      <c r="B450" t="s">
        <v>197</v>
      </c>
      <c r="C450" t="s">
        <v>197</v>
      </c>
      <c r="D450" t="s">
        <v>197</v>
      </c>
      <c r="E450" t="s">
        <v>197</v>
      </c>
      <c r="F450" t="s">
        <v>197</v>
      </c>
      <c r="G450" t="s">
        <v>197</v>
      </c>
      <c r="H450" t="s">
        <v>197</v>
      </c>
      <c r="I450" t="s">
        <v>197</v>
      </c>
      <c r="J450" t="s">
        <v>197</v>
      </c>
      <c r="K450" t="s">
        <v>706</v>
      </c>
    </row>
    <row r="451" spans="1:24">
      <c r="A451" t="s">
        <v>746</v>
      </c>
      <c r="K451" t="s">
        <v>747</v>
      </c>
      <c r="W451" t="s">
        <v>171</v>
      </c>
      <c r="X451" t="str">
        <f>A451</f>
        <v>info_nvarchar_dml_single_pk_urp</v>
      </c>
    </row>
    <row r="452" spans="1:24">
      <c r="B452" t="s">
        <v>196</v>
      </c>
      <c r="C452" t="s">
        <v>197</v>
      </c>
      <c r="D452" t="s">
        <v>197</v>
      </c>
      <c r="E452" t="s">
        <v>197</v>
      </c>
      <c r="F452" t="s">
        <v>197</v>
      </c>
      <c r="G452" t="s">
        <v>197</v>
      </c>
      <c r="H452" t="s">
        <v>197</v>
      </c>
      <c r="I452" t="s">
        <v>748</v>
      </c>
      <c r="J452" t="s">
        <v>199</v>
      </c>
      <c r="K452" t="s">
        <v>200</v>
      </c>
    </row>
    <row r="453" spans="1:24">
      <c r="B453" t="s">
        <v>197</v>
      </c>
      <c r="C453" t="s">
        <v>197</v>
      </c>
      <c r="D453" t="s">
        <v>197</v>
      </c>
      <c r="E453" t="s">
        <v>197</v>
      </c>
      <c r="F453" t="s">
        <v>197</v>
      </c>
      <c r="G453" t="s">
        <v>197</v>
      </c>
      <c r="H453" t="s">
        <v>197</v>
      </c>
      <c r="I453" t="s">
        <v>197</v>
      </c>
      <c r="J453" t="s">
        <v>197</v>
      </c>
      <c r="K453" t="s">
        <v>408</v>
      </c>
    </row>
    <row r="454" spans="1:24">
      <c r="B454" t="s">
        <v>197</v>
      </c>
      <c r="C454" t="s">
        <v>197</v>
      </c>
      <c r="D454" t="s">
        <v>197</v>
      </c>
      <c r="E454" t="s">
        <v>197</v>
      </c>
      <c r="F454" t="s">
        <v>197</v>
      </c>
      <c r="G454" t="s">
        <v>197</v>
      </c>
      <c r="H454" t="s">
        <v>197</v>
      </c>
      <c r="I454" t="s">
        <v>197</v>
      </c>
      <c r="J454" t="s">
        <v>197</v>
      </c>
      <c r="K454" t="s">
        <v>412</v>
      </c>
    </row>
    <row r="455" spans="1:24">
      <c r="B455" t="s">
        <v>197</v>
      </c>
      <c r="C455" t="s">
        <v>197</v>
      </c>
      <c r="D455" t="s">
        <v>197</v>
      </c>
      <c r="E455" t="s">
        <v>197</v>
      </c>
      <c r="F455" t="s">
        <v>197</v>
      </c>
      <c r="G455" t="s">
        <v>197</v>
      </c>
      <c r="H455" t="s">
        <v>197</v>
      </c>
      <c r="I455" t="s">
        <v>197</v>
      </c>
      <c r="J455" t="s">
        <v>197</v>
      </c>
      <c r="K455" t="s">
        <v>730</v>
      </c>
    </row>
    <row r="456" spans="1:24">
      <c r="A456" t="s">
        <v>749</v>
      </c>
      <c r="K456" t="s">
        <v>750</v>
      </c>
      <c r="W456" t="s">
        <v>171</v>
      </c>
      <c r="X456" t="str">
        <f>A456</f>
        <v>info_datetime2_dml_batch1_pk</v>
      </c>
    </row>
    <row r="457" spans="1:24">
      <c r="B457" t="s">
        <v>196</v>
      </c>
      <c r="C457" t="s">
        <v>197</v>
      </c>
      <c r="D457" t="s">
        <v>197</v>
      </c>
      <c r="E457" t="s">
        <v>197</v>
      </c>
      <c r="F457" t="s">
        <v>197</v>
      </c>
      <c r="G457" t="s">
        <v>197</v>
      </c>
      <c r="H457" t="s">
        <v>197</v>
      </c>
      <c r="I457" t="s">
        <v>751</v>
      </c>
      <c r="J457" t="s">
        <v>199</v>
      </c>
      <c r="K457" t="s">
        <v>200</v>
      </c>
    </row>
    <row r="458" spans="1:24">
      <c r="B458" t="s">
        <v>197</v>
      </c>
      <c r="C458" t="s">
        <v>197</v>
      </c>
      <c r="D458" t="s">
        <v>197</v>
      </c>
      <c r="E458" t="s">
        <v>197</v>
      </c>
      <c r="F458" t="s">
        <v>197</v>
      </c>
      <c r="G458" t="s">
        <v>197</v>
      </c>
      <c r="H458" t="s">
        <v>197</v>
      </c>
      <c r="I458" t="s">
        <v>197</v>
      </c>
      <c r="J458" t="s">
        <v>197</v>
      </c>
      <c r="K458" t="s">
        <v>667</v>
      </c>
    </row>
    <row r="459" spans="1:24">
      <c r="B459" t="s">
        <v>197</v>
      </c>
      <c r="C459" t="s">
        <v>197</v>
      </c>
      <c r="D459" t="s">
        <v>197</v>
      </c>
      <c r="E459" t="s">
        <v>197</v>
      </c>
      <c r="F459" t="s">
        <v>197</v>
      </c>
      <c r="G459" t="s">
        <v>197</v>
      </c>
      <c r="H459" t="s">
        <v>197</v>
      </c>
      <c r="I459" t="s">
        <v>197</v>
      </c>
      <c r="J459" t="s">
        <v>197</v>
      </c>
      <c r="K459" t="s">
        <v>668</v>
      </c>
    </row>
    <row r="460" spans="1:24">
      <c r="B460" t="s">
        <v>197</v>
      </c>
      <c r="C460" t="s">
        <v>197</v>
      </c>
      <c r="D460" t="s">
        <v>197</v>
      </c>
      <c r="E460" t="s">
        <v>197</v>
      </c>
      <c r="F460" t="s">
        <v>197</v>
      </c>
      <c r="G460" t="s">
        <v>197</v>
      </c>
      <c r="H460" t="s">
        <v>197</v>
      </c>
      <c r="I460" t="s">
        <v>197</v>
      </c>
      <c r="J460" t="s">
        <v>197</v>
      </c>
      <c r="K460" t="s">
        <v>669</v>
      </c>
    </row>
    <row r="461" spans="1:24">
      <c r="B461" t="s">
        <v>197</v>
      </c>
      <c r="C461" t="s">
        <v>197</v>
      </c>
      <c r="D461" t="s">
        <v>197</v>
      </c>
      <c r="E461" t="s">
        <v>197</v>
      </c>
      <c r="F461" t="s">
        <v>197</v>
      </c>
      <c r="G461" t="s">
        <v>197</v>
      </c>
      <c r="H461" t="s">
        <v>197</v>
      </c>
      <c r="I461" t="s">
        <v>197</v>
      </c>
      <c r="J461" t="s">
        <v>197</v>
      </c>
      <c r="K461" t="s">
        <v>670</v>
      </c>
    </row>
    <row r="462" spans="1:24">
      <c r="B462" t="s">
        <v>197</v>
      </c>
      <c r="C462" t="s">
        <v>197</v>
      </c>
      <c r="D462" t="s">
        <v>197</v>
      </c>
      <c r="E462" t="s">
        <v>197</v>
      </c>
      <c r="F462" t="s">
        <v>197</v>
      </c>
      <c r="G462" t="s">
        <v>197</v>
      </c>
      <c r="H462" t="s">
        <v>197</v>
      </c>
      <c r="I462" t="s">
        <v>197</v>
      </c>
      <c r="J462" t="s">
        <v>197</v>
      </c>
      <c r="K462" t="s">
        <v>671</v>
      </c>
    </row>
    <row r="463" spans="1:24">
      <c r="B463" t="s">
        <v>197</v>
      </c>
      <c r="C463" t="s">
        <v>197</v>
      </c>
      <c r="D463" t="s">
        <v>197</v>
      </c>
      <c r="E463" t="s">
        <v>197</v>
      </c>
      <c r="F463" t="s">
        <v>197</v>
      </c>
      <c r="G463" t="s">
        <v>197</v>
      </c>
      <c r="H463" t="s">
        <v>197</v>
      </c>
      <c r="I463" t="s">
        <v>197</v>
      </c>
      <c r="J463" t="s">
        <v>197</v>
      </c>
      <c r="K463" t="s">
        <v>672</v>
      </c>
    </row>
    <row r="464" spans="1:24">
      <c r="B464" t="s">
        <v>197</v>
      </c>
      <c r="C464" t="s">
        <v>197</v>
      </c>
      <c r="D464" t="s">
        <v>197</v>
      </c>
      <c r="E464" t="s">
        <v>197</v>
      </c>
      <c r="F464" t="s">
        <v>197</v>
      </c>
      <c r="G464" t="s">
        <v>197</v>
      </c>
      <c r="H464" t="s">
        <v>197</v>
      </c>
      <c r="I464" t="s">
        <v>197</v>
      </c>
      <c r="J464" t="s">
        <v>197</v>
      </c>
      <c r="K464" t="s">
        <v>673</v>
      </c>
    </row>
    <row r="465" spans="1:24">
      <c r="B465" t="s">
        <v>197</v>
      </c>
      <c r="C465" t="s">
        <v>197</v>
      </c>
      <c r="D465" t="s">
        <v>197</v>
      </c>
      <c r="E465" t="s">
        <v>197</v>
      </c>
      <c r="F465" t="s">
        <v>197</v>
      </c>
      <c r="G465" t="s">
        <v>197</v>
      </c>
      <c r="H465" t="s">
        <v>197</v>
      </c>
      <c r="I465" t="s">
        <v>197</v>
      </c>
      <c r="J465" t="s">
        <v>197</v>
      </c>
      <c r="K465" t="s">
        <v>674</v>
      </c>
    </row>
    <row r="466" spans="1:24">
      <c r="A466" t="s">
        <v>752</v>
      </c>
      <c r="K466" t="s">
        <v>753</v>
      </c>
      <c r="W466" t="s">
        <v>171</v>
      </c>
      <c r="X466" t="str">
        <f>A466</f>
        <v>info_nchar_dml_batch2_pk_irp1</v>
      </c>
    </row>
    <row r="467" spans="1:24">
      <c r="B467" t="s">
        <v>196</v>
      </c>
      <c r="C467" t="s">
        <v>197</v>
      </c>
      <c r="D467" t="s">
        <v>197</v>
      </c>
      <c r="E467" t="s">
        <v>197</v>
      </c>
      <c r="F467" t="s">
        <v>197</v>
      </c>
      <c r="G467" t="s">
        <v>197</v>
      </c>
      <c r="H467" t="s">
        <v>197</v>
      </c>
      <c r="I467" t="s">
        <v>754</v>
      </c>
      <c r="J467" t="s">
        <v>199</v>
      </c>
      <c r="K467" t="s">
        <v>200</v>
      </c>
    </row>
    <row r="468" spans="1:24">
      <c r="B468" t="s">
        <v>197</v>
      </c>
      <c r="C468" t="s">
        <v>197</v>
      </c>
      <c r="D468" t="s">
        <v>197</v>
      </c>
      <c r="E468" t="s">
        <v>197</v>
      </c>
      <c r="F468" t="s">
        <v>197</v>
      </c>
      <c r="G468" t="s">
        <v>197</v>
      </c>
      <c r="H468" t="s">
        <v>197</v>
      </c>
      <c r="I468" t="s">
        <v>197</v>
      </c>
      <c r="J468" t="s">
        <v>197</v>
      </c>
      <c r="K468" t="s">
        <v>514</v>
      </c>
    </row>
    <row r="469" spans="1:24">
      <c r="B469" t="s">
        <v>197</v>
      </c>
      <c r="C469" t="s">
        <v>197</v>
      </c>
      <c r="D469" t="s">
        <v>197</v>
      </c>
      <c r="E469" t="s">
        <v>197</v>
      </c>
      <c r="F469" t="s">
        <v>197</v>
      </c>
      <c r="G469" t="s">
        <v>197</v>
      </c>
      <c r="H469" t="s">
        <v>197</v>
      </c>
      <c r="I469" t="s">
        <v>197</v>
      </c>
      <c r="J469" t="s">
        <v>197</v>
      </c>
      <c r="K469" t="s">
        <v>516</v>
      </c>
    </row>
    <row r="470" spans="1:24">
      <c r="B470" t="s">
        <v>197</v>
      </c>
      <c r="C470" t="s">
        <v>197</v>
      </c>
      <c r="D470" t="s">
        <v>197</v>
      </c>
      <c r="E470" t="s">
        <v>197</v>
      </c>
      <c r="F470" t="s">
        <v>197</v>
      </c>
      <c r="G470" t="s">
        <v>197</v>
      </c>
      <c r="H470" t="s">
        <v>197</v>
      </c>
      <c r="I470" t="s">
        <v>197</v>
      </c>
      <c r="J470" t="s">
        <v>197</v>
      </c>
      <c r="K470" t="s">
        <v>612</v>
      </c>
    </row>
    <row r="471" spans="1:24">
      <c r="A471" t="s">
        <v>755</v>
      </c>
      <c r="K471" t="s">
        <v>756</v>
      </c>
      <c r="W471" s="1" t="str">
        <f>HYPERLINK("#2026042000hbase2!AI2","NO 源备存在差异，共16个")</f>
        <v>NO 源备存在差异，共16个</v>
      </c>
      <c r="X471" t="str">
        <f>A471</f>
        <v>info_binary_dml_batch2_pk_irp1</v>
      </c>
    </row>
    <row r="472" spans="1:24">
      <c r="B472" t="s">
        <v>196</v>
      </c>
      <c r="C472" t="s">
        <v>197</v>
      </c>
      <c r="D472" t="s">
        <v>197</v>
      </c>
      <c r="E472" t="s">
        <v>197</v>
      </c>
      <c r="F472" t="s">
        <v>197</v>
      </c>
      <c r="G472" t="s">
        <v>197</v>
      </c>
      <c r="H472" t="s">
        <v>197</v>
      </c>
      <c r="I472" t="s">
        <v>757</v>
      </c>
      <c r="J472" t="s">
        <v>199</v>
      </c>
      <c r="K472" t="s">
        <v>200</v>
      </c>
    </row>
    <row r="473" spans="1:24">
      <c r="B473" t="s">
        <v>197</v>
      </c>
      <c r="C473" t="s">
        <v>197</v>
      </c>
      <c r="D473" t="s">
        <v>197</v>
      </c>
      <c r="E473" t="s">
        <v>197</v>
      </c>
      <c r="F473" t="s">
        <v>197</v>
      </c>
      <c r="G473" t="s">
        <v>197</v>
      </c>
      <c r="H473" t="s">
        <v>197</v>
      </c>
      <c r="I473" t="s">
        <v>197</v>
      </c>
      <c r="J473" t="s">
        <v>197</v>
      </c>
      <c r="K473" t="s">
        <v>691</v>
      </c>
    </row>
    <row r="474" spans="1:24">
      <c r="B474" t="s">
        <v>197</v>
      </c>
      <c r="C474" t="s">
        <v>197</v>
      </c>
      <c r="D474" t="s">
        <v>197</v>
      </c>
      <c r="E474" t="s">
        <v>197</v>
      </c>
      <c r="F474" t="s">
        <v>197</v>
      </c>
      <c r="G474" t="s">
        <v>197</v>
      </c>
      <c r="H474" t="s">
        <v>197</v>
      </c>
      <c r="I474" t="s">
        <v>197</v>
      </c>
      <c r="J474" t="s">
        <v>197</v>
      </c>
      <c r="K474" t="s">
        <v>692</v>
      </c>
    </row>
    <row r="475" spans="1:24">
      <c r="B475" t="s">
        <v>197</v>
      </c>
      <c r="C475" t="s">
        <v>197</v>
      </c>
      <c r="D475" t="s">
        <v>197</v>
      </c>
      <c r="E475" t="s">
        <v>197</v>
      </c>
      <c r="F475" t="s">
        <v>197</v>
      </c>
      <c r="G475" t="s">
        <v>197</v>
      </c>
      <c r="H475" t="s">
        <v>197</v>
      </c>
      <c r="I475" t="s">
        <v>197</v>
      </c>
      <c r="J475" t="s">
        <v>197</v>
      </c>
      <c r="K475" t="s">
        <v>693</v>
      </c>
    </row>
    <row r="476" spans="1:24">
      <c r="A476" t="s">
        <v>758</v>
      </c>
      <c r="K476" t="s">
        <v>759</v>
      </c>
      <c r="W476" t="s">
        <v>171</v>
      </c>
      <c r="X476" t="str">
        <f>A476</f>
        <v>info_date_dml_single_pk_drp</v>
      </c>
    </row>
    <row r="477" spans="1:24">
      <c r="B477" t="s">
        <v>196</v>
      </c>
      <c r="C477" t="s">
        <v>197</v>
      </c>
      <c r="D477" t="s">
        <v>197</v>
      </c>
      <c r="E477" t="s">
        <v>197</v>
      </c>
      <c r="F477" t="s">
        <v>197</v>
      </c>
      <c r="G477" t="s">
        <v>197</v>
      </c>
      <c r="H477" t="s">
        <v>197</v>
      </c>
      <c r="I477" t="s">
        <v>760</v>
      </c>
      <c r="J477" t="s">
        <v>199</v>
      </c>
      <c r="K477" t="s">
        <v>200</v>
      </c>
    </row>
    <row r="478" spans="1:24">
      <c r="B478" t="s">
        <v>197</v>
      </c>
      <c r="C478" t="s">
        <v>197</v>
      </c>
      <c r="D478" t="s">
        <v>197</v>
      </c>
      <c r="E478" t="s">
        <v>197</v>
      </c>
      <c r="F478" t="s">
        <v>197</v>
      </c>
      <c r="G478" t="s">
        <v>197</v>
      </c>
      <c r="H478" t="s">
        <v>197</v>
      </c>
      <c r="I478" t="s">
        <v>197</v>
      </c>
      <c r="J478" t="s">
        <v>197</v>
      </c>
      <c r="K478" t="s">
        <v>678</v>
      </c>
    </row>
    <row r="479" spans="1:24">
      <c r="A479" t="s">
        <v>761</v>
      </c>
      <c r="K479" t="s">
        <v>762</v>
      </c>
      <c r="W479" t="s">
        <v>171</v>
      </c>
      <c r="X479" t="str">
        <f>A479</f>
        <v>info_hierarchyid_dml_single_pk_drp</v>
      </c>
    </row>
    <row r="480" spans="1:24">
      <c r="B480" t="s">
        <v>196</v>
      </c>
      <c r="C480" t="s">
        <v>197</v>
      </c>
      <c r="D480" t="s">
        <v>197</v>
      </c>
      <c r="E480" t="s">
        <v>197</v>
      </c>
      <c r="F480" t="s">
        <v>197</v>
      </c>
      <c r="G480" t="s">
        <v>197</v>
      </c>
      <c r="H480" t="s">
        <v>197</v>
      </c>
      <c r="I480" t="s">
        <v>763</v>
      </c>
      <c r="J480" t="s">
        <v>199</v>
      </c>
      <c r="K480" t="s">
        <v>200</v>
      </c>
    </row>
    <row r="481" spans="1:24">
      <c r="B481" t="s">
        <v>197</v>
      </c>
      <c r="C481" t="s">
        <v>197</v>
      </c>
      <c r="D481" t="s">
        <v>197</v>
      </c>
      <c r="E481" t="s">
        <v>197</v>
      </c>
      <c r="F481" t="s">
        <v>197</v>
      </c>
      <c r="G481" t="s">
        <v>197</v>
      </c>
      <c r="H481" t="s">
        <v>197</v>
      </c>
      <c r="I481" t="s">
        <v>197</v>
      </c>
      <c r="J481" t="s">
        <v>197</v>
      </c>
      <c r="K481" t="s">
        <v>706</v>
      </c>
    </row>
    <row r="482" spans="1:24">
      <c r="A482" t="s">
        <v>764</v>
      </c>
      <c r="K482" t="s">
        <v>765</v>
      </c>
      <c r="W482" t="s">
        <v>171</v>
      </c>
      <c r="X482" t="str">
        <f>A482</f>
        <v>info_datetimeoffset_dml_batch1_pk_irp1</v>
      </c>
    </row>
    <row r="483" spans="1:24">
      <c r="B483" t="s">
        <v>196</v>
      </c>
      <c r="C483" t="s">
        <v>197</v>
      </c>
      <c r="D483" t="s">
        <v>197</v>
      </c>
      <c r="E483" t="s">
        <v>197</v>
      </c>
      <c r="F483" t="s">
        <v>197</v>
      </c>
      <c r="G483" t="s">
        <v>197</v>
      </c>
      <c r="H483" t="s">
        <v>197</v>
      </c>
      <c r="I483" t="s">
        <v>766</v>
      </c>
      <c r="J483" t="s">
        <v>199</v>
      </c>
      <c r="K483" t="s">
        <v>200</v>
      </c>
    </row>
    <row r="484" spans="1:24">
      <c r="B484" t="s">
        <v>197</v>
      </c>
      <c r="C484" t="s">
        <v>197</v>
      </c>
      <c r="D484" t="s">
        <v>197</v>
      </c>
      <c r="E484" t="s">
        <v>197</v>
      </c>
      <c r="F484" t="s">
        <v>197</v>
      </c>
      <c r="G484" t="s">
        <v>197</v>
      </c>
      <c r="H484" t="s">
        <v>197</v>
      </c>
      <c r="I484" t="s">
        <v>197</v>
      </c>
      <c r="J484" t="s">
        <v>197</v>
      </c>
      <c r="K484" t="s">
        <v>301</v>
      </c>
    </row>
    <row r="485" spans="1:24">
      <c r="B485" t="s">
        <v>197</v>
      </c>
      <c r="C485" t="s">
        <v>197</v>
      </c>
      <c r="D485" t="s">
        <v>197</v>
      </c>
      <c r="E485" t="s">
        <v>197</v>
      </c>
      <c r="F485" t="s">
        <v>197</v>
      </c>
      <c r="G485" t="s">
        <v>197</v>
      </c>
      <c r="H485" t="s">
        <v>197</v>
      </c>
      <c r="I485" t="s">
        <v>197</v>
      </c>
      <c r="J485" t="s">
        <v>197</v>
      </c>
      <c r="K485" t="s">
        <v>314</v>
      </c>
    </row>
    <row r="486" spans="1:24">
      <c r="B486" t="s">
        <v>197</v>
      </c>
      <c r="C486" t="s">
        <v>197</v>
      </c>
      <c r="D486" t="s">
        <v>197</v>
      </c>
      <c r="E486" t="s">
        <v>197</v>
      </c>
      <c r="F486" t="s">
        <v>197</v>
      </c>
      <c r="G486" t="s">
        <v>197</v>
      </c>
      <c r="H486" t="s">
        <v>197</v>
      </c>
      <c r="I486" t="s">
        <v>197</v>
      </c>
      <c r="J486" t="s">
        <v>197</v>
      </c>
      <c r="K486" t="s">
        <v>324</v>
      </c>
    </row>
    <row r="487" spans="1:24">
      <c r="B487" t="s">
        <v>197</v>
      </c>
      <c r="C487" t="s">
        <v>197</v>
      </c>
      <c r="D487" t="s">
        <v>197</v>
      </c>
      <c r="E487" t="s">
        <v>197</v>
      </c>
      <c r="F487" t="s">
        <v>197</v>
      </c>
      <c r="G487" t="s">
        <v>197</v>
      </c>
      <c r="H487" t="s">
        <v>197</v>
      </c>
      <c r="I487" t="s">
        <v>197</v>
      </c>
      <c r="J487" t="s">
        <v>197</v>
      </c>
      <c r="K487" t="s">
        <v>335</v>
      </c>
    </row>
    <row r="488" spans="1:24">
      <c r="B488" t="s">
        <v>197</v>
      </c>
      <c r="C488" t="s">
        <v>197</v>
      </c>
      <c r="D488" t="s">
        <v>197</v>
      </c>
      <c r="E488" t="s">
        <v>197</v>
      </c>
      <c r="F488" t="s">
        <v>197</v>
      </c>
      <c r="G488" t="s">
        <v>197</v>
      </c>
      <c r="H488" t="s">
        <v>197</v>
      </c>
      <c r="I488" t="s">
        <v>197</v>
      </c>
      <c r="J488" t="s">
        <v>197</v>
      </c>
      <c r="K488" t="s">
        <v>350</v>
      </c>
    </row>
    <row r="489" spans="1:24">
      <c r="B489" t="s">
        <v>197</v>
      </c>
      <c r="C489" t="s">
        <v>197</v>
      </c>
      <c r="D489" t="s">
        <v>197</v>
      </c>
      <c r="E489" t="s">
        <v>197</v>
      </c>
      <c r="F489" t="s">
        <v>197</v>
      </c>
      <c r="G489" t="s">
        <v>197</v>
      </c>
      <c r="H489" t="s">
        <v>197</v>
      </c>
      <c r="I489" t="s">
        <v>197</v>
      </c>
      <c r="J489" t="s">
        <v>197</v>
      </c>
      <c r="K489" t="s">
        <v>360</v>
      </c>
    </row>
    <row r="490" spans="1:24">
      <c r="B490" t="s">
        <v>197</v>
      </c>
      <c r="C490" t="s">
        <v>197</v>
      </c>
      <c r="D490" t="s">
        <v>197</v>
      </c>
      <c r="E490" t="s">
        <v>197</v>
      </c>
      <c r="F490" t="s">
        <v>197</v>
      </c>
      <c r="G490" t="s">
        <v>197</v>
      </c>
      <c r="H490" t="s">
        <v>197</v>
      </c>
      <c r="I490" t="s">
        <v>197</v>
      </c>
      <c r="J490" t="s">
        <v>197</v>
      </c>
      <c r="K490" t="s">
        <v>367</v>
      </c>
    </row>
    <row r="491" spans="1:24">
      <c r="B491" t="s">
        <v>197</v>
      </c>
      <c r="C491" t="s">
        <v>197</v>
      </c>
      <c r="D491" t="s">
        <v>197</v>
      </c>
      <c r="E491" t="s">
        <v>197</v>
      </c>
      <c r="F491" t="s">
        <v>197</v>
      </c>
      <c r="G491" t="s">
        <v>197</v>
      </c>
      <c r="H491" t="s">
        <v>197</v>
      </c>
      <c r="I491" t="s">
        <v>197</v>
      </c>
      <c r="J491" t="s">
        <v>197</v>
      </c>
      <c r="K491" t="s">
        <v>373</v>
      </c>
    </row>
    <row r="492" spans="1:24">
      <c r="A492" t="s">
        <v>767</v>
      </c>
      <c r="K492" t="s">
        <v>768</v>
      </c>
      <c r="W492" t="s">
        <v>171</v>
      </c>
      <c r="X492" t="str">
        <f>A492</f>
        <v>info_nchar_dml_batch2_pk_irp2</v>
      </c>
    </row>
    <row r="493" spans="1:24">
      <c r="B493" t="s">
        <v>196</v>
      </c>
      <c r="C493" t="s">
        <v>197</v>
      </c>
      <c r="D493" t="s">
        <v>197</v>
      </c>
      <c r="E493" t="s">
        <v>197</v>
      </c>
      <c r="F493" t="s">
        <v>197</v>
      </c>
      <c r="G493" t="s">
        <v>197</v>
      </c>
      <c r="H493" t="s">
        <v>197</v>
      </c>
      <c r="I493" t="s">
        <v>769</v>
      </c>
      <c r="J493" t="s">
        <v>199</v>
      </c>
      <c r="K493" t="s">
        <v>200</v>
      </c>
    </row>
    <row r="494" spans="1:24">
      <c r="B494" t="s">
        <v>197</v>
      </c>
      <c r="C494" t="s">
        <v>197</v>
      </c>
      <c r="D494" t="s">
        <v>197</v>
      </c>
      <c r="E494" t="s">
        <v>197</v>
      </c>
      <c r="F494" t="s">
        <v>197</v>
      </c>
      <c r="G494" t="s">
        <v>197</v>
      </c>
      <c r="H494" t="s">
        <v>197</v>
      </c>
      <c r="I494" t="s">
        <v>197</v>
      </c>
      <c r="J494" t="s">
        <v>197</v>
      </c>
      <c r="K494" t="s">
        <v>514</v>
      </c>
    </row>
    <row r="495" spans="1:24">
      <c r="B495" t="s">
        <v>197</v>
      </c>
      <c r="C495" t="s">
        <v>197</v>
      </c>
      <c r="D495" t="s">
        <v>197</v>
      </c>
      <c r="E495" t="s">
        <v>197</v>
      </c>
      <c r="F495" t="s">
        <v>197</v>
      </c>
      <c r="G495" t="s">
        <v>197</v>
      </c>
      <c r="H495" t="s">
        <v>197</v>
      </c>
      <c r="I495" t="s">
        <v>197</v>
      </c>
      <c r="J495" t="s">
        <v>197</v>
      </c>
      <c r="K495" t="s">
        <v>516</v>
      </c>
    </row>
    <row r="496" spans="1:24">
      <c r="B496" t="s">
        <v>197</v>
      </c>
      <c r="C496" t="s">
        <v>197</v>
      </c>
      <c r="D496" t="s">
        <v>197</v>
      </c>
      <c r="E496" t="s">
        <v>197</v>
      </c>
      <c r="F496" t="s">
        <v>197</v>
      </c>
      <c r="G496" t="s">
        <v>197</v>
      </c>
      <c r="H496" t="s">
        <v>197</v>
      </c>
      <c r="I496" t="s">
        <v>197</v>
      </c>
      <c r="J496" t="s">
        <v>197</v>
      </c>
      <c r="K496" t="s">
        <v>612</v>
      </c>
    </row>
    <row r="497" spans="1:24">
      <c r="A497" t="s">
        <v>770</v>
      </c>
      <c r="K497" t="s">
        <v>771</v>
      </c>
      <c r="W497" t="s">
        <v>171</v>
      </c>
      <c r="X497" t="str">
        <f>A497</f>
        <v>info_date_dml_single_pk</v>
      </c>
    </row>
    <row r="498" spans="1:24">
      <c r="B498" t="s">
        <v>196</v>
      </c>
      <c r="C498" t="s">
        <v>197</v>
      </c>
      <c r="D498" t="s">
        <v>197</v>
      </c>
      <c r="E498" t="s">
        <v>197</v>
      </c>
      <c r="F498" t="s">
        <v>197</v>
      </c>
      <c r="G498" t="s">
        <v>197</v>
      </c>
      <c r="H498" t="s">
        <v>197</v>
      </c>
      <c r="I498" t="s">
        <v>772</v>
      </c>
      <c r="J498" t="s">
        <v>199</v>
      </c>
      <c r="K498" t="s">
        <v>200</v>
      </c>
    </row>
    <row r="499" spans="1:24">
      <c r="B499" t="s">
        <v>197</v>
      </c>
      <c r="C499" t="s">
        <v>197</v>
      </c>
      <c r="D499" t="s">
        <v>197</v>
      </c>
      <c r="E499" t="s">
        <v>197</v>
      </c>
      <c r="F499" t="s">
        <v>197</v>
      </c>
      <c r="G499" t="s">
        <v>197</v>
      </c>
      <c r="H499" t="s">
        <v>197</v>
      </c>
      <c r="I499" t="s">
        <v>197</v>
      </c>
      <c r="J499" t="s">
        <v>197</v>
      </c>
      <c r="K499" t="s">
        <v>678</v>
      </c>
    </row>
    <row r="500" spans="1:24">
      <c r="A500" t="s">
        <v>773</v>
      </c>
      <c r="K500" t="s">
        <v>774</v>
      </c>
      <c r="W500" t="s">
        <v>171</v>
      </c>
      <c r="X500" t="str">
        <f>A500</f>
        <v>info_date_dml_batch1_pk_irp1</v>
      </c>
    </row>
    <row r="501" spans="1:24">
      <c r="B501" t="s">
        <v>196</v>
      </c>
      <c r="C501" t="s">
        <v>197</v>
      </c>
      <c r="D501" t="s">
        <v>197</v>
      </c>
      <c r="E501" t="s">
        <v>197</v>
      </c>
      <c r="F501" t="s">
        <v>197</v>
      </c>
      <c r="G501" t="s">
        <v>197</v>
      </c>
      <c r="H501" t="s">
        <v>197</v>
      </c>
      <c r="I501" t="s">
        <v>775</v>
      </c>
      <c r="J501" t="s">
        <v>199</v>
      </c>
      <c r="K501" t="s">
        <v>200</v>
      </c>
    </row>
    <row r="502" spans="1:24">
      <c r="B502" t="s">
        <v>197</v>
      </c>
      <c r="C502" t="s">
        <v>197</v>
      </c>
      <c r="D502" t="s">
        <v>197</v>
      </c>
      <c r="E502" t="s">
        <v>197</v>
      </c>
      <c r="F502" t="s">
        <v>197</v>
      </c>
      <c r="G502" t="s">
        <v>197</v>
      </c>
      <c r="H502" t="s">
        <v>197</v>
      </c>
      <c r="I502" t="s">
        <v>197</v>
      </c>
      <c r="J502" t="s">
        <v>197</v>
      </c>
      <c r="K502" t="s">
        <v>678</v>
      </c>
    </row>
    <row r="503" spans="1:24">
      <c r="K503" t="s">
        <v>443</v>
      </c>
    </row>
    <row r="504" spans="1:24">
      <c r="A504" t="s">
        <v>776</v>
      </c>
      <c r="K504" t="s">
        <v>777</v>
      </c>
      <c r="W504" t="s">
        <v>171</v>
      </c>
      <c r="X504" t="str">
        <f>A504</f>
        <v>info_datetimeoffset_dml_batch1_pk_irp2</v>
      </c>
    </row>
    <row r="505" spans="1:24">
      <c r="B505" t="s">
        <v>196</v>
      </c>
      <c r="C505" t="s">
        <v>197</v>
      </c>
      <c r="D505" t="s">
        <v>197</v>
      </c>
      <c r="E505" t="s">
        <v>197</v>
      </c>
      <c r="F505" t="s">
        <v>197</v>
      </c>
      <c r="G505" t="s">
        <v>197</v>
      </c>
      <c r="H505" t="s">
        <v>197</v>
      </c>
      <c r="I505" t="s">
        <v>778</v>
      </c>
      <c r="J505" t="s">
        <v>199</v>
      </c>
      <c r="K505" t="s">
        <v>200</v>
      </c>
    </row>
    <row r="506" spans="1:24">
      <c r="B506" t="s">
        <v>197</v>
      </c>
      <c r="C506" t="s">
        <v>197</v>
      </c>
      <c r="D506" t="s">
        <v>197</v>
      </c>
      <c r="E506" t="s">
        <v>197</v>
      </c>
      <c r="F506" t="s">
        <v>197</v>
      </c>
      <c r="G506" t="s">
        <v>197</v>
      </c>
      <c r="H506" t="s">
        <v>197</v>
      </c>
      <c r="I506" t="s">
        <v>197</v>
      </c>
      <c r="J506" t="s">
        <v>197</v>
      </c>
      <c r="K506" t="s">
        <v>301</v>
      </c>
    </row>
    <row r="507" spans="1:24">
      <c r="B507" t="s">
        <v>197</v>
      </c>
      <c r="C507" t="s">
        <v>197</v>
      </c>
      <c r="D507" t="s">
        <v>197</v>
      </c>
      <c r="E507" t="s">
        <v>197</v>
      </c>
      <c r="F507" t="s">
        <v>197</v>
      </c>
      <c r="G507" t="s">
        <v>197</v>
      </c>
      <c r="H507" t="s">
        <v>197</v>
      </c>
      <c r="I507" t="s">
        <v>197</v>
      </c>
      <c r="J507" t="s">
        <v>197</v>
      </c>
      <c r="K507" t="s">
        <v>314</v>
      </c>
    </row>
    <row r="508" spans="1:24">
      <c r="B508" t="s">
        <v>197</v>
      </c>
      <c r="C508" t="s">
        <v>197</v>
      </c>
      <c r="D508" t="s">
        <v>197</v>
      </c>
      <c r="E508" t="s">
        <v>197</v>
      </c>
      <c r="F508" t="s">
        <v>197</v>
      </c>
      <c r="G508" t="s">
        <v>197</v>
      </c>
      <c r="H508" t="s">
        <v>197</v>
      </c>
      <c r="I508" t="s">
        <v>197</v>
      </c>
      <c r="J508" t="s">
        <v>197</v>
      </c>
      <c r="K508" t="s">
        <v>324</v>
      </c>
    </row>
    <row r="509" spans="1:24">
      <c r="B509" t="s">
        <v>197</v>
      </c>
      <c r="C509" t="s">
        <v>197</v>
      </c>
      <c r="D509" t="s">
        <v>197</v>
      </c>
      <c r="E509" t="s">
        <v>197</v>
      </c>
      <c r="F509" t="s">
        <v>197</v>
      </c>
      <c r="G509" t="s">
        <v>197</v>
      </c>
      <c r="H509" t="s">
        <v>197</v>
      </c>
      <c r="I509" t="s">
        <v>197</v>
      </c>
      <c r="J509" t="s">
        <v>197</v>
      </c>
      <c r="K509" t="s">
        <v>335</v>
      </c>
    </row>
    <row r="510" spans="1:24">
      <c r="B510" t="s">
        <v>197</v>
      </c>
      <c r="C510" t="s">
        <v>197</v>
      </c>
      <c r="D510" t="s">
        <v>197</v>
      </c>
      <c r="E510" t="s">
        <v>197</v>
      </c>
      <c r="F510" t="s">
        <v>197</v>
      </c>
      <c r="G510" t="s">
        <v>197</v>
      </c>
      <c r="H510" t="s">
        <v>197</v>
      </c>
      <c r="I510" t="s">
        <v>197</v>
      </c>
      <c r="J510" t="s">
        <v>197</v>
      </c>
      <c r="K510" t="s">
        <v>350</v>
      </c>
    </row>
    <row r="511" spans="1:24">
      <c r="B511" t="s">
        <v>197</v>
      </c>
      <c r="C511" t="s">
        <v>197</v>
      </c>
      <c r="D511" t="s">
        <v>197</v>
      </c>
      <c r="E511" t="s">
        <v>197</v>
      </c>
      <c r="F511" t="s">
        <v>197</v>
      </c>
      <c r="G511" t="s">
        <v>197</v>
      </c>
      <c r="H511" t="s">
        <v>197</v>
      </c>
      <c r="I511" t="s">
        <v>197</v>
      </c>
      <c r="J511" t="s">
        <v>197</v>
      </c>
      <c r="K511" t="s">
        <v>360</v>
      </c>
    </row>
    <row r="512" spans="1:24">
      <c r="B512" t="s">
        <v>197</v>
      </c>
      <c r="C512" t="s">
        <v>197</v>
      </c>
      <c r="D512" t="s">
        <v>197</v>
      </c>
      <c r="E512" t="s">
        <v>197</v>
      </c>
      <c r="F512" t="s">
        <v>197</v>
      </c>
      <c r="G512" t="s">
        <v>197</v>
      </c>
      <c r="H512" t="s">
        <v>197</v>
      </c>
      <c r="I512" t="s">
        <v>197</v>
      </c>
      <c r="J512" t="s">
        <v>197</v>
      </c>
      <c r="K512" t="s">
        <v>367</v>
      </c>
    </row>
    <row r="513" spans="1:24">
      <c r="B513" t="s">
        <v>197</v>
      </c>
      <c r="C513" t="s">
        <v>197</v>
      </c>
      <c r="D513" t="s">
        <v>197</v>
      </c>
      <c r="E513" t="s">
        <v>197</v>
      </c>
      <c r="F513" t="s">
        <v>197</v>
      </c>
      <c r="G513" t="s">
        <v>197</v>
      </c>
      <c r="H513" t="s">
        <v>197</v>
      </c>
      <c r="I513" t="s">
        <v>197</v>
      </c>
      <c r="J513" t="s">
        <v>197</v>
      </c>
      <c r="K513" t="s">
        <v>373</v>
      </c>
    </row>
    <row r="514" spans="1:24">
      <c r="A514" t="s">
        <v>782</v>
      </c>
      <c r="K514" t="s">
        <v>783</v>
      </c>
      <c r="W514" t="s">
        <v>171</v>
      </c>
      <c r="X514" t="str">
        <f>A514</f>
        <v>info_datetimeoffset_dml_batch2_pk_irp1</v>
      </c>
    </row>
    <row r="515" spans="1:24">
      <c r="B515" t="s">
        <v>196</v>
      </c>
      <c r="C515" t="s">
        <v>197</v>
      </c>
      <c r="D515" t="s">
        <v>197</v>
      </c>
      <c r="E515" t="s">
        <v>197</v>
      </c>
      <c r="F515" t="s">
        <v>197</v>
      </c>
      <c r="G515" t="s">
        <v>197</v>
      </c>
      <c r="H515" t="s">
        <v>197</v>
      </c>
      <c r="I515" t="s">
        <v>784</v>
      </c>
      <c r="J515" t="s">
        <v>199</v>
      </c>
      <c r="K515" t="s">
        <v>200</v>
      </c>
    </row>
    <row r="516" spans="1:24">
      <c r="B516" t="s">
        <v>197</v>
      </c>
      <c r="C516" t="s">
        <v>197</v>
      </c>
      <c r="D516" t="s">
        <v>197</v>
      </c>
      <c r="E516" t="s">
        <v>197</v>
      </c>
      <c r="F516" t="s">
        <v>197</v>
      </c>
      <c r="G516" t="s">
        <v>197</v>
      </c>
      <c r="H516" t="s">
        <v>197</v>
      </c>
      <c r="I516" t="s">
        <v>197</v>
      </c>
      <c r="J516" t="s">
        <v>197</v>
      </c>
      <c r="K516" t="s">
        <v>301</v>
      </c>
    </row>
    <row r="517" spans="1:24">
      <c r="B517" t="s">
        <v>197</v>
      </c>
      <c r="C517" t="s">
        <v>197</v>
      </c>
      <c r="D517" t="s">
        <v>197</v>
      </c>
      <c r="E517" t="s">
        <v>197</v>
      </c>
      <c r="F517" t="s">
        <v>197</v>
      </c>
      <c r="G517" t="s">
        <v>197</v>
      </c>
      <c r="H517" t="s">
        <v>197</v>
      </c>
      <c r="I517" t="s">
        <v>197</v>
      </c>
      <c r="J517" t="s">
        <v>197</v>
      </c>
      <c r="K517" t="s">
        <v>314</v>
      </c>
    </row>
    <row r="518" spans="1:24">
      <c r="B518" t="s">
        <v>197</v>
      </c>
      <c r="C518" t="s">
        <v>197</v>
      </c>
      <c r="D518" t="s">
        <v>197</v>
      </c>
      <c r="E518" t="s">
        <v>197</v>
      </c>
      <c r="F518" t="s">
        <v>197</v>
      </c>
      <c r="G518" t="s">
        <v>197</v>
      </c>
      <c r="H518" t="s">
        <v>197</v>
      </c>
      <c r="I518" t="s">
        <v>197</v>
      </c>
      <c r="J518" t="s">
        <v>197</v>
      </c>
      <c r="K518" t="s">
        <v>324</v>
      </c>
    </row>
    <row r="519" spans="1:24">
      <c r="B519" t="s">
        <v>197</v>
      </c>
      <c r="C519" t="s">
        <v>197</v>
      </c>
      <c r="D519" t="s">
        <v>197</v>
      </c>
      <c r="E519" t="s">
        <v>197</v>
      </c>
      <c r="F519" t="s">
        <v>197</v>
      </c>
      <c r="G519" t="s">
        <v>197</v>
      </c>
      <c r="H519" t="s">
        <v>197</v>
      </c>
      <c r="I519" t="s">
        <v>197</v>
      </c>
      <c r="J519" t="s">
        <v>197</v>
      </c>
      <c r="K519" t="s">
        <v>335</v>
      </c>
    </row>
    <row r="520" spans="1:24">
      <c r="B520" t="s">
        <v>197</v>
      </c>
      <c r="C520" t="s">
        <v>197</v>
      </c>
      <c r="D520" t="s">
        <v>197</v>
      </c>
      <c r="E520" t="s">
        <v>197</v>
      </c>
      <c r="F520" t="s">
        <v>197</v>
      </c>
      <c r="G520" t="s">
        <v>197</v>
      </c>
      <c r="H520" t="s">
        <v>197</v>
      </c>
      <c r="I520" t="s">
        <v>197</v>
      </c>
      <c r="J520" t="s">
        <v>197</v>
      </c>
      <c r="K520" t="s">
        <v>350</v>
      </c>
    </row>
    <row r="521" spans="1:24">
      <c r="B521" t="s">
        <v>197</v>
      </c>
      <c r="C521" t="s">
        <v>197</v>
      </c>
      <c r="D521" t="s">
        <v>197</v>
      </c>
      <c r="E521" t="s">
        <v>197</v>
      </c>
      <c r="F521" t="s">
        <v>197</v>
      </c>
      <c r="G521" t="s">
        <v>197</v>
      </c>
      <c r="H521" t="s">
        <v>197</v>
      </c>
      <c r="I521" t="s">
        <v>197</v>
      </c>
      <c r="J521" t="s">
        <v>197</v>
      </c>
      <c r="K521" t="s">
        <v>360</v>
      </c>
    </row>
    <row r="522" spans="1:24">
      <c r="B522" t="s">
        <v>197</v>
      </c>
      <c r="C522" t="s">
        <v>197</v>
      </c>
      <c r="D522" t="s">
        <v>197</v>
      </c>
      <c r="E522" t="s">
        <v>197</v>
      </c>
      <c r="F522" t="s">
        <v>197</v>
      </c>
      <c r="G522" t="s">
        <v>197</v>
      </c>
      <c r="H522" t="s">
        <v>197</v>
      </c>
      <c r="I522" t="s">
        <v>197</v>
      </c>
      <c r="J522" t="s">
        <v>197</v>
      </c>
      <c r="K522" t="s">
        <v>367</v>
      </c>
    </row>
    <row r="523" spans="1:24">
      <c r="B523" t="s">
        <v>197</v>
      </c>
      <c r="C523" t="s">
        <v>197</v>
      </c>
      <c r="D523" t="s">
        <v>197</v>
      </c>
      <c r="E523" t="s">
        <v>197</v>
      </c>
      <c r="F523" t="s">
        <v>197</v>
      </c>
      <c r="G523" t="s">
        <v>197</v>
      </c>
      <c r="H523" t="s">
        <v>197</v>
      </c>
      <c r="I523" t="s">
        <v>197</v>
      </c>
      <c r="J523" t="s">
        <v>197</v>
      </c>
      <c r="K523" t="s">
        <v>373</v>
      </c>
    </row>
    <row r="524" spans="1:24">
      <c r="A524" t="s">
        <v>779</v>
      </c>
      <c r="K524" t="s">
        <v>780</v>
      </c>
      <c r="W524" s="1" t="str">
        <f>HYPERLINK("#2026042000hbase2!AJ2","NO 源备存在差异，共44个")</f>
        <v>NO 源备存在差异，共44个</v>
      </c>
      <c r="X524" t="str">
        <f>A524</f>
        <v>info_binary_dml_batch2_pk_irp2</v>
      </c>
    </row>
    <row r="525" spans="1:24">
      <c r="B525" t="s">
        <v>196</v>
      </c>
      <c r="C525" t="s">
        <v>197</v>
      </c>
      <c r="D525" t="s">
        <v>197</v>
      </c>
      <c r="E525" t="s">
        <v>197</v>
      </c>
      <c r="F525" t="s">
        <v>197</v>
      </c>
      <c r="G525" t="s">
        <v>197</v>
      </c>
      <c r="H525" t="s">
        <v>197</v>
      </c>
      <c r="I525" t="s">
        <v>781</v>
      </c>
      <c r="J525" t="s">
        <v>199</v>
      </c>
      <c r="K525" t="s">
        <v>200</v>
      </c>
    </row>
    <row r="526" spans="1:24">
      <c r="B526" t="s">
        <v>197</v>
      </c>
      <c r="C526" t="s">
        <v>197</v>
      </c>
      <c r="D526" t="s">
        <v>197</v>
      </c>
      <c r="E526" t="s">
        <v>197</v>
      </c>
      <c r="F526" t="s">
        <v>197</v>
      </c>
      <c r="G526" t="s">
        <v>197</v>
      </c>
      <c r="H526" t="s">
        <v>197</v>
      </c>
      <c r="I526" t="s">
        <v>197</v>
      </c>
      <c r="J526" t="s">
        <v>197</v>
      </c>
      <c r="K526" t="s">
        <v>691</v>
      </c>
    </row>
    <row r="527" spans="1:24">
      <c r="B527" t="s">
        <v>197</v>
      </c>
      <c r="C527" t="s">
        <v>197</v>
      </c>
      <c r="D527" t="s">
        <v>197</v>
      </c>
      <c r="E527" t="s">
        <v>197</v>
      </c>
      <c r="F527" t="s">
        <v>197</v>
      </c>
      <c r="G527" t="s">
        <v>197</v>
      </c>
      <c r="H527" t="s">
        <v>197</v>
      </c>
      <c r="I527" t="s">
        <v>197</v>
      </c>
      <c r="J527" t="s">
        <v>197</v>
      </c>
      <c r="K527" t="s">
        <v>692</v>
      </c>
    </row>
    <row r="528" spans="1:24">
      <c r="B528" t="s">
        <v>197</v>
      </c>
      <c r="C528" t="s">
        <v>197</v>
      </c>
      <c r="D528" t="s">
        <v>197</v>
      </c>
      <c r="E528" t="s">
        <v>197</v>
      </c>
      <c r="F528" t="s">
        <v>197</v>
      </c>
      <c r="G528" t="s">
        <v>197</v>
      </c>
      <c r="H528" t="s">
        <v>197</v>
      </c>
      <c r="I528" t="s">
        <v>197</v>
      </c>
      <c r="J528" t="s">
        <v>197</v>
      </c>
      <c r="K528" t="s">
        <v>693</v>
      </c>
    </row>
    <row r="529" spans="1:24">
      <c r="A529" t="s">
        <v>785</v>
      </c>
      <c r="K529" t="s">
        <v>786</v>
      </c>
      <c r="W529" t="s">
        <v>171</v>
      </c>
      <c r="X529" t="str">
        <f>A529</f>
        <v>info_nvarchar_dml_single_pk_drp</v>
      </c>
    </row>
    <row r="530" spans="1:24">
      <c r="B530" t="s">
        <v>196</v>
      </c>
      <c r="C530" t="s">
        <v>197</v>
      </c>
      <c r="D530" t="s">
        <v>197</v>
      </c>
      <c r="E530" t="s">
        <v>197</v>
      </c>
      <c r="F530" t="s">
        <v>197</v>
      </c>
      <c r="G530" t="s">
        <v>197</v>
      </c>
      <c r="H530" t="s">
        <v>197</v>
      </c>
      <c r="I530" t="s">
        <v>787</v>
      </c>
      <c r="J530" t="s">
        <v>199</v>
      </c>
      <c r="K530" t="s">
        <v>200</v>
      </c>
    </row>
    <row r="531" spans="1:24">
      <c r="B531" t="s">
        <v>197</v>
      </c>
      <c r="C531" t="s">
        <v>197</v>
      </c>
      <c r="D531" t="s">
        <v>197</v>
      </c>
      <c r="E531" t="s">
        <v>197</v>
      </c>
      <c r="F531" t="s">
        <v>197</v>
      </c>
      <c r="G531" t="s">
        <v>197</v>
      </c>
      <c r="H531" t="s">
        <v>197</v>
      </c>
      <c r="I531" t="s">
        <v>197</v>
      </c>
      <c r="J531" t="s">
        <v>197</v>
      </c>
      <c r="K531" t="s">
        <v>408</v>
      </c>
    </row>
    <row r="532" spans="1:24">
      <c r="B532" t="s">
        <v>197</v>
      </c>
      <c r="C532" t="s">
        <v>197</v>
      </c>
      <c r="D532" t="s">
        <v>197</v>
      </c>
      <c r="E532" t="s">
        <v>197</v>
      </c>
      <c r="F532" t="s">
        <v>197</v>
      </c>
      <c r="G532" t="s">
        <v>197</v>
      </c>
      <c r="H532" t="s">
        <v>197</v>
      </c>
      <c r="I532" t="s">
        <v>197</v>
      </c>
      <c r="J532" t="s">
        <v>197</v>
      </c>
      <c r="K532" t="s">
        <v>412</v>
      </c>
    </row>
    <row r="533" spans="1:24">
      <c r="B533" t="s">
        <v>197</v>
      </c>
      <c r="C533" t="s">
        <v>197</v>
      </c>
      <c r="D533" t="s">
        <v>197</v>
      </c>
      <c r="E533" t="s">
        <v>197</v>
      </c>
      <c r="F533" t="s">
        <v>197</v>
      </c>
      <c r="G533" t="s">
        <v>197</v>
      </c>
      <c r="H533" t="s">
        <v>197</v>
      </c>
      <c r="I533" t="s">
        <v>197</v>
      </c>
      <c r="J533" t="s">
        <v>197</v>
      </c>
      <c r="K533" t="s">
        <v>730</v>
      </c>
    </row>
    <row r="534" spans="1:24">
      <c r="A534" t="s">
        <v>791</v>
      </c>
      <c r="K534" t="s">
        <v>792</v>
      </c>
      <c r="W534" t="s">
        <v>171</v>
      </c>
      <c r="X534" t="str">
        <f>A534</f>
        <v>info_varcharmax_dml_batch2_pk_irp1</v>
      </c>
    </row>
    <row r="535" spans="1:24">
      <c r="B535" t="s">
        <v>196</v>
      </c>
      <c r="C535" t="s">
        <v>197</v>
      </c>
      <c r="D535" t="s">
        <v>197</v>
      </c>
      <c r="E535" t="s">
        <v>197</v>
      </c>
      <c r="F535" t="s">
        <v>197</v>
      </c>
      <c r="G535" t="s">
        <v>197</v>
      </c>
      <c r="H535" t="s">
        <v>197</v>
      </c>
      <c r="I535" t="s">
        <v>793</v>
      </c>
      <c r="J535" t="s">
        <v>199</v>
      </c>
      <c r="K535" t="s">
        <v>200</v>
      </c>
    </row>
    <row r="536" spans="1:24">
      <c r="B536" t="s">
        <v>197</v>
      </c>
      <c r="C536" t="s">
        <v>197</v>
      </c>
      <c r="D536" t="s">
        <v>197</v>
      </c>
      <c r="E536" t="s">
        <v>197</v>
      </c>
      <c r="F536" t="s">
        <v>197</v>
      </c>
      <c r="G536" t="s">
        <v>197</v>
      </c>
      <c r="H536" t="s">
        <v>197</v>
      </c>
      <c r="I536" t="s">
        <v>197</v>
      </c>
      <c r="J536" t="s">
        <v>197</v>
      </c>
      <c r="K536" t="s">
        <v>725</v>
      </c>
    </row>
    <row r="537" spans="1:24">
      <c r="B537" t="s">
        <v>197</v>
      </c>
      <c r="C537" t="s">
        <v>197</v>
      </c>
      <c r="D537" t="s">
        <v>197</v>
      </c>
      <c r="E537" t="s">
        <v>197</v>
      </c>
      <c r="F537" t="s">
        <v>197</v>
      </c>
      <c r="G537" t="s">
        <v>197</v>
      </c>
      <c r="H537" t="s">
        <v>197</v>
      </c>
      <c r="I537" t="s">
        <v>197</v>
      </c>
      <c r="J537" t="s">
        <v>197</v>
      </c>
      <c r="K537" t="s">
        <v>726</v>
      </c>
    </row>
    <row r="538" spans="1:24">
      <c r="K538" t="s">
        <v>443</v>
      </c>
    </row>
    <row r="539" spans="1:24">
      <c r="A539" t="s">
        <v>788</v>
      </c>
      <c r="K539" t="s">
        <v>789</v>
      </c>
      <c r="W539" t="s">
        <v>171</v>
      </c>
      <c r="X539" t="str">
        <f>A539</f>
        <v>info_datetimeoffset_dml_batch2_pk_irp2</v>
      </c>
    </row>
    <row r="540" spans="1:24">
      <c r="B540" t="s">
        <v>196</v>
      </c>
      <c r="C540" t="s">
        <v>197</v>
      </c>
      <c r="D540" t="s">
        <v>197</v>
      </c>
      <c r="E540" t="s">
        <v>197</v>
      </c>
      <c r="F540" t="s">
        <v>197</v>
      </c>
      <c r="G540" t="s">
        <v>197</v>
      </c>
      <c r="H540" t="s">
        <v>197</v>
      </c>
      <c r="I540" t="s">
        <v>790</v>
      </c>
      <c r="J540" t="s">
        <v>199</v>
      </c>
      <c r="K540" t="s">
        <v>200</v>
      </c>
    </row>
    <row r="541" spans="1:24">
      <c r="B541" t="s">
        <v>197</v>
      </c>
      <c r="C541" t="s">
        <v>197</v>
      </c>
      <c r="D541" t="s">
        <v>197</v>
      </c>
      <c r="E541" t="s">
        <v>197</v>
      </c>
      <c r="F541" t="s">
        <v>197</v>
      </c>
      <c r="G541" t="s">
        <v>197</v>
      </c>
      <c r="H541" t="s">
        <v>197</v>
      </c>
      <c r="I541" t="s">
        <v>197</v>
      </c>
      <c r="J541" t="s">
        <v>197</v>
      </c>
      <c r="K541" t="s">
        <v>301</v>
      </c>
    </row>
    <row r="542" spans="1:24">
      <c r="B542" t="s">
        <v>197</v>
      </c>
      <c r="C542" t="s">
        <v>197</v>
      </c>
      <c r="D542" t="s">
        <v>197</v>
      </c>
      <c r="E542" t="s">
        <v>197</v>
      </c>
      <c r="F542" t="s">
        <v>197</v>
      </c>
      <c r="G542" t="s">
        <v>197</v>
      </c>
      <c r="H542" t="s">
        <v>197</v>
      </c>
      <c r="I542" t="s">
        <v>197</v>
      </c>
      <c r="J542" t="s">
        <v>197</v>
      </c>
      <c r="K542" t="s">
        <v>314</v>
      </c>
    </row>
    <row r="543" spans="1:24">
      <c r="B543" t="s">
        <v>197</v>
      </c>
      <c r="C543" t="s">
        <v>197</v>
      </c>
      <c r="D543" t="s">
        <v>197</v>
      </c>
      <c r="E543" t="s">
        <v>197</v>
      </c>
      <c r="F543" t="s">
        <v>197</v>
      </c>
      <c r="G543" t="s">
        <v>197</v>
      </c>
      <c r="H543" t="s">
        <v>197</v>
      </c>
      <c r="I543" t="s">
        <v>197</v>
      </c>
      <c r="J543" t="s">
        <v>197</v>
      </c>
      <c r="K543" t="s">
        <v>324</v>
      </c>
    </row>
    <row r="544" spans="1:24">
      <c r="B544" t="s">
        <v>197</v>
      </c>
      <c r="C544" t="s">
        <v>197</v>
      </c>
      <c r="D544" t="s">
        <v>197</v>
      </c>
      <c r="E544" t="s">
        <v>197</v>
      </c>
      <c r="F544" t="s">
        <v>197</v>
      </c>
      <c r="G544" t="s">
        <v>197</v>
      </c>
      <c r="H544" t="s">
        <v>197</v>
      </c>
      <c r="I544" t="s">
        <v>197</v>
      </c>
      <c r="J544" t="s">
        <v>197</v>
      </c>
      <c r="K544" t="s">
        <v>335</v>
      </c>
    </row>
    <row r="545" spans="1:24">
      <c r="B545" t="s">
        <v>197</v>
      </c>
      <c r="C545" t="s">
        <v>197</v>
      </c>
      <c r="D545" t="s">
        <v>197</v>
      </c>
      <c r="E545" t="s">
        <v>197</v>
      </c>
      <c r="F545" t="s">
        <v>197</v>
      </c>
      <c r="G545" t="s">
        <v>197</v>
      </c>
      <c r="H545" t="s">
        <v>197</v>
      </c>
      <c r="I545" t="s">
        <v>197</v>
      </c>
      <c r="J545" t="s">
        <v>197</v>
      </c>
      <c r="K545" t="s">
        <v>350</v>
      </c>
    </row>
    <row r="546" spans="1:24">
      <c r="B546" t="s">
        <v>197</v>
      </c>
      <c r="C546" t="s">
        <v>197</v>
      </c>
      <c r="D546" t="s">
        <v>197</v>
      </c>
      <c r="E546" t="s">
        <v>197</v>
      </c>
      <c r="F546" t="s">
        <v>197</v>
      </c>
      <c r="G546" t="s">
        <v>197</v>
      </c>
      <c r="H546" t="s">
        <v>197</v>
      </c>
      <c r="I546" t="s">
        <v>197</v>
      </c>
      <c r="J546" t="s">
        <v>197</v>
      </c>
      <c r="K546" t="s">
        <v>360</v>
      </c>
    </row>
    <row r="547" spans="1:24">
      <c r="B547" t="s">
        <v>197</v>
      </c>
      <c r="C547" t="s">
        <v>197</v>
      </c>
      <c r="D547" t="s">
        <v>197</v>
      </c>
      <c r="E547" t="s">
        <v>197</v>
      </c>
      <c r="F547" t="s">
        <v>197</v>
      </c>
      <c r="G547" t="s">
        <v>197</v>
      </c>
      <c r="H547" t="s">
        <v>197</v>
      </c>
      <c r="I547" t="s">
        <v>197</v>
      </c>
      <c r="J547" t="s">
        <v>197</v>
      </c>
      <c r="K547" t="s">
        <v>367</v>
      </c>
    </row>
    <row r="548" spans="1:24">
      <c r="B548" t="s">
        <v>197</v>
      </c>
      <c r="C548" t="s">
        <v>197</v>
      </c>
      <c r="D548" t="s">
        <v>197</v>
      </c>
      <c r="E548" t="s">
        <v>197</v>
      </c>
      <c r="F548" t="s">
        <v>197</v>
      </c>
      <c r="G548" t="s">
        <v>197</v>
      </c>
      <c r="H548" t="s">
        <v>197</v>
      </c>
      <c r="I548" t="s">
        <v>197</v>
      </c>
      <c r="J548" t="s">
        <v>197</v>
      </c>
      <c r="K548" t="s">
        <v>373</v>
      </c>
    </row>
    <row r="549" spans="1:24">
      <c r="A549" t="s">
        <v>794</v>
      </c>
      <c r="K549" t="s">
        <v>795</v>
      </c>
      <c r="W549" t="s">
        <v>171</v>
      </c>
      <c r="X549" t="str">
        <f>A549</f>
        <v>info_datetimeoffset_dml_batch1_pk_urp1</v>
      </c>
    </row>
    <row r="550" spans="1:24">
      <c r="B550" t="s">
        <v>196</v>
      </c>
      <c r="C550" t="s">
        <v>197</v>
      </c>
      <c r="D550" t="s">
        <v>197</v>
      </c>
      <c r="E550" t="s">
        <v>197</v>
      </c>
      <c r="F550" t="s">
        <v>197</v>
      </c>
      <c r="G550" t="s">
        <v>197</v>
      </c>
      <c r="H550" t="s">
        <v>197</v>
      </c>
      <c r="I550" t="s">
        <v>796</v>
      </c>
      <c r="J550" t="s">
        <v>199</v>
      </c>
      <c r="K550" t="s">
        <v>200</v>
      </c>
    </row>
    <row r="551" spans="1:24">
      <c r="B551" t="s">
        <v>197</v>
      </c>
      <c r="C551" t="s">
        <v>197</v>
      </c>
      <c r="D551" t="s">
        <v>197</v>
      </c>
      <c r="E551" t="s">
        <v>197</v>
      </c>
      <c r="F551" t="s">
        <v>197</v>
      </c>
      <c r="G551" t="s">
        <v>197</v>
      </c>
      <c r="H551" t="s">
        <v>197</v>
      </c>
      <c r="I551" t="s">
        <v>197</v>
      </c>
      <c r="J551" t="s">
        <v>197</v>
      </c>
      <c r="K551" t="s">
        <v>301</v>
      </c>
    </row>
    <row r="552" spans="1:24">
      <c r="B552" t="s">
        <v>197</v>
      </c>
      <c r="C552" t="s">
        <v>197</v>
      </c>
      <c r="D552" t="s">
        <v>197</v>
      </c>
      <c r="E552" t="s">
        <v>197</v>
      </c>
      <c r="F552" t="s">
        <v>197</v>
      </c>
      <c r="G552" t="s">
        <v>197</v>
      </c>
      <c r="H552" t="s">
        <v>197</v>
      </c>
      <c r="I552" t="s">
        <v>197</v>
      </c>
      <c r="J552" t="s">
        <v>197</v>
      </c>
      <c r="K552" t="s">
        <v>314</v>
      </c>
    </row>
    <row r="553" spans="1:24">
      <c r="B553" t="s">
        <v>197</v>
      </c>
      <c r="C553" t="s">
        <v>197</v>
      </c>
      <c r="D553" t="s">
        <v>197</v>
      </c>
      <c r="E553" t="s">
        <v>197</v>
      </c>
      <c r="F553" t="s">
        <v>197</v>
      </c>
      <c r="G553" t="s">
        <v>197</v>
      </c>
      <c r="H553" t="s">
        <v>197</v>
      </c>
      <c r="I553" t="s">
        <v>197</v>
      </c>
      <c r="J553" t="s">
        <v>197</v>
      </c>
      <c r="K553" t="s">
        <v>324</v>
      </c>
    </row>
    <row r="554" spans="1:24">
      <c r="B554" t="s">
        <v>197</v>
      </c>
      <c r="C554" t="s">
        <v>197</v>
      </c>
      <c r="D554" t="s">
        <v>197</v>
      </c>
      <c r="E554" t="s">
        <v>197</v>
      </c>
      <c r="F554" t="s">
        <v>197</v>
      </c>
      <c r="G554" t="s">
        <v>197</v>
      </c>
      <c r="H554" t="s">
        <v>197</v>
      </c>
      <c r="I554" t="s">
        <v>197</v>
      </c>
      <c r="J554" t="s">
        <v>197</v>
      </c>
      <c r="K554" t="s">
        <v>335</v>
      </c>
    </row>
    <row r="555" spans="1:24">
      <c r="B555" t="s">
        <v>197</v>
      </c>
      <c r="C555" t="s">
        <v>197</v>
      </c>
      <c r="D555" t="s">
        <v>197</v>
      </c>
      <c r="E555" t="s">
        <v>197</v>
      </c>
      <c r="F555" t="s">
        <v>197</v>
      </c>
      <c r="G555" t="s">
        <v>197</v>
      </c>
      <c r="H555" t="s">
        <v>197</v>
      </c>
      <c r="I555" t="s">
        <v>197</v>
      </c>
      <c r="J555" t="s">
        <v>197</v>
      </c>
      <c r="K555" t="s">
        <v>350</v>
      </c>
    </row>
    <row r="556" spans="1:24">
      <c r="B556" t="s">
        <v>197</v>
      </c>
      <c r="C556" t="s">
        <v>197</v>
      </c>
      <c r="D556" t="s">
        <v>197</v>
      </c>
      <c r="E556" t="s">
        <v>197</v>
      </c>
      <c r="F556" t="s">
        <v>197</v>
      </c>
      <c r="G556" t="s">
        <v>197</v>
      </c>
      <c r="H556" t="s">
        <v>197</v>
      </c>
      <c r="I556" t="s">
        <v>197</v>
      </c>
      <c r="J556" t="s">
        <v>197</v>
      </c>
      <c r="K556" t="s">
        <v>360</v>
      </c>
    </row>
    <row r="557" spans="1:24">
      <c r="B557" t="s">
        <v>197</v>
      </c>
      <c r="C557" t="s">
        <v>197</v>
      </c>
      <c r="D557" t="s">
        <v>197</v>
      </c>
      <c r="E557" t="s">
        <v>197</v>
      </c>
      <c r="F557" t="s">
        <v>197</v>
      </c>
      <c r="G557" t="s">
        <v>197</v>
      </c>
      <c r="H557" t="s">
        <v>197</v>
      </c>
      <c r="I557" t="s">
        <v>197</v>
      </c>
      <c r="J557" t="s">
        <v>197</v>
      </c>
      <c r="K557" t="s">
        <v>367</v>
      </c>
    </row>
    <row r="558" spans="1:24">
      <c r="B558" t="s">
        <v>197</v>
      </c>
      <c r="C558" t="s">
        <v>197</v>
      </c>
      <c r="D558" t="s">
        <v>197</v>
      </c>
      <c r="E558" t="s">
        <v>197</v>
      </c>
      <c r="F558" t="s">
        <v>197</v>
      </c>
      <c r="G558" t="s">
        <v>197</v>
      </c>
      <c r="H558" t="s">
        <v>197</v>
      </c>
      <c r="I558" t="s">
        <v>197</v>
      </c>
      <c r="J558" t="s">
        <v>197</v>
      </c>
      <c r="K558" t="s">
        <v>373</v>
      </c>
    </row>
    <row r="559" spans="1:24">
      <c r="A559" t="s">
        <v>797</v>
      </c>
      <c r="K559" t="s">
        <v>798</v>
      </c>
      <c r="W559" t="s">
        <v>171</v>
      </c>
      <c r="X559" t="str">
        <f>A559</f>
        <v>info_time_dml_single_pk_irp</v>
      </c>
    </row>
    <row r="560" spans="1:24">
      <c r="B560" t="s">
        <v>196</v>
      </c>
      <c r="C560" t="s">
        <v>197</v>
      </c>
      <c r="D560" t="s">
        <v>197</v>
      </c>
      <c r="E560" t="s">
        <v>197</v>
      </c>
      <c r="F560" t="s">
        <v>197</v>
      </c>
      <c r="G560" t="s">
        <v>197</v>
      </c>
      <c r="H560" t="s">
        <v>197</v>
      </c>
      <c r="I560" t="s">
        <v>799</v>
      </c>
      <c r="J560" t="s">
        <v>199</v>
      </c>
      <c r="K560" t="s">
        <v>200</v>
      </c>
    </row>
    <row r="561" spans="1:24">
      <c r="B561" t="s">
        <v>197</v>
      </c>
      <c r="C561" t="s">
        <v>197</v>
      </c>
      <c r="D561" t="s">
        <v>197</v>
      </c>
      <c r="E561" t="s">
        <v>197</v>
      </c>
      <c r="F561" t="s">
        <v>197</v>
      </c>
      <c r="G561" t="s">
        <v>197</v>
      </c>
      <c r="H561" t="s">
        <v>197</v>
      </c>
      <c r="I561" t="s">
        <v>197</v>
      </c>
      <c r="J561" t="s">
        <v>197</v>
      </c>
      <c r="K561" t="s">
        <v>800</v>
      </c>
    </row>
    <row r="562" spans="1:24">
      <c r="B562" t="s">
        <v>197</v>
      </c>
      <c r="C562" t="s">
        <v>197</v>
      </c>
      <c r="D562" t="s">
        <v>197</v>
      </c>
      <c r="E562" t="s">
        <v>197</v>
      </c>
      <c r="F562" t="s">
        <v>197</v>
      </c>
      <c r="G562" t="s">
        <v>197</v>
      </c>
      <c r="H562" t="s">
        <v>197</v>
      </c>
      <c r="I562" t="s">
        <v>197</v>
      </c>
      <c r="J562" t="s">
        <v>197</v>
      </c>
      <c r="K562" t="s">
        <v>801</v>
      </c>
    </row>
    <row r="563" spans="1:24">
      <c r="B563" t="s">
        <v>197</v>
      </c>
      <c r="C563" t="s">
        <v>197</v>
      </c>
      <c r="D563" t="s">
        <v>197</v>
      </c>
      <c r="E563" t="s">
        <v>197</v>
      </c>
      <c r="F563" t="s">
        <v>197</v>
      </c>
      <c r="G563" t="s">
        <v>197</v>
      </c>
      <c r="H563" t="s">
        <v>197</v>
      </c>
      <c r="I563" t="s">
        <v>197</v>
      </c>
      <c r="J563" t="s">
        <v>197</v>
      </c>
      <c r="K563" t="s">
        <v>802</v>
      </c>
    </row>
    <row r="564" spans="1:24">
      <c r="B564" t="s">
        <v>197</v>
      </c>
      <c r="C564" t="s">
        <v>197</v>
      </c>
      <c r="D564" t="s">
        <v>197</v>
      </c>
      <c r="E564" t="s">
        <v>197</v>
      </c>
      <c r="F564" t="s">
        <v>197</v>
      </c>
      <c r="G564" t="s">
        <v>197</v>
      </c>
      <c r="H564" t="s">
        <v>197</v>
      </c>
      <c r="I564" t="s">
        <v>197</v>
      </c>
      <c r="J564" t="s">
        <v>197</v>
      </c>
      <c r="K564" t="s">
        <v>803</v>
      </c>
    </row>
    <row r="565" spans="1:24">
      <c r="B565" t="s">
        <v>197</v>
      </c>
      <c r="C565" t="s">
        <v>197</v>
      </c>
      <c r="D565" t="s">
        <v>197</v>
      </c>
      <c r="E565" t="s">
        <v>197</v>
      </c>
      <c r="F565" t="s">
        <v>197</v>
      </c>
      <c r="G565" t="s">
        <v>197</v>
      </c>
      <c r="H565" t="s">
        <v>197</v>
      </c>
      <c r="I565" t="s">
        <v>197</v>
      </c>
      <c r="J565" t="s">
        <v>197</v>
      </c>
      <c r="K565" t="s">
        <v>804</v>
      </c>
    </row>
    <row r="566" spans="1:24">
      <c r="B566" t="s">
        <v>197</v>
      </c>
      <c r="C566" t="s">
        <v>197</v>
      </c>
      <c r="D566" t="s">
        <v>197</v>
      </c>
      <c r="E566" t="s">
        <v>197</v>
      </c>
      <c r="F566" t="s">
        <v>197</v>
      </c>
      <c r="G566" t="s">
        <v>197</v>
      </c>
      <c r="H566" t="s">
        <v>197</v>
      </c>
      <c r="I566" t="s">
        <v>197</v>
      </c>
      <c r="J566" t="s">
        <v>197</v>
      </c>
      <c r="K566" t="s">
        <v>805</v>
      </c>
    </row>
    <row r="567" spans="1:24">
      <c r="B567" t="s">
        <v>197</v>
      </c>
      <c r="C567" t="s">
        <v>197</v>
      </c>
      <c r="D567" t="s">
        <v>197</v>
      </c>
      <c r="E567" t="s">
        <v>197</v>
      </c>
      <c r="F567" t="s">
        <v>197</v>
      </c>
      <c r="G567" t="s">
        <v>197</v>
      </c>
      <c r="H567" t="s">
        <v>197</v>
      </c>
      <c r="I567" t="s">
        <v>197</v>
      </c>
      <c r="J567" t="s">
        <v>197</v>
      </c>
      <c r="K567" t="s">
        <v>806</v>
      </c>
    </row>
    <row r="568" spans="1:24">
      <c r="B568" t="s">
        <v>197</v>
      </c>
      <c r="C568" t="s">
        <v>197</v>
      </c>
      <c r="D568" t="s">
        <v>197</v>
      </c>
      <c r="E568" t="s">
        <v>197</v>
      </c>
      <c r="F568" t="s">
        <v>197</v>
      </c>
      <c r="G568" t="s">
        <v>197</v>
      </c>
      <c r="H568" t="s">
        <v>197</v>
      </c>
      <c r="I568" t="s">
        <v>197</v>
      </c>
      <c r="J568" t="s">
        <v>197</v>
      </c>
      <c r="K568" t="s">
        <v>807</v>
      </c>
    </row>
    <row r="569" spans="1:24">
      <c r="A569" t="s">
        <v>811</v>
      </c>
      <c r="K569" t="s">
        <v>812</v>
      </c>
      <c r="W569" t="s">
        <v>171</v>
      </c>
      <c r="X569" t="str">
        <f>A569</f>
        <v>info_datetimeoffset_dml_batch1_pk_urp2</v>
      </c>
    </row>
    <row r="570" spans="1:24">
      <c r="B570" t="s">
        <v>196</v>
      </c>
      <c r="C570" t="s">
        <v>197</v>
      </c>
      <c r="D570" t="s">
        <v>197</v>
      </c>
      <c r="E570" t="s">
        <v>197</v>
      </c>
      <c r="F570" t="s">
        <v>197</v>
      </c>
      <c r="G570" t="s">
        <v>197</v>
      </c>
      <c r="H570" t="s">
        <v>197</v>
      </c>
      <c r="I570" t="s">
        <v>813</v>
      </c>
      <c r="J570" t="s">
        <v>199</v>
      </c>
      <c r="K570" t="s">
        <v>200</v>
      </c>
    </row>
    <row r="571" spans="1:24">
      <c r="B571" t="s">
        <v>197</v>
      </c>
      <c r="C571" t="s">
        <v>197</v>
      </c>
      <c r="D571" t="s">
        <v>197</v>
      </c>
      <c r="E571" t="s">
        <v>197</v>
      </c>
      <c r="F571" t="s">
        <v>197</v>
      </c>
      <c r="G571" t="s">
        <v>197</v>
      </c>
      <c r="H571" t="s">
        <v>197</v>
      </c>
      <c r="I571" t="s">
        <v>197</v>
      </c>
      <c r="J571" t="s">
        <v>197</v>
      </c>
      <c r="K571" t="s">
        <v>301</v>
      </c>
    </row>
    <row r="572" spans="1:24">
      <c r="B572" t="s">
        <v>197</v>
      </c>
      <c r="C572" t="s">
        <v>197</v>
      </c>
      <c r="D572" t="s">
        <v>197</v>
      </c>
      <c r="E572" t="s">
        <v>197</v>
      </c>
      <c r="F572" t="s">
        <v>197</v>
      </c>
      <c r="G572" t="s">
        <v>197</v>
      </c>
      <c r="H572" t="s">
        <v>197</v>
      </c>
      <c r="I572" t="s">
        <v>197</v>
      </c>
      <c r="J572" t="s">
        <v>197</v>
      </c>
      <c r="K572" t="s">
        <v>314</v>
      </c>
    </row>
    <row r="573" spans="1:24">
      <c r="B573" t="s">
        <v>197</v>
      </c>
      <c r="C573" t="s">
        <v>197</v>
      </c>
      <c r="D573" t="s">
        <v>197</v>
      </c>
      <c r="E573" t="s">
        <v>197</v>
      </c>
      <c r="F573" t="s">
        <v>197</v>
      </c>
      <c r="G573" t="s">
        <v>197</v>
      </c>
      <c r="H573" t="s">
        <v>197</v>
      </c>
      <c r="I573" t="s">
        <v>197</v>
      </c>
      <c r="J573" t="s">
        <v>197</v>
      </c>
      <c r="K573" t="s">
        <v>324</v>
      </c>
    </row>
    <row r="574" spans="1:24">
      <c r="B574" t="s">
        <v>197</v>
      </c>
      <c r="C574" t="s">
        <v>197</v>
      </c>
      <c r="D574" t="s">
        <v>197</v>
      </c>
      <c r="E574" t="s">
        <v>197</v>
      </c>
      <c r="F574" t="s">
        <v>197</v>
      </c>
      <c r="G574" t="s">
        <v>197</v>
      </c>
      <c r="H574" t="s">
        <v>197</v>
      </c>
      <c r="I574" t="s">
        <v>197</v>
      </c>
      <c r="J574" t="s">
        <v>197</v>
      </c>
      <c r="K574" t="s">
        <v>335</v>
      </c>
    </row>
    <row r="575" spans="1:24">
      <c r="B575" t="s">
        <v>197</v>
      </c>
      <c r="C575" t="s">
        <v>197</v>
      </c>
      <c r="D575" t="s">
        <v>197</v>
      </c>
      <c r="E575" t="s">
        <v>197</v>
      </c>
      <c r="F575" t="s">
        <v>197</v>
      </c>
      <c r="G575" t="s">
        <v>197</v>
      </c>
      <c r="H575" t="s">
        <v>197</v>
      </c>
      <c r="I575" t="s">
        <v>197</v>
      </c>
      <c r="J575" t="s">
        <v>197</v>
      </c>
      <c r="K575" t="s">
        <v>350</v>
      </c>
    </row>
    <row r="576" spans="1:24">
      <c r="B576" t="s">
        <v>197</v>
      </c>
      <c r="C576" t="s">
        <v>197</v>
      </c>
      <c r="D576" t="s">
        <v>197</v>
      </c>
      <c r="E576" t="s">
        <v>197</v>
      </c>
      <c r="F576" t="s">
        <v>197</v>
      </c>
      <c r="G576" t="s">
        <v>197</v>
      </c>
      <c r="H576" t="s">
        <v>197</v>
      </c>
      <c r="I576" t="s">
        <v>197</v>
      </c>
      <c r="J576" t="s">
        <v>197</v>
      </c>
      <c r="K576" t="s">
        <v>360</v>
      </c>
    </row>
    <row r="577" spans="1:24">
      <c r="B577" t="s">
        <v>197</v>
      </c>
      <c r="C577" t="s">
        <v>197</v>
      </c>
      <c r="D577" t="s">
        <v>197</v>
      </c>
      <c r="E577" t="s">
        <v>197</v>
      </c>
      <c r="F577" t="s">
        <v>197</v>
      </c>
      <c r="G577" t="s">
        <v>197</v>
      </c>
      <c r="H577" t="s">
        <v>197</v>
      </c>
      <c r="I577" t="s">
        <v>197</v>
      </c>
      <c r="J577" t="s">
        <v>197</v>
      </c>
      <c r="K577" t="s">
        <v>367</v>
      </c>
    </row>
    <row r="578" spans="1:24">
      <c r="B578" t="s">
        <v>197</v>
      </c>
      <c r="C578" t="s">
        <v>197</v>
      </c>
      <c r="D578" t="s">
        <v>197</v>
      </c>
      <c r="E578" t="s">
        <v>197</v>
      </c>
      <c r="F578" t="s">
        <v>197</v>
      </c>
      <c r="G578" t="s">
        <v>197</v>
      </c>
      <c r="H578" t="s">
        <v>197</v>
      </c>
      <c r="I578" t="s">
        <v>197</v>
      </c>
      <c r="J578" t="s">
        <v>197</v>
      </c>
      <c r="K578" t="s">
        <v>373</v>
      </c>
    </row>
    <row r="579" spans="1:24">
      <c r="A579" t="s">
        <v>808</v>
      </c>
      <c r="K579" t="s">
        <v>809</v>
      </c>
      <c r="W579" t="s">
        <v>171</v>
      </c>
      <c r="X579" t="str">
        <f>A579</f>
        <v>info_date_dml_batch1_pk_irp2</v>
      </c>
    </row>
    <row r="580" spans="1:24">
      <c r="B580" t="s">
        <v>196</v>
      </c>
      <c r="C580" t="s">
        <v>197</v>
      </c>
      <c r="D580" t="s">
        <v>197</v>
      </c>
      <c r="E580" t="s">
        <v>197</v>
      </c>
      <c r="F580" t="s">
        <v>197</v>
      </c>
      <c r="G580" t="s">
        <v>197</v>
      </c>
      <c r="H580" t="s">
        <v>197</v>
      </c>
      <c r="I580" t="s">
        <v>810</v>
      </c>
      <c r="J580" t="s">
        <v>199</v>
      </c>
      <c r="K580" t="s">
        <v>200</v>
      </c>
    </row>
    <row r="581" spans="1:24">
      <c r="B581" t="s">
        <v>197</v>
      </c>
      <c r="C581" t="s">
        <v>197</v>
      </c>
      <c r="D581" t="s">
        <v>197</v>
      </c>
      <c r="E581" t="s">
        <v>197</v>
      </c>
      <c r="F581" t="s">
        <v>197</v>
      </c>
      <c r="G581" t="s">
        <v>197</v>
      </c>
      <c r="H581" t="s">
        <v>197</v>
      </c>
      <c r="I581" t="s">
        <v>197</v>
      </c>
      <c r="J581" t="s">
        <v>197</v>
      </c>
      <c r="K581" t="s">
        <v>678</v>
      </c>
    </row>
    <row r="582" spans="1:24">
      <c r="A582" t="s">
        <v>814</v>
      </c>
      <c r="K582" t="s">
        <v>815</v>
      </c>
      <c r="W582" t="s">
        <v>171</v>
      </c>
      <c r="X582" t="str">
        <f>A582</f>
        <v>info_varcharmax_dml_batch2_pk_irp2</v>
      </c>
    </row>
    <row r="583" spans="1:24">
      <c r="B583" t="s">
        <v>196</v>
      </c>
      <c r="C583" t="s">
        <v>197</v>
      </c>
      <c r="D583" t="s">
        <v>197</v>
      </c>
      <c r="E583" t="s">
        <v>197</v>
      </c>
      <c r="F583" t="s">
        <v>197</v>
      </c>
      <c r="G583" t="s">
        <v>197</v>
      </c>
      <c r="H583" t="s">
        <v>197</v>
      </c>
      <c r="I583" t="s">
        <v>816</v>
      </c>
      <c r="J583" t="s">
        <v>199</v>
      </c>
      <c r="K583" t="s">
        <v>200</v>
      </c>
    </row>
    <row r="584" spans="1:24">
      <c r="B584" t="s">
        <v>197</v>
      </c>
      <c r="C584" t="s">
        <v>197</v>
      </c>
      <c r="D584" t="s">
        <v>197</v>
      </c>
      <c r="E584" t="s">
        <v>197</v>
      </c>
      <c r="F584" t="s">
        <v>197</v>
      </c>
      <c r="G584" t="s">
        <v>197</v>
      </c>
      <c r="H584" t="s">
        <v>197</v>
      </c>
      <c r="I584" t="s">
        <v>197</v>
      </c>
      <c r="J584" t="s">
        <v>197</v>
      </c>
      <c r="K584" t="s">
        <v>725</v>
      </c>
    </row>
    <row r="585" spans="1:24">
      <c r="B585" t="s">
        <v>197</v>
      </c>
      <c r="C585" t="s">
        <v>197</v>
      </c>
      <c r="D585" t="s">
        <v>197</v>
      </c>
      <c r="E585" t="s">
        <v>197</v>
      </c>
      <c r="F585" t="s">
        <v>197</v>
      </c>
      <c r="G585" t="s">
        <v>197</v>
      </c>
      <c r="H585" t="s">
        <v>197</v>
      </c>
      <c r="I585" t="s">
        <v>197</v>
      </c>
      <c r="J585" t="s">
        <v>197</v>
      </c>
      <c r="K585" t="s">
        <v>726</v>
      </c>
    </row>
    <row r="586" spans="1:24">
      <c r="K586" t="s">
        <v>443</v>
      </c>
    </row>
    <row r="587" spans="1:24">
      <c r="A587" t="s">
        <v>817</v>
      </c>
      <c r="K587" t="s">
        <v>818</v>
      </c>
      <c r="W587" t="s">
        <v>171</v>
      </c>
      <c r="X587" t="str">
        <f>A587</f>
        <v>info_datetimeoffset_dml_batch1_pk_drp1</v>
      </c>
    </row>
    <row r="588" spans="1:24">
      <c r="B588" t="s">
        <v>196</v>
      </c>
      <c r="C588" t="s">
        <v>197</v>
      </c>
      <c r="D588" t="s">
        <v>197</v>
      </c>
      <c r="E588" t="s">
        <v>197</v>
      </c>
      <c r="F588" t="s">
        <v>197</v>
      </c>
      <c r="G588" t="s">
        <v>197</v>
      </c>
      <c r="H588" t="s">
        <v>197</v>
      </c>
      <c r="I588" t="s">
        <v>819</v>
      </c>
      <c r="J588" t="s">
        <v>199</v>
      </c>
      <c r="K588" t="s">
        <v>200</v>
      </c>
    </row>
    <row r="589" spans="1:24">
      <c r="B589" t="s">
        <v>197</v>
      </c>
      <c r="C589" t="s">
        <v>197</v>
      </c>
      <c r="D589" t="s">
        <v>197</v>
      </c>
      <c r="E589" t="s">
        <v>197</v>
      </c>
      <c r="F589" t="s">
        <v>197</v>
      </c>
      <c r="G589" t="s">
        <v>197</v>
      </c>
      <c r="H589" t="s">
        <v>197</v>
      </c>
      <c r="I589" t="s">
        <v>197</v>
      </c>
      <c r="J589" t="s">
        <v>197</v>
      </c>
      <c r="K589" t="s">
        <v>301</v>
      </c>
    </row>
    <row r="590" spans="1:24">
      <c r="B590" t="s">
        <v>197</v>
      </c>
      <c r="C590" t="s">
        <v>197</v>
      </c>
      <c r="D590" t="s">
        <v>197</v>
      </c>
      <c r="E590" t="s">
        <v>197</v>
      </c>
      <c r="F590" t="s">
        <v>197</v>
      </c>
      <c r="G590" t="s">
        <v>197</v>
      </c>
      <c r="H590" t="s">
        <v>197</v>
      </c>
      <c r="I590" t="s">
        <v>197</v>
      </c>
      <c r="J590" t="s">
        <v>197</v>
      </c>
      <c r="K590" t="s">
        <v>314</v>
      </c>
    </row>
    <row r="591" spans="1:24">
      <c r="B591" t="s">
        <v>197</v>
      </c>
      <c r="C591" t="s">
        <v>197</v>
      </c>
      <c r="D591" t="s">
        <v>197</v>
      </c>
      <c r="E591" t="s">
        <v>197</v>
      </c>
      <c r="F591" t="s">
        <v>197</v>
      </c>
      <c r="G591" t="s">
        <v>197</v>
      </c>
      <c r="H591" t="s">
        <v>197</v>
      </c>
      <c r="I591" t="s">
        <v>197</v>
      </c>
      <c r="J591" t="s">
        <v>197</v>
      </c>
      <c r="K591" t="s">
        <v>324</v>
      </c>
    </row>
    <row r="592" spans="1:24">
      <c r="B592" t="s">
        <v>197</v>
      </c>
      <c r="C592" t="s">
        <v>197</v>
      </c>
      <c r="D592" t="s">
        <v>197</v>
      </c>
      <c r="E592" t="s">
        <v>197</v>
      </c>
      <c r="F592" t="s">
        <v>197</v>
      </c>
      <c r="G592" t="s">
        <v>197</v>
      </c>
      <c r="H592" t="s">
        <v>197</v>
      </c>
      <c r="I592" t="s">
        <v>197</v>
      </c>
      <c r="J592" t="s">
        <v>197</v>
      </c>
      <c r="K592" t="s">
        <v>335</v>
      </c>
    </row>
    <row r="593" spans="1:24">
      <c r="B593" t="s">
        <v>197</v>
      </c>
      <c r="C593" t="s">
        <v>197</v>
      </c>
      <c r="D593" t="s">
        <v>197</v>
      </c>
      <c r="E593" t="s">
        <v>197</v>
      </c>
      <c r="F593" t="s">
        <v>197</v>
      </c>
      <c r="G593" t="s">
        <v>197</v>
      </c>
      <c r="H593" t="s">
        <v>197</v>
      </c>
      <c r="I593" t="s">
        <v>197</v>
      </c>
      <c r="J593" t="s">
        <v>197</v>
      </c>
      <c r="K593" t="s">
        <v>350</v>
      </c>
    </row>
    <row r="594" spans="1:24">
      <c r="B594" t="s">
        <v>197</v>
      </c>
      <c r="C594" t="s">
        <v>197</v>
      </c>
      <c r="D594" t="s">
        <v>197</v>
      </c>
      <c r="E594" t="s">
        <v>197</v>
      </c>
      <c r="F594" t="s">
        <v>197</v>
      </c>
      <c r="G594" t="s">
        <v>197</v>
      </c>
      <c r="H594" t="s">
        <v>197</v>
      </c>
      <c r="I594" t="s">
        <v>197</v>
      </c>
      <c r="J594" t="s">
        <v>197</v>
      </c>
      <c r="K594" t="s">
        <v>360</v>
      </c>
    </row>
    <row r="595" spans="1:24">
      <c r="B595" t="s">
        <v>197</v>
      </c>
      <c r="C595" t="s">
        <v>197</v>
      </c>
      <c r="D595" t="s">
        <v>197</v>
      </c>
      <c r="E595" t="s">
        <v>197</v>
      </c>
      <c r="F595" t="s">
        <v>197</v>
      </c>
      <c r="G595" t="s">
        <v>197</v>
      </c>
      <c r="H595" t="s">
        <v>197</v>
      </c>
      <c r="I595" t="s">
        <v>197</v>
      </c>
      <c r="J595" t="s">
        <v>197</v>
      </c>
      <c r="K595" t="s">
        <v>367</v>
      </c>
    </row>
    <row r="596" spans="1:24">
      <c r="B596" t="s">
        <v>197</v>
      </c>
      <c r="C596" t="s">
        <v>197</v>
      </c>
      <c r="D596" t="s">
        <v>197</v>
      </c>
      <c r="E596" t="s">
        <v>197</v>
      </c>
      <c r="F596" t="s">
        <v>197</v>
      </c>
      <c r="G596" t="s">
        <v>197</v>
      </c>
      <c r="H596" t="s">
        <v>197</v>
      </c>
      <c r="I596" t="s">
        <v>197</v>
      </c>
      <c r="J596" t="s">
        <v>197</v>
      </c>
      <c r="K596" t="s">
        <v>373</v>
      </c>
    </row>
    <row r="597" spans="1:24">
      <c r="K597" t="s">
        <v>443</v>
      </c>
    </row>
    <row r="598" spans="1:24">
      <c r="A598" t="s">
        <v>820</v>
      </c>
      <c r="K598" t="s">
        <v>821</v>
      </c>
      <c r="W598" t="s">
        <v>171</v>
      </c>
      <c r="X598" t="str">
        <f>A598</f>
        <v>info_nchar_dml_batch1_pk_urp1</v>
      </c>
    </row>
    <row r="599" spans="1:24">
      <c r="B599" t="s">
        <v>196</v>
      </c>
      <c r="C599" t="s">
        <v>197</v>
      </c>
      <c r="D599" t="s">
        <v>197</v>
      </c>
      <c r="E599" t="s">
        <v>197</v>
      </c>
      <c r="F599" t="s">
        <v>197</v>
      </c>
      <c r="G599" t="s">
        <v>197</v>
      </c>
      <c r="H599" t="s">
        <v>197</v>
      </c>
      <c r="I599" t="s">
        <v>822</v>
      </c>
      <c r="J599" t="s">
        <v>199</v>
      </c>
      <c r="K599" t="s">
        <v>200</v>
      </c>
    </row>
    <row r="600" spans="1:24">
      <c r="B600" t="s">
        <v>197</v>
      </c>
      <c r="C600" t="s">
        <v>197</v>
      </c>
      <c r="D600" t="s">
        <v>197</v>
      </c>
      <c r="E600" t="s">
        <v>197</v>
      </c>
      <c r="F600" t="s">
        <v>197</v>
      </c>
      <c r="G600" t="s">
        <v>197</v>
      </c>
      <c r="H600" t="s">
        <v>197</v>
      </c>
      <c r="I600" t="s">
        <v>197</v>
      </c>
      <c r="J600" t="s">
        <v>197</v>
      </c>
      <c r="K600" t="s">
        <v>514</v>
      </c>
    </row>
    <row r="601" spans="1:24">
      <c r="B601" t="s">
        <v>197</v>
      </c>
      <c r="C601" t="s">
        <v>197</v>
      </c>
      <c r="D601" t="s">
        <v>197</v>
      </c>
      <c r="E601" t="s">
        <v>197</v>
      </c>
      <c r="F601" t="s">
        <v>197</v>
      </c>
      <c r="G601" t="s">
        <v>197</v>
      </c>
      <c r="H601" t="s">
        <v>197</v>
      </c>
      <c r="I601" t="s">
        <v>197</v>
      </c>
      <c r="J601" t="s">
        <v>197</v>
      </c>
      <c r="K601" t="s">
        <v>516</v>
      </c>
    </row>
    <row r="602" spans="1:24">
      <c r="B602" t="s">
        <v>197</v>
      </c>
      <c r="C602" t="s">
        <v>197</v>
      </c>
      <c r="D602" t="s">
        <v>197</v>
      </c>
      <c r="E602" t="s">
        <v>197</v>
      </c>
      <c r="F602" t="s">
        <v>197</v>
      </c>
      <c r="G602" t="s">
        <v>197</v>
      </c>
      <c r="H602" t="s">
        <v>197</v>
      </c>
      <c r="I602" t="s">
        <v>197</v>
      </c>
      <c r="J602" t="s">
        <v>197</v>
      </c>
      <c r="K602" t="s">
        <v>612</v>
      </c>
    </row>
    <row r="603" spans="1:24">
      <c r="A603" t="s">
        <v>823</v>
      </c>
      <c r="K603" t="s">
        <v>824</v>
      </c>
      <c r="W603" t="s">
        <v>171</v>
      </c>
      <c r="X603" t="str">
        <f>A603</f>
        <v>info_hierarchyid_dml_single_pk</v>
      </c>
    </row>
    <row r="604" spans="1:24">
      <c r="B604" t="s">
        <v>196</v>
      </c>
      <c r="C604" t="s">
        <v>197</v>
      </c>
      <c r="D604" t="s">
        <v>197</v>
      </c>
      <c r="E604" t="s">
        <v>197</v>
      </c>
      <c r="F604" t="s">
        <v>197</v>
      </c>
      <c r="G604" t="s">
        <v>197</v>
      </c>
      <c r="H604" t="s">
        <v>197</v>
      </c>
      <c r="I604" t="s">
        <v>825</v>
      </c>
      <c r="J604" t="s">
        <v>199</v>
      </c>
      <c r="K604" t="s">
        <v>200</v>
      </c>
    </row>
    <row r="605" spans="1:24">
      <c r="B605" t="s">
        <v>197</v>
      </c>
      <c r="C605" t="s">
        <v>197</v>
      </c>
      <c r="D605" t="s">
        <v>197</v>
      </c>
      <c r="E605" t="s">
        <v>197</v>
      </c>
      <c r="F605" t="s">
        <v>197</v>
      </c>
      <c r="G605" t="s">
        <v>197</v>
      </c>
      <c r="H605" t="s">
        <v>197</v>
      </c>
      <c r="I605" t="s">
        <v>197</v>
      </c>
      <c r="J605" t="s">
        <v>197</v>
      </c>
      <c r="K605" t="s">
        <v>706</v>
      </c>
    </row>
    <row r="606" spans="1:24">
      <c r="A606" t="s">
        <v>826</v>
      </c>
      <c r="K606" t="s">
        <v>827</v>
      </c>
      <c r="W606" t="s">
        <v>171</v>
      </c>
      <c r="X606" t="str">
        <f>A606</f>
        <v>info_datetimeoffset_dml_batch1_pk_drp2</v>
      </c>
    </row>
    <row r="607" spans="1:24">
      <c r="B607" t="s">
        <v>196</v>
      </c>
      <c r="C607" t="s">
        <v>197</v>
      </c>
      <c r="D607" t="s">
        <v>197</v>
      </c>
      <c r="E607" t="s">
        <v>197</v>
      </c>
      <c r="F607" t="s">
        <v>197</v>
      </c>
      <c r="G607" t="s">
        <v>197</v>
      </c>
      <c r="H607" t="s">
        <v>197</v>
      </c>
      <c r="I607" t="s">
        <v>828</v>
      </c>
      <c r="J607" t="s">
        <v>199</v>
      </c>
      <c r="K607" t="s">
        <v>200</v>
      </c>
    </row>
    <row r="608" spans="1:24">
      <c r="B608" t="s">
        <v>197</v>
      </c>
      <c r="C608" t="s">
        <v>197</v>
      </c>
      <c r="D608" t="s">
        <v>197</v>
      </c>
      <c r="E608" t="s">
        <v>197</v>
      </c>
      <c r="F608" t="s">
        <v>197</v>
      </c>
      <c r="G608" t="s">
        <v>197</v>
      </c>
      <c r="H608" t="s">
        <v>197</v>
      </c>
      <c r="I608" t="s">
        <v>197</v>
      </c>
      <c r="J608" t="s">
        <v>197</v>
      </c>
      <c r="K608" t="s">
        <v>301</v>
      </c>
    </row>
    <row r="609" spans="1:24">
      <c r="B609" t="s">
        <v>197</v>
      </c>
      <c r="C609" t="s">
        <v>197</v>
      </c>
      <c r="D609" t="s">
        <v>197</v>
      </c>
      <c r="E609" t="s">
        <v>197</v>
      </c>
      <c r="F609" t="s">
        <v>197</v>
      </c>
      <c r="G609" t="s">
        <v>197</v>
      </c>
      <c r="H609" t="s">
        <v>197</v>
      </c>
      <c r="I609" t="s">
        <v>197</v>
      </c>
      <c r="J609" t="s">
        <v>197</v>
      </c>
      <c r="K609" t="s">
        <v>314</v>
      </c>
    </row>
    <row r="610" spans="1:24">
      <c r="B610" t="s">
        <v>197</v>
      </c>
      <c r="C610" t="s">
        <v>197</v>
      </c>
      <c r="D610" t="s">
        <v>197</v>
      </c>
      <c r="E610" t="s">
        <v>197</v>
      </c>
      <c r="F610" t="s">
        <v>197</v>
      </c>
      <c r="G610" t="s">
        <v>197</v>
      </c>
      <c r="H610" t="s">
        <v>197</v>
      </c>
      <c r="I610" t="s">
        <v>197</v>
      </c>
      <c r="J610" t="s">
        <v>197</v>
      </c>
      <c r="K610" t="s">
        <v>324</v>
      </c>
    </row>
    <row r="611" spans="1:24">
      <c r="B611" t="s">
        <v>197</v>
      </c>
      <c r="C611" t="s">
        <v>197</v>
      </c>
      <c r="D611" t="s">
        <v>197</v>
      </c>
      <c r="E611" t="s">
        <v>197</v>
      </c>
      <c r="F611" t="s">
        <v>197</v>
      </c>
      <c r="G611" t="s">
        <v>197</v>
      </c>
      <c r="H611" t="s">
        <v>197</v>
      </c>
      <c r="I611" t="s">
        <v>197</v>
      </c>
      <c r="J611" t="s">
        <v>197</v>
      </c>
      <c r="K611" t="s">
        <v>335</v>
      </c>
    </row>
    <row r="612" spans="1:24">
      <c r="B612" t="s">
        <v>197</v>
      </c>
      <c r="C612" t="s">
        <v>197</v>
      </c>
      <c r="D612" t="s">
        <v>197</v>
      </c>
      <c r="E612" t="s">
        <v>197</v>
      </c>
      <c r="F612" t="s">
        <v>197</v>
      </c>
      <c r="G612" t="s">
        <v>197</v>
      </c>
      <c r="H612" t="s">
        <v>197</v>
      </c>
      <c r="I612" t="s">
        <v>197</v>
      </c>
      <c r="J612" t="s">
        <v>197</v>
      </c>
      <c r="K612" t="s">
        <v>350</v>
      </c>
    </row>
    <row r="613" spans="1:24">
      <c r="B613" t="s">
        <v>197</v>
      </c>
      <c r="C613" t="s">
        <v>197</v>
      </c>
      <c r="D613" t="s">
        <v>197</v>
      </c>
      <c r="E613" t="s">
        <v>197</v>
      </c>
      <c r="F613" t="s">
        <v>197</v>
      </c>
      <c r="G613" t="s">
        <v>197</v>
      </c>
      <c r="H613" t="s">
        <v>197</v>
      </c>
      <c r="I613" t="s">
        <v>197</v>
      </c>
      <c r="J613" t="s">
        <v>197</v>
      </c>
      <c r="K613" t="s">
        <v>360</v>
      </c>
    </row>
    <row r="614" spans="1:24">
      <c r="B614" t="s">
        <v>197</v>
      </c>
      <c r="C614" t="s">
        <v>197</v>
      </c>
      <c r="D614" t="s">
        <v>197</v>
      </c>
      <c r="E614" t="s">
        <v>197</v>
      </c>
      <c r="F614" t="s">
        <v>197</v>
      </c>
      <c r="G614" t="s">
        <v>197</v>
      </c>
      <c r="H614" t="s">
        <v>197</v>
      </c>
      <c r="I614" t="s">
        <v>197</v>
      </c>
      <c r="J614" t="s">
        <v>197</v>
      </c>
      <c r="K614" t="s">
        <v>367</v>
      </c>
    </row>
    <row r="615" spans="1:24">
      <c r="B615" t="s">
        <v>197</v>
      </c>
      <c r="C615" t="s">
        <v>197</v>
      </c>
      <c r="D615" t="s">
        <v>197</v>
      </c>
      <c r="E615" t="s">
        <v>197</v>
      </c>
      <c r="F615" t="s">
        <v>197</v>
      </c>
      <c r="G615" t="s">
        <v>197</v>
      </c>
      <c r="H615" t="s">
        <v>197</v>
      </c>
      <c r="I615" t="s">
        <v>197</v>
      </c>
      <c r="J615" t="s">
        <v>197</v>
      </c>
      <c r="K615" t="s">
        <v>373</v>
      </c>
    </row>
    <row r="616" spans="1:24">
      <c r="A616" t="s">
        <v>829</v>
      </c>
      <c r="K616" t="s">
        <v>830</v>
      </c>
      <c r="W616" t="s">
        <v>171</v>
      </c>
      <c r="X616" t="str">
        <f>A616</f>
        <v>info_char_dml_batch1_pk_drp1</v>
      </c>
    </row>
    <row r="617" spans="1:24">
      <c r="B617" t="s">
        <v>196</v>
      </c>
      <c r="C617" t="s">
        <v>197</v>
      </c>
      <c r="D617" t="s">
        <v>197</v>
      </c>
      <c r="E617" t="s">
        <v>197</v>
      </c>
      <c r="F617" t="s">
        <v>197</v>
      </c>
      <c r="G617" t="s">
        <v>197</v>
      </c>
      <c r="H617" t="s">
        <v>197</v>
      </c>
      <c r="I617" t="s">
        <v>831</v>
      </c>
      <c r="J617" t="s">
        <v>199</v>
      </c>
      <c r="K617" t="s">
        <v>200</v>
      </c>
    </row>
    <row r="618" spans="1:24">
      <c r="B618" t="s">
        <v>197</v>
      </c>
      <c r="C618" t="s">
        <v>197</v>
      </c>
      <c r="D618" t="s">
        <v>197</v>
      </c>
      <c r="E618" t="s">
        <v>197</v>
      </c>
      <c r="F618" t="s">
        <v>197</v>
      </c>
      <c r="G618" t="s">
        <v>197</v>
      </c>
      <c r="H618" t="s">
        <v>197</v>
      </c>
      <c r="I618" t="s">
        <v>197</v>
      </c>
      <c r="J618" t="s">
        <v>197</v>
      </c>
      <c r="K618" t="s">
        <v>622</v>
      </c>
    </row>
    <row r="619" spans="1:24">
      <c r="B619" t="s">
        <v>197</v>
      </c>
      <c r="C619" t="s">
        <v>197</v>
      </c>
      <c r="D619" t="s">
        <v>197</v>
      </c>
      <c r="E619" t="s">
        <v>197</v>
      </c>
      <c r="F619" t="s">
        <v>197</v>
      </c>
      <c r="G619" t="s">
        <v>197</v>
      </c>
      <c r="H619" t="s">
        <v>197</v>
      </c>
      <c r="I619" t="s">
        <v>197</v>
      </c>
      <c r="J619" t="s">
        <v>197</v>
      </c>
      <c r="K619" t="s">
        <v>623</v>
      </c>
    </row>
    <row r="620" spans="1:24">
      <c r="B620" t="s">
        <v>197</v>
      </c>
      <c r="C620" t="s">
        <v>197</v>
      </c>
      <c r="D620" t="s">
        <v>197</v>
      </c>
      <c r="E620" t="s">
        <v>197</v>
      </c>
      <c r="F620" t="s">
        <v>197</v>
      </c>
      <c r="G620" t="s">
        <v>197</v>
      </c>
      <c r="H620" t="s">
        <v>197</v>
      </c>
      <c r="I620" t="s">
        <v>197</v>
      </c>
      <c r="J620" t="s">
        <v>197</v>
      </c>
      <c r="K620" t="s">
        <v>832</v>
      </c>
    </row>
    <row r="621" spans="1:24">
      <c r="K621" t="s">
        <v>443</v>
      </c>
    </row>
    <row r="622" spans="1:24">
      <c r="A622" t="s">
        <v>833</v>
      </c>
      <c r="K622" t="s">
        <v>834</v>
      </c>
      <c r="W622" t="s">
        <v>171</v>
      </c>
      <c r="X622" t="str">
        <f>A622</f>
        <v>info_datetimeoffset_dml_batch1_pk</v>
      </c>
    </row>
    <row r="623" spans="1:24">
      <c r="B623" t="s">
        <v>196</v>
      </c>
      <c r="C623" t="s">
        <v>197</v>
      </c>
      <c r="D623" t="s">
        <v>197</v>
      </c>
      <c r="E623" t="s">
        <v>197</v>
      </c>
      <c r="F623" t="s">
        <v>197</v>
      </c>
      <c r="G623" t="s">
        <v>197</v>
      </c>
      <c r="H623" t="s">
        <v>197</v>
      </c>
      <c r="I623" t="s">
        <v>835</v>
      </c>
      <c r="J623" t="s">
        <v>199</v>
      </c>
      <c r="K623" t="s">
        <v>200</v>
      </c>
    </row>
    <row r="624" spans="1:24">
      <c r="B624" t="s">
        <v>197</v>
      </c>
      <c r="C624" t="s">
        <v>197</v>
      </c>
      <c r="D624" t="s">
        <v>197</v>
      </c>
      <c r="E624" t="s">
        <v>197</v>
      </c>
      <c r="F624" t="s">
        <v>197</v>
      </c>
      <c r="G624" t="s">
        <v>197</v>
      </c>
      <c r="H624" t="s">
        <v>197</v>
      </c>
      <c r="I624" t="s">
        <v>197</v>
      </c>
      <c r="J624" t="s">
        <v>197</v>
      </c>
      <c r="K624" t="s">
        <v>301</v>
      </c>
    </row>
    <row r="625" spans="1:24">
      <c r="B625" t="s">
        <v>197</v>
      </c>
      <c r="C625" t="s">
        <v>197</v>
      </c>
      <c r="D625" t="s">
        <v>197</v>
      </c>
      <c r="E625" t="s">
        <v>197</v>
      </c>
      <c r="F625" t="s">
        <v>197</v>
      </c>
      <c r="G625" t="s">
        <v>197</v>
      </c>
      <c r="H625" t="s">
        <v>197</v>
      </c>
      <c r="I625" t="s">
        <v>197</v>
      </c>
      <c r="J625" t="s">
        <v>197</v>
      </c>
      <c r="K625" t="s">
        <v>314</v>
      </c>
    </row>
    <row r="626" spans="1:24">
      <c r="B626" t="s">
        <v>197</v>
      </c>
      <c r="C626" t="s">
        <v>197</v>
      </c>
      <c r="D626" t="s">
        <v>197</v>
      </c>
      <c r="E626" t="s">
        <v>197</v>
      </c>
      <c r="F626" t="s">
        <v>197</v>
      </c>
      <c r="G626" t="s">
        <v>197</v>
      </c>
      <c r="H626" t="s">
        <v>197</v>
      </c>
      <c r="I626" t="s">
        <v>197</v>
      </c>
      <c r="J626" t="s">
        <v>197</v>
      </c>
      <c r="K626" t="s">
        <v>324</v>
      </c>
    </row>
    <row r="627" spans="1:24">
      <c r="B627" t="s">
        <v>197</v>
      </c>
      <c r="C627" t="s">
        <v>197</v>
      </c>
      <c r="D627" t="s">
        <v>197</v>
      </c>
      <c r="E627" t="s">
        <v>197</v>
      </c>
      <c r="F627" t="s">
        <v>197</v>
      </c>
      <c r="G627" t="s">
        <v>197</v>
      </c>
      <c r="H627" t="s">
        <v>197</v>
      </c>
      <c r="I627" t="s">
        <v>197</v>
      </c>
      <c r="J627" t="s">
        <v>197</v>
      </c>
      <c r="K627" t="s">
        <v>335</v>
      </c>
    </row>
    <row r="628" spans="1:24">
      <c r="B628" t="s">
        <v>197</v>
      </c>
      <c r="C628" t="s">
        <v>197</v>
      </c>
      <c r="D628" t="s">
        <v>197</v>
      </c>
      <c r="E628" t="s">
        <v>197</v>
      </c>
      <c r="F628" t="s">
        <v>197</v>
      </c>
      <c r="G628" t="s">
        <v>197</v>
      </c>
      <c r="H628" t="s">
        <v>197</v>
      </c>
      <c r="I628" t="s">
        <v>197</v>
      </c>
      <c r="J628" t="s">
        <v>197</v>
      </c>
      <c r="K628" t="s">
        <v>350</v>
      </c>
    </row>
    <row r="629" spans="1:24">
      <c r="B629" t="s">
        <v>197</v>
      </c>
      <c r="C629" t="s">
        <v>197</v>
      </c>
      <c r="D629" t="s">
        <v>197</v>
      </c>
      <c r="E629" t="s">
        <v>197</v>
      </c>
      <c r="F629" t="s">
        <v>197</v>
      </c>
      <c r="G629" t="s">
        <v>197</v>
      </c>
      <c r="H629" t="s">
        <v>197</v>
      </c>
      <c r="I629" t="s">
        <v>197</v>
      </c>
      <c r="J629" t="s">
        <v>197</v>
      </c>
      <c r="K629" t="s">
        <v>360</v>
      </c>
    </row>
    <row r="630" spans="1:24">
      <c r="B630" t="s">
        <v>197</v>
      </c>
      <c r="C630" t="s">
        <v>197</v>
      </c>
      <c r="D630" t="s">
        <v>197</v>
      </c>
      <c r="E630" t="s">
        <v>197</v>
      </c>
      <c r="F630" t="s">
        <v>197</v>
      </c>
      <c r="G630" t="s">
        <v>197</v>
      </c>
      <c r="H630" t="s">
        <v>197</v>
      </c>
      <c r="I630" t="s">
        <v>197</v>
      </c>
      <c r="J630" t="s">
        <v>197</v>
      </c>
      <c r="K630" t="s">
        <v>367</v>
      </c>
    </row>
    <row r="631" spans="1:24">
      <c r="B631" t="s">
        <v>197</v>
      </c>
      <c r="C631" t="s">
        <v>197</v>
      </c>
      <c r="D631" t="s">
        <v>197</v>
      </c>
      <c r="E631" t="s">
        <v>197</v>
      </c>
      <c r="F631" t="s">
        <v>197</v>
      </c>
      <c r="G631" t="s">
        <v>197</v>
      </c>
      <c r="H631" t="s">
        <v>197</v>
      </c>
      <c r="I631" t="s">
        <v>197</v>
      </c>
      <c r="J631" t="s">
        <v>197</v>
      </c>
      <c r="K631" t="s">
        <v>373</v>
      </c>
    </row>
    <row r="632" spans="1:24">
      <c r="A632" t="s">
        <v>836</v>
      </c>
      <c r="K632" t="s">
        <v>837</v>
      </c>
      <c r="W632" t="s">
        <v>171</v>
      </c>
      <c r="X632" t="str">
        <f>A632</f>
        <v>info_nchar_dml_batch2_pk_urp2</v>
      </c>
    </row>
    <row r="633" spans="1:24">
      <c r="B633" t="s">
        <v>196</v>
      </c>
      <c r="C633" t="s">
        <v>197</v>
      </c>
      <c r="D633" t="s">
        <v>197</v>
      </c>
      <c r="E633" t="s">
        <v>197</v>
      </c>
      <c r="F633" t="s">
        <v>197</v>
      </c>
      <c r="G633" t="s">
        <v>197</v>
      </c>
      <c r="H633" t="s">
        <v>197</v>
      </c>
      <c r="I633" t="s">
        <v>838</v>
      </c>
      <c r="J633" t="s">
        <v>199</v>
      </c>
      <c r="K633" t="s">
        <v>200</v>
      </c>
    </row>
    <row r="634" spans="1:24">
      <c r="B634" t="s">
        <v>197</v>
      </c>
      <c r="C634" t="s">
        <v>197</v>
      </c>
      <c r="D634" t="s">
        <v>197</v>
      </c>
      <c r="E634" t="s">
        <v>197</v>
      </c>
      <c r="F634" t="s">
        <v>197</v>
      </c>
      <c r="G634" t="s">
        <v>197</v>
      </c>
      <c r="H634" t="s">
        <v>197</v>
      </c>
      <c r="I634" t="s">
        <v>197</v>
      </c>
      <c r="J634" t="s">
        <v>197</v>
      </c>
      <c r="K634" t="s">
        <v>514</v>
      </c>
    </row>
    <row r="635" spans="1:24">
      <c r="B635" t="s">
        <v>197</v>
      </c>
      <c r="C635" t="s">
        <v>197</v>
      </c>
      <c r="D635" t="s">
        <v>197</v>
      </c>
      <c r="E635" t="s">
        <v>197</v>
      </c>
      <c r="F635" t="s">
        <v>197</v>
      </c>
      <c r="G635" t="s">
        <v>197</v>
      </c>
      <c r="H635" t="s">
        <v>197</v>
      </c>
      <c r="I635" t="s">
        <v>197</v>
      </c>
      <c r="J635" t="s">
        <v>197</v>
      </c>
      <c r="K635" t="s">
        <v>516</v>
      </c>
    </row>
    <row r="636" spans="1:24">
      <c r="B636" t="s">
        <v>197</v>
      </c>
      <c r="C636" t="s">
        <v>197</v>
      </c>
      <c r="D636" t="s">
        <v>197</v>
      </c>
      <c r="E636" t="s">
        <v>197</v>
      </c>
      <c r="F636" t="s">
        <v>197</v>
      </c>
      <c r="G636" t="s">
        <v>197</v>
      </c>
      <c r="H636" t="s">
        <v>197</v>
      </c>
      <c r="I636" t="s">
        <v>197</v>
      </c>
      <c r="J636" t="s">
        <v>197</v>
      </c>
      <c r="K636" t="s">
        <v>612</v>
      </c>
    </row>
    <row r="637" spans="1:24">
      <c r="A637" t="s">
        <v>839</v>
      </c>
      <c r="K637" t="s">
        <v>840</v>
      </c>
      <c r="W637" t="s">
        <v>171</v>
      </c>
      <c r="X637" t="str">
        <f>A637</f>
        <v>info_date_dml_batch2_pk_irp1</v>
      </c>
    </row>
    <row r="638" spans="1:24">
      <c r="B638" t="s">
        <v>196</v>
      </c>
      <c r="C638" t="s">
        <v>197</v>
      </c>
      <c r="D638" t="s">
        <v>197</v>
      </c>
      <c r="E638" t="s">
        <v>197</v>
      </c>
      <c r="F638" t="s">
        <v>197</v>
      </c>
      <c r="G638" t="s">
        <v>197</v>
      </c>
      <c r="H638" t="s">
        <v>197</v>
      </c>
      <c r="I638" t="s">
        <v>841</v>
      </c>
      <c r="J638" t="s">
        <v>199</v>
      </c>
      <c r="K638" t="s">
        <v>200</v>
      </c>
    </row>
    <row r="639" spans="1:24">
      <c r="B639" t="s">
        <v>197</v>
      </c>
      <c r="C639" t="s">
        <v>197</v>
      </c>
      <c r="D639" t="s">
        <v>197</v>
      </c>
      <c r="E639" t="s">
        <v>197</v>
      </c>
      <c r="F639" t="s">
        <v>197</v>
      </c>
      <c r="G639" t="s">
        <v>197</v>
      </c>
      <c r="H639" t="s">
        <v>197</v>
      </c>
      <c r="I639" t="s">
        <v>197</v>
      </c>
      <c r="J639" t="s">
        <v>197</v>
      </c>
      <c r="K639" t="s">
        <v>678</v>
      </c>
    </row>
    <row r="640" spans="1:24">
      <c r="A640" t="s">
        <v>842</v>
      </c>
      <c r="K640" t="s">
        <v>843</v>
      </c>
      <c r="W640" t="s">
        <v>171</v>
      </c>
      <c r="X640" t="str">
        <f>A640</f>
        <v>info_time_dml_single_pk_urp</v>
      </c>
    </row>
    <row r="641" spans="1:24">
      <c r="B641" t="s">
        <v>196</v>
      </c>
      <c r="C641" t="s">
        <v>197</v>
      </c>
      <c r="D641" t="s">
        <v>197</v>
      </c>
      <c r="E641" t="s">
        <v>197</v>
      </c>
      <c r="F641" t="s">
        <v>197</v>
      </c>
      <c r="G641" t="s">
        <v>197</v>
      </c>
      <c r="H641" t="s">
        <v>197</v>
      </c>
      <c r="I641" t="s">
        <v>844</v>
      </c>
      <c r="J641" t="s">
        <v>199</v>
      </c>
      <c r="K641" t="s">
        <v>200</v>
      </c>
    </row>
    <row r="642" spans="1:24">
      <c r="B642" t="s">
        <v>197</v>
      </c>
      <c r="C642" t="s">
        <v>197</v>
      </c>
      <c r="D642" t="s">
        <v>197</v>
      </c>
      <c r="E642" t="s">
        <v>197</v>
      </c>
      <c r="F642" t="s">
        <v>197</v>
      </c>
      <c r="G642" t="s">
        <v>197</v>
      </c>
      <c r="H642" t="s">
        <v>197</v>
      </c>
      <c r="I642" t="s">
        <v>197</v>
      </c>
      <c r="J642" t="s">
        <v>197</v>
      </c>
      <c r="K642" t="s">
        <v>800</v>
      </c>
    </row>
    <row r="643" spans="1:24">
      <c r="B643" t="s">
        <v>197</v>
      </c>
      <c r="C643" t="s">
        <v>197</v>
      </c>
      <c r="D643" t="s">
        <v>197</v>
      </c>
      <c r="E643" t="s">
        <v>197</v>
      </c>
      <c r="F643" t="s">
        <v>197</v>
      </c>
      <c r="G643" t="s">
        <v>197</v>
      </c>
      <c r="H643" t="s">
        <v>197</v>
      </c>
      <c r="I643" t="s">
        <v>197</v>
      </c>
      <c r="J643" t="s">
        <v>197</v>
      </c>
      <c r="K643" t="s">
        <v>801</v>
      </c>
    </row>
    <row r="644" spans="1:24">
      <c r="B644" t="s">
        <v>197</v>
      </c>
      <c r="C644" t="s">
        <v>197</v>
      </c>
      <c r="D644" t="s">
        <v>197</v>
      </c>
      <c r="E644" t="s">
        <v>197</v>
      </c>
      <c r="F644" t="s">
        <v>197</v>
      </c>
      <c r="G644" t="s">
        <v>197</v>
      </c>
      <c r="H644" t="s">
        <v>197</v>
      </c>
      <c r="I644" t="s">
        <v>197</v>
      </c>
      <c r="J644" t="s">
        <v>197</v>
      </c>
      <c r="K644" t="s">
        <v>802</v>
      </c>
    </row>
    <row r="645" spans="1:24">
      <c r="B645" t="s">
        <v>197</v>
      </c>
      <c r="C645" t="s">
        <v>197</v>
      </c>
      <c r="D645" t="s">
        <v>197</v>
      </c>
      <c r="E645" t="s">
        <v>197</v>
      </c>
      <c r="F645" t="s">
        <v>197</v>
      </c>
      <c r="G645" t="s">
        <v>197</v>
      </c>
      <c r="H645" t="s">
        <v>197</v>
      </c>
      <c r="I645" t="s">
        <v>197</v>
      </c>
      <c r="J645" t="s">
        <v>197</v>
      </c>
      <c r="K645" t="s">
        <v>803</v>
      </c>
    </row>
    <row r="646" spans="1:24">
      <c r="B646" t="s">
        <v>197</v>
      </c>
      <c r="C646" t="s">
        <v>197</v>
      </c>
      <c r="D646" t="s">
        <v>197</v>
      </c>
      <c r="E646" t="s">
        <v>197</v>
      </c>
      <c r="F646" t="s">
        <v>197</v>
      </c>
      <c r="G646" t="s">
        <v>197</v>
      </c>
      <c r="H646" t="s">
        <v>197</v>
      </c>
      <c r="I646" t="s">
        <v>197</v>
      </c>
      <c r="J646" t="s">
        <v>197</v>
      </c>
      <c r="K646" t="s">
        <v>804</v>
      </c>
    </row>
    <row r="647" spans="1:24">
      <c r="B647" t="s">
        <v>197</v>
      </c>
      <c r="C647" t="s">
        <v>197</v>
      </c>
      <c r="D647" t="s">
        <v>197</v>
      </c>
      <c r="E647" t="s">
        <v>197</v>
      </c>
      <c r="F647" t="s">
        <v>197</v>
      </c>
      <c r="G647" t="s">
        <v>197</v>
      </c>
      <c r="H647" t="s">
        <v>197</v>
      </c>
      <c r="I647" t="s">
        <v>197</v>
      </c>
      <c r="J647" t="s">
        <v>197</v>
      </c>
      <c r="K647" t="s">
        <v>805</v>
      </c>
    </row>
    <row r="648" spans="1:24">
      <c r="B648" t="s">
        <v>197</v>
      </c>
      <c r="C648" t="s">
        <v>197</v>
      </c>
      <c r="D648" t="s">
        <v>197</v>
      </c>
      <c r="E648" t="s">
        <v>197</v>
      </c>
      <c r="F648" t="s">
        <v>197</v>
      </c>
      <c r="G648" t="s">
        <v>197</v>
      </c>
      <c r="H648" t="s">
        <v>197</v>
      </c>
      <c r="I648" t="s">
        <v>197</v>
      </c>
      <c r="J648" t="s">
        <v>197</v>
      </c>
      <c r="K648" t="s">
        <v>806</v>
      </c>
    </row>
    <row r="649" spans="1:24">
      <c r="B649" t="s">
        <v>197</v>
      </c>
      <c r="C649" t="s">
        <v>197</v>
      </c>
      <c r="D649" t="s">
        <v>197</v>
      </c>
      <c r="E649" t="s">
        <v>197</v>
      </c>
      <c r="F649" t="s">
        <v>197</v>
      </c>
      <c r="G649" t="s">
        <v>197</v>
      </c>
      <c r="H649" t="s">
        <v>197</v>
      </c>
      <c r="I649" t="s">
        <v>197</v>
      </c>
      <c r="J649" t="s">
        <v>197</v>
      </c>
      <c r="K649" t="s">
        <v>807</v>
      </c>
    </row>
    <row r="650" spans="1:24">
      <c r="A650" t="s">
        <v>845</v>
      </c>
      <c r="K650" t="s">
        <v>846</v>
      </c>
      <c r="W650" s="1" t="str">
        <f>HYPERLINK("#2026042000hbase2!AK2","NO 源备存在差异，共20个")</f>
        <v>NO 源备存在差异，共20个</v>
      </c>
      <c r="X650" t="str">
        <f>A650</f>
        <v>info_binary_dml_batch1_pk_urp1</v>
      </c>
    </row>
    <row r="651" spans="1:24">
      <c r="B651" t="s">
        <v>196</v>
      </c>
      <c r="C651" t="s">
        <v>197</v>
      </c>
      <c r="D651" t="s">
        <v>197</v>
      </c>
      <c r="E651" t="s">
        <v>197</v>
      </c>
      <c r="F651" t="s">
        <v>197</v>
      </c>
      <c r="G651" t="s">
        <v>197</v>
      </c>
      <c r="H651" t="s">
        <v>197</v>
      </c>
      <c r="I651" t="s">
        <v>847</v>
      </c>
      <c r="J651" t="s">
        <v>199</v>
      </c>
      <c r="K651" t="s">
        <v>200</v>
      </c>
    </row>
    <row r="652" spans="1:24">
      <c r="B652" t="s">
        <v>197</v>
      </c>
      <c r="C652" t="s">
        <v>197</v>
      </c>
      <c r="D652" t="s">
        <v>197</v>
      </c>
      <c r="E652" t="s">
        <v>197</v>
      </c>
      <c r="F652" t="s">
        <v>197</v>
      </c>
      <c r="G652" t="s">
        <v>197</v>
      </c>
      <c r="H652" t="s">
        <v>197</v>
      </c>
      <c r="I652" t="s">
        <v>197</v>
      </c>
      <c r="J652" t="s">
        <v>197</v>
      </c>
      <c r="K652" t="s">
        <v>691</v>
      </c>
    </row>
    <row r="653" spans="1:24">
      <c r="B653" t="s">
        <v>197</v>
      </c>
      <c r="C653" t="s">
        <v>197</v>
      </c>
      <c r="D653" t="s">
        <v>197</v>
      </c>
      <c r="E653" t="s">
        <v>197</v>
      </c>
      <c r="F653" t="s">
        <v>197</v>
      </c>
      <c r="G653" t="s">
        <v>197</v>
      </c>
      <c r="H653" t="s">
        <v>197</v>
      </c>
      <c r="I653" t="s">
        <v>197</v>
      </c>
      <c r="J653" t="s">
        <v>197</v>
      </c>
      <c r="K653" t="s">
        <v>692</v>
      </c>
    </row>
    <row r="654" spans="1:24">
      <c r="B654" t="s">
        <v>197</v>
      </c>
      <c r="C654" t="s">
        <v>197</v>
      </c>
      <c r="D654" t="s">
        <v>197</v>
      </c>
      <c r="E654" t="s">
        <v>197</v>
      </c>
      <c r="F654" t="s">
        <v>197</v>
      </c>
      <c r="G654" t="s">
        <v>197</v>
      </c>
      <c r="H654" t="s">
        <v>197</v>
      </c>
      <c r="I654" t="s">
        <v>197</v>
      </c>
      <c r="J654" t="s">
        <v>197</v>
      </c>
      <c r="K654" t="s">
        <v>693</v>
      </c>
    </row>
    <row r="655" spans="1:24">
      <c r="A655" t="s">
        <v>848</v>
      </c>
      <c r="K655" t="s">
        <v>849</v>
      </c>
      <c r="W655" t="s">
        <v>171</v>
      </c>
      <c r="X655" t="str">
        <f>A655</f>
        <v>info_time_dml_single_pk_drp</v>
      </c>
    </row>
    <row r="656" spans="1:24">
      <c r="B656" t="s">
        <v>196</v>
      </c>
      <c r="C656" t="s">
        <v>197</v>
      </c>
      <c r="D656" t="s">
        <v>197</v>
      </c>
      <c r="E656" t="s">
        <v>197</v>
      </c>
      <c r="F656" t="s">
        <v>197</v>
      </c>
      <c r="G656" t="s">
        <v>197</v>
      </c>
      <c r="H656" t="s">
        <v>197</v>
      </c>
      <c r="I656" t="s">
        <v>850</v>
      </c>
      <c r="J656" t="s">
        <v>199</v>
      </c>
      <c r="K656" t="s">
        <v>200</v>
      </c>
    </row>
    <row r="657" spans="1:24">
      <c r="B657" t="s">
        <v>197</v>
      </c>
      <c r="C657" t="s">
        <v>197</v>
      </c>
      <c r="D657" t="s">
        <v>197</v>
      </c>
      <c r="E657" t="s">
        <v>197</v>
      </c>
      <c r="F657" t="s">
        <v>197</v>
      </c>
      <c r="G657" t="s">
        <v>197</v>
      </c>
      <c r="H657" t="s">
        <v>197</v>
      </c>
      <c r="I657" t="s">
        <v>197</v>
      </c>
      <c r="J657" t="s">
        <v>197</v>
      </c>
      <c r="K657" t="s">
        <v>800</v>
      </c>
    </row>
    <row r="658" spans="1:24">
      <c r="B658" t="s">
        <v>197</v>
      </c>
      <c r="C658" t="s">
        <v>197</v>
      </c>
      <c r="D658" t="s">
        <v>197</v>
      </c>
      <c r="E658" t="s">
        <v>197</v>
      </c>
      <c r="F658" t="s">
        <v>197</v>
      </c>
      <c r="G658" t="s">
        <v>197</v>
      </c>
      <c r="H658" t="s">
        <v>197</v>
      </c>
      <c r="I658" t="s">
        <v>197</v>
      </c>
      <c r="J658" t="s">
        <v>197</v>
      </c>
      <c r="K658" t="s">
        <v>801</v>
      </c>
    </row>
    <row r="659" spans="1:24">
      <c r="B659" t="s">
        <v>197</v>
      </c>
      <c r="C659" t="s">
        <v>197</v>
      </c>
      <c r="D659" t="s">
        <v>197</v>
      </c>
      <c r="E659" t="s">
        <v>197</v>
      </c>
      <c r="F659" t="s">
        <v>197</v>
      </c>
      <c r="G659" t="s">
        <v>197</v>
      </c>
      <c r="H659" t="s">
        <v>197</v>
      </c>
      <c r="I659" t="s">
        <v>197</v>
      </c>
      <c r="J659" t="s">
        <v>197</v>
      </c>
      <c r="K659" t="s">
        <v>802</v>
      </c>
    </row>
    <row r="660" spans="1:24">
      <c r="B660" t="s">
        <v>197</v>
      </c>
      <c r="C660" t="s">
        <v>197</v>
      </c>
      <c r="D660" t="s">
        <v>197</v>
      </c>
      <c r="E660" t="s">
        <v>197</v>
      </c>
      <c r="F660" t="s">
        <v>197</v>
      </c>
      <c r="G660" t="s">
        <v>197</v>
      </c>
      <c r="H660" t="s">
        <v>197</v>
      </c>
      <c r="I660" t="s">
        <v>197</v>
      </c>
      <c r="J660" t="s">
        <v>197</v>
      </c>
      <c r="K660" t="s">
        <v>803</v>
      </c>
    </row>
    <row r="661" spans="1:24">
      <c r="B661" t="s">
        <v>197</v>
      </c>
      <c r="C661" t="s">
        <v>197</v>
      </c>
      <c r="D661" t="s">
        <v>197</v>
      </c>
      <c r="E661" t="s">
        <v>197</v>
      </c>
      <c r="F661" t="s">
        <v>197</v>
      </c>
      <c r="G661" t="s">
        <v>197</v>
      </c>
      <c r="H661" t="s">
        <v>197</v>
      </c>
      <c r="I661" t="s">
        <v>197</v>
      </c>
      <c r="J661" t="s">
        <v>197</v>
      </c>
      <c r="K661" t="s">
        <v>804</v>
      </c>
    </row>
    <row r="662" spans="1:24">
      <c r="B662" t="s">
        <v>197</v>
      </c>
      <c r="C662" t="s">
        <v>197</v>
      </c>
      <c r="D662" t="s">
        <v>197</v>
      </c>
      <c r="E662" t="s">
        <v>197</v>
      </c>
      <c r="F662" t="s">
        <v>197</v>
      </c>
      <c r="G662" t="s">
        <v>197</v>
      </c>
      <c r="H662" t="s">
        <v>197</v>
      </c>
      <c r="I662" t="s">
        <v>197</v>
      </c>
      <c r="J662" t="s">
        <v>197</v>
      </c>
      <c r="K662" t="s">
        <v>805</v>
      </c>
    </row>
    <row r="663" spans="1:24">
      <c r="B663" t="s">
        <v>197</v>
      </c>
      <c r="C663" t="s">
        <v>197</v>
      </c>
      <c r="D663" t="s">
        <v>197</v>
      </c>
      <c r="E663" t="s">
        <v>197</v>
      </c>
      <c r="F663" t="s">
        <v>197</v>
      </c>
      <c r="G663" t="s">
        <v>197</v>
      </c>
      <c r="H663" t="s">
        <v>197</v>
      </c>
      <c r="I663" t="s">
        <v>197</v>
      </c>
      <c r="J663" t="s">
        <v>197</v>
      </c>
      <c r="K663" t="s">
        <v>806</v>
      </c>
    </row>
    <row r="664" spans="1:24">
      <c r="B664" t="s">
        <v>197</v>
      </c>
      <c r="C664" t="s">
        <v>197</v>
      </c>
      <c r="D664" t="s">
        <v>197</v>
      </c>
      <c r="E664" t="s">
        <v>197</v>
      </c>
      <c r="F664" t="s">
        <v>197</v>
      </c>
      <c r="G664" t="s">
        <v>197</v>
      </c>
      <c r="H664" t="s">
        <v>197</v>
      </c>
      <c r="I664" t="s">
        <v>197</v>
      </c>
      <c r="J664" t="s">
        <v>197</v>
      </c>
      <c r="K664" t="s">
        <v>807</v>
      </c>
    </row>
    <row r="665" spans="1:24">
      <c r="A665" t="s">
        <v>851</v>
      </c>
      <c r="K665" t="s">
        <v>852</v>
      </c>
      <c r="W665" t="s">
        <v>171</v>
      </c>
      <c r="X665" t="str">
        <f>A665</f>
        <v>info_nvarchar_dml_single_pk</v>
      </c>
    </row>
    <row r="666" spans="1:24">
      <c r="B666" t="s">
        <v>196</v>
      </c>
      <c r="C666" t="s">
        <v>197</v>
      </c>
      <c r="D666" t="s">
        <v>197</v>
      </c>
      <c r="E666" t="s">
        <v>197</v>
      </c>
      <c r="F666" t="s">
        <v>197</v>
      </c>
      <c r="G666" t="s">
        <v>197</v>
      </c>
      <c r="H666" t="s">
        <v>197</v>
      </c>
      <c r="I666" t="s">
        <v>853</v>
      </c>
      <c r="J666" t="s">
        <v>199</v>
      </c>
      <c r="K666" t="s">
        <v>200</v>
      </c>
    </row>
    <row r="667" spans="1:24">
      <c r="B667" t="s">
        <v>197</v>
      </c>
      <c r="C667" t="s">
        <v>197</v>
      </c>
      <c r="D667" t="s">
        <v>197</v>
      </c>
      <c r="E667" t="s">
        <v>197</v>
      </c>
      <c r="F667" t="s">
        <v>197</v>
      </c>
      <c r="G667" t="s">
        <v>197</v>
      </c>
      <c r="H667" t="s">
        <v>197</v>
      </c>
      <c r="I667" t="s">
        <v>197</v>
      </c>
      <c r="J667" t="s">
        <v>197</v>
      </c>
      <c r="K667" t="s">
        <v>408</v>
      </c>
    </row>
    <row r="668" spans="1:24">
      <c r="B668" t="s">
        <v>197</v>
      </c>
      <c r="C668" t="s">
        <v>197</v>
      </c>
      <c r="D668" t="s">
        <v>197</v>
      </c>
      <c r="E668" t="s">
        <v>197</v>
      </c>
      <c r="F668" t="s">
        <v>197</v>
      </c>
      <c r="G668" t="s">
        <v>197</v>
      </c>
      <c r="H668" t="s">
        <v>197</v>
      </c>
      <c r="I668" t="s">
        <v>197</v>
      </c>
      <c r="J668" t="s">
        <v>197</v>
      </c>
      <c r="K668" t="s">
        <v>412</v>
      </c>
    </row>
    <row r="669" spans="1:24">
      <c r="B669" t="s">
        <v>197</v>
      </c>
      <c r="C669" t="s">
        <v>197</v>
      </c>
      <c r="D669" t="s">
        <v>197</v>
      </c>
      <c r="E669" t="s">
        <v>197</v>
      </c>
      <c r="F669" t="s">
        <v>197</v>
      </c>
      <c r="G669" t="s">
        <v>197</v>
      </c>
      <c r="H669" t="s">
        <v>197</v>
      </c>
      <c r="I669" t="s">
        <v>197</v>
      </c>
      <c r="J669" t="s">
        <v>197</v>
      </c>
      <c r="K669" t="s">
        <v>730</v>
      </c>
    </row>
    <row r="670" spans="1:24">
      <c r="A670" t="s">
        <v>854</v>
      </c>
      <c r="K670" t="s">
        <v>855</v>
      </c>
      <c r="W670" t="s">
        <v>171</v>
      </c>
      <c r="X670" t="str">
        <f>A670</f>
        <v>info_date_dml_batch2_pk_irp2</v>
      </c>
    </row>
    <row r="671" spans="1:24">
      <c r="B671" t="s">
        <v>196</v>
      </c>
      <c r="C671" t="s">
        <v>197</v>
      </c>
      <c r="D671" t="s">
        <v>197</v>
      </c>
      <c r="E671" t="s">
        <v>197</v>
      </c>
      <c r="F671" t="s">
        <v>197</v>
      </c>
      <c r="G671" t="s">
        <v>197</v>
      </c>
      <c r="H671" t="s">
        <v>197</v>
      </c>
      <c r="I671" t="s">
        <v>856</v>
      </c>
      <c r="J671" t="s">
        <v>199</v>
      </c>
      <c r="K671" t="s">
        <v>200</v>
      </c>
    </row>
    <row r="672" spans="1:24">
      <c r="B672" t="s">
        <v>197</v>
      </c>
      <c r="C672" t="s">
        <v>197</v>
      </c>
      <c r="D672" t="s">
        <v>197</v>
      </c>
      <c r="E672" t="s">
        <v>197</v>
      </c>
      <c r="F672" t="s">
        <v>197</v>
      </c>
      <c r="G672" t="s">
        <v>197</v>
      </c>
      <c r="H672" t="s">
        <v>197</v>
      </c>
      <c r="I672" t="s">
        <v>197</v>
      </c>
      <c r="J672" t="s">
        <v>197</v>
      </c>
      <c r="K672" t="s">
        <v>678</v>
      </c>
    </row>
    <row r="673" spans="1:24">
      <c r="A673" t="s">
        <v>857</v>
      </c>
      <c r="K673" t="s">
        <v>858</v>
      </c>
      <c r="W673" s="1" t="str">
        <f>HYPERLINK("#2026042000hbase2!AL2","NO 源备存在差异，共20个")</f>
        <v>NO 源备存在差异，共20个</v>
      </c>
      <c r="X673" t="str">
        <f>A673</f>
        <v>info_binary_dml_batch1_pk_urp2</v>
      </c>
    </row>
    <row r="674" spans="1:24">
      <c r="B674" t="s">
        <v>196</v>
      </c>
      <c r="C674" t="s">
        <v>197</v>
      </c>
      <c r="D674" t="s">
        <v>197</v>
      </c>
      <c r="E674" t="s">
        <v>197</v>
      </c>
      <c r="F674" t="s">
        <v>197</v>
      </c>
      <c r="G674" t="s">
        <v>197</v>
      </c>
      <c r="H674" t="s">
        <v>197</v>
      </c>
      <c r="I674" t="s">
        <v>859</v>
      </c>
      <c r="J674" t="s">
        <v>199</v>
      </c>
      <c r="K674" t="s">
        <v>200</v>
      </c>
    </row>
    <row r="675" spans="1:24">
      <c r="B675" t="s">
        <v>197</v>
      </c>
      <c r="C675" t="s">
        <v>197</v>
      </c>
      <c r="D675" t="s">
        <v>197</v>
      </c>
      <c r="E675" t="s">
        <v>197</v>
      </c>
      <c r="F675" t="s">
        <v>197</v>
      </c>
      <c r="G675" t="s">
        <v>197</v>
      </c>
      <c r="H675" t="s">
        <v>197</v>
      </c>
      <c r="I675" t="s">
        <v>197</v>
      </c>
      <c r="J675" t="s">
        <v>197</v>
      </c>
      <c r="K675" t="s">
        <v>691</v>
      </c>
    </row>
    <row r="676" spans="1:24">
      <c r="B676" t="s">
        <v>197</v>
      </c>
      <c r="C676" t="s">
        <v>197</v>
      </c>
      <c r="D676" t="s">
        <v>197</v>
      </c>
      <c r="E676" t="s">
        <v>197</v>
      </c>
      <c r="F676" t="s">
        <v>197</v>
      </c>
      <c r="G676" t="s">
        <v>197</v>
      </c>
      <c r="H676" t="s">
        <v>197</v>
      </c>
      <c r="I676" t="s">
        <v>197</v>
      </c>
      <c r="J676" t="s">
        <v>197</v>
      </c>
      <c r="K676" t="s">
        <v>692</v>
      </c>
    </row>
    <row r="677" spans="1:24">
      <c r="B677" t="s">
        <v>197</v>
      </c>
      <c r="C677" t="s">
        <v>197</v>
      </c>
      <c r="D677" t="s">
        <v>197</v>
      </c>
      <c r="E677" t="s">
        <v>197</v>
      </c>
      <c r="F677" t="s">
        <v>197</v>
      </c>
      <c r="G677" t="s">
        <v>197</v>
      </c>
      <c r="H677" t="s">
        <v>197</v>
      </c>
      <c r="I677" t="s">
        <v>197</v>
      </c>
      <c r="J677" t="s">
        <v>197</v>
      </c>
      <c r="K677" t="s">
        <v>693</v>
      </c>
    </row>
    <row r="678" spans="1:24">
      <c r="A678" t="s">
        <v>860</v>
      </c>
      <c r="K678" t="s">
        <v>861</v>
      </c>
      <c r="W678" t="s">
        <v>171</v>
      </c>
      <c r="X678" t="str">
        <f>A678</f>
        <v>info_time_dml_single_pk</v>
      </c>
    </row>
    <row r="679" spans="1:24">
      <c r="B679" t="s">
        <v>196</v>
      </c>
      <c r="C679" t="s">
        <v>197</v>
      </c>
      <c r="D679" t="s">
        <v>197</v>
      </c>
      <c r="E679" t="s">
        <v>197</v>
      </c>
      <c r="F679" t="s">
        <v>197</v>
      </c>
      <c r="G679" t="s">
        <v>197</v>
      </c>
      <c r="H679" t="s">
        <v>197</v>
      </c>
      <c r="I679" t="s">
        <v>862</v>
      </c>
      <c r="J679" t="s">
        <v>199</v>
      </c>
      <c r="K679" t="s">
        <v>200</v>
      </c>
    </row>
    <row r="680" spans="1:24">
      <c r="B680" t="s">
        <v>197</v>
      </c>
      <c r="C680" t="s">
        <v>197</v>
      </c>
      <c r="D680" t="s">
        <v>197</v>
      </c>
      <c r="E680" t="s">
        <v>197</v>
      </c>
      <c r="F680" t="s">
        <v>197</v>
      </c>
      <c r="G680" t="s">
        <v>197</v>
      </c>
      <c r="H680" t="s">
        <v>197</v>
      </c>
      <c r="I680" t="s">
        <v>197</v>
      </c>
      <c r="J680" t="s">
        <v>197</v>
      </c>
      <c r="K680" t="s">
        <v>800</v>
      </c>
    </row>
    <row r="681" spans="1:24">
      <c r="B681" t="s">
        <v>197</v>
      </c>
      <c r="C681" t="s">
        <v>197</v>
      </c>
      <c r="D681" t="s">
        <v>197</v>
      </c>
      <c r="E681" t="s">
        <v>197</v>
      </c>
      <c r="F681" t="s">
        <v>197</v>
      </c>
      <c r="G681" t="s">
        <v>197</v>
      </c>
      <c r="H681" t="s">
        <v>197</v>
      </c>
      <c r="I681" t="s">
        <v>197</v>
      </c>
      <c r="J681" t="s">
        <v>197</v>
      </c>
      <c r="K681" t="s">
        <v>801</v>
      </c>
    </row>
    <row r="682" spans="1:24">
      <c r="B682" t="s">
        <v>197</v>
      </c>
      <c r="C682" t="s">
        <v>197</v>
      </c>
      <c r="D682" t="s">
        <v>197</v>
      </c>
      <c r="E682" t="s">
        <v>197</v>
      </c>
      <c r="F682" t="s">
        <v>197</v>
      </c>
      <c r="G682" t="s">
        <v>197</v>
      </c>
      <c r="H682" t="s">
        <v>197</v>
      </c>
      <c r="I682" t="s">
        <v>197</v>
      </c>
      <c r="J682" t="s">
        <v>197</v>
      </c>
      <c r="K682" t="s">
        <v>802</v>
      </c>
    </row>
    <row r="683" spans="1:24">
      <c r="B683" t="s">
        <v>197</v>
      </c>
      <c r="C683" t="s">
        <v>197</v>
      </c>
      <c r="D683" t="s">
        <v>197</v>
      </c>
      <c r="E683" t="s">
        <v>197</v>
      </c>
      <c r="F683" t="s">
        <v>197</v>
      </c>
      <c r="G683" t="s">
        <v>197</v>
      </c>
      <c r="H683" t="s">
        <v>197</v>
      </c>
      <c r="I683" t="s">
        <v>197</v>
      </c>
      <c r="J683" t="s">
        <v>197</v>
      </c>
      <c r="K683" t="s">
        <v>803</v>
      </c>
    </row>
    <row r="684" spans="1:24">
      <c r="B684" t="s">
        <v>197</v>
      </c>
      <c r="C684" t="s">
        <v>197</v>
      </c>
      <c r="D684" t="s">
        <v>197</v>
      </c>
      <c r="E684" t="s">
        <v>197</v>
      </c>
      <c r="F684" t="s">
        <v>197</v>
      </c>
      <c r="G684" t="s">
        <v>197</v>
      </c>
      <c r="H684" t="s">
        <v>197</v>
      </c>
      <c r="I684" t="s">
        <v>197</v>
      </c>
      <c r="J684" t="s">
        <v>197</v>
      </c>
      <c r="K684" t="s">
        <v>804</v>
      </c>
    </row>
    <row r="685" spans="1:24">
      <c r="B685" t="s">
        <v>197</v>
      </c>
      <c r="C685" t="s">
        <v>197</v>
      </c>
      <c r="D685" t="s">
        <v>197</v>
      </c>
      <c r="E685" t="s">
        <v>197</v>
      </c>
      <c r="F685" t="s">
        <v>197</v>
      </c>
      <c r="G685" t="s">
        <v>197</v>
      </c>
      <c r="H685" t="s">
        <v>197</v>
      </c>
      <c r="I685" t="s">
        <v>197</v>
      </c>
      <c r="J685" t="s">
        <v>197</v>
      </c>
      <c r="K685" t="s">
        <v>805</v>
      </c>
    </row>
    <row r="686" spans="1:24">
      <c r="B686" t="s">
        <v>197</v>
      </c>
      <c r="C686" t="s">
        <v>197</v>
      </c>
      <c r="D686" t="s">
        <v>197</v>
      </c>
      <c r="E686" t="s">
        <v>197</v>
      </c>
      <c r="F686" t="s">
        <v>197</v>
      </c>
      <c r="G686" t="s">
        <v>197</v>
      </c>
      <c r="H686" t="s">
        <v>197</v>
      </c>
      <c r="I686" t="s">
        <v>197</v>
      </c>
      <c r="J686" t="s">
        <v>197</v>
      </c>
      <c r="K686" t="s">
        <v>806</v>
      </c>
    </row>
    <row r="687" spans="1:24">
      <c r="B687" t="s">
        <v>197</v>
      </c>
      <c r="C687" t="s">
        <v>197</v>
      </c>
      <c r="D687" t="s">
        <v>197</v>
      </c>
      <c r="E687" t="s">
        <v>197</v>
      </c>
      <c r="F687" t="s">
        <v>197</v>
      </c>
      <c r="G687" t="s">
        <v>197</v>
      </c>
      <c r="H687" t="s">
        <v>197</v>
      </c>
      <c r="I687" t="s">
        <v>197</v>
      </c>
      <c r="J687" t="s">
        <v>197</v>
      </c>
      <c r="K687" t="s">
        <v>807</v>
      </c>
    </row>
    <row r="688" spans="1:24">
      <c r="A688" t="s">
        <v>863</v>
      </c>
      <c r="K688" t="s">
        <v>864</v>
      </c>
      <c r="W688" s="4" t="str">
        <f>HYPERLINK("#2026042000hbase2!AM2","NO 源备存在差异，共4个")</f>
        <v>NO 源备存在差异，共4个</v>
      </c>
      <c r="X688" t="str">
        <f>A688</f>
        <v>info_int_dml_single_pk_irp</v>
      </c>
    </row>
    <row r="689" spans="2:11">
      <c r="B689" t="s">
        <v>196</v>
      </c>
      <c r="C689" t="s">
        <v>197</v>
      </c>
      <c r="D689" t="s">
        <v>197</v>
      </c>
      <c r="E689" t="s">
        <v>197</v>
      </c>
      <c r="F689" t="s">
        <v>197</v>
      </c>
      <c r="G689" t="s">
        <v>197</v>
      </c>
      <c r="H689" t="s">
        <v>197</v>
      </c>
      <c r="I689" t="s">
        <v>865</v>
      </c>
      <c r="J689" t="s">
        <v>199</v>
      </c>
      <c r="K689" t="s">
        <v>200</v>
      </c>
    </row>
    <row r="690" spans="2:11">
      <c r="B690" t="s">
        <v>197</v>
      </c>
      <c r="C690" t="s">
        <v>197</v>
      </c>
      <c r="D690" t="s">
        <v>197</v>
      </c>
      <c r="E690" t="s">
        <v>197</v>
      </c>
      <c r="F690" t="s">
        <v>197</v>
      </c>
      <c r="G690" t="s">
        <v>197</v>
      </c>
      <c r="H690" t="s">
        <v>197</v>
      </c>
      <c r="I690" t="s">
        <v>197</v>
      </c>
      <c r="J690" t="s">
        <v>197</v>
      </c>
      <c r="K690" t="s">
        <v>549</v>
      </c>
    </row>
    <row r="691" spans="2:11">
      <c r="B691" t="s">
        <v>197</v>
      </c>
      <c r="C691" t="s">
        <v>197</v>
      </c>
      <c r="D691" t="s">
        <v>197</v>
      </c>
      <c r="E691" t="s">
        <v>197</v>
      </c>
      <c r="F691" t="s">
        <v>197</v>
      </c>
      <c r="G691" t="s">
        <v>197</v>
      </c>
      <c r="H691" t="s">
        <v>197</v>
      </c>
      <c r="I691" t="s">
        <v>197</v>
      </c>
      <c r="J691" t="s">
        <v>197</v>
      </c>
      <c r="K691" t="s">
        <v>550</v>
      </c>
    </row>
    <row r="692" spans="2:11">
      <c r="B692" t="s">
        <v>197</v>
      </c>
      <c r="C692" t="s">
        <v>197</v>
      </c>
      <c r="D692" t="s">
        <v>197</v>
      </c>
      <c r="E692" t="s">
        <v>197</v>
      </c>
      <c r="F692" t="s">
        <v>197</v>
      </c>
      <c r="G692" t="s">
        <v>197</v>
      </c>
      <c r="H692" t="s">
        <v>197</v>
      </c>
      <c r="I692" t="s">
        <v>197</v>
      </c>
      <c r="J692" t="s">
        <v>197</v>
      </c>
      <c r="K692" t="s">
        <v>551</v>
      </c>
    </row>
    <row r="693" spans="2:11">
      <c r="B693" t="s">
        <v>197</v>
      </c>
      <c r="C693" t="s">
        <v>197</v>
      </c>
      <c r="D693" t="s">
        <v>197</v>
      </c>
      <c r="E693" t="s">
        <v>197</v>
      </c>
      <c r="F693" t="s">
        <v>197</v>
      </c>
      <c r="G693" t="s">
        <v>197</v>
      </c>
      <c r="H693" t="s">
        <v>197</v>
      </c>
      <c r="I693" t="s">
        <v>197</v>
      </c>
      <c r="J693" t="s">
        <v>197</v>
      </c>
      <c r="K693" t="s">
        <v>552</v>
      </c>
    </row>
    <row r="694" spans="2:11">
      <c r="B694" t="s">
        <v>197</v>
      </c>
      <c r="C694" t="s">
        <v>197</v>
      </c>
      <c r="D694" t="s">
        <v>197</v>
      </c>
      <c r="E694" t="s">
        <v>197</v>
      </c>
      <c r="F694" t="s">
        <v>197</v>
      </c>
      <c r="G694" t="s">
        <v>197</v>
      </c>
      <c r="H694" t="s">
        <v>197</v>
      </c>
      <c r="I694" t="s">
        <v>197</v>
      </c>
      <c r="J694" t="s">
        <v>197</v>
      </c>
      <c r="K694" t="s">
        <v>553</v>
      </c>
    </row>
    <row r="695" spans="2:11">
      <c r="B695" t="s">
        <v>197</v>
      </c>
      <c r="C695" t="s">
        <v>197</v>
      </c>
      <c r="D695" t="s">
        <v>197</v>
      </c>
      <c r="E695" t="s">
        <v>197</v>
      </c>
      <c r="F695" t="s">
        <v>197</v>
      </c>
      <c r="G695" t="s">
        <v>197</v>
      </c>
      <c r="H695" t="s">
        <v>197</v>
      </c>
      <c r="I695" t="s">
        <v>197</v>
      </c>
      <c r="J695" t="s">
        <v>197</v>
      </c>
      <c r="K695" t="s">
        <v>554</v>
      </c>
    </row>
    <row r="696" spans="2:11">
      <c r="B696" t="s">
        <v>197</v>
      </c>
      <c r="C696" t="s">
        <v>197</v>
      </c>
      <c r="D696" t="s">
        <v>197</v>
      </c>
      <c r="E696" t="s">
        <v>197</v>
      </c>
      <c r="F696" t="s">
        <v>197</v>
      </c>
      <c r="G696" t="s">
        <v>197</v>
      </c>
      <c r="H696" t="s">
        <v>197</v>
      </c>
      <c r="I696" t="s">
        <v>197</v>
      </c>
      <c r="J696" t="s">
        <v>197</v>
      </c>
      <c r="K696" t="s">
        <v>555</v>
      </c>
    </row>
    <row r="697" spans="2:11">
      <c r="B697" t="s">
        <v>197</v>
      </c>
      <c r="C697" t="s">
        <v>197</v>
      </c>
      <c r="D697" t="s">
        <v>197</v>
      </c>
      <c r="E697" t="s">
        <v>197</v>
      </c>
      <c r="F697" t="s">
        <v>197</v>
      </c>
      <c r="G697" t="s">
        <v>197</v>
      </c>
      <c r="H697" t="s">
        <v>197</v>
      </c>
      <c r="I697" t="s">
        <v>197</v>
      </c>
      <c r="J697" t="s">
        <v>197</v>
      </c>
      <c r="K697" t="s">
        <v>556</v>
      </c>
    </row>
    <row r="698" spans="2:11">
      <c r="B698" t="s">
        <v>197</v>
      </c>
      <c r="C698" t="s">
        <v>197</v>
      </c>
      <c r="D698" t="s">
        <v>197</v>
      </c>
      <c r="E698" t="s">
        <v>197</v>
      </c>
      <c r="F698" t="s">
        <v>197</v>
      </c>
      <c r="G698" t="s">
        <v>197</v>
      </c>
      <c r="H698" t="s">
        <v>197</v>
      </c>
      <c r="I698" t="s">
        <v>197</v>
      </c>
      <c r="J698" t="s">
        <v>197</v>
      </c>
      <c r="K698" t="s">
        <v>557</v>
      </c>
    </row>
    <row r="699" spans="2:11">
      <c r="B699" t="s">
        <v>197</v>
      </c>
      <c r="C699" t="s">
        <v>197</v>
      </c>
      <c r="D699" t="s">
        <v>197</v>
      </c>
      <c r="E699" t="s">
        <v>197</v>
      </c>
      <c r="F699" t="s">
        <v>197</v>
      </c>
      <c r="G699" t="s">
        <v>197</v>
      </c>
      <c r="H699" t="s">
        <v>197</v>
      </c>
      <c r="I699" t="s">
        <v>197</v>
      </c>
      <c r="J699" t="s">
        <v>197</v>
      </c>
      <c r="K699" t="s">
        <v>558</v>
      </c>
    </row>
    <row r="700" spans="2:11">
      <c r="B700" t="s">
        <v>197</v>
      </c>
      <c r="C700" t="s">
        <v>197</v>
      </c>
      <c r="D700" t="s">
        <v>197</v>
      </c>
      <c r="E700" t="s">
        <v>197</v>
      </c>
      <c r="F700" t="s">
        <v>197</v>
      </c>
      <c r="G700" t="s">
        <v>197</v>
      </c>
      <c r="H700" t="s">
        <v>197</v>
      </c>
      <c r="I700" t="s">
        <v>197</v>
      </c>
      <c r="J700" t="s">
        <v>197</v>
      </c>
      <c r="K700" t="s">
        <v>559</v>
      </c>
    </row>
    <row r="701" spans="2:11">
      <c r="B701" t="s">
        <v>197</v>
      </c>
      <c r="C701" t="s">
        <v>197</v>
      </c>
      <c r="D701" t="s">
        <v>197</v>
      </c>
      <c r="E701" t="s">
        <v>197</v>
      </c>
      <c r="F701" t="s">
        <v>197</v>
      </c>
      <c r="G701" t="s">
        <v>197</v>
      </c>
      <c r="H701" t="s">
        <v>197</v>
      </c>
      <c r="I701" t="s">
        <v>197</v>
      </c>
      <c r="J701" t="s">
        <v>197</v>
      </c>
      <c r="K701" t="s">
        <v>560</v>
      </c>
    </row>
    <row r="702" spans="2:11">
      <c r="B702" t="s">
        <v>197</v>
      </c>
      <c r="C702" t="s">
        <v>197</v>
      </c>
      <c r="D702" t="s">
        <v>197</v>
      </c>
      <c r="E702" t="s">
        <v>197</v>
      </c>
      <c r="F702" t="s">
        <v>197</v>
      </c>
      <c r="G702" t="s">
        <v>197</v>
      </c>
      <c r="H702" t="s">
        <v>197</v>
      </c>
      <c r="I702" t="s">
        <v>197</v>
      </c>
      <c r="J702" t="s">
        <v>197</v>
      </c>
      <c r="K702" t="s">
        <v>561</v>
      </c>
    </row>
    <row r="703" spans="2:11">
      <c r="B703" t="s">
        <v>197</v>
      </c>
      <c r="C703" t="s">
        <v>197</v>
      </c>
      <c r="D703" t="s">
        <v>197</v>
      </c>
      <c r="E703" t="s">
        <v>197</v>
      </c>
      <c r="F703" t="s">
        <v>197</v>
      </c>
      <c r="G703" t="s">
        <v>197</v>
      </c>
      <c r="H703" t="s">
        <v>197</v>
      </c>
      <c r="I703" t="s">
        <v>197</v>
      </c>
      <c r="J703" t="s">
        <v>197</v>
      </c>
      <c r="K703" t="s">
        <v>562</v>
      </c>
    </row>
    <row r="704" spans="2:11">
      <c r="B704" t="s">
        <v>197</v>
      </c>
      <c r="C704" t="s">
        <v>197</v>
      </c>
      <c r="D704" t="s">
        <v>197</v>
      </c>
      <c r="E704" t="s">
        <v>197</v>
      </c>
      <c r="F704" t="s">
        <v>197</v>
      </c>
      <c r="G704" t="s">
        <v>197</v>
      </c>
      <c r="H704" t="s">
        <v>197</v>
      </c>
      <c r="I704" t="s">
        <v>197</v>
      </c>
      <c r="J704" t="s">
        <v>197</v>
      </c>
      <c r="K704" t="s">
        <v>563</v>
      </c>
    </row>
    <row r="705" spans="1:24">
      <c r="B705" t="s">
        <v>197</v>
      </c>
      <c r="C705" t="s">
        <v>197</v>
      </c>
      <c r="D705" t="s">
        <v>197</v>
      </c>
      <c r="E705" t="s">
        <v>197</v>
      </c>
      <c r="F705" t="s">
        <v>197</v>
      </c>
      <c r="G705" t="s">
        <v>197</v>
      </c>
      <c r="H705" t="s">
        <v>197</v>
      </c>
      <c r="I705" t="s">
        <v>197</v>
      </c>
      <c r="J705" t="s">
        <v>197</v>
      </c>
      <c r="K705" t="s">
        <v>564</v>
      </c>
    </row>
    <row r="706" spans="1:24">
      <c r="B706" t="s">
        <v>197</v>
      </c>
      <c r="C706" t="s">
        <v>197</v>
      </c>
      <c r="D706" t="s">
        <v>197</v>
      </c>
      <c r="E706" t="s">
        <v>197</v>
      </c>
      <c r="F706" t="s">
        <v>197</v>
      </c>
      <c r="G706" t="s">
        <v>197</v>
      </c>
      <c r="H706" t="s">
        <v>197</v>
      </c>
      <c r="I706" t="s">
        <v>197</v>
      </c>
      <c r="J706" t="s">
        <v>197</v>
      </c>
      <c r="K706" t="s">
        <v>565</v>
      </c>
    </row>
    <row r="707" spans="1:24">
      <c r="B707" t="s">
        <v>197</v>
      </c>
      <c r="C707" t="s">
        <v>197</v>
      </c>
      <c r="D707" t="s">
        <v>197</v>
      </c>
      <c r="E707" t="s">
        <v>197</v>
      </c>
      <c r="F707" t="s">
        <v>197</v>
      </c>
      <c r="G707" t="s">
        <v>197</v>
      </c>
      <c r="H707" t="s">
        <v>197</v>
      </c>
      <c r="I707" t="s">
        <v>197</v>
      </c>
      <c r="J707" t="s">
        <v>197</v>
      </c>
      <c r="K707" t="s">
        <v>566</v>
      </c>
    </row>
    <row r="708" spans="1:24">
      <c r="B708" t="s">
        <v>197</v>
      </c>
      <c r="C708" t="s">
        <v>197</v>
      </c>
      <c r="D708" t="s">
        <v>197</v>
      </c>
      <c r="E708" t="s">
        <v>197</v>
      </c>
      <c r="F708" t="s">
        <v>197</v>
      </c>
      <c r="G708" t="s">
        <v>197</v>
      </c>
      <c r="H708" t="s">
        <v>197</v>
      </c>
      <c r="I708" t="s">
        <v>197</v>
      </c>
      <c r="J708" t="s">
        <v>197</v>
      </c>
      <c r="K708" t="s">
        <v>567</v>
      </c>
    </row>
    <row r="709" spans="1:24">
      <c r="A709" t="s">
        <v>866</v>
      </c>
      <c r="K709" t="s">
        <v>867</v>
      </c>
      <c r="W709" t="s">
        <v>171</v>
      </c>
      <c r="X709" t="str">
        <f>A709</f>
        <v>info_sdt_dml_single_pk_irp</v>
      </c>
    </row>
    <row r="710" spans="1:24">
      <c r="B710" t="s">
        <v>196</v>
      </c>
      <c r="C710" t="s">
        <v>197</v>
      </c>
      <c r="D710" t="s">
        <v>197</v>
      </c>
      <c r="E710" t="s">
        <v>197</v>
      </c>
      <c r="F710" t="s">
        <v>197</v>
      </c>
      <c r="G710" t="s">
        <v>197</v>
      </c>
      <c r="H710" t="s">
        <v>197</v>
      </c>
      <c r="I710" t="s">
        <v>868</v>
      </c>
      <c r="J710" t="s">
        <v>199</v>
      </c>
      <c r="K710" t="s">
        <v>200</v>
      </c>
    </row>
    <row r="711" spans="1:24">
      <c r="B711" t="s">
        <v>197</v>
      </c>
      <c r="C711" t="s">
        <v>197</v>
      </c>
      <c r="D711" t="s">
        <v>197</v>
      </c>
      <c r="E711" t="s">
        <v>197</v>
      </c>
      <c r="F711" t="s">
        <v>197</v>
      </c>
      <c r="G711" t="s">
        <v>197</v>
      </c>
      <c r="H711" t="s">
        <v>197</v>
      </c>
      <c r="I711" t="s">
        <v>197</v>
      </c>
      <c r="J711" t="s">
        <v>197</v>
      </c>
      <c r="K711" t="s">
        <v>422</v>
      </c>
    </row>
    <row r="712" spans="1:24">
      <c r="A712" t="s">
        <v>869</v>
      </c>
      <c r="K712" t="s">
        <v>870</v>
      </c>
      <c r="W712" t="s">
        <v>171</v>
      </c>
      <c r="X712" t="str">
        <f>A712</f>
        <v>info_varcharmax_dml_batch1_pk_urp1</v>
      </c>
    </row>
    <row r="713" spans="1:24">
      <c r="B713" t="s">
        <v>196</v>
      </c>
      <c r="C713" t="s">
        <v>197</v>
      </c>
      <c r="D713" t="s">
        <v>197</v>
      </c>
      <c r="E713" t="s">
        <v>197</v>
      </c>
      <c r="F713" t="s">
        <v>197</v>
      </c>
      <c r="G713" t="s">
        <v>197</v>
      </c>
      <c r="H713" t="s">
        <v>197</v>
      </c>
      <c r="I713" t="s">
        <v>871</v>
      </c>
      <c r="J713" t="s">
        <v>199</v>
      </c>
      <c r="K713" t="s">
        <v>200</v>
      </c>
    </row>
    <row r="714" spans="1:24">
      <c r="B714" t="s">
        <v>197</v>
      </c>
      <c r="C714" t="s">
        <v>197</v>
      </c>
      <c r="D714" t="s">
        <v>197</v>
      </c>
      <c r="E714" t="s">
        <v>197</v>
      </c>
      <c r="F714" t="s">
        <v>197</v>
      </c>
      <c r="G714" t="s">
        <v>197</v>
      </c>
      <c r="H714" t="s">
        <v>197</v>
      </c>
      <c r="I714" t="s">
        <v>197</v>
      </c>
      <c r="J714" t="s">
        <v>197</v>
      </c>
      <c r="K714" t="s">
        <v>725</v>
      </c>
    </row>
    <row r="715" spans="1:24">
      <c r="B715" t="s">
        <v>197</v>
      </c>
      <c r="C715" t="s">
        <v>197</v>
      </c>
      <c r="D715" t="s">
        <v>197</v>
      </c>
      <c r="E715" t="s">
        <v>197</v>
      </c>
      <c r="F715" t="s">
        <v>197</v>
      </c>
      <c r="G715" t="s">
        <v>197</v>
      </c>
      <c r="H715" t="s">
        <v>197</v>
      </c>
      <c r="I715" t="s">
        <v>197</v>
      </c>
      <c r="J715" t="s">
        <v>197</v>
      </c>
      <c r="K715" t="s">
        <v>726</v>
      </c>
    </row>
    <row r="716" spans="1:24">
      <c r="K716" t="s">
        <v>443</v>
      </c>
    </row>
    <row r="717" spans="1:24">
      <c r="A717" t="s">
        <v>872</v>
      </c>
      <c r="K717" t="s">
        <v>873</v>
      </c>
      <c r="W717" t="s">
        <v>171</v>
      </c>
      <c r="X717" t="str">
        <f>A717</f>
        <v>info_nchar_dml_batch1_pk_drp1</v>
      </c>
    </row>
    <row r="718" spans="1:24">
      <c r="B718" t="s">
        <v>196</v>
      </c>
      <c r="C718" t="s">
        <v>197</v>
      </c>
      <c r="D718" t="s">
        <v>197</v>
      </c>
      <c r="E718" t="s">
        <v>197</v>
      </c>
      <c r="F718" t="s">
        <v>197</v>
      </c>
      <c r="G718" t="s">
        <v>197</v>
      </c>
      <c r="H718" t="s">
        <v>197</v>
      </c>
      <c r="I718" t="s">
        <v>874</v>
      </c>
      <c r="J718" t="s">
        <v>199</v>
      </c>
      <c r="K718" t="s">
        <v>200</v>
      </c>
    </row>
    <row r="719" spans="1:24">
      <c r="B719" t="s">
        <v>197</v>
      </c>
      <c r="C719" t="s">
        <v>197</v>
      </c>
      <c r="D719" t="s">
        <v>197</v>
      </c>
      <c r="E719" t="s">
        <v>197</v>
      </c>
      <c r="F719" t="s">
        <v>197</v>
      </c>
      <c r="G719" t="s">
        <v>197</v>
      </c>
      <c r="H719" t="s">
        <v>197</v>
      </c>
      <c r="I719" t="s">
        <v>197</v>
      </c>
      <c r="J719" t="s">
        <v>197</v>
      </c>
      <c r="K719" t="s">
        <v>514</v>
      </c>
    </row>
    <row r="720" spans="1:24">
      <c r="B720" t="s">
        <v>197</v>
      </c>
      <c r="C720" t="s">
        <v>197</v>
      </c>
      <c r="D720" t="s">
        <v>197</v>
      </c>
      <c r="E720" t="s">
        <v>197</v>
      </c>
      <c r="F720" t="s">
        <v>197</v>
      </c>
      <c r="G720" t="s">
        <v>197</v>
      </c>
      <c r="H720" t="s">
        <v>197</v>
      </c>
      <c r="I720" t="s">
        <v>197</v>
      </c>
      <c r="J720" t="s">
        <v>197</v>
      </c>
      <c r="K720" t="s">
        <v>516</v>
      </c>
    </row>
    <row r="721" spans="1:24">
      <c r="B721" t="s">
        <v>197</v>
      </c>
      <c r="C721" t="s">
        <v>197</v>
      </c>
      <c r="D721" t="s">
        <v>197</v>
      </c>
      <c r="E721" t="s">
        <v>197</v>
      </c>
      <c r="F721" t="s">
        <v>197</v>
      </c>
      <c r="G721" t="s">
        <v>197</v>
      </c>
      <c r="H721" t="s">
        <v>197</v>
      </c>
      <c r="I721" t="s">
        <v>197</v>
      </c>
      <c r="J721" t="s">
        <v>197</v>
      </c>
      <c r="K721" t="s">
        <v>612</v>
      </c>
    </row>
    <row r="722" spans="1:24">
      <c r="K722" t="s">
        <v>443</v>
      </c>
    </row>
    <row r="723" spans="1:24">
      <c r="A723" t="s">
        <v>875</v>
      </c>
      <c r="K723" t="s">
        <v>876</v>
      </c>
      <c r="W723" t="s">
        <v>171</v>
      </c>
      <c r="X723" t="str">
        <f>A723</f>
        <v>info_sdt_dml_single_pk_urp</v>
      </c>
    </row>
    <row r="724" spans="1:24">
      <c r="B724" t="s">
        <v>196</v>
      </c>
      <c r="C724" t="s">
        <v>197</v>
      </c>
      <c r="D724" t="s">
        <v>197</v>
      </c>
      <c r="E724" t="s">
        <v>197</v>
      </c>
      <c r="F724" t="s">
        <v>197</v>
      </c>
      <c r="G724" t="s">
        <v>197</v>
      </c>
      <c r="H724" t="s">
        <v>197</v>
      </c>
      <c r="I724" t="s">
        <v>877</v>
      </c>
      <c r="J724" t="s">
        <v>199</v>
      </c>
      <c r="K724" t="s">
        <v>200</v>
      </c>
    </row>
    <row r="725" spans="1:24">
      <c r="B725" t="s">
        <v>197</v>
      </c>
      <c r="C725" t="s">
        <v>197</v>
      </c>
      <c r="D725" t="s">
        <v>197</v>
      </c>
      <c r="E725" t="s">
        <v>197</v>
      </c>
      <c r="F725" t="s">
        <v>197</v>
      </c>
      <c r="G725" t="s">
        <v>197</v>
      </c>
      <c r="H725" t="s">
        <v>197</v>
      </c>
      <c r="I725" t="s">
        <v>197</v>
      </c>
      <c r="J725" t="s">
        <v>197</v>
      </c>
      <c r="K725" t="s">
        <v>422</v>
      </c>
    </row>
    <row r="726" spans="1:24">
      <c r="A726" t="s">
        <v>878</v>
      </c>
      <c r="K726" t="s">
        <v>879</v>
      </c>
      <c r="W726" t="s">
        <v>171</v>
      </c>
      <c r="X726" t="str">
        <f>A726</f>
        <v>info_varcharmax_dml_batch1_pk_urp2</v>
      </c>
    </row>
    <row r="727" spans="1:24">
      <c r="B727" t="s">
        <v>196</v>
      </c>
      <c r="C727" t="s">
        <v>197</v>
      </c>
      <c r="D727" t="s">
        <v>197</v>
      </c>
      <c r="E727" t="s">
        <v>197</v>
      </c>
      <c r="F727" t="s">
        <v>197</v>
      </c>
      <c r="G727" t="s">
        <v>197</v>
      </c>
      <c r="H727" t="s">
        <v>197</v>
      </c>
      <c r="I727" t="s">
        <v>880</v>
      </c>
      <c r="J727" t="s">
        <v>199</v>
      </c>
      <c r="K727" t="s">
        <v>200</v>
      </c>
    </row>
    <row r="728" spans="1:24">
      <c r="B728" t="s">
        <v>197</v>
      </c>
      <c r="C728" t="s">
        <v>197</v>
      </c>
      <c r="D728" t="s">
        <v>197</v>
      </c>
      <c r="E728" t="s">
        <v>197</v>
      </c>
      <c r="F728" t="s">
        <v>197</v>
      </c>
      <c r="G728" t="s">
        <v>197</v>
      </c>
      <c r="H728" t="s">
        <v>197</v>
      </c>
      <c r="I728" t="s">
        <v>197</v>
      </c>
      <c r="J728" t="s">
        <v>197</v>
      </c>
      <c r="K728" t="s">
        <v>725</v>
      </c>
    </row>
    <row r="729" spans="1:24">
      <c r="B729" t="s">
        <v>197</v>
      </c>
      <c r="C729" t="s">
        <v>197</v>
      </c>
      <c r="D729" t="s">
        <v>197</v>
      </c>
      <c r="E729" t="s">
        <v>197</v>
      </c>
      <c r="F729" t="s">
        <v>197</v>
      </c>
      <c r="G729" t="s">
        <v>197</v>
      </c>
      <c r="H729" t="s">
        <v>197</v>
      </c>
      <c r="I729" t="s">
        <v>197</v>
      </c>
      <c r="J729" t="s">
        <v>197</v>
      </c>
      <c r="K729" t="s">
        <v>726</v>
      </c>
    </row>
    <row r="730" spans="1:24">
      <c r="K730" t="s">
        <v>443</v>
      </c>
    </row>
    <row r="731" spans="1:24">
      <c r="A731" t="s">
        <v>881</v>
      </c>
      <c r="K731" t="s">
        <v>882</v>
      </c>
      <c r="W731" t="s">
        <v>171</v>
      </c>
      <c r="X731" t="str">
        <f>A731</f>
        <v>info_varcharmax_dml_single_pk_irp</v>
      </c>
    </row>
    <row r="732" spans="1:24">
      <c r="B732" t="s">
        <v>196</v>
      </c>
      <c r="C732" t="s">
        <v>197</v>
      </c>
      <c r="D732" t="s">
        <v>197</v>
      </c>
      <c r="E732" t="s">
        <v>197</v>
      </c>
      <c r="F732" t="s">
        <v>197</v>
      </c>
      <c r="G732" t="s">
        <v>197</v>
      </c>
      <c r="H732" t="s">
        <v>197</v>
      </c>
      <c r="I732" t="s">
        <v>883</v>
      </c>
      <c r="J732" t="s">
        <v>199</v>
      </c>
      <c r="K732" t="s">
        <v>200</v>
      </c>
    </row>
    <row r="733" spans="1:24">
      <c r="B733" t="s">
        <v>197</v>
      </c>
      <c r="C733" t="s">
        <v>197</v>
      </c>
      <c r="D733" t="s">
        <v>197</v>
      </c>
      <c r="E733" t="s">
        <v>197</v>
      </c>
      <c r="F733" t="s">
        <v>197</v>
      </c>
      <c r="G733" t="s">
        <v>197</v>
      </c>
      <c r="H733" t="s">
        <v>197</v>
      </c>
      <c r="I733" t="s">
        <v>197</v>
      </c>
      <c r="J733" t="s">
        <v>197</v>
      </c>
      <c r="K733" t="s">
        <v>725</v>
      </c>
    </row>
    <row r="734" spans="1:24">
      <c r="B734" t="s">
        <v>197</v>
      </c>
      <c r="C734" t="s">
        <v>197</v>
      </c>
      <c r="D734" t="s">
        <v>197</v>
      </c>
      <c r="E734" t="s">
        <v>197</v>
      </c>
      <c r="F734" t="s">
        <v>197</v>
      </c>
      <c r="G734" t="s">
        <v>197</v>
      </c>
      <c r="H734" t="s">
        <v>197</v>
      </c>
      <c r="I734" t="s">
        <v>197</v>
      </c>
      <c r="J734" t="s">
        <v>197</v>
      </c>
      <c r="K734" t="s">
        <v>726</v>
      </c>
    </row>
    <row r="735" spans="1:24">
      <c r="A735" t="s">
        <v>884</v>
      </c>
      <c r="K735" t="s">
        <v>885</v>
      </c>
      <c r="W735" t="s">
        <v>171</v>
      </c>
      <c r="X735" t="str">
        <f>A735</f>
        <v>info_sdt_dml_single_pk_drp</v>
      </c>
    </row>
    <row r="736" spans="1:24">
      <c r="B736" t="s">
        <v>196</v>
      </c>
      <c r="C736" t="s">
        <v>197</v>
      </c>
      <c r="D736" t="s">
        <v>197</v>
      </c>
      <c r="E736" t="s">
        <v>197</v>
      </c>
      <c r="F736" t="s">
        <v>197</v>
      </c>
      <c r="G736" t="s">
        <v>197</v>
      </c>
      <c r="H736" t="s">
        <v>197</v>
      </c>
      <c r="I736" t="s">
        <v>886</v>
      </c>
      <c r="J736" t="s">
        <v>199</v>
      </c>
      <c r="K736" t="s">
        <v>200</v>
      </c>
    </row>
    <row r="737" spans="1:24">
      <c r="B737" t="s">
        <v>197</v>
      </c>
      <c r="C737" t="s">
        <v>197</v>
      </c>
      <c r="D737" t="s">
        <v>197</v>
      </c>
      <c r="E737" t="s">
        <v>197</v>
      </c>
      <c r="F737" t="s">
        <v>197</v>
      </c>
      <c r="G737" t="s">
        <v>197</v>
      </c>
      <c r="H737" t="s">
        <v>197</v>
      </c>
      <c r="I737" t="s">
        <v>197</v>
      </c>
      <c r="J737" t="s">
        <v>197</v>
      </c>
      <c r="K737" t="s">
        <v>422</v>
      </c>
    </row>
    <row r="738" spans="1:24">
      <c r="A738" t="s">
        <v>887</v>
      </c>
      <c r="K738" t="s">
        <v>888</v>
      </c>
      <c r="W738" s="1" t="str">
        <f>HYPERLINK("#2026042000hbase2!AN2","NO 源备存在差异，共4个")</f>
        <v>NO 源备存在差异，共4个</v>
      </c>
      <c r="X738" t="str">
        <f>A738</f>
        <v>info_char_dml_batch1_pk_drp2</v>
      </c>
    </row>
    <row r="739" spans="1:24">
      <c r="B739" t="s">
        <v>196</v>
      </c>
      <c r="C739" t="s">
        <v>197</v>
      </c>
      <c r="D739" t="s">
        <v>197</v>
      </c>
      <c r="E739" t="s">
        <v>197</v>
      </c>
      <c r="F739" t="s">
        <v>197</v>
      </c>
      <c r="G739" t="s">
        <v>197</v>
      </c>
      <c r="H739" t="s">
        <v>197</v>
      </c>
      <c r="I739" t="s">
        <v>889</v>
      </c>
      <c r="J739" t="s">
        <v>199</v>
      </c>
      <c r="K739" t="s">
        <v>200</v>
      </c>
    </row>
    <row r="740" spans="1:24">
      <c r="B740" t="s">
        <v>197</v>
      </c>
      <c r="C740" t="s">
        <v>197</v>
      </c>
      <c r="D740" t="s">
        <v>197</v>
      </c>
      <c r="E740" t="s">
        <v>197</v>
      </c>
      <c r="F740" t="s">
        <v>197</v>
      </c>
      <c r="G740" t="s">
        <v>197</v>
      </c>
      <c r="H740" t="s">
        <v>197</v>
      </c>
      <c r="I740" t="s">
        <v>197</v>
      </c>
      <c r="J740" t="s">
        <v>197</v>
      </c>
      <c r="K740" t="s">
        <v>622</v>
      </c>
    </row>
    <row r="741" spans="1:24">
      <c r="B741" t="s">
        <v>197</v>
      </c>
      <c r="C741" t="s">
        <v>197</v>
      </c>
      <c r="D741" t="s">
        <v>197</v>
      </c>
      <c r="E741" t="s">
        <v>197</v>
      </c>
      <c r="F741" t="s">
        <v>197</v>
      </c>
      <c r="G741" t="s">
        <v>197</v>
      </c>
      <c r="H741" t="s">
        <v>197</v>
      </c>
      <c r="I741" t="s">
        <v>197</v>
      </c>
      <c r="J741" t="s">
        <v>197</v>
      </c>
      <c r="K741" t="s">
        <v>623</v>
      </c>
    </row>
    <row r="742" spans="1:24">
      <c r="B742" t="s">
        <v>197</v>
      </c>
      <c r="C742" t="s">
        <v>197</v>
      </c>
      <c r="D742" t="s">
        <v>197</v>
      </c>
      <c r="E742" t="s">
        <v>197</v>
      </c>
      <c r="F742" t="s">
        <v>197</v>
      </c>
      <c r="G742" t="s">
        <v>197</v>
      </c>
      <c r="H742" t="s">
        <v>197</v>
      </c>
      <c r="I742" t="s">
        <v>197</v>
      </c>
      <c r="J742" t="s">
        <v>197</v>
      </c>
      <c r="K742" t="s">
        <v>832</v>
      </c>
    </row>
    <row r="743" spans="1:24">
      <c r="A743" t="s">
        <v>890</v>
      </c>
      <c r="K743" t="s">
        <v>891</v>
      </c>
      <c r="W743" t="s">
        <v>171</v>
      </c>
      <c r="X743" t="str">
        <f>A743</f>
        <v>info_sdt_dml_single_pk</v>
      </c>
    </row>
    <row r="744" spans="1:24">
      <c r="B744" t="s">
        <v>196</v>
      </c>
      <c r="C744" t="s">
        <v>197</v>
      </c>
      <c r="D744" t="s">
        <v>197</v>
      </c>
      <c r="E744" t="s">
        <v>197</v>
      </c>
      <c r="F744" t="s">
        <v>197</v>
      </c>
      <c r="G744" t="s">
        <v>197</v>
      </c>
      <c r="H744" t="s">
        <v>197</v>
      </c>
      <c r="I744" t="s">
        <v>892</v>
      </c>
      <c r="J744" t="s">
        <v>199</v>
      </c>
      <c r="K744" t="s">
        <v>200</v>
      </c>
    </row>
    <row r="745" spans="1:24">
      <c r="B745" t="s">
        <v>197</v>
      </c>
      <c r="C745" t="s">
        <v>197</v>
      </c>
      <c r="D745" t="s">
        <v>197</v>
      </c>
      <c r="E745" t="s">
        <v>197</v>
      </c>
      <c r="F745" t="s">
        <v>197</v>
      </c>
      <c r="G745" t="s">
        <v>197</v>
      </c>
      <c r="H745" t="s">
        <v>197</v>
      </c>
      <c r="I745" t="s">
        <v>197</v>
      </c>
      <c r="J745" t="s">
        <v>197</v>
      </c>
      <c r="K745" t="s">
        <v>422</v>
      </c>
    </row>
    <row r="746" spans="1:24">
      <c r="A746" t="s">
        <v>893</v>
      </c>
      <c r="K746" t="s">
        <v>894</v>
      </c>
      <c r="W746" s="1" t="str">
        <f>HYPERLINK("#2026042000hbase2!AO2","NO 源备存在差异，共4个")</f>
        <v>NO 源备存在差异，共4个</v>
      </c>
      <c r="X746" t="str">
        <f>A746</f>
        <v>info_int_dml_single_pk_urp</v>
      </c>
    </row>
    <row r="747" spans="1:24">
      <c r="B747" t="s">
        <v>196</v>
      </c>
      <c r="C747" t="s">
        <v>197</v>
      </c>
      <c r="D747" t="s">
        <v>197</v>
      </c>
      <c r="E747" t="s">
        <v>197</v>
      </c>
      <c r="F747" t="s">
        <v>197</v>
      </c>
      <c r="G747" t="s">
        <v>197</v>
      </c>
      <c r="H747" t="s">
        <v>197</v>
      </c>
      <c r="I747" t="s">
        <v>895</v>
      </c>
      <c r="J747" t="s">
        <v>199</v>
      </c>
      <c r="K747" t="s">
        <v>200</v>
      </c>
    </row>
    <row r="748" spans="1:24">
      <c r="B748" t="s">
        <v>197</v>
      </c>
      <c r="C748" t="s">
        <v>197</v>
      </c>
      <c r="D748" t="s">
        <v>197</v>
      </c>
      <c r="E748" t="s">
        <v>197</v>
      </c>
      <c r="F748" t="s">
        <v>197</v>
      </c>
      <c r="G748" t="s">
        <v>197</v>
      </c>
      <c r="H748" t="s">
        <v>197</v>
      </c>
      <c r="I748" t="s">
        <v>197</v>
      </c>
      <c r="J748" t="s">
        <v>197</v>
      </c>
      <c r="K748" t="s">
        <v>549</v>
      </c>
    </row>
    <row r="749" spans="1:24">
      <c r="B749" t="s">
        <v>197</v>
      </c>
      <c r="C749" t="s">
        <v>197</v>
      </c>
      <c r="D749" t="s">
        <v>197</v>
      </c>
      <c r="E749" t="s">
        <v>197</v>
      </c>
      <c r="F749" t="s">
        <v>197</v>
      </c>
      <c r="G749" t="s">
        <v>197</v>
      </c>
      <c r="H749" t="s">
        <v>197</v>
      </c>
      <c r="I749" t="s">
        <v>197</v>
      </c>
      <c r="J749" t="s">
        <v>197</v>
      </c>
      <c r="K749" t="s">
        <v>550</v>
      </c>
    </row>
    <row r="750" spans="1:24">
      <c r="B750" t="s">
        <v>197</v>
      </c>
      <c r="C750" t="s">
        <v>197</v>
      </c>
      <c r="D750" t="s">
        <v>197</v>
      </c>
      <c r="E750" t="s">
        <v>197</v>
      </c>
      <c r="F750" t="s">
        <v>197</v>
      </c>
      <c r="G750" t="s">
        <v>197</v>
      </c>
      <c r="H750" t="s">
        <v>197</v>
      </c>
      <c r="I750" t="s">
        <v>197</v>
      </c>
      <c r="J750" t="s">
        <v>197</v>
      </c>
      <c r="K750" t="s">
        <v>551</v>
      </c>
    </row>
    <row r="751" spans="1:24">
      <c r="B751" t="s">
        <v>197</v>
      </c>
      <c r="C751" t="s">
        <v>197</v>
      </c>
      <c r="D751" t="s">
        <v>197</v>
      </c>
      <c r="E751" t="s">
        <v>197</v>
      </c>
      <c r="F751" t="s">
        <v>197</v>
      </c>
      <c r="G751" t="s">
        <v>197</v>
      </c>
      <c r="H751" t="s">
        <v>197</v>
      </c>
      <c r="I751" t="s">
        <v>197</v>
      </c>
      <c r="J751" t="s">
        <v>197</v>
      </c>
      <c r="K751" t="s">
        <v>552</v>
      </c>
    </row>
    <row r="752" spans="1:24">
      <c r="B752" t="s">
        <v>197</v>
      </c>
      <c r="C752" t="s">
        <v>197</v>
      </c>
      <c r="D752" t="s">
        <v>197</v>
      </c>
      <c r="E752" t="s">
        <v>197</v>
      </c>
      <c r="F752" t="s">
        <v>197</v>
      </c>
      <c r="G752" t="s">
        <v>197</v>
      </c>
      <c r="H752" t="s">
        <v>197</v>
      </c>
      <c r="I752" t="s">
        <v>197</v>
      </c>
      <c r="J752" t="s">
        <v>197</v>
      </c>
      <c r="K752" t="s">
        <v>553</v>
      </c>
    </row>
    <row r="753" spans="1:24">
      <c r="B753" t="s">
        <v>197</v>
      </c>
      <c r="C753" t="s">
        <v>197</v>
      </c>
      <c r="D753" t="s">
        <v>197</v>
      </c>
      <c r="E753" t="s">
        <v>197</v>
      </c>
      <c r="F753" t="s">
        <v>197</v>
      </c>
      <c r="G753" t="s">
        <v>197</v>
      </c>
      <c r="H753" t="s">
        <v>197</v>
      </c>
      <c r="I753" t="s">
        <v>197</v>
      </c>
      <c r="J753" t="s">
        <v>197</v>
      </c>
      <c r="K753" t="s">
        <v>554</v>
      </c>
    </row>
    <row r="754" spans="1:24">
      <c r="B754" t="s">
        <v>197</v>
      </c>
      <c r="C754" t="s">
        <v>197</v>
      </c>
      <c r="D754" t="s">
        <v>197</v>
      </c>
      <c r="E754" t="s">
        <v>197</v>
      </c>
      <c r="F754" t="s">
        <v>197</v>
      </c>
      <c r="G754" t="s">
        <v>197</v>
      </c>
      <c r="H754" t="s">
        <v>197</v>
      </c>
      <c r="I754" t="s">
        <v>197</v>
      </c>
      <c r="J754" t="s">
        <v>197</v>
      </c>
      <c r="K754" t="s">
        <v>555</v>
      </c>
    </row>
    <row r="755" spans="1:24">
      <c r="B755" t="s">
        <v>197</v>
      </c>
      <c r="C755" t="s">
        <v>197</v>
      </c>
      <c r="D755" t="s">
        <v>197</v>
      </c>
      <c r="E755" t="s">
        <v>197</v>
      </c>
      <c r="F755" t="s">
        <v>197</v>
      </c>
      <c r="G755" t="s">
        <v>197</v>
      </c>
      <c r="H755" t="s">
        <v>197</v>
      </c>
      <c r="I755" t="s">
        <v>197</v>
      </c>
      <c r="J755" t="s">
        <v>197</v>
      </c>
      <c r="K755" t="s">
        <v>556</v>
      </c>
    </row>
    <row r="756" spans="1:24">
      <c r="B756" t="s">
        <v>197</v>
      </c>
      <c r="C756" t="s">
        <v>197</v>
      </c>
      <c r="D756" t="s">
        <v>197</v>
      </c>
      <c r="E756" t="s">
        <v>197</v>
      </c>
      <c r="F756" t="s">
        <v>197</v>
      </c>
      <c r="G756" t="s">
        <v>197</v>
      </c>
      <c r="H756" t="s">
        <v>197</v>
      </c>
      <c r="I756" t="s">
        <v>197</v>
      </c>
      <c r="J756" t="s">
        <v>197</v>
      </c>
      <c r="K756" t="s">
        <v>557</v>
      </c>
    </row>
    <row r="757" spans="1:24">
      <c r="B757" t="s">
        <v>197</v>
      </c>
      <c r="C757" t="s">
        <v>197</v>
      </c>
      <c r="D757" t="s">
        <v>197</v>
      </c>
      <c r="E757" t="s">
        <v>197</v>
      </c>
      <c r="F757" t="s">
        <v>197</v>
      </c>
      <c r="G757" t="s">
        <v>197</v>
      </c>
      <c r="H757" t="s">
        <v>197</v>
      </c>
      <c r="I757" t="s">
        <v>197</v>
      </c>
      <c r="J757" t="s">
        <v>197</v>
      </c>
      <c r="K757" t="s">
        <v>558</v>
      </c>
    </row>
    <row r="758" spans="1:24">
      <c r="B758" t="s">
        <v>197</v>
      </c>
      <c r="C758" t="s">
        <v>197</v>
      </c>
      <c r="D758" t="s">
        <v>197</v>
      </c>
      <c r="E758" t="s">
        <v>197</v>
      </c>
      <c r="F758" t="s">
        <v>197</v>
      </c>
      <c r="G758" t="s">
        <v>197</v>
      </c>
      <c r="H758" t="s">
        <v>197</v>
      </c>
      <c r="I758" t="s">
        <v>197</v>
      </c>
      <c r="J758" t="s">
        <v>197</v>
      </c>
      <c r="K758" t="s">
        <v>559</v>
      </c>
    </row>
    <row r="759" spans="1:24">
      <c r="B759" t="s">
        <v>197</v>
      </c>
      <c r="C759" t="s">
        <v>197</v>
      </c>
      <c r="D759" t="s">
        <v>197</v>
      </c>
      <c r="E759" t="s">
        <v>197</v>
      </c>
      <c r="F759" t="s">
        <v>197</v>
      </c>
      <c r="G759" t="s">
        <v>197</v>
      </c>
      <c r="H759" t="s">
        <v>197</v>
      </c>
      <c r="I759" t="s">
        <v>197</v>
      </c>
      <c r="J759" t="s">
        <v>197</v>
      </c>
      <c r="K759" t="s">
        <v>560</v>
      </c>
    </row>
    <row r="760" spans="1:24">
      <c r="B760" t="s">
        <v>197</v>
      </c>
      <c r="C760" t="s">
        <v>197</v>
      </c>
      <c r="D760" t="s">
        <v>197</v>
      </c>
      <c r="E760" t="s">
        <v>197</v>
      </c>
      <c r="F760" t="s">
        <v>197</v>
      </c>
      <c r="G760" t="s">
        <v>197</v>
      </c>
      <c r="H760" t="s">
        <v>197</v>
      </c>
      <c r="I760" t="s">
        <v>197</v>
      </c>
      <c r="J760" t="s">
        <v>197</v>
      </c>
      <c r="K760" t="s">
        <v>561</v>
      </c>
    </row>
    <row r="761" spans="1:24">
      <c r="B761" t="s">
        <v>197</v>
      </c>
      <c r="C761" t="s">
        <v>197</v>
      </c>
      <c r="D761" t="s">
        <v>197</v>
      </c>
      <c r="E761" t="s">
        <v>197</v>
      </c>
      <c r="F761" t="s">
        <v>197</v>
      </c>
      <c r="G761" t="s">
        <v>197</v>
      </c>
      <c r="H761" t="s">
        <v>197</v>
      </c>
      <c r="I761" t="s">
        <v>197</v>
      </c>
      <c r="J761" t="s">
        <v>197</v>
      </c>
      <c r="K761" t="s">
        <v>562</v>
      </c>
    </row>
    <row r="762" spans="1:24">
      <c r="B762" t="s">
        <v>197</v>
      </c>
      <c r="C762" t="s">
        <v>197</v>
      </c>
      <c r="D762" t="s">
        <v>197</v>
      </c>
      <c r="E762" t="s">
        <v>197</v>
      </c>
      <c r="F762" t="s">
        <v>197</v>
      </c>
      <c r="G762" t="s">
        <v>197</v>
      </c>
      <c r="H762" t="s">
        <v>197</v>
      </c>
      <c r="I762" t="s">
        <v>197</v>
      </c>
      <c r="J762" t="s">
        <v>197</v>
      </c>
      <c r="K762" t="s">
        <v>563</v>
      </c>
    </row>
    <row r="763" spans="1:24">
      <c r="B763" t="s">
        <v>197</v>
      </c>
      <c r="C763" t="s">
        <v>197</v>
      </c>
      <c r="D763" t="s">
        <v>197</v>
      </c>
      <c r="E763" t="s">
        <v>197</v>
      </c>
      <c r="F763" t="s">
        <v>197</v>
      </c>
      <c r="G763" t="s">
        <v>197</v>
      </c>
      <c r="H763" t="s">
        <v>197</v>
      </c>
      <c r="I763" t="s">
        <v>197</v>
      </c>
      <c r="J763" t="s">
        <v>197</v>
      </c>
      <c r="K763" t="s">
        <v>564</v>
      </c>
    </row>
    <row r="764" spans="1:24">
      <c r="B764" t="s">
        <v>197</v>
      </c>
      <c r="C764" t="s">
        <v>197</v>
      </c>
      <c r="D764" t="s">
        <v>197</v>
      </c>
      <c r="E764" t="s">
        <v>197</v>
      </c>
      <c r="F764" t="s">
        <v>197</v>
      </c>
      <c r="G764" t="s">
        <v>197</v>
      </c>
      <c r="H764" t="s">
        <v>197</v>
      </c>
      <c r="I764" t="s">
        <v>197</v>
      </c>
      <c r="J764" t="s">
        <v>197</v>
      </c>
      <c r="K764" t="s">
        <v>565</v>
      </c>
    </row>
    <row r="765" spans="1:24">
      <c r="B765" t="s">
        <v>197</v>
      </c>
      <c r="C765" t="s">
        <v>197</v>
      </c>
      <c r="D765" t="s">
        <v>197</v>
      </c>
      <c r="E765" t="s">
        <v>197</v>
      </c>
      <c r="F765" t="s">
        <v>197</v>
      </c>
      <c r="G765" t="s">
        <v>197</v>
      </c>
      <c r="H765" t="s">
        <v>197</v>
      </c>
      <c r="I765" t="s">
        <v>197</v>
      </c>
      <c r="J765" t="s">
        <v>197</v>
      </c>
      <c r="K765" t="s">
        <v>566</v>
      </c>
    </row>
    <row r="766" spans="1:24">
      <c r="B766" t="s">
        <v>197</v>
      </c>
      <c r="C766" t="s">
        <v>197</v>
      </c>
      <c r="D766" t="s">
        <v>197</v>
      </c>
      <c r="E766" t="s">
        <v>197</v>
      </c>
      <c r="F766" t="s">
        <v>197</v>
      </c>
      <c r="G766" t="s">
        <v>197</v>
      </c>
      <c r="H766" t="s">
        <v>197</v>
      </c>
      <c r="I766" t="s">
        <v>197</v>
      </c>
      <c r="J766" t="s">
        <v>197</v>
      </c>
      <c r="K766" t="s">
        <v>567</v>
      </c>
    </row>
    <row r="767" spans="1:24">
      <c r="A767" t="s">
        <v>896</v>
      </c>
      <c r="K767" t="s">
        <v>897</v>
      </c>
      <c r="W767" t="s">
        <v>171</v>
      </c>
      <c r="X767" t="str">
        <f>A767</f>
        <v>info_char_dml_batch1_pk</v>
      </c>
    </row>
    <row r="768" spans="1:24">
      <c r="B768" t="s">
        <v>196</v>
      </c>
      <c r="C768" t="s">
        <v>197</v>
      </c>
      <c r="D768" t="s">
        <v>197</v>
      </c>
      <c r="E768" t="s">
        <v>197</v>
      </c>
      <c r="F768" t="s">
        <v>197</v>
      </c>
      <c r="G768" t="s">
        <v>197</v>
      </c>
      <c r="H768" t="s">
        <v>197</v>
      </c>
      <c r="I768" t="s">
        <v>898</v>
      </c>
      <c r="J768" t="s">
        <v>199</v>
      </c>
      <c r="K768" t="s">
        <v>200</v>
      </c>
    </row>
    <row r="769" spans="1:24">
      <c r="B769" t="s">
        <v>197</v>
      </c>
      <c r="C769" t="s">
        <v>197</v>
      </c>
      <c r="D769" t="s">
        <v>197</v>
      </c>
      <c r="E769" t="s">
        <v>197</v>
      </c>
      <c r="F769" t="s">
        <v>197</v>
      </c>
      <c r="G769" t="s">
        <v>197</v>
      </c>
      <c r="H769" t="s">
        <v>197</v>
      </c>
      <c r="I769" t="s">
        <v>197</v>
      </c>
      <c r="J769" t="s">
        <v>197</v>
      </c>
      <c r="K769" t="s">
        <v>622</v>
      </c>
    </row>
    <row r="770" spans="1:24">
      <c r="B770" t="s">
        <v>197</v>
      </c>
      <c r="C770" t="s">
        <v>197</v>
      </c>
      <c r="D770" t="s">
        <v>197</v>
      </c>
      <c r="E770" t="s">
        <v>197</v>
      </c>
      <c r="F770" t="s">
        <v>197</v>
      </c>
      <c r="G770" t="s">
        <v>197</v>
      </c>
      <c r="H770" t="s">
        <v>197</v>
      </c>
      <c r="I770" t="s">
        <v>197</v>
      </c>
      <c r="J770" t="s">
        <v>197</v>
      </c>
      <c r="K770" t="s">
        <v>623</v>
      </c>
    </row>
    <row r="771" spans="1:24">
      <c r="B771" t="s">
        <v>197</v>
      </c>
      <c r="C771" t="s">
        <v>197</v>
      </c>
      <c r="D771" t="s">
        <v>197</v>
      </c>
      <c r="E771" t="s">
        <v>197</v>
      </c>
      <c r="F771" t="s">
        <v>197</v>
      </c>
      <c r="G771" t="s">
        <v>197</v>
      </c>
      <c r="H771" t="s">
        <v>197</v>
      </c>
      <c r="I771" t="s">
        <v>197</v>
      </c>
      <c r="J771" t="s">
        <v>197</v>
      </c>
      <c r="K771" t="s">
        <v>832</v>
      </c>
    </row>
    <row r="772" spans="1:24">
      <c r="A772" t="s">
        <v>899</v>
      </c>
      <c r="K772" t="s">
        <v>900</v>
      </c>
      <c r="W772" t="s">
        <v>171</v>
      </c>
      <c r="X772" t="str">
        <f>A772</f>
        <v>info_varcharmax_dml_single_pk_urp</v>
      </c>
    </row>
    <row r="773" spans="1:24">
      <c r="B773" t="s">
        <v>196</v>
      </c>
      <c r="C773" t="s">
        <v>197</v>
      </c>
      <c r="D773" t="s">
        <v>197</v>
      </c>
      <c r="E773" t="s">
        <v>197</v>
      </c>
      <c r="F773" t="s">
        <v>197</v>
      </c>
      <c r="G773" t="s">
        <v>197</v>
      </c>
      <c r="H773" t="s">
        <v>197</v>
      </c>
      <c r="I773" t="s">
        <v>901</v>
      </c>
      <c r="J773" t="s">
        <v>199</v>
      </c>
      <c r="K773" t="s">
        <v>200</v>
      </c>
    </row>
    <row r="774" spans="1:24">
      <c r="B774" t="s">
        <v>197</v>
      </c>
      <c r="C774" t="s">
        <v>197</v>
      </c>
      <c r="D774" t="s">
        <v>197</v>
      </c>
      <c r="E774" t="s">
        <v>197</v>
      </c>
      <c r="F774" t="s">
        <v>197</v>
      </c>
      <c r="G774" t="s">
        <v>197</v>
      </c>
      <c r="H774" t="s">
        <v>197</v>
      </c>
      <c r="I774" t="s">
        <v>197</v>
      </c>
      <c r="J774" t="s">
        <v>197</v>
      </c>
      <c r="K774" t="s">
        <v>725</v>
      </c>
    </row>
    <row r="775" spans="1:24">
      <c r="B775" t="s">
        <v>197</v>
      </c>
      <c r="C775" t="s">
        <v>197</v>
      </c>
      <c r="D775" t="s">
        <v>197</v>
      </c>
      <c r="E775" t="s">
        <v>197</v>
      </c>
      <c r="F775" t="s">
        <v>197</v>
      </c>
      <c r="G775" t="s">
        <v>197</v>
      </c>
      <c r="H775" t="s">
        <v>197</v>
      </c>
      <c r="I775" t="s">
        <v>197</v>
      </c>
      <c r="J775" t="s">
        <v>197</v>
      </c>
      <c r="K775" t="s">
        <v>726</v>
      </c>
    </row>
    <row r="776" spans="1:24">
      <c r="A776" t="s">
        <v>902</v>
      </c>
      <c r="K776" t="s">
        <v>903</v>
      </c>
      <c r="W776" t="s">
        <v>171</v>
      </c>
      <c r="X776" t="str">
        <f>A776</f>
        <v>info_binary_dml_single_pk_irp</v>
      </c>
    </row>
    <row r="777" spans="1:24">
      <c r="B777" t="s">
        <v>196</v>
      </c>
      <c r="C777" t="s">
        <v>197</v>
      </c>
      <c r="D777" t="s">
        <v>197</v>
      </c>
      <c r="E777" t="s">
        <v>197</v>
      </c>
      <c r="F777" t="s">
        <v>197</v>
      </c>
      <c r="G777" t="s">
        <v>197</v>
      </c>
      <c r="H777" t="s">
        <v>197</v>
      </c>
      <c r="I777" t="s">
        <v>904</v>
      </c>
      <c r="J777" t="s">
        <v>199</v>
      </c>
      <c r="K777" t="s">
        <v>200</v>
      </c>
    </row>
    <row r="778" spans="1:24">
      <c r="B778" t="s">
        <v>197</v>
      </c>
      <c r="C778" t="s">
        <v>197</v>
      </c>
      <c r="D778" t="s">
        <v>197</v>
      </c>
      <c r="E778" t="s">
        <v>197</v>
      </c>
      <c r="F778" t="s">
        <v>197</v>
      </c>
      <c r="G778" t="s">
        <v>197</v>
      </c>
      <c r="H778" t="s">
        <v>197</v>
      </c>
      <c r="I778" t="s">
        <v>197</v>
      </c>
      <c r="J778" t="s">
        <v>197</v>
      </c>
      <c r="K778" t="s">
        <v>691</v>
      </c>
    </row>
    <row r="779" spans="1:24">
      <c r="B779" t="s">
        <v>197</v>
      </c>
      <c r="C779" t="s">
        <v>197</v>
      </c>
      <c r="D779" t="s">
        <v>197</v>
      </c>
      <c r="E779" t="s">
        <v>197</v>
      </c>
      <c r="F779" t="s">
        <v>197</v>
      </c>
      <c r="G779" t="s">
        <v>197</v>
      </c>
      <c r="H779" t="s">
        <v>197</v>
      </c>
      <c r="I779" t="s">
        <v>197</v>
      </c>
      <c r="J779" t="s">
        <v>197</v>
      </c>
      <c r="K779" t="s">
        <v>692</v>
      </c>
    </row>
    <row r="780" spans="1:24">
      <c r="B780" t="s">
        <v>197</v>
      </c>
      <c r="C780" t="s">
        <v>197</v>
      </c>
      <c r="D780" t="s">
        <v>197</v>
      </c>
      <c r="E780" t="s">
        <v>197</v>
      </c>
      <c r="F780" t="s">
        <v>197</v>
      </c>
      <c r="G780" t="s">
        <v>197</v>
      </c>
      <c r="H780" t="s">
        <v>197</v>
      </c>
      <c r="I780" t="s">
        <v>197</v>
      </c>
      <c r="J780" t="s">
        <v>197</v>
      </c>
      <c r="K780" t="s">
        <v>693</v>
      </c>
    </row>
    <row r="781" spans="1:24">
      <c r="K781" t="s">
        <v>443</v>
      </c>
    </row>
    <row r="782" spans="1:24">
      <c r="A782" t="s">
        <v>905</v>
      </c>
      <c r="K782" t="s">
        <v>906</v>
      </c>
      <c r="W782" t="s">
        <v>171</v>
      </c>
      <c r="X782" t="str">
        <f>A782</f>
        <v>info_nchar_dml_batch1_pk_drp2</v>
      </c>
    </row>
    <row r="783" spans="1:24">
      <c r="B783" t="s">
        <v>196</v>
      </c>
      <c r="C783" t="s">
        <v>197</v>
      </c>
      <c r="D783" t="s">
        <v>197</v>
      </c>
      <c r="E783" t="s">
        <v>197</v>
      </c>
      <c r="F783" t="s">
        <v>197</v>
      </c>
      <c r="G783" t="s">
        <v>197</v>
      </c>
      <c r="H783" t="s">
        <v>197</v>
      </c>
      <c r="I783" t="s">
        <v>907</v>
      </c>
      <c r="J783" t="s">
        <v>199</v>
      </c>
      <c r="K783" t="s">
        <v>200</v>
      </c>
    </row>
    <row r="784" spans="1:24">
      <c r="B784" t="s">
        <v>197</v>
      </c>
      <c r="C784" t="s">
        <v>197</v>
      </c>
      <c r="D784" t="s">
        <v>197</v>
      </c>
      <c r="E784" t="s">
        <v>197</v>
      </c>
      <c r="F784" t="s">
        <v>197</v>
      </c>
      <c r="G784" t="s">
        <v>197</v>
      </c>
      <c r="H784" t="s">
        <v>197</v>
      </c>
      <c r="I784" t="s">
        <v>197</v>
      </c>
      <c r="J784" t="s">
        <v>197</v>
      </c>
      <c r="K784" t="s">
        <v>514</v>
      </c>
    </row>
    <row r="785" spans="1:24">
      <c r="B785" t="s">
        <v>197</v>
      </c>
      <c r="C785" t="s">
        <v>197</v>
      </c>
      <c r="D785" t="s">
        <v>197</v>
      </c>
      <c r="E785" t="s">
        <v>197</v>
      </c>
      <c r="F785" t="s">
        <v>197</v>
      </c>
      <c r="G785" t="s">
        <v>197</v>
      </c>
      <c r="H785" t="s">
        <v>197</v>
      </c>
      <c r="I785" t="s">
        <v>197</v>
      </c>
      <c r="J785" t="s">
        <v>197</v>
      </c>
      <c r="K785" t="s">
        <v>516</v>
      </c>
    </row>
    <row r="786" spans="1:24">
      <c r="B786" t="s">
        <v>197</v>
      </c>
      <c r="C786" t="s">
        <v>197</v>
      </c>
      <c r="D786" t="s">
        <v>197</v>
      </c>
      <c r="E786" t="s">
        <v>197</v>
      </c>
      <c r="F786" t="s">
        <v>197</v>
      </c>
      <c r="G786" t="s">
        <v>197</v>
      </c>
      <c r="H786" t="s">
        <v>197</v>
      </c>
      <c r="I786" t="s">
        <v>197</v>
      </c>
      <c r="J786" t="s">
        <v>197</v>
      </c>
      <c r="K786" t="s">
        <v>612</v>
      </c>
    </row>
    <row r="787" spans="1:24">
      <c r="A787" t="s">
        <v>908</v>
      </c>
      <c r="K787" t="s">
        <v>909</v>
      </c>
      <c r="W787" t="s">
        <v>171</v>
      </c>
      <c r="X787" t="str">
        <f>A787</f>
        <v>info_binary_dml_batch1_pk_drp1</v>
      </c>
    </row>
    <row r="788" spans="1:24">
      <c r="B788" t="s">
        <v>196</v>
      </c>
      <c r="C788" t="s">
        <v>197</v>
      </c>
      <c r="D788" t="s">
        <v>197</v>
      </c>
      <c r="E788" t="s">
        <v>197</v>
      </c>
      <c r="F788" t="s">
        <v>197</v>
      </c>
      <c r="G788" t="s">
        <v>197</v>
      </c>
      <c r="H788" t="s">
        <v>197</v>
      </c>
      <c r="I788" t="s">
        <v>910</v>
      </c>
      <c r="J788" t="s">
        <v>199</v>
      </c>
      <c r="K788" t="s">
        <v>200</v>
      </c>
    </row>
    <row r="789" spans="1:24">
      <c r="B789" t="s">
        <v>197</v>
      </c>
      <c r="C789" t="s">
        <v>197</v>
      </c>
      <c r="D789" t="s">
        <v>197</v>
      </c>
      <c r="E789" t="s">
        <v>197</v>
      </c>
      <c r="F789" t="s">
        <v>197</v>
      </c>
      <c r="G789" t="s">
        <v>197</v>
      </c>
      <c r="H789" t="s">
        <v>197</v>
      </c>
      <c r="I789" t="s">
        <v>197</v>
      </c>
      <c r="J789" t="s">
        <v>197</v>
      </c>
      <c r="K789" t="s">
        <v>691</v>
      </c>
    </row>
    <row r="790" spans="1:24">
      <c r="B790" t="s">
        <v>197</v>
      </c>
      <c r="C790" t="s">
        <v>197</v>
      </c>
      <c r="D790" t="s">
        <v>197</v>
      </c>
      <c r="E790" t="s">
        <v>197</v>
      </c>
      <c r="F790" t="s">
        <v>197</v>
      </c>
      <c r="G790" t="s">
        <v>197</v>
      </c>
      <c r="H790" t="s">
        <v>197</v>
      </c>
      <c r="I790" t="s">
        <v>197</v>
      </c>
      <c r="J790" t="s">
        <v>197</v>
      </c>
      <c r="K790" t="s">
        <v>692</v>
      </c>
    </row>
    <row r="791" spans="1:24">
      <c r="B791" t="s">
        <v>197</v>
      </c>
      <c r="C791" t="s">
        <v>197</v>
      </c>
      <c r="D791" t="s">
        <v>197</v>
      </c>
      <c r="E791" t="s">
        <v>197</v>
      </c>
      <c r="F791" t="s">
        <v>197</v>
      </c>
      <c r="G791" t="s">
        <v>197</v>
      </c>
      <c r="H791" t="s">
        <v>197</v>
      </c>
      <c r="I791" t="s">
        <v>197</v>
      </c>
      <c r="J791" t="s">
        <v>197</v>
      </c>
      <c r="K791" t="s">
        <v>693</v>
      </c>
    </row>
    <row r="792" spans="1:24">
      <c r="K792" t="s">
        <v>443</v>
      </c>
    </row>
    <row r="793" spans="1:24">
      <c r="A793" t="s">
        <v>911</v>
      </c>
      <c r="K793" t="s">
        <v>912</v>
      </c>
      <c r="W793" s="1" t="str">
        <f>HYPERLINK("#2026042000hbase2!AP2","NO 源备存在差异，共10个")</f>
        <v>NO 源备存在差异，共10个</v>
      </c>
      <c r="X793" t="str">
        <f>A793</f>
        <v>info_char_dml_single_pk_irp</v>
      </c>
    </row>
    <row r="794" spans="1:24">
      <c r="B794" t="s">
        <v>196</v>
      </c>
      <c r="C794" t="s">
        <v>197</v>
      </c>
      <c r="D794" t="s">
        <v>197</v>
      </c>
      <c r="E794" t="s">
        <v>197</v>
      </c>
      <c r="F794" t="s">
        <v>197</v>
      </c>
      <c r="G794" t="s">
        <v>197</v>
      </c>
      <c r="H794" t="s">
        <v>197</v>
      </c>
      <c r="I794" t="s">
        <v>913</v>
      </c>
      <c r="J794" t="s">
        <v>199</v>
      </c>
      <c r="K794" t="s">
        <v>200</v>
      </c>
    </row>
    <row r="795" spans="1:24">
      <c r="B795" t="s">
        <v>197</v>
      </c>
      <c r="C795" t="s">
        <v>197</v>
      </c>
      <c r="D795" t="s">
        <v>197</v>
      </c>
      <c r="E795" t="s">
        <v>197</v>
      </c>
      <c r="F795" t="s">
        <v>197</v>
      </c>
      <c r="G795" t="s">
        <v>197</v>
      </c>
      <c r="H795" t="s">
        <v>197</v>
      </c>
      <c r="I795" t="s">
        <v>197</v>
      </c>
      <c r="J795" t="s">
        <v>197</v>
      </c>
      <c r="K795" t="s">
        <v>622</v>
      </c>
    </row>
    <row r="796" spans="1:24">
      <c r="B796" t="s">
        <v>197</v>
      </c>
      <c r="C796" t="s">
        <v>197</v>
      </c>
      <c r="D796" t="s">
        <v>197</v>
      </c>
      <c r="E796" t="s">
        <v>197</v>
      </c>
      <c r="F796" t="s">
        <v>197</v>
      </c>
      <c r="G796" t="s">
        <v>197</v>
      </c>
      <c r="H796" t="s">
        <v>197</v>
      </c>
      <c r="I796" t="s">
        <v>197</v>
      </c>
      <c r="J796" t="s">
        <v>197</v>
      </c>
      <c r="K796" t="s">
        <v>623</v>
      </c>
    </row>
    <row r="797" spans="1:24">
      <c r="B797" t="s">
        <v>197</v>
      </c>
      <c r="C797" t="s">
        <v>197</v>
      </c>
      <c r="D797" t="s">
        <v>197</v>
      </c>
      <c r="E797" t="s">
        <v>197</v>
      </c>
      <c r="F797" t="s">
        <v>197</v>
      </c>
      <c r="G797" t="s">
        <v>197</v>
      </c>
      <c r="H797" t="s">
        <v>197</v>
      </c>
      <c r="I797" t="s">
        <v>197</v>
      </c>
      <c r="J797" t="s">
        <v>197</v>
      </c>
      <c r="K797" t="s">
        <v>624</v>
      </c>
    </row>
    <row r="798" spans="1:24">
      <c r="A798" t="s">
        <v>914</v>
      </c>
      <c r="K798" t="s">
        <v>915</v>
      </c>
      <c r="W798" t="s">
        <v>171</v>
      </c>
      <c r="X798" t="str">
        <f>A798</f>
        <v>info_date_dml_batch1_pk_urp1</v>
      </c>
    </row>
    <row r="799" spans="1:24">
      <c r="B799" t="s">
        <v>196</v>
      </c>
      <c r="C799" t="s">
        <v>197</v>
      </c>
      <c r="D799" t="s">
        <v>197</v>
      </c>
      <c r="E799" t="s">
        <v>197</v>
      </c>
      <c r="F799" t="s">
        <v>197</v>
      </c>
      <c r="G799" t="s">
        <v>197</v>
      </c>
      <c r="H799" t="s">
        <v>197</v>
      </c>
      <c r="I799" t="s">
        <v>916</v>
      </c>
      <c r="J799" t="s">
        <v>199</v>
      </c>
      <c r="K799" t="s">
        <v>200</v>
      </c>
    </row>
    <row r="800" spans="1:24">
      <c r="B800" t="s">
        <v>197</v>
      </c>
      <c r="C800" t="s">
        <v>197</v>
      </c>
      <c r="D800" t="s">
        <v>197</v>
      </c>
      <c r="E800" t="s">
        <v>197</v>
      </c>
      <c r="F800" t="s">
        <v>197</v>
      </c>
      <c r="G800" t="s">
        <v>197</v>
      </c>
      <c r="H800" t="s">
        <v>197</v>
      </c>
      <c r="I800" t="s">
        <v>197</v>
      </c>
      <c r="J800" t="s">
        <v>197</v>
      </c>
      <c r="K800" t="s">
        <v>678</v>
      </c>
    </row>
    <row r="801" spans="1:24">
      <c r="A801" t="s">
        <v>917</v>
      </c>
      <c r="K801" t="s">
        <v>918</v>
      </c>
      <c r="W801" t="s">
        <v>171</v>
      </c>
      <c r="X801" t="str">
        <f>A801</f>
        <v>info_date_dml_batch1_pk_urp2</v>
      </c>
    </row>
    <row r="802" spans="1:24">
      <c r="B802" t="s">
        <v>196</v>
      </c>
      <c r="C802" t="s">
        <v>197</v>
      </c>
      <c r="D802" t="s">
        <v>197</v>
      </c>
      <c r="E802" t="s">
        <v>197</v>
      </c>
      <c r="F802" t="s">
        <v>197</v>
      </c>
      <c r="G802" t="s">
        <v>197</v>
      </c>
      <c r="H802" t="s">
        <v>197</v>
      </c>
      <c r="I802" t="s">
        <v>919</v>
      </c>
      <c r="J802" t="s">
        <v>199</v>
      </c>
      <c r="K802" t="s">
        <v>200</v>
      </c>
    </row>
    <row r="803" spans="1:24">
      <c r="B803" t="s">
        <v>197</v>
      </c>
      <c r="C803" t="s">
        <v>197</v>
      </c>
      <c r="D803" t="s">
        <v>197</v>
      </c>
      <c r="E803" t="s">
        <v>197</v>
      </c>
      <c r="F803" t="s">
        <v>197</v>
      </c>
      <c r="G803" t="s">
        <v>197</v>
      </c>
      <c r="H803" t="s">
        <v>197</v>
      </c>
      <c r="I803" t="s">
        <v>197</v>
      </c>
      <c r="J803" t="s">
        <v>197</v>
      </c>
      <c r="K803" t="s">
        <v>678</v>
      </c>
    </row>
    <row r="804" spans="1:24">
      <c r="A804" t="s">
        <v>920</v>
      </c>
      <c r="K804" t="s">
        <v>921</v>
      </c>
      <c r="W804" s="1" t="str">
        <f>HYPERLINK("#2026042000hbase2!AQ2","NO 源备存在差异，共4个")</f>
        <v>NO 源备存在差异，共4个</v>
      </c>
      <c r="X804" t="str">
        <f>A804</f>
        <v>info_binary_dml_batch1_pk_drp2</v>
      </c>
    </row>
    <row r="805" spans="1:24">
      <c r="B805" t="s">
        <v>196</v>
      </c>
      <c r="C805" t="s">
        <v>197</v>
      </c>
      <c r="D805" t="s">
        <v>197</v>
      </c>
      <c r="E805" t="s">
        <v>197</v>
      </c>
      <c r="F805" t="s">
        <v>197</v>
      </c>
      <c r="G805" t="s">
        <v>197</v>
      </c>
      <c r="H805" t="s">
        <v>197</v>
      </c>
      <c r="I805" t="s">
        <v>922</v>
      </c>
      <c r="J805" t="s">
        <v>199</v>
      </c>
      <c r="K805" t="s">
        <v>200</v>
      </c>
    </row>
    <row r="806" spans="1:24">
      <c r="B806" t="s">
        <v>197</v>
      </c>
      <c r="C806" t="s">
        <v>197</v>
      </c>
      <c r="D806" t="s">
        <v>197</v>
      </c>
      <c r="E806" t="s">
        <v>197</v>
      </c>
      <c r="F806" t="s">
        <v>197</v>
      </c>
      <c r="G806" t="s">
        <v>197</v>
      </c>
      <c r="H806" t="s">
        <v>197</v>
      </c>
      <c r="I806" t="s">
        <v>197</v>
      </c>
      <c r="J806" t="s">
        <v>197</v>
      </c>
      <c r="K806" t="s">
        <v>691</v>
      </c>
    </row>
    <row r="807" spans="1:24">
      <c r="B807" t="s">
        <v>197</v>
      </c>
      <c r="C807" t="s">
        <v>197</v>
      </c>
      <c r="D807" t="s">
        <v>197</v>
      </c>
      <c r="E807" t="s">
        <v>197</v>
      </c>
      <c r="F807" t="s">
        <v>197</v>
      </c>
      <c r="G807" t="s">
        <v>197</v>
      </c>
      <c r="H807" t="s">
        <v>197</v>
      </c>
      <c r="I807" t="s">
        <v>197</v>
      </c>
      <c r="J807" t="s">
        <v>197</v>
      </c>
      <c r="K807" t="s">
        <v>692</v>
      </c>
    </row>
    <row r="808" spans="1:24">
      <c r="B808" t="s">
        <v>197</v>
      </c>
      <c r="C808" t="s">
        <v>197</v>
      </c>
      <c r="D808" t="s">
        <v>197</v>
      </c>
      <c r="E808" t="s">
        <v>197</v>
      </c>
      <c r="F808" t="s">
        <v>197</v>
      </c>
      <c r="G808" t="s">
        <v>197</v>
      </c>
      <c r="H808" t="s">
        <v>197</v>
      </c>
      <c r="I808" t="s">
        <v>197</v>
      </c>
      <c r="J808" t="s">
        <v>197</v>
      </c>
      <c r="K808" t="s">
        <v>693</v>
      </c>
    </row>
    <row r="809" spans="1:24">
      <c r="A809" t="s">
        <v>923</v>
      </c>
      <c r="K809" t="s">
        <v>924</v>
      </c>
      <c r="W809" t="s">
        <v>171</v>
      </c>
      <c r="X809" t="str">
        <f>A809</f>
        <v>info_datetime_dml_single_pk_irp</v>
      </c>
    </row>
    <row r="810" spans="1:24">
      <c r="B810" t="s">
        <v>196</v>
      </c>
      <c r="C810" t="s">
        <v>197</v>
      </c>
      <c r="D810" t="s">
        <v>197</v>
      </c>
      <c r="E810" t="s">
        <v>197</v>
      </c>
      <c r="F810" t="s">
        <v>197</v>
      </c>
      <c r="G810" t="s">
        <v>197</v>
      </c>
      <c r="H810" t="s">
        <v>197</v>
      </c>
      <c r="I810" t="s">
        <v>925</v>
      </c>
      <c r="J810" t="s">
        <v>199</v>
      </c>
      <c r="K810" t="s">
        <v>200</v>
      </c>
    </row>
    <row r="811" spans="1:24">
      <c r="B811" t="s">
        <v>197</v>
      </c>
      <c r="C811" t="s">
        <v>197</v>
      </c>
      <c r="D811" t="s">
        <v>197</v>
      </c>
      <c r="E811" t="s">
        <v>197</v>
      </c>
      <c r="F811" t="s">
        <v>197</v>
      </c>
      <c r="G811" t="s">
        <v>197</v>
      </c>
      <c r="H811" t="s">
        <v>197</v>
      </c>
      <c r="I811" t="s">
        <v>197</v>
      </c>
      <c r="J811" t="s">
        <v>197</v>
      </c>
      <c r="K811" t="s">
        <v>574</v>
      </c>
    </row>
    <row r="812" spans="1:24">
      <c r="A812" t="s">
        <v>929</v>
      </c>
      <c r="K812" t="s">
        <v>930</v>
      </c>
      <c r="W812" t="s">
        <v>171</v>
      </c>
      <c r="X812" t="str">
        <f>A812</f>
        <v>info_varcharmax_dml_single_pk_drp</v>
      </c>
    </row>
    <row r="813" spans="1:24">
      <c r="B813" t="s">
        <v>196</v>
      </c>
      <c r="C813" t="s">
        <v>197</v>
      </c>
      <c r="D813" t="s">
        <v>197</v>
      </c>
      <c r="E813" t="s">
        <v>197</v>
      </c>
      <c r="F813" t="s">
        <v>197</v>
      </c>
      <c r="G813" t="s">
        <v>197</v>
      </c>
      <c r="H813" t="s">
        <v>197</v>
      </c>
      <c r="I813" t="s">
        <v>931</v>
      </c>
      <c r="J813" t="s">
        <v>199</v>
      </c>
      <c r="K813" t="s">
        <v>200</v>
      </c>
    </row>
    <row r="814" spans="1:24">
      <c r="B814" t="s">
        <v>197</v>
      </c>
      <c r="C814" t="s">
        <v>197</v>
      </c>
      <c r="D814" t="s">
        <v>197</v>
      </c>
      <c r="E814" t="s">
        <v>197</v>
      </c>
      <c r="F814" t="s">
        <v>197</v>
      </c>
      <c r="G814" t="s">
        <v>197</v>
      </c>
      <c r="H814" t="s">
        <v>197</v>
      </c>
      <c r="I814" t="s">
        <v>197</v>
      </c>
      <c r="J814" t="s">
        <v>197</v>
      </c>
      <c r="K814" t="s">
        <v>725</v>
      </c>
    </row>
    <row r="815" spans="1:24">
      <c r="B815" t="s">
        <v>197</v>
      </c>
      <c r="C815" t="s">
        <v>197</v>
      </c>
      <c r="D815" t="s">
        <v>197</v>
      </c>
      <c r="E815" t="s">
        <v>197</v>
      </c>
      <c r="F815" t="s">
        <v>197</v>
      </c>
      <c r="G815" t="s">
        <v>197</v>
      </c>
      <c r="H815" t="s">
        <v>197</v>
      </c>
      <c r="I815" t="s">
        <v>197</v>
      </c>
      <c r="J815" t="s">
        <v>197</v>
      </c>
      <c r="K815" t="s">
        <v>726</v>
      </c>
    </row>
    <row r="816" spans="1:24">
      <c r="A816" t="s">
        <v>926</v>
      </c>
      <c r="K816" t="s">
        <v>927</v>
      </c>
      <c r="W816" s="1" t="str">
        <f>HYPERLINK("#2026042000hbase2!AR2","NO 源备存在差异，共4个")</f>
        <v>NO 源备存在差异，共4个</v>
      </c>
      <c r="X816" t="str">
        <f>A816</f>
        <v>info_int_dml_single_pk_drp</v>
      </c>
    </row>
    <row r="817" spans="2:11">
      <c r="B817" t="s">
        <v>196</v>
      </c>
      <c r="C817" t="s">
        <v>197</v>
      </c>
      <c r="D817" t="s">
        <v>197</v>
      </c>
      <c r="E817" t="s">
        <v>197</v>
      </c>
      <c r="F817" t="s">
        <v>197</v>
      </c>
      <c r="G817" t="s">
        <v>197</v>
      </c>
      <c r="H817" t="s">
        <v>197</v>
      </c>
      <c r="I817" t="s">
        <v>928</v>
      </c>
      <c r="J817" t="s">
        <v>199</v>
      </c>
      <c r="K817" t="s">
        <v>200</v>
      </c>
    </row>
    <row r="818" spans="2:11">
      <c r="B818" t="s">
        <v>197</v>
      </c>
      <c r="C818" t="s">
        <v>197</v>
      </c>
      <c r="D818" t="s">
        <v>197</v>
      </c>
      <c r="E818" t="s">
        <v>197</v>
      </c>
      <c r="F818" t="s">
        <v>197</v>
      </c>
      <c r="G818" t="s">
        <v>197</v>
      </c>
      <c r="H818" t="s">
        <v>197</v>
      </c>
      <c r="I818" t="s">
        <v>197</v>
      </c>
      <c r="J818" t="s">
        <v>197</v>
      </c>
      <c r="K818" t="s">
        <v>549</v>
      </c>
    </row>
    <row r="819" spans="2:11">
      <c r="B819" t="s">
        <v>197</v>
      </c>
      <c r="C819" t="s">
        <v>197</v>
      </c>
      <c r="D819" t="s">
        <v>197</v>
      </c>
      <c r="E819" t="s">
        <v>197</v>
      </c>
      <c r="F819" t="s">
        <v>197</v>
      </c>
      <c r="G819" t="s">
        <v>197</v>
      </c>
      <c r="H819" t="s">
        <v>197</v>
      </c>
      <c r="I819" t="s">
        <v>197</v>
      </c>
      <c r="J819" t="s">
        <v>197</v>
      </c>
      <c r="K819" t="s">
        <v>550</v>
      </c>
    </row>
    <row r="820" spans="2:11">
      <c r="B820" t="s">
        <v>197</v>
      </c>
      <c r="C820" t="s">
        <v>197</v>
      </c>
      <c r="D820" t="s">
        <v>197</v>
      </c>
      <c r="E820" t="s">
        <v>197</v>
      </c>
      <c r="F820" t="s">
        <v>197</v>
      </c>
      <c r="G820" t="s">
        <v>197</v>
      </c>
      <c r="H820" t="s">
        <v>197</v>
      </c>
      <c r="I820" t="s">
        <v>197</v>
      </c>
      <c r="J820" t="s">
        <v>197</v>
      </c>
      <c r="K820" t="s">
        <v>551</v>
      </c>
    </row>
    <row r="821" spans="2:11">
      <c r="B821" t="s">
        <v>197</v>
      </c>
      <c r="C821" t="s">
        <v>197</v>
      </c>
      <c r="D821" t="s">
        <v>197</v>
      </c>
      <c r="E821" t="s">
        <v>197</v>
      </c>
      <c r="F821" t="s">
        <v>197</v>
      </c>
      <c r="G821" t="s">
        <v>197</v>
      </c>
      <c r="H821" t="s">
        <v>197</v>
      </c>
      <c r="I821" t="s">
        <v>197</v>
      </c>
      <c r="J821" t="s">
        <v>197</v>
      </c>
      <c r="K821" t="s">
        <v>552</v>
      </c>
    </row>
    <row r="822" spans="2:11">
      <c r="B822" t="s">
        <v>197</v>
      </c>
      <c r="C822" t="s">
        <v>197</v>
      </c>
      <c r="D822" t="s">
        <v>197</v>
      </c>
      <c r="E822" t="s">
        <v>197</v>
      </c>
      <c r="F822" t="s">
        <v>197</v>
      </c>
      <c r="G822" t="s">
        <v>197</v>
      </c>
      <c r="H822" t="s">
        <v>197</v>
      </c>
      <c r="I822" t="s">
        <v>197</v>
      </c>
      <c r="J822" t="s">
        <v>197</v>
      </c>
      <c r="K822" t="s">
        <v>553</v>
      </c>
    </row>
    <row r="823" spans="2:11">
      <c r="B823" t="s">
        <v>197</v>
      </c>
      <c r="C823" t="s">
        <v>197</v>
      </c>
      <c r="D823" t="s">
        <v>197</v>
      </c>
      <c r="E823" t="s">
        <v>197</v>
      </c>
      <c r="F823" t="s">
        <v>197</v>
      </c>
      <c r="G823" t="s">
        <v>197</v>
      </c>
      <c r="H823" t="s">
        <v>197</v>
      </c>
      <c r="I823" t="s">
        <v>197</v>
      </c>
      <c r="J823" t="s">
        <v>197</v>
      </c>
      <c r="K823" t="s">
        <v>554</v>
      </c>
    </row>
    <row r="824" spans="2:11">
      <c r="B824" t="s">
        <v>197</v>
      </c>
      <c r="C824" t="s">
        <v>197</v>
      </c>
      <c r="D824" t="s">
        <v>197</v>
      </c>
      <c r="E824" t="s">
        <v>197</v>
      </c>
      <c r="F824" t="s">
        <v>197</v>
      </c>
      <c r="G824" t="s">
        <v>197</v>
      </c>
      <c r="H824" t="s">
        <v>197</v>
      </c>
      <c r="I824" t="s">
        <v>197</v>
      </c>
      <c r="J824" t="s">
        <v>197</v>
      </c>
      <c r="K824" t="s">
        <v>555</v>
      </c>
    </row>
    <row r="825" spans="2:11">
      <c r="B825" t="s">
        <v>197</v>
      </c>
      <c r="C825" t="s">
        <v>197</v>
      </c>
      <c r="D825" t="s">
        <v>197</v>
      </c>
      <c r="E825" t="s">
        <v>197</v>
      </c>
      <c r="F825" t="s">
        <v>197</v>
      </c>
      <c r="G825" t="s">
        <v>197</v>
      </c>
      <c r="H825" t="s">
        <v>197</v>
      </c>
      <c r="I825" t="s">
        <v>197</v>
      </c>
      <c r="J825" t="s">
        <v>197</v>
      </c>
      <c r="K825" t="s">
        <v>556</v>
      </c>
    </row>
    <row r="826" spans="2:11">
      <c r="B826" t="s">
        <v>197</v>
      </c>
      <c r="C826" t="s">
        <v>197</v>
      </c>
      <c r="D826" t="s">
        <v>197</v>
      </c>
      <c r="E826" t="s">
        <v>197</v>
      </c>
      <c r="F826" t="s">
        <v>197</v>
      </c>
      <c r="G826" t="s">
        <v>197</v>
      </c>
      <c r="H826" t="s">
        <v>197</v>
      </c>
      <c r="I826" t="s">
        <v>197</v>
      </c>
      <c r="J826" t="s">
        <v>197</v>
      </c>
      <c r="K826" t="s">
        <v>557</v>
      </c>
    </row>
    <row r="827" spans="2:11">
      <c r="B827" t="s">
        <v>197</v>
      </c>
      <c r="C827" t="s">
        <v>197</v>
      </c>
      <c r="D827" t="s">
        <v>197</v>
      </c>
      <c r="E827" t="s">
        <v>197</v>
      </c>
      <c r="F827" t="s">
        <v>197</v>
      </c>
      <c r="G827" t="s">
        <v>197</v>
      </c>
      <c r="H827" t="s">
        <v>197</v>
      </c>
      <c r="I827" t="s">
        <v>197</v>
      </c>
      <c r="J827" t="s">
        <v>197</v>
      </c>
      <c r="K827" t="s">
        <v>558</v>
      </c>
    </row>
    <row r="828" spans="2:11">
      <c r="B828" t="s">
        <v>197</v>
      </c>
      <c r="C828" t="s">
        <v>197</v>
      </c>
      <c r="D828" t="s">
        <v>197</v>
      </c>
      <c r="E828" t="s">
        <v>197</v>
      </c>
      <c r="F828" t="s">
        <v>197</v>
      </c>
      <c r="G828" t="s">
        <v>197</v>
      </c>
      <c r="H828" t="s">
        <v>197</v>
      </c>
      <c r="I828" t="s">
        <v>197</v>
      </c>
      <c r="J828" t="s">
        <v>197</v>
      </c>
      <c r="K828" t="s">
        <v>559</v>
      </c>
    </row>
    <row r="829" spans="2:11">
      <c r="B829" t="s">
        <v>197</v>
      </c>
      <c r="C829" t="s">
        <v>197</v>
      </c>
      <c r="D829" t="s">
        <v>197</v>
      </c>
      <c r="E829" t="s">
        <v>197</v>
      </c>
      <c r="F829" t="s">
        <v>197</v>
      </c>
      <c r="G829" t="s">
        <v>197</v>
      </c>
      <c r="H829" t="s">
        <v>197</v>
      </c>
      <c r="I829" t="s">
        <v>197</v>
      </c>
      <c r="J829" t="s">
        <v>197</v>
      </c>
      <c r="K829" t="s">
        <v>560</v>
      </c>
    </row>
    <row r="830" spans="2:11">
      <c r="B830" t="s">
        <v>197</v>
      </c>
      <c r="C830" t="s">
        <v>197</v>
      </c>
      <c r="D830" t="s">
        <v>197</v>
      </c>
      <c r="E830" t="s">
        <v>197</v>
      </c>
      <c r="F830" t="s">
        <v>197</v>
      </c>
      <c r="G830" t="s">
        <v>197</v>
      </c>
      <c r="H830" t="s">
        <v>197</v>
      </c>
      <c r="I830" t="s">
        <v>197</v>
      </c>
      <c r="J830" t="s">
        <v>197</v>
      </c>
      <c r="K830" t="s">
        <v>561</v>
      </c>
    </row>
    <row r="831" spans="2:11">
      <c r="B831" t="s">
        <v>197</v>
      </c>
      <c r="C831" t="s">
        <v>197</v>
      </c>
      <c r="D831" t="s">
        <v>197</v>
      </c>
      <c r="E831" t="s">
        <v>197</v>
      </c>
      <c r="F831" t="s">
        <v>197</v>
      </c>
      <c r="G831" t="s">
        <v>197</v>
      </c>
      <c r="H831" t="s">
        <v>197</v>
      </c>
      <c r="I831" t="s">
        <v>197</v>
      </c>
      <c r="J831" t="s">
        <v>197</v>
      </c>
      <c r="K831" t="s">
        <v>562</v>
      </c>
    </row>
    <row r="832" spans="2:11">
      <c r="B832" t="s">
        <v>197</v>
      </c>
      <c r="C832" t="s">
        <v>197</v>
      </c>
      <c r="D832" t="s">
        <v>197</v>
      </c>
      <c r="E832" t="s">
        <v>197</v>
      </c>
      <c r="F832" t="s">
        <v>197</v>
      </c>
      <c r="G832" t="s">
        <v>197</v>
      </c>
      <c r="H832" t="s">
        <v>197</v>
      </c>
      <c r="I832" t="s">
        <v>197</v>
      </c>
      <c r="J832" t="s">
        <v>197</v>
      </c>
      <c r="K832" t="s">
        <v>563</v>
      </c>
    </row>
    <row r="833" spans="1:24">
      <c r="B833" t="s">
        <v>197</v>
      </c>
      <c r="C833" t="s">
        <v>197</v>
      </c>
      <c r="D833" t="s">
        <v>197</v>
      </c>
      <c r="E833" t="s">
        <v>197</v>
      </c>
      <c r="F833" t="s">
        <v>197</v>
      </c>
      <c r="G833" t="s">
        <v>197</v>
      </c>
      <c r="H833" t="s">
        <v>197</v>
      </c>
      <c r="I833" t="s">
        <v>197</v>
      </c>
      <c r="J833" t="s">
        <v>197</v>
      </c>
      <c r="K833" t="s">
        <v>564</v>
      </c>
    </row>
    <row r="834" spans="1:24">
      <c r="B834" t="s">
        <v>197</v>
      </c>
      <c r="C834" t="s">
        <v>197</v>
      </c>
      <c r="D834" t="s">
        <v>197</v>
      </c>
      <c r="E834" t="s">
        <v>197</v>
      </c>
      <c r="F834" t="s">
        <v>197</v>
      </c>
      <c r="G834" t="s">
        <v>197</v>
      </c>
      <c r="H834" t="s">
        <v>197</v>
      </c>
      <c r="I834" t="s">
        <v>197</v>
      </c>
      <c r="J834" t="s">
        <v>197</v>
      </c>
      <c r="K834" t="s">
        <v>565</v>
      </c>
    </row>
    <row r="835" spans="1:24">
      <c r="B835" t="s">
        <v>197</v>
      </c>
      <c r="C835" t="s">
        <v>197</v>
      </c>
      <c r="D835" t="s">
        <v>197</v>
      </c>
      <c r="E835" t="s">
        <v>197</v>
      </c>
      <c r="F835" t="s">
        <v>197</v>
      </c>
      <c r="G835" t="s">
        <v>197</v>
      </c>
      <c r="H835" t="s">
        <v>197</v>
      </c>
      <c r="I835" t="s">
        <v>197</v>
      </c>
      <c r="J835" t="s">
        <v>197</v>
      </c>
      <c r="K835" t="s">
        <v>566</v>
      </c>
    </row>
    <row r="836" spans="1:24">
      <c r="B836" t="s">
        <v>197</v>
      </c>
      <c r="C836" t="s">
        <v>197</v>
      </c>
      <c r="D836" t="s">
        <v>197</v>
      </c>
      <c r="E836" t="s">
        <v>197</v>
      </c>
      <c r="F836" t="s">
        <v>197</v>
      </c>
      <c r="G836" t="s">
        <v>197</v>
      </c>
      <c r="H836" t="s">
        <v>197</v>
      </c>
      <c r="I836" t="s">
        <v>197</v>
      </c>
      <c r="J836" t="s">
        <v>197</v>
      </c>
      <c r="K836" t="s">
        <v>567</v>
      </c>
    </row>
    <row r="837" spans="1:24">
      <c r="A837" t="s">
        <v>932</v>
      </c>
      <c r="K837" t="s">
        <v>933</v>
      </c>
      <c r="W837" s="4" t="str">
        <f>HYPERLINK("#2026042000hbase2!AS2","NO 源备存在差异，共12个")</f>
        <v>NO 源备存在差异，共12个</v>
      </c>
      <c r="X837" t="str">
        <f>A837</f>
        <v>info_char_dml_batch1_pk_urp1</v>
      </c>
    </row>
    <row r="838" spans="1:24">
      <c r="B838" t="s">
        <v>196</v>
      </c>
      <c r="C838" t="s">
        <v>197</v>
      </c>
      <c r="D838" t="s">
        <v>197</v>
      </c>
      <c r="E838" t="s">
        <v>197</v>
      </c>
      <c r="F838" t="s">
        <v>197</v>
      </c>
      <c r="G838" t="s">
        <v>197</v>
      </c>
      <c r="H838" t="s">
        <v>197</v>
      </c>
      <c r="I838" t="s">
        <v>934</v>
      </c>
      <c r="J838" t="s">
        <v>199</v>
      </c>
      <c r="K838" t="s">
        <v>200</v>
      </c>
    </row>
    <row r="839" spans="1:24">
      <c r="B839" t="s">
        <v>197</v>
      </c>
      <c r="C839" t="s">
        <v>197</v>
      </c>
      <c r="D839" t="s">
        <v>197</v>
      </c>
      <c r="E839" t="s">
        <v>197</v>
      </c>
      <c r="F839" t="s">
        <v>197</v>
      </c>
      <c r="G839" t="s">
        <v>197</v>
      </c>
      <c r="H839" t="s">
        <v>197</v>
      </c>
      <c r="I839" t="s">
        <v>197</v>
      </c>
      <c r="J839" t="s">
        <v>197</v>
      </c>
      <c r="K839" t="s">
        <v>622</v>
      </c>
    </row>
    <row r="840" spans="1:24">
      <c r="B840" t="s">
        <v>197</v>
      </c>
      <c r="C840" t="s">
        <v>197</v>
      </c>
      <c r="D840" t="s">
        <v>197</v>
      </c>
      <c r="E840" t="s">
        <v>197</v>
      </c>
      <c r="F840" t="s">
        <v>197</v>
      </c>
      <c r="G840" t="s">
        <v>197</v>
      </c>
      <c r="H840" t="s">
        <v>197</v>
      </c>
      <c r="I840" t="s">
        <v>197</v>
      </c>
      <c r="J840" t="s">
        <v>197</v>
      </c>
      <c r="K840" t="s">
        <v>623</v>
      </c>
    </row>
    <row r="841" spans="1:24">
      <c r="B841" t="s">
        <v>197</v>
      </c>
      <c r="C841" t="s">
        <v>197</v>
      </c>
      <c r="D841" t="s">
        <v>197</v>
      </c>
      <c r="E841" t="s">
        <v>197</v>
      </c>
      <c r="F841" t="s">
        <v>197</v>
      </c>
      <c r="G841" t="s">
        <v>197</v>
      </c>
      <c r="H841" t="s">
        <v>197</v>
      </c>
      <c r="I841" t="s">
        <v>197</v>
      </c>
      <c r="J841" t="s">
        <v>197</v>
      </c>
      <c r="K841" t="s">
        <v>832</v>
      </c>
    </row>
    <row r="842" spans="1:24">
      <c r="A842" t="s">
        <v>938</v>
      </c>
      <c r="K842" t="s">
        <v>939</v>
      </c>
      <c r="W842" t="s">
        <v>171</v>
      </c>
      <c r="X842" t="str">
        <f>A842</f>
        <v>info_varcharmax_dml_batch1_pk_drp1</v>
      </c>
    </row>
    <row r="843" spans="1:24">
      <c r="B843" t="s">
        <v>196</v>
      </c>
      <c r="C843" t="s">
        <v>197</v>
      </c>
      <c r="D843" t="s">
        <v>197</v>
      </c>
      <c r="E843" t="s">
        <v>197</v>
      </c>
      <c r="F843" t="s">
        <v>197</v>
      </c>
      <c r="G843" t="s">
        <v>197</v>
      </c>
      <c r="H843" t="s">
        <v>197</v>
      </c>
      <c r="I843" t="s">
        <v>940</v>
      </c>
      <c r="J843" t="s">
        <v>199</v>
      </c>
      <c r="K843" t="s">
        <v>200</v>
      </c>
    </row>
    <row r="844" spans="1:24">
      <c r="B844" t="s">
        <v>197</v>
      </c>
      <c r="C844" t="s">
        <v>197</v>
      </c>
      <c r="D844" t="s">
        <v>197</v>
      </c>
      <c r="E844" t="s">
        <v>197</v>
      </c>
      <c r="F844" t="s">
        <v>197</v>
      </c>
      <c r="G844" t="s">
        <v>197</v>
      </c>
      <c r="H844" t="s">
        <v>197</v>
      </c>
      <c r="I844" t="s">
        <v>197</v>
      </c>
      <c r="J844" t="s">
        <v>197</v>
      </c>
      <c r="K844" t="s">
        <v>725</v>
      </c>
    </row>
    <row r="845" spans="1:24">
      <c r="B845" t="s">
        <v>197</v>
      </c>
      <c r="C845" t="s">
        <v>197</v>
      </c>
      <c r="D845" t="s">
        <v>197</v>
      </c>
      <c r="E845" t="s">
        <v>197</v>
      </c>
      <c r="F845" t="s">
        <v>197</v>
      </c>
      <c r="G845" t="s">
        <v>197</v>
      </c>
      <c r="H845" t="s">
        <v>197</v>
      </c>
      <c r="I845" t="s">
        <v>197</v>
      </c>
      <c r="J845" t="s">
        <v>197</v>
      </c>
      <c r="K845" t="s">
        <v>726</v>
      </c>
    </row>
    <row r="846" spans="1:24">
      <c r="K846" t="s">
        <v>443</v>
      </c>
    </row>
    <row r="847" spans="1:24">
      <c r="A847" t="s">
        <v>935</v>
      </c>
      <c r="K847" t="s">
        <v>936</v>
      </c>
      <c r="W847" t="s">
        <v>171</v>
      </c>
      <c r="X847" t="str">
        <f>A847</f>
        <v>info_int_dml_single_pk</v>
      </c>
    </row>
    <row r="848" spans="1:24">
      <c r="B848" t="s">
        <v>196</v>
      </c>
      <c r="C848" t="s">
        <v>197</v>
      </c>
      <c r="D848" t="s">
        <v>197</v>
      </c>
      <c r="E848" t="s">
        <v>197</v>
      </c>
      <c r="F848" t="s">
        <v>197</v>
      </c>
      <c r="G848" t="s">
        <v>197</v>
      </c>
      <c r="H848" t="s">
        <v>197</v>
      </c>
      <c r="I848" t="s">
        <v>937</v>
      </c>
      <c r="J848" t="s">
        <v>199</v>
      </c>
      <c r="K848" t="s">
        <v>200</v>
      </c>
    </row>
    <row r="849" spans="2:11">
      <c r="B849" t="s">
        <v>197</v>
      </c>
      <c r="C849" t="s">
        <v>197</v>
      </c>
      <c r="D849" t="s">
        <v>197</v>
      </c>
      <c r="E849" t="s">
        <v>197</v>
      </c>
      <c r="F849" t="s">
        <v>197</v>
      </c>
      <c r="G849" t="s">
        <v>197</v>
      </c>
      <c r="H849" t="s">
        <v>197</v>
      </c>
      <c r="I849" t="s">
        <v>197</v>
      </c>
      <c r="J849" t="s">
        <v>197</v>
      </c>
      <c r="K849" t="s">
        <v>549</v>
      </c>
    </row>
    <row r="850" spans="2:11">
      <c r="B850" t="s">
        <v>197</v>
      </c>
      <c r="C850" t="s">
        <v>197</v>
      </c>
      <c r="D850" t="s">
        <v>197</v>
      </c>
      <c r="E850" t="s">
        <v>197</v>
      </c>
      <c r="F850" t="s">
        <v>197</v>
      </c>
      <c r="G850" t="s">
        <v>197</v>
      </c>
      <c r="H850" t="s">
        <v>197</v>
      </c>
      <c r="I850" t="s">
        <v>197</v>
      </c>
      <c r="J850" t="s">
        <v>197</v>
      </c>
      <c r="K850" t="s">
        <v>550</v>
      </c>
    </row>
    <row r="851" spans="2:11">
      <c r="B851" t="s">
        <v>197</v>
      </c>
      <c r="C851" t="s">
        <v>197</v>
      </c>
      <c r="D851" t="s">
        <v>197</v>
      </c>
      <c r="E851" t="s">
        <v>197</v>
      </c>
      <c r="F851" t="s">
        <v>197</v>
      </c>
      <c r="G851" t="s">
        <v>197</v>
      </c>
      <c r="H851" t="s">
        <v>197</v>
      </c>
      <c r="I851" t="s">
        <v>197</v>
      </c>
      <c r="J851" t="s">
        <v>197</v>
      </c>
      <c r="K851" t="s">
        <v>551</v>
      </c>
    </row>
    <row r="852" spans="2:11">
      <c r="B852" t="s">
        <v>197</v>
      </c>
      <c r="C852" t="s">
        <v>197</v>
      </c>
      <c r="D852" t="s">
        <v>197</v>
      </c>
      <c r="E852" t="s">
        <v>197</v>
      </c>
      <c r="F852" t="s">
        <v>197</v>
      </c>
      <c r="G852" t="s">
        <v>197</v>
      </c>
      <c r="H852" t="s">
        <v>197</v>
      </c>
      <c r="I852" t="s">
        <v>197</v>
      </c>
      <c r="J852" t="s">
        <v>197</v>
      </c>
      <c r="K852" t="s">
        <v>552</v>
      </c>
    </row>
    <row r="853" spans="2:11">
      <c r="B853" t="s">
        <v>197</v>
      </c>
      <c r="C853" t="s">
        <v>197</v>
      </c>
      <c r="D853" t="s">
        <v>197</v>
      </c>
      <c r="E853" t="s">
        <v>197</v>
      </c>
      <c r="F853" t="s">
        <v>197</v>
      </c>
      <c r="G853" t="s">
        <v>197</v>
      </c>
      <c r="H853" t="s">
        <v>197</v>
      </c>
      <c r="I853" t="s">
        <v>197</v>
      </c>
      <c r="J853" t="s">
        <v>197</v>
      </c>
      <c r="K853" t="s">
        <v>553</v>
      </c>
    </row>
    <row r="854" spans="2:11">
      <c r="B854" t="s">
        <v>197</v>
      </c>
      <c r="C854" t="s">
        <v>197</v>
      </c>
      <c r="D854" t="s">
        <v>197</v>
      </c>
      <c r="E854" t="s">
        <v>197</v>
      </c>
      <c r="F854" t="s">
        <v>197</v>
      </c>
      <c r="G854" t="s">
        <v>197</v>
      </c>
      <c r="H854" t="s">
        <v>197</v>
      </c>
      <c r="I854" t="s">
        <v>197</v>
      </c>
      <c r="J854" t="s">
        <v>197</v>
      </c>
      <c r="K854" t="s">
        <v>554</v>
      </c>
    </row>
    <row r="855" spans="2:11">
      <c r="B855" t="s">
        <v>197</v>
      </c>
      <c r="C855" t="s">
        <v>197</v>
      </c>
      <c r="D855" t="s">
        <v>197</v>
      </c>
      <c r="E855" t="s">
        <v>197</v>
      </c>
      <c r="F855" t="s">
        <v>197</v>
      </c>
      <c r="G855" t="s">
        <v>197</v>
      </c>
      <c r="H855" t="s">
        <v>197</v>
      </c>
      <c r="I855" t="s">
        <v>197</v>
      </c>
      <c r="J855" t="s">
        <v>197</v>
      </c>
      <c r="K855" t="s">
        <v>555</v>
      </c>
    </row>
    <row r="856" spans="2:11">
      <c r="B856" t="s">
        <v>197</v>
      </c>
      <c r="C856" t="s">
        <v>197</v>
      </c>
      <c r="D856" t="s">
        <v>197</v>
      </c>
      <c r="E856" t="s">
        <v>197</v>
      </c>
      <c r="F856" t="s">
        <v>197</v>
      </c>
      <c r="G856" t="s">
        <v>197</v>
      </c>
      <c r="H856" t="s">
        <v>197</v>
      </c>
      <c r="I856" t="s">
        <v>197</v>
      </c>
      <c r="J856" t="s">
        <v>197</v>
      </c>
      <c r="K856" t="s">
        <v>556</v>
      </c>
    </row>
    <row r="857" spans="2:11">
      <c r="B857" t="s">
        <v>197</v>
      </c>
      <c r="C857" t="s">
        <v>197</v>
      </c>
      <c r="D857" t="s">
        <v>197</v>
      </c>
      <c r="E857" t="s">
        <v>197</v>
      </c>
      <c r="F857" t="s">
        <v>197</v>
      </c>
      <c r="G857" t="s">
        <v>197</v>
      </c>
      <c r="H857" t="s">
        <v>197</v>
      </c>
      <c r="I857" t="s">
        <v>197</v>
      </c>
      <c r="J857" t="s">
        <v>197</v>
      </c>
      <c r="K857" t="s">
        <v>557</v>
      </c>
    </row>
    <row r="858" spans="2:11">
      <c r="B858" t="s">
        <v>197</v>
      </c>
      <c r="C858" t="s">
        <v>197</v>
      </c>
      <c r="D858" t="s">
        <v>197</v>
      </c>
      <c r="E858" t="s">
        <v>197</v>
      </c>
      <c r="F858" t="s">
        <v>197</v>
      </c>
      <c r="G858" t="s">
        <v>197</v>
      </c>
      <c r="H858" t="s">
        <v>197</v>
      </c>
      <c r="I858" t="s">
        <v>197</v>
      </c>
      <c r="J858" t="s">
        <v>197</v>
      </c>
      <c r="K858" t="s">
        <v>558</v>
      </c>
    </row>
    <row r="859" spans="2:11">
      <c r="B859" t="s">
        <v>197</v>
      </c>
      <c r="C859" t="s">
        <v>197</v>
      </c>
      <c r="D859" t="s">
        <v>197</v>
      </c>
      <c r="E859" t="s">
        <v>197</v>
      </c>
      <c r="F859" t="s">
        <v>197</v>
      </c>
      <c r="G859" t="s">
        <v>197</v>
      </c>
      <c r="H859" t="s">
        <v>197</v>
      </c>
      <c r="I859" t="s">
        <v>197</v>
      </c>
      <c r="J859" t="s">
        <v>197</v>
      </c>
      <c r="K859" t="s">
        <v>559</v>
      </c>
    </row>
    <row r="860" spans="2:11">
      <c r="B860" t="s">
        <v>197</v>
      </c>
      <c r="C860" t="s">
        <v>197</v>
      </c>
      <c r="D860" t="s">
        <v>197</v>
      </c>
      <c r="E860" t="s">
        <v>197</v>
      </c>
      <c r="F860" t="s">
        <v>197</v>
      </c>
      <c r="G860" t="s">
        <v>197</v>
      </c>
      <c r="H860" t="s">
        <v>197</v>
      </c>
      <c r="I860" t="s">
        <v>197</v>
      </c>
      <c r="J860" t="s">
        <v>197</v>
      </c>
      <c r="K860" t="s">
        <v>560</v>
      </c>
    </row>
    <row r="861" spans="2:11">
      <c r="B861" t="s">
        <v>197</v>
      </c>
      <c r="C861" t="s">
        <v>197</v>
      </c>
      <c r="D861" t="s">
        <v>197</v>
      </c>
      <c r="E861" t="s">
        <v>197</v>
      </c>
      <c r="F861" t="s">
        <v>197</v>
      </c>
      <c r="G861" t="s">
        <v>197</v>
      </c>
      <c r="H861" t="s">
        <v>197</v>
      </c>
      <c r="I861" t="s">
        <v>197</v>
      </c>
      <c r="J861" t="s">
        <v>197</v>
      </c>
      <c r="K861" t="s">
        <v>561</v>
      </c>
    </row>
    <row r="862" spans="2:11">
      <c r="B862" t="s">
        <v>197</v>
      </c>
      <c r="C862" t="s">
        <v>197</v>
      </c>
      <c r="D862" t="s">
        <v>197</v>
      </c>
      <c r="E862" t="s">
        <v>197</v>
      </c>
      <c r="F862" t="s">
        <v>197</v>
      </c>
      <c r="G862" t="s">
        <v>197</v>
      </c>
      <c r="H862" t="s">
        <v>197</v>
      </c>
      <c r="I862" t="s">
        <v>197</v>
      </c>
      <c r="J862" t="s">
        <v>197</v>
      </c>
      <c r="K862" t="s">
        <v>562</v>
      </c>
    </row>
    <row r="863" spans="2:11">
      <c r="B863" t="s">
        <v>197</v>
      </c>
      <c r="C863" t="s">
        <v>197</v>
      </c>
      <c r="D863" t="s">
        <v>197</v>
      </c>
      <c r="E863" t="s">
        <v>197</v>
      </c>
      <c r="F863" t="s">
        <v>197</v>
      </c>
      <c r="G863" t="s">
        <v>197</v>
      </c>
      <c r="H863" t="s">
        <v>197</v>
      </c>
      <c r="I863" t="s">
        <v>197</v>
      </c>
      <c r="J863" t="s">
        <v>197</v>
      </c>
      <c r="K863" t="s">
        <v>563</v>
      </c>
    </row>
    <row r="864" spans="2:11">
      <c r="B864" t="s">
        <v>197</v>
      </c>
      <c r="C864" t="s">
        <v>197</v>
      </c>
      <c r="D864" t="s">
        <v>197</v>
      </c>
      <c r="E864" t="s">
        <v>197</v>
      </c>
      <c r="F864" t="s">
        <v>197</v>
      </c>
      <c r="G864" t="s">
        <v>197</v>
      </c>
      <c r="H864" t="s">
        <v>197</v>
      </c>
      <c r="I864" t="s">
        <v>197</v>
      </c>
      <c r="J864" t="s">
        <v>197</v>
      </c>
      <c r="K864" t="s">
        <v>564</v>
      </c>
    </row>
    <row r="865" spans="1:24">
      <c r="B865" t="s">
        <v>197</v>
      </c>
      <c r="C865" t="s">
        <v>197</v>
      </c>
      <c r="D865" t="s">
        <v>197</v>
      </c>
      <c r="E865" t="s">
        <v>197</v>
      </c>
      <c r="F865" t="s">
        <v>197</v>
      </c>
      <c r="G865" t="s">
        <v>197</v>
      </c>
      <c r="H865" t="s">
        <v>197</v>
      </c>
      <c r="I865" t="s">
        <v>197</v>
      </c>
      <c r="J865" t="s">
        <v>197</v>
      </c>
      <c r="K865" t="s">
        <v>565</v>
      </c>
    </row>
    <row r="866" spans="1:24">
      <c r="B866" t="s">
        <v>197</v>
      </c>
      <c r="C866" t="s">
        <v>197</v>
      </c>
      <c r="D866" t="s">
        <v>197</v>
      </c>
      <c r="E866" t="s">
        <v>197</v>
      </c>
      <c r="F866" t="s">
        <v>197</v>
      </c>
      <c r="G866" t="s">
        <v>197</v>
      </c>
      <c r="H866" t="s">
        <v>197</v>
      </c>
      <c r="I866" t="s">
        <v>197</v>
      </c>
      <c r="J866" t="s">
        <v>197</v>
      </c>
      <c r="K866" t="s">
        <v>566</v>
      </c>
    </row>
    <row r="867" spans="1:24">
      <c r="B867" t="s">
        <v>197</v>
      </c>
      <c r="C867" t="s">
        <v>197</v>
      </c>
      <c r="D867" t="s">
        <v>197</v>
      </c>
      <c r="E867" t="s">
        <v>197</v>
      </c>
      <c r="F867" t="s">
        <v>197</v>
      </c>
      <c r="G867" t="s">
        <v>197</v>
      </c>
      <c r="H867" t="s">
        <v>197</v>
      </c>
      <c r="I867" t="s">
        <v>197</v>
      </c>
      <c r="J867" t="s">
        <v>197</v>
      </c>
      <c r="K867" t="s">
        <v>567</v>
      </c>
    </row>
    <row r="868" spans="1:24">
      <c r="A868" t="s">
        <v>941</v>
      </c>
      <c r="K868" t="s">
        <v>942</v>
      </c>
      <c r="W868" s="1" t="str">
        <f>HYPERLINK("#2026042000hbase2!AT2","NO 源备存在差异，共4个")</f>
        <v>NO 源备存在差异，共4个</v>
      </c>
      <c r="X868" t="str">
        <f>A868</f>
        <v>info_timestamp_dml_single_pk_irp</v>
      </c>
    </row>
    <row r="869" spans="1:24">
      <c r="B869" t="s">
        <v>196</v>
      </c>
      <c r="C869" t="s">
        <v>197</v>
      </c>
      <c r="D869" t="s">
        <v>197</v>
      </c>
      <c r="E869" t="s">
        <v>197</v>
      </c>
      <c r="F869" t="s">
        <v>197</v>
      </c>
      <c r="G869" t="s">
        <v>197</v>
      </c>
      <c r="H869" t="s">
        <v>197</v>
      </c>
      <c r="I869" t="s">
        <v>943</v>
      </c>
      <c r="J869" t="s">
        <v>199</v>
      </c>
      <c r="K869" t="s">
        <v>200</v>
      </c>
    </row>
    <row r="870" spans="1:24">
      <c r="B870" t="s">
        <v>197</v>
      </c>
      <c r="C870" t="s">
        <v>197</v>
      </c>
      <c r="D870" t="s">
        <v>197</v>
      </c>
      <c r="E870" t="s">
        <v>197</v>
      </c>
      <c r="F870" t="s">
        <v>197</v>
      </c>
      <c r="G870" t="s">
        <v>197</v>
      </c>
      <c r="H870" t="s">
        <v>197</v>
      </c>
      <c r="I870" t="s">
        <v>197</v>
      </c>
      <c r="J870" t="s">
        <v>197</v>
      </c>
      <c r="K870" t="s">
        <v>944</v>
      </c>
    </row>
    <row r="871" spans="1:24">
      <c r="A871" t="s">
        <v>945</v>
      </c>
      <c r="K871" t="s">
        <v>946</v>
      </c>
      <c r="W871" s="1" t="str">
        <f>HYPERLINK("#2026042000hbase2!AU2","NO 源备存在差异，共10个")</f>
        <v>NO 源备存在差异，共10个</v>
      </c>
      <c r="X871" t="str">
        <f>A871</f>
        <v>info_char_dml_batch1_pk_urp2</v>
      </c>
    </row>
    <row r="872" spans="1:24">
      <c r="B872" t="s">
        <v>196</v>
      </c>
      <c r="C872" t="s">
        <v>197</v>
      </c>
      <c r="D872" t="s">
        <v>197</v>
      </c>
      <c r="E872" t="s">
        <v>197</v>
      </c>
      <c r="F872" t="s">
        <v>197</v>
      </c>
      <c r="G872" t="s">
        <v>197</v>
      </c>
      <c r="H872" t="s">
        <v>197</v>
      </c>
      <c r="I872" t="s">
        <v>947</v>
      </c>
      <c r="J872" t="s">
        <v>199</v>
      </c>
      <c r="K872" t="s">
        <v>200</v>
      </c>
    </row>
    <row r="873" spans="1:24">
      <c r="B873" t="s">
        <v>197</v>
      </c>
      <c r="C873" t="s">
        <v>197</v>
      </c>
      <c r="D873" t="s">
        <v>197</v>
      </c>
      <c r="E873" t="s">
        <v>197</v>
      </c>
      <c r="F873" t="s">
        <v>197</v>
      </c>
      <c r="G873" t="s">
        <v>197</v>
      </c>
      <c r="H873" t="s">
        <v>197</v>
      </c>
      <c r="I873" t="s">
        <v>197</v>
      </c>
      <c r="J873" t="s">
        <v>197</v>
      </c>
      <c r="K873" t="s">
        <v>622</v>
      </c>
    </row>
    <row r="874" spans="1:24">
      <c r="B874" t="s">
        <v>197</v>
      </c>
      <c r="C874" t="s">
        <v>197</v>
      </c>
      <c r="D874" t="s">
        <v>197</v>
      </c>
      <c r="E874" t="s">
        <v>197</v>
      </c>
      <c r="F874" t="s">
        <v>197</v>
      </c>
      <c r="G874" t="s">
        <v>197</v>
      </c>
      <c r="H874" t="s">
        <v>197</v>
      </c>
      <c r="I874" t="s">
        <v>197</v>
      </c>
      <c r="J874" t="s">
        <v>197</v>
      </c>
      <c r="K874" t="s">
        <v>623</v>
      </c>
    </row>
    <row r="875" spans="1:24">
      <c r="B875" t="s">
        <v>197</v>
      </c>
      <c r="C875" t="s">
        <v>197</v>
      </c>
      <c r="D875" t="s">
        <v>197</v>
      </c>
      <c r="E875" t="s">
        <v>197</v>
      </c>
      <c r="F875" t="s">
        <v>197</v>
      </c>
      <c r="G875" t="s">
        <v>197</v>
      </c>
      <c r="H875" t="s">
        <v>197</v>
      </c>
      <c r="I875" t="s">
        <v>197</v>
      </c>
      <c r="J875" t="s">
        <v>197</v>
      </c>
      <c r="K875" t="s">
        <v>832</v>
      </c>
    </row>
    <row r="876" spans="1:24">
      <c r="A876" t="s">
        <v>948</v>
      </c>
      <c r="K876" t="s">
        <v>949</v>
      </c>
      <c r="W876" s="1" t="str">
        <f>HYPERLINK("#2026042000hbase2!AV2","NO 源备存在差异，共14个")</f>
        <v>NO 源备存在差异，共14个</v>
      </c>
      <c r="X876" t="str">
        <f>A876</f>
        <v>info_char_dml_single_pk_urp</v>
      </c>
    </row>
    <row r="877" spans="1:24">
      <c r="B877" t="s">
        <v>196</v>
      </c>
      <c r="C877" t="s">
        <v>197</v>
      </c>
      <c r="D877" t="s">
        <v>197</v>
      </c>
      <c r="E877" t="s">
        <v>197</v>
      </c>
      <c r="F877" t="s">
        <v>197</v>
      </c>
      <c r="G877" t="s">
        <v>197</v>
      </c>
      <c r="H877" t="s">
        <v>197</v>
      </c>
      <c r="I877" t="s">
        <v>950</v>
      </c>
      <c r="J877" t="s">
        <v>199</v>
      </c>
      <c r="K877" t="s">
        <v>200</v>
      </c>
    </row>
    <row r="878" spans="1:24">
      <c r="B878" t="s">
        <v>197</v>
      </c>
      <c r="C878" t="s">
        <v>197</v>
      </c>
      <c r="D878" t="s">
        <v>197</v>
      </c>
      <c r="E878" t="s">
        <v>197</v>
      </c>
      <c r="F878" t="s">
        <v>197</v>
      </c>
      <c r="G878" t="s">
        <v>197</v>
      </c>
      <c r="H878" t="s">
        <v>197</v>
      </c>
      <c r="I878" t="s">
        <v>197</v>
      </c>
      <c r="J878" t="s">
        <v>197</v>
      </c>
      <c r="K878" t="s">
        <v>622</v>
      </c>
    </row>
    <row r="879" spans="1:24">
      <c r="B879" t="s">
        <v>197</v>
      </c>
      <c r="C879" t="s">
        <v>197</v>
      </c>
      <c r="D879" t="s">
        <v>197</v>
      </c>
      <c r="E879" t="s">
        <v>197</v>
      </c>
      <c r="F879" t="s">
        <v>197</v>
      </c>
      <c r="G879" t="s">
        <v>197</v>
      </c>
      <c r="H879" t="s">
        <v>197</v>
      </c>
      <c r="I879" t="s">
        <v>197</v>
      </c>
      <c r="J879" t="s">
        <v>197</v>
      </c>
      <c r="K879" t="s">
        <v>623</v>
      </c>
    </row>
    <row r="880" spans="1:24">
      <c r="B880" t="s">
        <v>197</v>
      </c>
      <c r="C880" t="s">
        <v>197</v>
      </c>
      <c r="D880" t="s">
        <v>197</v>
      </c>
      <c r="E880" t="s">
        <v>197</v>
      </c>
      <c r="F880" t="s">
        <v>197</v>
      </c>
      <c r="G880" t="s">
        <v>197</v>
      </c>
      <c r="H880" t="s">
        <v>197</v>
      </c>
      <c r="I880" t="s">
        <v>197</v>
      </c>
      <c r="J880" t="s">
        <v>197</v>
      </c>
      <c r="K880" t="s">
        <v>832</v>
      </c>
    </row>
    <row r="881" spans="1:24">
      <c r="A881" t="s">
        <v>954</v>
      </c>
      <c r="K881" t="s">
        <v>955</v>
      </c>
      <c r="W881" s="1" t="str">
        <f>HYPERLINK("#2026042000hbase2!AW2","NO 源备存在差异，共4个")</f>
        <v>NO 源备存在差异，共4个</v>
      </c>
      <c r="X881" t="str">
        <f>A881</f>
        <v>info_char_dml_single_pk_drp</v>
      </c>
    </row>
    <row r="882" spans="1:24">
      <c r="B882" t="s">
        <v>196</v>
      </c>
      <c r="C882" t="s">
        <v>197</v>
      </c>
      <c r="D882" t="s">
        <v>197</v>
      </c>
      <c r="E882" t="s">
        <v>197</v>
      </c>
      <c r="F882" t="s">
        <v>197</v>
      </c>
      <c r="G882" t="s">
        <v>197</v>
      </c>
      <c r="H882" t="s">
        <v>197</v>
      </c>
      <c r="I882" t="s">
        <v>956</v>
      </c>
      <c r="J882" t="s">
        <v>199</v>
      </c>
      <c r="K882" t="s">
        <v>200</v>
      </c>
    </row>
    <row r="883" spans="1:24">
      <c r="B883" t="s">
        <v>197</v>
      </c>
      <c r="C883" t="s">
        <v>197</v>
      </c>
      <c r="D883" t="s">
        <v>197</v>
      </c>
      <c r="E883" t="s">
        <v>197</v>
      </c>
      <c r="F883" t="s">
        <v>197</v>
      </c>
      <c r="G883" t="s">
        <v>197</v>
      </c>
      <c r="H883" t="s">
        <v>197</v>
      </c>
      <c r="I883" t="s">
        <v>197</v>
      </c>
      <c r="J883" t="s">
        <v>197</v>
      </c>
      <c r="K883" t="s">
        <v>622</v>
      </c>
    </row>
    <row r="884" spans="1:24">
      <c r="B884" t="s">
        <v>197</v>
      </c>
      <c r="C884" t="s">
        <v>197</v>
      </c>
      <c r="D884" t="s">
        <v>197</v>
      </c>
      <c r="E884" t="s">
        <v>197</v>
      </c>
      <c r="F884" t="s">
        <v>197</v>
      </c>
      <c r="G884" t="s">
        <v>197</v>
      </c>
      <c r="H884" t="s">
        <v>197</v>
      </c>
      <c r="I884" t="s">
        <v>197</v>
      </c>
      <c r="J884" t="s">
        <v>197</v>
      </c>
      <c r="K884" t="s">
        <v>623</v>
      </c>
    </row>
    <row r="885" spans="1:24">
      <c r="B885" t="s">
        <v>197</v>
      </c>
      <c r="C885" t="s">
        <v>197</v>
      </c>
      <c r="D885" t="s">
        <v>197</v>
      </c>
      <c r="E885" t="s">
        <v>197</v>
      </c>
      <c r="F885" t="s">
        <v>197</v>
      </c>
      <c r="G885" t="s">
        <v>197</v>
      </c>
      <c r="H885" t="s">
        <v>197</v>
      </c>
      <c r="I885" t="s">
        <v>197</v>
      </c>
      <c r="J885" t="s">
        <v>197</v>
      </c>
      <c r="K885" t="s">
        <v>832</v>
      </c>
    </row>
    <row r="886" spans="1:24">
      <c r="A886" t="s">
        <v>951</v>
      </c>
      <c r="K886" t="s">
        <v>952</v>
      </c>
      <c r="W886" t="s">
        <v>171</v>
      </c>
      <c r="X886" t="str">
        <f>A886</f>
        <v>info_varcharmax_dml_batch1_pk_drp2</v>
      </c>
    </row>
    <row r="887" spans="1:24">
      <c r="B887" t="s">
        <v>196</v>
      </c>
      <c r="C887" t="s">
        <v>197</v>
      </c>
      <c r="D887" t="s">
        <v>197</v>
      </c>
      <c r="E887" t="s">
        <v>197</v>
      </c>
      <c r="F887" t="s">
        <v>197</v>
      </c>
      <c r="G887" t="s">
        <v>197</v>
      </c>
      <c r="H887" t="s">
        <v>197</v>
      </c>
      <c r="I887" t="s">
        <v>953</v>
      </c>
      <c r="J887" t="s">
        <v>199</v>
      </c>
      <c r="K887" t="s">
        <v>200</v>
      </c>
    </row>
    <row r="888" spans="1:24">
      <c r="B888" t="s">
        <v>197</v>
      </c>
      <c r="C888" t="s">
        <v>197</v>
      </c>
      <c r="D888" t="s">
        <v>197</v>
      </c>
      <c r="E888" t="s">
        <v>197</v>
      </c>
      <c r="F888" t="s">
        <v>197</v>
      </c>
      <c r="G888" t="s">
        <v>197</v>
      </c>
      <c r="H888" t="s">
        <v>197</v>
      </c>
      <c r="I888" t="s">
        <v>197</v>
      </c>
      <c r="J888" t="s">
        <v>197</v>
      </c>
      <c r="K888" t="s">
        <v>725</v>
      </c>
    </row>
    <row r="889" spans="1:24">
      <c r="B889" t="s">
        <v>197</v>
      </c>
      <c r="C889" t="s">
        <v>197</v>
      </c>
      <c r="D889" t="s">
        <v>197</v>
      </c>
      <c r="E889" t="s">
        <v>197</v>
      </c>
      <c r="F889" t="s">
        <v>197</v>
      </c>
      <c r="G889" t="s">
        <v>197</v>
      </c>
      <c r="H889" t="s">
        <v>197</v>
      </c>
      <c r="I889" t="s">
        <v>197</v>
      </c>
      <c r="J889" t="s">
        <v>197</v>
      </c>
      <c r="K889" t="s">
        <v>726</v>
      </c>
    </row>
    <row r="890" spans="1:24">
      <c r="K890" t="s">
        <v>443</v>
      </c>
    </row>
    <row r="891" spans="1:24">
      <c r="A891" t="s">
        <v>957</v>
      </c>
      <c r="K891" t="s">
        <v>958</v>
      </c>
      <c r="W891" t="s">
        <v>171</v>
      </c>
      <c r="X891" t="str">
        <f>A891</f>
        <v>info_date_dml_batch1_pk_drp1</v>
      </c>
    </row>
    <row r="892" spans="1:24">
      <c r="B892" t="s">
        <v>196</v>
      </c>
      <c r="C892" t="s">
        <v>197</v>
      </c>
      <c r="D892" t="s">
        <v>197</v>
      </c>
      <c r="E892" t="s">
        <v>197</v>
      </c>
      <c r="F892" t="s">
        <v>197</v>
      </c>
      <c r="G892" t="s">
        <v>197</v>
      </c>
      <c r="H892" t="s">
        <v>197</v>
      </c>
      <c r="I892" t="s">
        <v>959</v>
      </c>
      <c r="J892" t="s">
        <v>199</v>
      </c>
      <c r="K892" t="s">
        <v>200</v>
      </c>
    </row>
    <row r="893" spans="1:24">
      <c r="B893" t="s">
        <v>197</v>
      </c>
      <c r="C893" t="s">
        <v>197</v>
      </c>
      <c r="D893" t="s">
        <v>197</v>
      </c>
      <c r="E893" t="s">
        <v>197</v>
      </c>
      <c r="F893" t="s">
        <v>197</v>
      </c>
      <c r="G893" t="s">
        <v>197</v>
      </c>
      <c r="H893" t="s">
        <v>197</v>
      </c>
      <c r="I893" t="s">
        <v>197</v>
      </c>
      <c r="J893" t="s">
        <v>197</v>
      </c>
      <c r="K893" t="s">
        <v>678</v>
      </c>
    </row>
    <row r="894" spans="1:24">
      <c r="K894" t="s">
        <v>443</v>
      </c>
    </row>
    <row r="895" spans="1:24">
      <c r="A895" t="s">
        <v>960</v>
      </c>
      <c r="K895" t="s">
        <v>961</v>
      </c>
      <c r="W895" t="s">
        <v>171</v>
      </c>
      <c r="X895" t="str">
        <f>A895</f>
        <v>info_varchar_dml_batch1_pk_irp1</v>
      </c>
    </row>
    <row r="896" spans="1:24">
      <c r="B896" t="s">
        <v>196</v>
      </c>
      <c r="C896" t="s">
        <v>197</v>
      </c>
      <c r="D896" t="s">
        <v>197</v>
      </c>
      <c r="E896" t="s">
        <v>197</v>
      </c>
      <c r="F896" t="s">
        <v>197</v>
      </c>
      <c r="G896" t="s">
        <v>197</v>
      </c>
      <c r="H896" t="s">
        <v>197</v>
      </c>
      <c r="I896" t="s">
        <v>962</v>
      </c>
      <c r="J896" t="s">
        <v>199</v>
      </c>
      <c r="K896" t="s">
        <v>200</v>
      </c>
    </row>
    <row r="897" spans="1:24">
      <c r="B897" t="s">
        <v>197</v>
      </c>
      <c r="C897" t="s">
        <v>197</v>
      </c>
      <c r="D897" t="s">
        <v>197</v>
      </c>
      <c r="E897" t="s">
        <v>197</v>
      </c>
      <c r="F897" t="s">
        <v>197</v>
      </c>
      <c r="G897" t="s">
        <v>197</v>
      </c>
      <c r="H897" t="s">
        <v>197</v>
      </c>
      <c r="I897" t="s">
        <v>197</v>
      </c>
      <c r="J897" t="s">
        <v>197</v>
      </c>
      <c r="K897" t="s">
        <v>431</v>
      </c>
    </row>
    <row r="898" spans="1:24">
      <c r="B898" t="s">
        <v>197</v>
      </c>
      <c r="C898" t="s">
        <v>197</v>
      </c>
      <c r="D898" t="s">
        <v>197</v>
      </c>
      <c r="E898" t="s">
        <v>197</v>
      </c>
      <c r="F898" t="s">
        <v>197</v>
      </c>
      <c r="G898" t="s">
        <v>197</v>
      </c>
      <c r="H898" t="s">
        <v>197</v>
      </c>
      <c r="I898" t="s">
        <v>197</v>
      </c>
      <c r="J898" t="s">
        <v>197</v>
      </c>
      <c r="K898" t="s">
        <v>434</v>
      </c>
    </row>
    <row r="899" spans="1:24">
      <c r="B899" t="s">
        <v>197</v>
      </c>
      <c r="C899" t="s">
        <v>197</v>
      </c>
      <c r="D899" t="s">
        <v>197</v>
      </c>
      <c r="E899" t="s">
        <v>197</v>
      </c>
      <c r="F899" t="s">
        <v>197</v>
      </c>
      <c r="G899" t="s">
        <v>197</v>
      </c>
      <c r="H899" t="s">
        <v>197</v>
      </c>
      <c r="I899" t="s">
        <v>197</v>
      </c>
      <c r="J899" t="s">
        <v>197</v>
      </c>
      <c r="K899" t="s">
        <v>963</v>
      </c>
    </row>
    <row r="900" spans="1:24">
      <c r="K900" t="s">
        <v>443</v>
      </c>
    </row>
    <row r="901" spans="1:24">
      <c r="A901" t="s">
        <v>964</v>
      </c>
      <c r="K901" t="s">
        <v>965</v>
      </c>
      <c r="W901" t="s">
        <v>171</v>
      </c>
      <c r="X901" t="str">
        <f>A901</f>
        <v>info_datetime_dml_single_pk_urp</v>
      </c>
    </row>
    <row r="902" spans="1:24">
      <c r="B902" t="s">
        <v>196</v>
      </c>
      <c r="C902" t="s">
        <v>197</v>
      </c>
      <c r="D902" t="s">
        <v>197</v>
      </c>
      <c r="E902" t="s">
        <v>197</v>
      </c>
      <c r="F902" t="s">
        <v>197</v>
      </c>
      <c r="G902" t="s">
        <v>197</v>
      </c>
      <c r="H902" t="s">
        <v>197</v>
      </c>
      <c r="I902" t="s">
        <v>966</v>
      </c>
      <c r="J902" t="s">
        <v>199</v>
      </c>
      <c r="K902" t="s">
        <v>200</v>
      </c>
    </row>
    <row r="903" spans="1:24">
      <c r="B903" t="s">
        <v>197</v>
      </c>
      <c r="C903" t="s">
        <v>197</v>
      </c>
      <c r="D903" t="s">
        <v>197</v>
      </c>
      <c r="E903" t="s">
        <v>197</v>
      </c>
      <c r="F903" t="s">
        <v>197</v>
      </c>
      <c r="G903" t="s">
        <v>197</v>
      </c>
      <c r="H903" t="s">
        <v>197</v>
      </c>
      <c r="I903" t="s">
        <v>197</v>
      </c>
      <c r="J903" t="s">
        <v>197</v>
      </c>
      <c r="K903" t="s">
        <v>574</v>
      </c>
    </row>
    <row r="904" spans="1:24">
      <c r="A904" t="s">
        <v>967</v>
      </c>
      <c r="K904" t="s">
        <v>968</v>
      </c>
      <c r="W904" t="s">
        <v>171</v>
      </c>
      <c r="X904" t="str">
        <f>A904</f>
        <v>info_nchar_dml_batch1_pk</v>
      </c>
    </row>
    <row r="905" spans="1:24">
      <c r="B905" t="s">
        <v>196</v>
      </c>
      <c r="C905" t="s">
        <v>197</v>
      </c>
      <c r="D905" t="s">
        <v>197</v>
      </c>
      <c r="E905" t="s">
        <v>197</v>
      </c>
      <c r="F905" t="s">
        <v>197</v>
      </c>
      <c r="G905" t="s">
        <v>197</v>
      </c>
      <c r="H905" t="s">
        <v>197</v>
      </c>
      <c r="I905" t="s">
        <v>969</v>
      </c>
      <c r="J905" t="s">
        <v>199</v>
      </c>
      <c r="K905" t="s">
        <v>200</v>
      </c>
    </row>
    <row r="906" spans="1:24">
      <c r="B906" t="s">
        <v>197</v>
      </c>
      <c r="C906" t="s">
        <v>197</v>
      </c>
      <c r="D906" t="s">
        <v>197</v>
      </c>
      <c r="E906" t="s">
        <v>197</v>
      </c>
      <c r="F906" t="s">
        <v>197</v>
      </c>
      <c r="G906" t="s">
        <v>197</v>
      </c>
      <c r="H906" t="s">
        <v>197</v>
      </c>
      <c r="I906" t="s">
        <v>197</v>
      </c>
      <c r="J906" t="s">
        <v>197</v>
      </c>
      <c r="K906" t="s">
        <v>514</v>
      </c>
    </row>
    <row r="907" spans="1:24">
      <c r="B907" t="s">
        <v>197</v>
      </c>
      <c r="C907" t="s">
        <v>197</v>
      </c>
      <c r="D907" t="s">
        <v>197</v>
      </c>
      <c r="E907" t="s">
        <v>197</v>
      </c>
      <c r="F907" t="s">
        <v>197</v>
      </c>
      <c r="G907" t="s">
        <v>197</v>
      </c>
      <c r="H907" t="s">
        <v>197</v>
      </c>
      <c r="I907" t="s">
        <v>197</v>
      </c>
      <c r="J907" t="s">
        <v>197</v>
      </c>
      <c r="K907" t="s">
        <v>516</v>
      </c>
    </row>
    <row r="908" spans="1:24">
      <c r="B908" t="s">
        <v>197</v>
      </c>
      <c r="C908" t="s">
        <v>197</v>
      </c>
      <c r="D908" t="s">
        <v>197</v>
      </c>
      <c r="E908" t="s">
        <v>197</v>
      </c>
      <c r="F908" t="s">
        <v>197</v>
      </c>
      <c r="G908" t="s">
        <v>197</v>
      </c>
      <c r="H908" t="s">
        <v>197</v>
      </c>
      <c r="I908" t="s">
        <v>197</v>
      </c>
      <c r="J908" t="s">
        <v>197</v>
      </c>
      <c r="K908" t="s">
        <v>612</v>
      </c>
    </row>
    <row r="909" spans="1:24">
      <c r="A909" t="s">
        <v>970</v>
      </c>
      <c r="K909" t="s">
        <v>971</v>
      </c>
      <c r="W909" t="s">
        <v>171</v>
      </c>
      <c r="X909" t="str">
        <f>A909</f>
        <v>info_varcharmax_dml_single_pk</v>
      </c>
    </row>
    <row r="910" spans="1:24">
      <c r="B910" t="s">
        <v>196</v>
      </c>
      <c r="C910" t="s">
        <v>197</v>
      </c>
      <c r="D910" t="s">
        <v>197</v>
      </c>
      <c r="E910" t="s">
        <v>197</v>
      </c>
      <c r="F910" t="s">
        <v>197</v>
      </c>
      <c r="G910" t="s">
        <v>197</v>
      </c>
      <c r="H910" t="s">
        <v>197</v>
      </c>
      <c r="I910" t="s">
        <v>972</v>
      </c>
      <c r="J910" t="s">
        <v>199</v>
      </c>
      <c r="K910" t="s">
        <v>200</v>
      </c>
    </row>
    <row r="911" spans="1:24">
      <c r="B911" t="s">
        <v>197</v>
      </c>
      <c r="C911" t="s">
        <v>197</v>
      </c>
      <c r="D911" t="s">
        <v>197</v>
      </c>
      <c r="E911" t="s">
        <v>197</v>
      </c>
      <c r="F911" t="s">
        <v>197</v>
      </c>
      <c r="G911" t="s">
        <v>197</v>
      </c>
      <c r="H911" t="s">
        <v>197</v>
      </c>
      <c r="I911" t="s">
        <v>197</v>
      </c>
      <c r="J911" t="s">
        <v>197</v>
      </c>
      <c r="K911" t="s">
        <v>725</v>
      </c>
    </row>
    <row r="912" spans="1:24">
      <c r="B912" t="s">
        <v>197</v>
      </c>
      <c r="C912" t="s">
        <v>197</v>
      </c>
      <c r="D912" t="s">
        <v>197</v>
      </c>
      <c r="E912" t="s">
        <v>197</v>
      </c>
      <c r="F912" t="s">
        <v>197</v>
      </c>
      <c r="G912" t="s">
        <v>197</v>
      </c>
      <c r="H912" t="s">
        <v>197</v>
      </c>
      <c r="I912" t="s">
        <v>197</v>
      </c>
      <c r="J912" t="s">
        <v>197</v>
      </c>
      <c r="K912" t="s">
        <v>726</v>
      </c>
    </row>
    <row r="913" spans="1:24">
      <c r="A913" t="s">
        <v>973</v>
      </c>
      <c r="K913" t="s">
        <v>974</v>
      </c>
      <c r="W913" t="s">
        <v>171</v>
      </c>
      <c r="X913" t="str">
        <f>A913</f>
        <v>info_date_dml_batch1_pk_drp2</v>
      </c>
    </row>
    <row r="914" spans="1:24">
      <c r="B914" t="s">
        <v>196</v>
      </c>
      <c r="C914" t="s">
        <v>197</v>
      </c>
      <c r="D914" t="s">
        <v>197</v>
      </c>
      <c r="E914" t="s">
        <v>197</v>
      </c>
      <c r="F914" t="s">
        <v>197</v>
      </c>
      <c r="G914" t="s">
        <v>197</v>
      </c>
      <c r="H914" t="s">
        <v>197</v>
      </c>
      <c r="I914" t="s">
        <v>975</v>
      </c>
      <c r="J914" t="s">
        <v>199</v>
      </c>
      <c r="K914" t="s">
        <v>200</v>
      </c>
    </row>
    <row r="915" spans="1:24">
      <c r="B915" t="s">
        <v>197</v>
      </c>
      <c r="C915" t="s">
        <v>197</v>
      </c>
      <c r="D915" t="s">
        <v>197</v>
      </c>
      <c r="E915" t="s">
        <v>197</v>
      </c>
      <c r="F915" t="s">
        <v>197</v>
      </c>
      <c r="G915" t="s">
        <v>197</v>
      </c>
      <c r="H915" t="s">
        <v>197</v>
      </c>
      <c r="I915" t="s">
        <v>197</v>
      </c>
      <c r="J915" t="s">
        <v>197</v>
      </c>
      <c r="K915" t="s">
        <v>678</v>
      </c>
    </row>
    <row r="916" spans="1:24">
      <c r="A916" t="s">
        <v>985</v>
      </c>
      <c r="K916" t="s">
        <v>986</v>
      </c>
      <c r="W916" s="1" t="str">
        <f>HYPERLINK("#2026042000hbase2!AX2","NO 源备存在差异，共2个")</f>
        <v>NO 源备存在差异，共2个</v>
      </c>
      <c r="X916" t="str">
        <f>A916</f>
        <v>info_timestamp_dml_single_pk_drp</v>
      </c>
    </row>
    <row r="917" spans="1:24">
      <c r="B917" t="s">
        <v>196</v>
      </c>
      <c r="C917" t="s">
        <v>197</v>
      </c>
      <c r="D917" t="s">
        <v>197</v>
      </c>
      <c r="E917" t="s">
        <v>197</v>
      </c>
      <c r="F917" t="s">
        <v>197</v>
      </c>
      <c r="G917" t="s">
        <v>197</v>
      </c>
      <c r="H917" t="s">
        <v>197</v>
      </c>
      <c r="I917" t="s">
        <v>987</v>
      </c>
      <c r="J917" t="s">
        <v>199</v>
      </c>
      <c r="K917" t="s">
        <v>200</v>
      </c>
    </row>
    <row r="918" spans="1:24">
      <c r="B918" t="s">
        <v>197</v>
      </c>
      <c r="C918" t="s">
        <v>197</v>
      </c>
      <c r="D918" t="s">
        <v>197</v>
      </c>
      <c r="E918" t="s">
        <v>197</v>
      </c>
      <c r="F918" t="s">
        <v>197</v>
      </c>
      <c r="G918" t="s">
        <v>197</v>
      </c>
      <c r="H918" t="s">
        <v>197</v>
      </c>
      <c r="I918" t="s">
        <v>197</v>
      </c>
      <c r="J918" t="s">
        <v>197</v>
      </c>
      <c r="K918" t="s">
        <v>944</v>
      </c>
    </row>
    <row r="919" spans="1:24">
      <c r="A919" t="s">
        <v>988</v>
      </c>
      <c r="K919" t="s">
        <v>989</v>
      </c>
      <c r="W919" t="s">
        <v>171</v>
      </c>
      <c r="X919" t="str">
        <f>A919</f>
        <v>info_time_dml_batch1_pk_irp1</v>
      </c>
    </row>
    <row r="920" spans="1:24">
      <c r="B920" t="s">
        <v>196</v>
      </c>
      <c r="C920" t="s">
        <v>197</v>
      </c>
      <c r="D920" t="s">
        <v>197</v>
      </c>
      <c r="E920" t="s">
        <v>197</v>
      </c>
      <c r="F920" t="s">
        <v>197</v>
      </c>
      <c r="G920" t="s">
        <v>197</v>
      </c>
      <c r="H920" t="s">
        <v>197</v>
      </c>
      <c r="I920" t="s">
        <v>990</v>
      </c>
      <c r="J920" t="s">
        <v>199</v>
      </c>
      <c r="K920" t="s">
        <v>200</v>
      </c>
    </row>
    <row r="921" spans="1:24">
      <c r="B921" t="s">
        <v>197</v>
      </c>
      <c r="C921" t="s">
        <v>197</v>
      </c>
      <c r="D921" t="s">
        <v>197</v>
      </c>
      <c r="E921" t="s">
        <v>197</v>
      </c>
      <c r="F921" t="s">
        <v>197</v>
      </c>
      <c r="G921" t="s">
        <v>197</v>
      </c>
      <c r="H921" t="s">
        <v>197</v>
      </c>
      <c r="I921" t="s">
        <v>197</v>
      </c>
      <c r="J921" t="s">
        <v>197</v>
      </c>
      <c r="K921" t="s">
        <v>800</v>
      </c>
    </row>
    <row r="922" spans="1:24">
      <c r="B922" t="s">
        <v>197</v>
      </c>
      <c r="C922" t="s">
        <v>197</v>
      </c>
      <c r="D922" t="s">
        <v>197</v>
      </c>
      <c r="E922" t="s">
        <v>197</v>
      </c>
      <c r="F922" t="s">
        <v>197</v>
      </c>
      <c r="G922" t="s">
        <v>197</v>
      </c>
      <c r="H922" t="s">
        <v>197</v>
      </c>
      <c r="I922" t="s">
        <v>197</v>
      </c>
      <c r="J922" t="s">
        <v>197</v>
      </c>
      <c r="K922" t="s">
        <v>801</v>
      </c>
    </row>
    <row r="923" spans="1:24">
      <c r="B923" t="s">
        <v>197</v>
      </c>
      <c r="C923" t="s">
        <v>197</v>
      </c>
      <c r="D923" t="s">
        <v>197</v>
      </c>
      <c r="E923" t="s">
        <v>197</v>
      </c>
      <c r="F923" t="s">
        <v>197</v>
      </c>
      <c r="G923" t="s">
        <v>197</v>
      </c>
      <c r="H923" t="s">
        <v>197</v>
      </c>
      <c r="I923" t="s">
        <v>197</v>
      </c>
      <c r="J923" t="s">
        <v>197</v>
      </c>
      <c r="K923" t="s">
        <v>802</v>
      </c>
    </row>
    <row r="924" spans="1:24">
      <c r="B924" t="s">
        <v>197</v>
      </c>
      <c r="C924" t="s">
        <v>197</v>
      </c>
      <c r="D924" t="s">
        <v>197</v>
      </c>
      <c r="E924" t="s">
        <v>197</v>
      </c>
      <c r="F924" t="s">
        <v>197</v>
      </c>
      <c r="G924" t="s">
        <v>197</v>
      </c>
      <c r="H924" t="s">
        <v>197</v>
      </c>
      <c r="I924" t="s">
        <v>197</v>
      </c>
      <c r="J924" t="s">
        <v>197</v>
      </c>
      <c r="K924" t="s">
        <v>803</v>
      </c>
    </row>
    <row r="925" spans="1:24">
      <c r="B925" t="s">
        <v>197</v>
      </c>
      <c r="C925" t="s">
        <v>197</v>
      </c>
      <c r="D925" t="s">
        <v>197</v>
      </c>
      <c r="E925" t="s">
        <v>197</v>
      </c>
      <c r="F925" t="s">
        <v>197</v>
      </c>
      <c r="G925" t="s">
        <v>197</v>
      </c>
      <c r="H925" t="s">
        <v>197</v>
      </c>
      <c r="I925" t="s">
        <v>197</v>
      </c>
      <c r="J925" t="s">
        <v>197</v>
      </c>
      <c r="K925" t="s">
        <v>804</v>
      </c>
    </row>
    <row r="926" spans="1:24">
      <c r="B926" t="s">
        <v>197</v>
      </c>
      <c r="C926" t="s">
        <v>197</v>
      </c>
      <c r="D926" t="s">
        <v>197</v>
      </c>
      <c r="E926" t="s">
        <v>197</v>
      </c>
      <c r="F926" t="s">
        <v>197</v>
      </c>
      <c r="G926" t="s">
        <v>197</v>
      </c>
      <c r="H926" t="s">
        <v>197</v>
      </c>
      <c r="I926" t="s">
        <v>197</v>
      </c>
      <c r="J926" t="s">
        <v>197</v>
      </c>
      <c r="K926" t="s">
        <v>805</v>
      </c>
    </row>
    <row r="927" spans="1:24">
      <c r="B927" t="s">
        <v>197</v>
      </c>
      <c r="C927" t="s">
        <v>197</v>
      </c>
      <c r="D927" t="s">
        <v>197</v>
      </c>
      <c r="E927" t="s">
        <v>197</v>
      </c>
      <c r="F927" t="s">
        <v>197</v>
      </c>
      <c r="G927" t="s">
        <v>197</v>
      </c>
      <c r="H927" t="s">
        <v>197</v>
      </c>
      <c r="I927" t="s">
        <v>197</v>
      </c>
      <c r="J927" t="s">
        <v>197</v>
      </c>
      <c r="K927" t="s">
        <v>806</v>
      </c>
    </row>
    <row r="928" spans="1:24">
      <c r="B928" t="s">
        <v>197</v>
      </c>
      <c r="C928" t="s">
        <v>197</v>
      </c>
      <c r="D928" t="s">
        <v>197</v>
      </c>
      <c r="E928" t="s">
        <v>197</v>
      </c>
      <c r="F928" t="s">
        <v>197</v>
      </c>
      <c r="G928" t="s">
        <v>197</v>
      </c>
      <c r="H928" t="s">
        <v>197</v>
      </c>
      <c r="I928" t="s">
        <v>197</v>
      </c>
      <c r="J928" t="s">
        <v>197</v>
      </c>
      <c r="K928" t="s">
        <v>807</v>
      </c>
    </row>
    <row r="929" spans="1:24">
      <c r="A929" t="s">
        <v>976</v>
      </c>
      <c r="K929" t="s">
        <v>977</v>
      </c>
      <c r="W929" t="s">
        <v>171</v>
      </c>
      <c r="X929" t="str">
        <f>A929</f>
        <v>info_datetime_dml_single_pk_drp</v>
      </c>
    </row>
    <row r="930" spans="1:24">
      <c r="B930" t="s">
        <v>196</v>
      </c>
      <c r="C930" t="s">
        <v>197</v>
      </c>
      <c r="D930" t="s">
        <v>197</v>
      </c>
      <c r="E930" t="s">
        <v>197</v>
      </c>
      <c r="F930" t="s">
        <v>197</v>
      </c>
      <c r="G930" t="s">
        <v>197</v>
      </c>
      <c r="H930" t="s">
        <v>197</v>
      </c>
      <c r="I930" t="s">
        <v>978</v>
      </c>
      <c r="J930" t="s">
        <v>199</v>
      </c>
      <c r="K930" t="s">
        <v>200</v>
      </c>
    </row>
    <row r="931" spans="1:24">
      <c r="B931" t="s">
        <v>197</v>
      </c>
      <c r="C931" t="s">
        <v>197</v>
      </c>
      <c r="D931" t="s">
        <v>197</v>
      </c>
      <c r="E931" t="s">
        <v>197</v>
      </c>
      <c r="F931" t="s">
        <v>197</v>
      </c>
      <c r="G931" t="s">
        <v>197</v>
      </c>
      <c r="H931" t="s">
        <v>197</v>
      </c>
      <c r="I931" t="s">
        <v>197</v>
      </c>
      <c r="J931" t="s">
        <v>197</v>
      </c>
      <c r="K931" t="s">
        <v>574</v>
      </c>
    </row>
    <row r="932" spans="1:24">
      <c r="A932" t="s">
        <v>991</v>
      </c>
      <c r="K932" t="s">
        <v>992</v>
      </c>
      <c r="W932" s="1" t="str">
        <f>HYPERLINK("#2026042000hbase2!AY2","NO 源备存在差异，共4个")</f>
        <v>NO 源备存在差异，共4个</v>
      </c>
      <c r="X932" t="str">
        <f>A932</f>
        <v>info_binary_dml_batch1_pk</v>
      </c>
    </row>
    <row r="933" spans="1:24">
      <c r="B933" t="s">
        <v>196</v>
      </c>
      <c r="C933" t="s">
        <v>197</v>
      </c>
      <c r="D933" t="s">
        <v>197</v>
      </c>
      <c r="E933" t="s">
        <v>197</v>
      </c>
      <c r="F933" t="s">
        <v>197</v>
      </c>
      <c r="G933" t="s">
        <v>197</v>
      </c>
      <c r="H933" t="s">
        <v>197</v>
      </c>
      <c r="I933" t="s">
        <v>993</v>
      </c>
      <c r="J933" t="s">
        <v>199</v>
      </c>
      <c r="K933" t="s">
        <v>200</v>
      </c>
    </row>
    <row r="934" spans="1:24">
      <c r="B934" t="s">
        <v>197</v>
      </c>
      <c r="C934" t="s">
        <v>197</v>
      </c>
      <c r="D934" t="s">
        <v>197</v>
      </c>
      <c r="E934" t="s">
        <v>197</v>
      </c>
      <c r="F934" t="s">
        <v>197</v>
      </c>
      <c r="G934" t="s">
        <v>197</v>
      </c>
      <c r="H934" t="s">
        <v>197</v>
      </c>
      <c r="I934" t="s">
        <v>197</v>
      </c>
      <c r="J934" t="s">
        <v>197</v>
      </c>
      <c r="K934" t="s">
        <v>691</v>
      </c>
    </row>
    <row r="935" spans="1:24">
      <c r="B935" t="s">
        <v>197</v>
      </c>
      <c r="C935" t="s">
        <v>197</v>
      </c>
      <c r="D935" t="s">
        <v>197</v>
      </c>
      <c r="E935" t="s">
        <v>197</v>
      </c>
      <c r="F935" t="s">
        <v>197</v>
      </c>
      <c r="G935" t="s">
        <v>197</v>
      </c>
      <c r="H935" t="s">
        <v>197</v>
      </c>
      <c r="I935" t="s">
        <v>197</v>
      </c>
      <c r="J935" t="s">
        <v>197</v>
      </c>
      <c r="K935" t="s">
        <v>692</v>
      </c>
    </row>
    <row r="936" spans="1:24">
      <c r="B936" t="s">
        <v>197</v>
      </c>
      <c r="C936" t="s">
        <v>197</v>
      </c>
      <c r="D936" t="s">
        <v>197</v>
      </c>
      <c r="E936" t="s">
        <v>197</v>
      </c>
      <c r="F936" t="s">
        <v>197</v>
      </c>
      <c r="G936" t="s">
        <v>197</v>
      </c>
      <c r="H936" t="s">
        <v>197</v>
      </c>
      <c r="I936" t="s">
        <v>197</v>
      </c>
      <c r="J936" t="s">
        <v>197</v>
      </c>
      <c r="K936" t="s">
        <v>693</v>
      </c>
    </row>
    <row r="937" spans="1:24">
      <c r="A937" t="s">
        <v>994</v>
      </c>
      <c r="K937" t="s">
        <v>995</v>
      </c>
      <c r="W937" t="s">
        <v>171</v>
      </c>
      <c r="X937" t="str">
        <f>A937</f>
        <v>info_varchar_dml_batch1_pk_irp2</v>
      </c>
    </row>
    <row r="938" spans="1:24">
      <c r="B938" t="s">
        <v>196</v>
      </c>
      <c r="C938" t="s">
        <v>197</v>
      </c>
      <c r="D938" t="s">
        <v>197</v>
      </c>
      <c r="E938" t="s">
        <v>197</v>
      </c>
      <c r="F938" t="s">
        <v>197</v>
      </c>
      <c r="G938" t="s">
        <v>197</v>
      </c>
      <c r="H938" t="s">
        <v>197</v>
      </c>
      <c r="I938" t="s">
        <v>996</v>
      </c>
      <c r="J938" t="s">
        <v>199</v>
      </c>
      <c r="K938" t="s">
        <v>200</v>
      </c>
    </row>
    <row r="939" spans="1:24">
      <c r="B939" t="s">
        <v>197</v>
      </c>
      <c r="C939" t="s">
        <v>197</v>
      </c>
      <c r="D939" t="s">
        <v>197</v>
      </c>
      <c r="E939" t="s">
        <v>197</v>
      </c>
      <c r="F939" t="s">
        <v>197</v>
      </c>
      <c r="G939" t="s">
        <v>197</v>
      </c>
      <c r="H939" t="s">
        <v>197</v>
      </c>
      <c r="I939" t="s">
        <v>197</v>
      </c>
      <c r="J939" t="s">
        <v>197</v>
      </c>
      <c r="K939" t="s">
        <v>431</v>
      </c>
    </row>
    <row r="940" spans="1:24">
      <c r="B940" t="s">
        <v>197</v>
      </c>
      <c r="C940" t="s">
        <v>197</v>
      </c>
      <c r="D940" t="s">
        <v>197</v>
      </c>
      <c r="E940" t="s">
        <v>197</v>
      </c>
      <c r="F940" t="s">
        <v>197</v>
      </c>
      <c r="G940" t="s">
        <v>197</v>
      </c>
      <c r="H940" t="s">
        <v>197</v>
      </c>
      <c r="I940" t="s">
        <v>197</v>
      </c>
      <c r="J940" t="s">
        <v>197</v>
      </c>
      <c r="K940" t="s">
        <v>434</v>
      </c>
    </row>
    <row r="941" spans="1:24">
      <c r="B941" t="s">
        <v>197</v>
      </c>
      <c r="C941" t="s">
        <v>197</v>
      </c>
      <c r="D941" t="s">
        <v>197</v>
      </c>
      <c r="E941" t="s">
        <v>197</v>
      </c>
      <c r="F941" t="s">
        <v>197</v>
      </c>
      <c r="G941" t="s">
        <v>197</v>
      </c>
      <c r="H941" t="s">
        <v>197</v>
      </c>
      <c r="I941" t="s">
        <v>197</v>
      </c>
      <c r="J941" t="s">
        <v>197</v>
      </c>
      <c r="K941" t="s">
        <v>963</v>
      </c>
    </row>
    <row r="942" spans="1:24">
      <c r="K942" t="s">
        <v>443</v>
      </c>
    </row>
    <row r="943" spans="1:24">
      <c r="A943" t="s">
        <v>979</v>
      </c>
      <c r="K943" t="s">
        <v>980</v>
      </c>
      <c r="W943" t="s">
        <v>171</v>
      </c>
      <c r="X943" t="str">
        <f>A943</f>
        <v>info_date_dml_batch1_pk</v>
      </c>
    </row>
    <row r="944" spans="1:24">
      <c r="B944" t="s">
        <v>196</v>
      </c>
      <c r="C944" t="s">
        <v>197</v>
      </c>
      <c r="D944" t="s">
        <v>197</v>
      </c>
      <c r="E944" t="s">
        <v>197</v>
      </c>
      <c r="F944" t="s">
        <v>197</v>
      </c>
      <c r="G944" t="s">
        <v>197</v>
      </c>
      <c r="H944" t="s">
        <v>197</v>
      </c>
      <c r="I944" t="s">
        <v>981</v>
      </c>
      <c r="J944" t="s">
        <v>199</v>
      </c>
      <c r="K944" t="s">
        <v>200</v>
      </c>
    </row>
    <row r="945" spans="1:24">
      <c r="B945" t="s">
        <v>197</v>
      </c>
      <c r="C945" t="s">
        <v>197</v>
      </c>
      <c r="D945" t="s">
        <v>197</v>
      </c>
      <c r="E945" t="s">
        <v>197</v>
      </c>
      <c r="F945" t="s">
        <v>197</v>
      </c>
      <c r="G945" t="s">
        <v>197</v>
      </c>
      <c r="H945" t="s">
        <v>197</v>
      </c>
      <c r="I945" t="s">
        <v>197</v>
      </c>
      <c r="J945" t="s">
        <v>197</v>
      </c>
      <c r="K945" t="s">
        <v>678</v>
      </c>
    </row>
    <row r="946" spans="1:24">
      <c r="A946" t="s">
        <v>997</v>
      </c>
      <c r="K946" t="s">
        <v>998</v>
      </c>
      <c r="W946" t="s">
        <v>171</v>
      </c>
      <c r="X946" t="str">
        <f>A946</f>
        <v>info_time_dml_batch1_pk_irp2</v>
      </c>
    </row>
    <row r="947" spans="1:24">
      <c r="B947" t="s">
        <v>196</v>
      </c>
      <c r="C947" t="s">
        <v>197</v>
      </c>
      <c r="D947" t="s">
        <v>197</v>
      </c>
      <c r="E947" t="s">
        <v>197</v>
      </c>
      <c r="F947" t="s">
        <v>197</v>
      </c>
      <c r="G947" t="s">
        <v>197</v>
      </c>
      <c r="H947" t="s">
        <v>197</v>
      </c>
      <c r="I947" t="s">
        <v>999</v>
      </c>
      <c r="J947" t="s">
        <v>199</v>
      </c>
      <c r="K947" t="s">
        <v>200</v>
      </c>
    </row>
    <row r="948" spans="1:24">
      <c r="B948" t="s">
        <v>197</v>
      </c>
      <c r="C948" t="s">
        <v>197</v>
      </c>
      <c r="D948" t="s">
        <v>197</v>
      </c>
      <c r="E948" t="s">
        <v>197</v>
      </c>
      <c r="F948" t="s">
        <v>197</v>
      </c>
      <c r="G948" t="s">
        <v>197</v>
      </c>
      <c r="H948" t="s">
        <v>197</v>
      </c>
      <c r="I948" t="s">
        <v>197</v>
      </c>
      <c r="J948" t="s">
        <v>197</v>
      </c>
      <c r="K948" t="s">
        <v>800</v>
      </c>
    </row>
    <row r="949" spans="1:24">
      <c r="B949" t="s">
        <v>197</v>
      </c>
      <c r="C949" t="s">
        <v>197</v>
      </c>
      <c r="D949" t="s">
        <v>197</v>
      </c>
      <c r="E949" t="s">
        <v>197</v>
      </c>
      <c r="F949" t="s">
        <v>197</v>
      </c>
      <c r="G949" t="s">
        <v>197</v>
      </c>
      <c r="H949" t="s">
        <v>197</v>
      </c>
      <c r="I949" t="s">
        <v>197</v>
      </c>
      <c r="J949" t="s">
        <v>197</v>
      </c>
      <c r="K949" t="s">
        <v>801</v>
      </c>
    </row>
    <row r="950" spans="1:24">
      <c r="B950" t="s">
        <v>197</v>
      </c>
      <c r="C950" t="s">
        <v>197</v>
      </c>
      <c r="D950" t="s">
        <v>197</v>
      </c>
      <c r="E950" t="s">
        <v>197</v>
      </c>
      <c r="F950" t="s">
        <v>197</v>
      </c>
      <c r="G950" t="s">
        <v>197</v>
      </c>
      <c r="H950" t="s">
        <v>197</v>
      </c>
      <c r="I950" t="s">
        <v>197</v>
      </c>
      <c r="J950" t="s">
        <v>197</v>
      </c>
      <c r="K950" t="s">
        <v>802</v>
      </c>
    </row>
    <row r="951" spans="1:24">
      <c r="B951" t="s">
        <v>197</v>
      </c>
      <c r="C951" t="s">
        <v>197</v>
      </c>
      <c r="D951" t="s">
        <v>197</v>
      </c>
      <c r="E951" t="s">
        <v>197</v>
      </c>
      <c r="F951" t="s">
        <v>197</v>
      </c>
      <c r="G951" t="s">
        <v>197</v>
      </c>
      <c r="H951" t="s">
        <v>197</v>
      </c>
      <c r="I951" t="s">
        <v>197</v>
      </c>
      <c r="J951" t="s">
        <v>197</v>
      </c>
      <c r="K951" t="s">
        <v>803</v>
      </c>
    </row>
    <row r="952" spans="1:24">
      <c r="B952" t="s">
        <v>197</v>
      </c>
      <c r="C952" t="s">
        <v>197</v>
      </c>
      <c r="D952" t="s">
        <v>197</v>
      </c>
      <c r="E952" t="s">
        <v>197</v>
      </c>
      <c r="F952" t="s">
        <v>197</v>
      </c>
      <c r="G952" t="s">
        <v>197</v>
      </c>
      <c r="H952" t="s">
        <v>197</v>
      </c>
      <c r="I952" t="s">
        <v>197</v>
      </c>
      <c r="J952" t="s">
        <v>197</v>
      </c>
      <c r="K952" t="s">
        <v>804</v>
      </c>
    </row>
    <row r="953" spans="1:24">
      <c r="B953" t="s">
        <v>197</v>
      </c>
      <c r="C953" t="s">
        <v>197</v>
      </c>
      <c r="D953" t="s">
        <v>197</v>
      </c>
      <c r="E953" t="s">
        <v>197</v>
      </c>
      <c r="F953" t="s">
        <v>197</v>
      </c>
      <c r="G953" t="s">
        <v>197</v>
      </c>
      <c r="H953" t="s">
        <v>197</v>
      </c>
      <c r="I953" t="s">
        <v>197</v>
      </c>
      <c r="J953" t="s">
        <v>197</v>
      </c>
      <c r="K953" t="s">
        <v>805</v>
      </c>
    </row>
    <row r="954" spans="1:24">
      <c r="B954" t="s">
        <v>197</v>
      </c>
      <c r="C954" t="s">
        <v>197</v>
      </c>
      <c r="D954" t="s">
        <v>197</v>
      </c>
      <c r="E954" t="s">
        <v>197</v>
      </c>
      <c r="F954" t="s">
        <v>197</v>
      </c>
      <c r="G954" t="s">
        <v>197</v>
      </c>
      <c r="H954" t="s">
        <v>197</v>
      </c>
      <c r="I954" t="s">
        <v>197</v>
      </c>
      <c r="J954" t="s">
        <v>197</v>
      </c>
      <c r="K954" t="s">
        <v>806</v>
      </c>
    </row>
    <row r="955" spans="1:24">
      <c r="B955" t="s">
        <v>197</v>
      </c>
      <c r="C955" t="s">
        <v>197</v>
      </c>
      <c r="D955" t="s">
        <v>197</v>
      </c>
      <c r="E955" t="s">
        <v>197</v>
      </c>
      <c r="F955" t="s">
        <v>197</v>
      </c>
      <c r="G955" t="s">
        <v>197</v>
      </c>
      <c r="H955" t="s">
        <v>197</v>
      </c>
      <c r="I955" t="s">
        <v>197</v>
      </c>
      <c r="J955" t="s">
        <v>197</v>
      </c>
      <c r="K955" t="s">
        <v>807</v>
      </c>
    </row>
    <row r="956" spans="1:24">
      <c r="A956" t="s">
        <v>1003</v>
      </c>
      <c r="K956" t="s">
        <v>1004</v>
      </c>
      <c r="W956" s="1" t="str">
        <f>HYPERLINK("#2026042000hbase2!AZ2","NO 源备存在差异，共4个")</f>
        <v>NO 源备存在差异，共4个</v>
      </c>
      <c r="X956" t="str">
        <f>A956</f>
        <v>info_sql_variant_dml_single_pk_irp</v>
      </c>
    </row>
    <row r="957" spans="1:24">
      <c r="B957" t="s">
        <v>196</v>
      </c>
      <c r="C957" t="s">
        <v>197</v>
      </c>
      <c r="D957" t="s">
        <v>197</v>
      </c>
      <c r="E957" t="s">
        <v>197</v>
      </c>
      <c r="F957" t="s">
        <v>197</v>
      </c>
      <c r="G957" t="s">
        <v>197</v>
      </c>
      <c r="H957" t="s">
        <v>197</v>
      </c>
      <c r="I957" t="s">
        <v>1005</v>
      </c>
      <c r="J957" t="s">
        <v>199</v>
      </c>
      <c r="K957" t="s">
        <v>200</v>
      </c>
    </row>
    <row r="958" spans="1:24">
      <c r="B958" t="s">
        <v>197</v>
      </c>
      <c r="C958" t="s">
        <v>197</v>
      </c>
      <c r="D958" t="s">
        <v>197</v>
      </c>
      <c r="E958" t="s">
        <v>197</v>
      </c>
      <c r="F958" t="s">
        <v>197</v>
      </c>
      <c r="G958" t="s">
        <v>197</v>
      </c>
      <c r="H958" t="s">
        <v>197</v>
      </c>
      <c r="I958" t="s">
        <v>197</v>
      </c>
      <c r="J958" t="s">
        <v>197</v>
      </c>
      <c r="K958" t="s">
        <v>1006</v>
      </c>
    </row>
    <row r="959" spans="1:24">
      <c r="B959" t="s">
        <v>197</v>
      </c>
      <c r="C959" t="s">
        <v>197</v>
      </c>
      <c r="D959" t="s">
        <v>197</v>
      </c>
      <c r="E959" t="s">
        <v>197</v>
      </c>
      <c r="F959" t="s">
        <v>197</v>
      </c>
      <c r="G959" t="s">
        <v>197</v>
      </c>
      <c r="H959" t="s">
        <v>197</v>
      </c>
      <c r="I959" t="s">
        <v>197</v>
      </c>
      <c r="J959" t="s">
        <v>197</v>
      </c>
      <c r="K959" t="s">
        <v>1007</v>
      </c>
    </row>
    <row r="960" spans="1:24">
      <c r="B960" t="s">
        <v>197</v>
      </c>
      <c r="C960" t="s">
        <v>197</v>
      </c>
      <c r="D960" t="s">
        <v>197</v>
      </c>
      <c r="E960" t="s">
        <v>197</v>
      </c>
      <c r="F960" t="s">
        <v>197</v>
      </c>
      <c r="G960" t="s">
        <v>197</v>
      </c>
      <c r="H960" t="s">
        <v>197</v>
      </c>
      <c r="I960" t="s">
        <v>197</v>
      </c>
      <c r="J960" t="s">
        <v>197</v>
      </c>
      <c r="K960" t="s">
        <v>1008</v>
      </c>
    </row>
    <row r="961" spans="2:11">
      <c r="B961" t="s">
        <v>197</v>
      </c>
      <c r="C961" t="s">
        <v>197</v>
      </c>
      <c r="D961" t="s">
        <v>197</v>
      </c>
      <c r="E961" t="s">
        <v>197</v>
      </c>
      <c r="F961" t="s">
        <v>197</v>
      </c>
      <c r="G961" t="s">
        <v>197</v>
      </c>
      <c r="H961" t="s">
        <v>197</v>
      </c>
      <c r="I961" t="s">
        <v>197</v>
      </c>
      <c r="J961" t="s">
        <v>197</v>
      </c>
      <c r="K961" t="s">
        <v>1009</v>
      </c>
    </row>
    <row r="962" spans="2:11">
      <c r="B962" t="s">
        <v>197</v>
      </c>
      <c r="C962" t="s">
        <v>197</v>
      </c>
      <c r="D962" t="s">
        <v>197</v>
      </c>
      <c r="E962" t="s">
        <v>197</v>
      </c>
      <c r="F962" t="s">
        <v>197</v>
      </c>
      <c r="G962" t="s">
        <v>197</v>
      </c>
      <c r="H962" t="s">
        <v>197</v>
      </c>
      <c r="I962" t="s">
        <v>197</v>
      </c>
      <c r="J962" t="s">
        <v>197</v>
      </c>
      <c r="K962" t="s">
        <v>1010</v>
      </c>
    </row>
    <row r="963" spans="2:11">
      <c r="B963" t="s">
        <v>197</v>
      </c>
      <c r="C963" t="s">
        <v>197</v>
      </c>
      <c r="D963" t="s">
        <v>197</v>
      </c>
      <c r="E963" t="s">
        <v>197</v>
      </c>
      <c r="F963" t="s">
        <v>197</v>
      </c>
      <c r="G963" t="s">
        <v>197</v>
      </c>
      <c r="H963" t="s">
        <v>197</v>
      </c>
      <c r="I963" t="s">
        <v>197</v>
      </c>
      <c r="J963" t="s">
        <v>197</v>
      </c>
      <c r="K963" t="s">
        <v>1011</v>
      </c>
    </row>
    <row r="964" spans="2:11">
      <c r="B964" t="s">
        <v>197</v>
      </c>
      <c r="C964" t="s">
        <v>197</v>
      </c>
      <c r="D964" t="s">
        <v>197</v>
      </c>
      <c r="E964" t="s">
        <v>197</v>
      </c>
      <c r="F964" t="s">
        <v>197</v>
      </c>
      <c r="G964" t="s">
        <v>197</v>
      </c>
      <c r="H964" t="s">
        <v>197</v>
      </c>
      <c r="I964" t="s">
        <v>197</v>
      </c>
      <c r="J964" t="s">
        <v>197</v>
      </c>
      <c r="K964" t="s">
        <v>1012</v>
      </c>
    </row>
    <row r="965" spans="2:11">
      <c r="B965" t="s">
        <v>197</v>
      </c>
      <c r="C965" t="s">
        <v>197</v>
      </c>
      <c r="D965" t="s">
        <v>197</v>
      </c>
      <c r="E965" t="s">
        <v>197</v>
      </c>
      <c r="F965" t="s">
        <v>197</v>
      </c>
      <c r="G965" t="s">
        <v>197</v>
      </c>
      <c r="H965" t="s">
        <v>197</v>
      </c>
      <c r="I965" t="s">
        <v>197</v>
      </c>
      <c r="J965" t="s">
        <v>197</v>
      </c>
      <c r="K965" t="s">
        <v>1013</v>
      </c>
    </row>
    <row r="966" spans="2:11">
      <c r="B966" t="s">
        <v>197</v>
      </c>
      <c r="C966" t="s">
        <v>197</v>
      </c>
      <c r="D966" t="s">
        <v>197</v>
      </c>
      <c r="E966" t="s">
        <v>197</v>
      </c>
      <c r="F966" t="s">
        <v>197</v>
      </c>
      <c r="G966" t="s">
        <v>197</v>
      </c>
      <c r="H966" t="s">
        <v>197</v>
      </c>
      <c r="I966" t="s">
        <v>197</v>
      </c>
      <c r="J966" t="s">
        <v>197</v>
      </c>
      <c r="K966" t="s">
        <v>1014</v>
      </c>
    </row>
    <row r="967" spans="2:11">
      <c r="B967" t="s">
        <v>197</v>
      </c>
      <c r="C967" t="s">
        <v>197</v>
      </c>
      <c r="D967" t="s">
        <v>197</v>
      </c>
      <c r="E967" t="s">
        <v>197</v>
      </c>
      <c r="F967" t="s">
        <v>197</v>
      </c>
      <c r="G967" t="s">
        <v>197</v>
      </c>
      <c r="H967" t="s">
        <v>197</v>
      </c>
      <c r="I967" t="s">
        <v>197</v>
      </c>
      <c r="J967" t="s">
        <v>197</v>
      </c>
      <c r="K967" t="s">
        <v>1015</v>
      </c>
    </row>
    <row r="968" spans="2:11">
      <c r="B968" t="s">
        <v>197</v>
      </c>
      <c r="C968" t="s">
        <v>197</v>
      </c>
      <c r="D968" t="s">
        <v>197</v>
      </c>
      <c r="E968" t="s">
        <v>197</v>
      </c>
      <c r="F968" t="s">
        <v>197</v>
      </c>
      <c r="G968" t="s">
        <v>197</v>
      </c>
      <c r="H968" t="s">
        <v>197</v>
      </c>
      <c r="I968" t="s">
        <v>197</v>
      </c>
      <c r="J968" t="s">
        <v>197</v>
      </c>
      <c r="K968" t="s">
        <v>1016</v>
      </c>
    </row>
    <row r="969" spans="2:11">
      <c r="B969" t="s">
        <v>197</v>
      </c>
      <c r="C969" t="s">
        <v>197</v>
      </c>
      <c r="D969" t="s">
        <v>197</v>
      </c>
      <c r="E969" t="s">
        <v>197</v>
      </c>
      <c r="F969" t="s">
        <v>197</v>
      </c>
      <c r="G969" t="s">
        <v>197</v>
      </c>
      <c r="H969" t="s">
        <v>197</v>
      </c>
      <c r="I969" t="s">
        <v>197</v>
      </c>
      <c r="J969" t="s">
        <v>197</v>
      </c>
      <c r="K969" t="s">
        <v>1017</v>
      </c>
    </row>
    <row r="970" spans="2:11">
      <c r="B970" t="s">
        <v>197</v>
      </c>
      <c r="C970" t="s">
        <v>197</v>
      </c>
      <c r="D970" t="s">
        <v>197</v>
      </c>
      <c r="E970" t="s">
        <v>197</v>
      </c>
      <c r="F970" t="s">
        <v>197</v>
      </c>
      <c r="G970" t="s">
        <v>197</v>
      </c>
      <c r="H970" t="s">
        <v>197</v>
      </c>
      <c r="I970" t="s">
        <v>197</v>
      </c>
      <c r="J970" t="s">
        <v>197</v>
      </c>
      <c r="K970" t="s">
        <v>1018</v>
      </c>
    </row>
    <row r="971" spans="2:11">
      <c r="B971" t="s">
        <v>197</v>
      </c>
      <c r="C971" t="s">
        <v>197</v>
      </c>
      <c r="D971" t="s">
        <v>197</v>
      </c>
      <c r="E971" t="s">
        <v>197</v>
      </c>
      <c r="F971" t="s">
        <v>197</v>
      </c>
      <c r="G971" t="s">
        <v>197</v>
      </c>
      <c r="H971" t="s">
        <v>197</v>
      </c>
      <c r="I971" t="s">
        <v>197</v>
      </c>
      <c r="J971" t="s">
        <v>197</v>
      </c>
      <c r="K971" t="s">
        <v>1019</v>
      </c>
    </row>
    <row r="972" spans="2:11">
      <c r="B972" t="s">
        <v>197</v>
      </c>
      <c r="C972" t="s">
        <v>197</v>
      </c>
      <c r="D972" t="s">
        <v>197</v>
      </c>
      <c r="E972" t="s">
        <v>197</v>
      </c>
      <c r="F972" t="s">
        <v>197</v>
      </c>
      <c r="G972" t="s">
        <v>197</v>
      </c>
      <c r="H972" t="s">
        <v>197</v>
      </c>
      <c r="I972" t="s">
        <v>197</v>
      </c>
      <c r="J972" t="s">
        <v>197</v>
      </c>
      <c r="K972" t="s">
        <v>1020</v>
      </c>
    </row>
    <row r="973" spans="2:11">
      <c r="B973" t="s">
        <v>197</v>
      </c>
      <c r="C973" t="s">
        <v>197</v>
      </c>
      <c r="D973" t="s">
        <v>197</v>
      </c>
      <c r="E973" t="s">
        <v>197</v>
      </c>
      <c r="F973" t="s">
        <v>197</v>
      </c>
      <c r="G973" t="s">
        <v>197</v>
      </c>
      <c r="H973" t="s">
        <v>197</v>
      </c>
      <c r="I973" t="s">
        <v>197</v>
      </c>
      <c r="J973" t="s">
        <v>197</v>
      </c>
      <c r="K973" t="s">
        <v>1021</v>
      </c>
    </row>
    <row r="974" spans="2:11">
      <c r="B974" t="s">
        <v>197</v>
      </c>
      <c r="C974" t="s">
        <v>197</v>
      </c>
      <c r="D974" t="s">
        <v>197</v>
      </c>
      <c r="E974" t="s">
        <v>197</v>
      </c>
      <c r="F974" t="s">
        <v>197</v>
      </c>
      <c r="G974" t="s">
        <v>197</v>
      </c>
      <c r="H974" t="s">
        <v>197</v>
      </c>
      <c r="I974" t="s">
        <v>197</v>
      </c>
      <c r="J974" t="s">
        <v>197</v>
      </c>
      <c r="K974" t="s">
        <v>1022</v>
      </c>
    </row>
    <row r="975" spans="2:11">
      <c r="B975" t="s">
        <v>197</v>
      </c>
      <c r="C975" t="s">
        <v>197</v>
      </c>
      <c r="D975" t="s">
        <v>197</v>
      </c>
      <c r="E975" t="s">
        <v>197</v>
      </c>
      <c r="F975" t="s">
        <v>197</v>
      </c>
      <c r="G975" t="s">
        <v>197</v>
      </c>
      <c r="H975" t="s">
        <v>197</v>
      </c>
      <c r="I975" t="s">
        <v>197</v>
      </c>
      <c r="J975" t="s">
        <v>197</v>
      </c>
      <c r="K975" t="s">
        <v>1023</v>
      </c>
    </row>
    <row r="976" spans="2:11">
      <c r="B976" t="s">
        <v>197</v>
      </c>
      <c r="C976" t="s">
        <v>197</v>
      </c>
      <c r="D976" t="s">
        <v>197</v>
      </c>
      <c r="E976" t="s">
        <v>197</v>
      </c>
      <c r="F976" t="s">
        <v>197</v>
      </c>
      <c r="G976" t="s">
        <v>197</v>
      </c>
      <c r="H976" t="s">
        <v>197</v>
      </c>
      <c r="I976" t="s">
        <v>197</v>
      </c>
      <c r="J976" t="s">
        <v>197</v>
      </c>
      <c r="K976" t="s">
        <v>1024</v>
      </c>
    </row>
    <row r="977" spans="1:24">
      <c r="B977" t="s">
        <v>197</v>
      </c>
      <c r="C977" t="s">
        <v>197</v>
      </c>
      <c r="D977" t="s">
        <v>197</v>
      </c>
      <c r="E977" t="s">
        <v>197</v>
      </c>
      <c r="F977" t="s">
        <v>197</v>
      </c>
      <c r="G977" t="s">
        <v>197</v>
      </c>
      <c r="H977" t="s">
        <v>197</v>
      </c>
      <c r="I977" t="s">
        <v>197</v>
      </c>
      <c r="J977" t="s">
        <v>197</v>
      </c>
      <c r="K977" t="s">
        <v>1025</v>
      </c>
    </row>
    <row r="978" spans="1:24">
      <c r="B978" t="s">
        <v>197</v>
      </c>
      <c r="C978" t="s">
        <v>197</v>
      </c>
      <c r="D978" t="s">
        <v>197</v>
      </c>
      <c r="E978" t="s">
        <v>197</v>
      </c>
      <c r="F978" t="s">
        <v>197</v>
      </c>
      <c r="G978" t="s">
        <v>197</v>
      </c>
      <c r="H978" t="s">
        <v>197</v>
      </c>
      <c r="I978" t="s">
        <v>197</v>
      </c>
      <c r="J978" t="s">
        <v>197</v>
      </c>
      <c r="K978" t="s">
        <v>1026</v>
      </c>
    </row>
    <row r="979" spans="1:24">
      <c r="B979" t="s">
        <v>197</v>
      </c>
      <c r="C979" t="s">
        <v>197</v>
      </c>
      <c r="D979" t="s">
        <v>197</v>
      </c>
      <c r="E979" t="s">
        <v>197</v>
      </c>
      <c r="F979" t="s">
        <v>197</v>
      </c>
      <c r="G979" t="s">
        <v>197</v>
      </c>
      <c r="H979" t="s">
        <v>197</v>
      </c>
      <c r="I979" t="s">
        <v>197</v>
      </c>
      <c r="J979" t="s">
        <v>197</v>
      </c>
      <c r="K979" t="s">
        <v>1027</v>
      </c>
    </row>
    <row r="980" spans="1:24">
      <c r="B980" t="s">
        <v>197</v>
      </c>
      <c r="C980" t="s">
        <v>197</v>
      </c>
      <c r="D980" t="s">
        <v>197</v>
      </c>
      <c r="E980" t="s">
        <v>197</v>
      </c>
      <c r="F980" t="s">
        <v>197</v>
      </c>
      <c r="G980" t="s">
        <v>197</v>
      </c>
      <c r="H980" t="s">
        <v>197</v>
      </c>
      <c r="I980" t="s">
        <v>197</v>
      </c>
      <c r="J980" t="s">
        <v>197</v>
      </c>
      <c r="K980" t="s">
        <v>1028</v>
      </c>
    </row>
    <row r="981" spans="1:24">
      <c r="B981" t="s">
        <v>197</v>
      </c>
      <c r="C981" t="s">
        <v>197</v>
      </c>
      <c r="D981" t="s">
        <v>197</v>
      </c>
      <c r="E981" t="s">
        <v>197</v>
      </c>
      <c r="F981" t="s">
        <v>197</v>
      </c>
      <c r="G981" t="s">
        <v>197</v>
      </c>
      <c r="H981" t="s">
        <v>197</v>
      </c>
      <c r="I981" t="s">
        <v>197</v>
      </c>
      <c r="J981" t="s">
        <v>197</v>
      </c>
      <c r="K981" t="s">
        <v>1029</v>
      </c>
    </row>
    <row r="982" spans="1:24">
      <c r="A982" t="s">
        <v>982</v>
      </c>
      <c r="K982" t="s">
        <v>983</v>
      </c>
      <c r="W982" t="s">
        <v>171</v>
      </c>
      <c r="X982" t="str">
        <f>A982</f>
        <v>info_nvarchar_dml_batch1_pk_irp1</v>
      </c>
    </row>
    <row r="983" spans="1:24">
      <c r="B983" t="s">
        <v>196</v>
      </c>
      <c r="C983" t="s">
        <v>197</v>
      </c>
      <c r="D983" t="s">
        <v>197</v>
      </c>
      <c r="E983" t="s">
        <v>197</v>
      </c>
      <c r="F983" t="s">
        <v>197</v>
      </c>
      <c r="G983" t="s">
        <v>197</v>
      </c>
      <c r="H983" t="s">
        <v>197</v>
      </c>
      <c r="I983" t="s">
        <v>984</v>
      </c>
      <c r="J983" t="s">
        <v>199</v>
      </c>
      <c r="K983" t="s">
        <v>200</v>
      </c>
    </row>
    <row r="984" spans="1:24">
      <c r="B984" t="s">
        <v>197</v>
      </c>
      <c r="C984" t="s">
        <v>197</v>
      </c>
      <c r="D984" t="s">
        <v>197</v>
      </c>
      <c r="E984" t="s">
        <v>197</v>
      </c>
      <c r="F984" t="s">
        <v>197</v>
      </c>
      <c r="G984" t="s">
        <v>197</v>
      </c>
      <c r="H984" t="s">
        <v>197</v>
      </c>
      <c r="I984" t="s">
        <v>197</v>
      </c>
      <c r="J984" t="s">
        <v>197</v>
      </c>
      <c r="K984" t="s">
        <v>408</v>
      </c>
    </row>
    <row r="985" spans="1:24">
      <c r="B985" t="s">
        <v>197</v>
      </c>
      <c r="C985" t="s">
        <v>197</v>
      </c>
      <c r="D985" t="s">
        <v>197</v>
      </c>
      <c r="E985" t="s">
        <v>197</v>
      </c>
      <c r="F985" t="s">
        <v>197</v>
      </c>
      <c r="G985" t="s">
        <v>197</v>
      </c>
      <c r="H985" t="s">
        <v>197</v>
      </c>
      <c r="I985" t="s">
        <v>197</v>
      </c>
      <c r="J985" t="s">
        <v>197</v>
      </c>
      <c r="K985" t="s">
        <v>412</v>
      </c>
    </row>
    <row r="986" spans="1:24">
      <c r="B986" t="s">
        <v>197</v>
      </c>
      <c r="C986" t="s">
        <v>197</v>
      </c>
      <c r="D986" t="s">
        <v>197</v>
      </c>
      <c r="E986" t="s">
        <v>197</v>
      </c>
      <c r="F986" t="s">
        <v>197</v>
      </c>
      <c r="G986" t="s">
        <v>197</v>
      </c>
      <c r="H986" t="s">
        <v>197</v>
      </c>
      <c r="I986" t="s">
        <v>197</v>
      </c>
      <c r="J986" t="s">
        <v>197</v>
      </c>
      <c r="K986" t="s">
        <v>730</v>
      </c>
    </row>
    <row r="987" spans="1:24">
      <c r="A987" t="s">
        <v>1000</v>
      </c>
      <c r="K987" t="s">
        <v>1001</v>
      </c>
      <c r="W987" t="s">
        <v>171</v>
      </c>
      <c r="X987" t="str">
        <f>A987</f>
        <v>info_datetime_dml_single_pk</v>
      </c>
    </row>
    <row r="988" spans="1:24">
      <c r="B988" t="s">
        <v>196</v>
      </c>
      <c r="C988" t="s">
        <v>197</v>
      </c>
      <c r="D988" t="s">
        <v>197</v>
      </c>
      <c r="E988" t="s">
        <v>197</v>
      </c>
      <c r="F988" t="s">
        <v>197</v>
      </c>
      <c r="G988" t="s">
        <v>197</v>
      </c>
      <c r="H988" t="s">
        <v>197</v>
      </c>
      <c r="I988" t="s">
        <v>1002</v>
      </c>
      <c r="J988" t="s">
        <v>199</v>
      </c>
      <c r="K988" t="s">
        <v>200</v>
      </c>
    </row>
    <row r="989" spans="1:24">
      <c r="B989" t="s">
        <v>197</v>
      </c>
      <c r="C989" t="s">
        <v>197</v>
      </c>
      <c r="D989" t="s">
        <v>197</v>
      </c>
      <c r="E989" t="s">
        <v>197</v>
      </c>
      <c r="F989" t="s">
        <v>197</v>
      </c>
      <c r="G989" t="s">
        <v>197</v>
      </c>
      <c r="H989" t="s">
        <v>197</v>
      </c>
      <c r="I989" t="s">
        <v>197</v>
      </c>
      <c r="J989" t="s">
        <v>197</v>
      </c>
      <c r="K989" t="s">
        <v>574</v>
      </c>
    </row>
    <row r="990" spans="1:24">
      <c r="A990" t="s">
        <v>1030</v>
      </c>
      <c r="K990" t="s">
        <v>1031</v>
      </c>
      <c r="W990" t="s">
        <v>171</v>
      </c>
      <c r="X990" t="str">
        <f>A990</f>
        <v>info_varcharmax_dml_batch1_pk</v>
      </c>
    </row>
    <row r="991" spans="1:24">
      <c r="B991" t="s">
        <v>196</v>
      </c>
      <c r="C991" t="s">
        <v>197</v>
      </c>
      <c r="D991" t="s">
        <v>197</v>
      </c>
      <c r="E991" t="s">
        <v>197</v>
      </c>
      <c r="F991" t="s">
        <v>197</v>
      </c>
      <c r="G991" t="s">
        <v>197</v>
      </c>
      <c r="H991" t="s">
        <v>197</v>
      </c>
      <c r="I991" t="s">
        <v>1032</v>
      </c>
      <c r="J991" t="s">
        <v>199</v>
      </c>
      <c r="K991" t="s">
        <v>200</v>
      </c>
    </row>
    <row r="992" spans="1:24">
      <c r="B992" t="s">
        <v>197</v>
      </c>
      <c r="C992" t="s">
        <v>197</v>
      </c>
      <c r="D992" t="s">
        <v>197</v>
      </c>
      <c r="E992" t="s">
        <v>197</v>
      </c>
      <c r="F992" t="s">
        <v>197</v>
      </c>
      <c r="G992" t="s">
        <v>197</v>
      </c>
      <c r="H992" t="s">
        <v>197</v>
      </c>
      <c r="I992" t="s">
        <v>197</v>
      </c>
      <c r="J992" t="s">
        <v>197</v>
      </c>
      <c r="K992" t="s">
        <v>725</v>
      </c>
    </row>
    <row r="993" spans="1:24">
      <c r="B993" t="s">
        <v>197</v>
      </c>
      <c r="C993" t="s">
        <v>197</v>
      </c>
      <c r="D993" t="s">
        <v>197</v>
      </c>
      <c r="E993" t="s">
        <v>197</v>
      </c>
      <c r="F993" t="s">
        <v>197</v>
      </c>
      <c r="G993" t="s">
        <v>197</v>
      </c>
      <c r="H993" t="s">
        <v>197</v>
      </c>
      <c r="I993" t="s">
        <v>197</v>
      </c>
      <c r="J993" t="s">
        <v>197</v>
      </c>
      <c r="K993" t="s">
        <v>726</v>
      </c>
    </row>
    <row r="994" spans="1:24">
      <c r="K994" t="s">
        <v>443</v>
      </c>
    </row>
    <row r="995" spans="1:24">
      <c r="A995" t="s">
        <v>1036</v>
      </c>
      <c r="K995" t="s">
        <v>1037</v>
      </c>
      <c r="W995" t="s">
        <v>171</v>
      </c>
      <c r="X995" t="str">
        <f>A995</f>
        <v>info_uniqueidentifier_dml_single_pk_irp</v>
      </c>
    </row>
    <row r="996" spans="1:24">
      <c r="B996" t="s">
        <v>196</v>
      </c>
      <c r="C996" t="s">
        <v>197</v>
      </c>
      <c r="D996" t="s">
        <v>197</v>
      </c>
      <c r="E996" t="s">
        <v>197</v>
      </c>
      <c r="F996" t="s">
        <v>197</v>
      </c>
      <c r="G996" t="s">
        <v>197</v>
      </c>
      <c r="H996" t="s">
        <v>197</v>
      </c>
      <c r="I996" t="s">
        <v>1038</v>
      </c>
      <c r="J996" t="s">
        <v>199</v>
      </c>
      <c r="K996" t="s">
        <v>200</v>
      </c>
    </row>
    <row r="997" spans="1:24">
      <c r="B997" t="s">
        <v>197</v>
      </c>
      <c r="C997" t="s">
        <v>197</v>
      </c>
      <c r="D997" t="s">
        <v>197</v>
      </c>
      <c r="E997" t="s">
        <v>197</v>
      </c>
      <c r="F997" t="s">
        <v>197</v>
      </c>
      <c r="G997" t="s">
        <v>197</v>
      </c>
      <c r="H997" t="s">
        <v>197</v>
      </c>
      <c r="I997" t="s">
        <v>197</v>
      </c>
      <c r="J997" t="s">
        <v>197</v>
      </c>
      <c r="K997" t="s">
        <v>1039</v>
      </c>
    </row>
    <row r="998" spans="1:24">
      <c r="A998" t="s">
        <v>1033</v>
      </c>
      <c r="K998" t="s">
        <v>1034</v>
      </c>
      <c r="W998" t="s">
        <v>171</v>
      </c>
      <c r="X998" t="str">
        <f>A998</f>
        <v>info_nvarchar_dml_batch1_pk_irp2</v>
      </c>
    </row>
    <row r="999" spans="1:24">
      <c r="B999" t="s">
        <v>196</v>
      </c>
      <c r="C999" t="s">
        <v>197</v>
      </c>
      <c r="D999" t="s">
        <v>197</v>
      </c>
      <c r="E999" t="s">
        <v>197</v>
      </c>
      <c r="F999" t="s">
        <v>197</v>
      </c>
      <c r="G999" t="s">
        <v>197</v>
      </c>
      <c r="H999" t="s">
        <v>197</v>
      </c>
      <c r="I999" t="s">
        <v>1035</v>
      </c>
      <c r="J999" t="s">
        <v>199</v>
      </c>
      <c r="K999" t="s">
        <v>200</v>
      </c>
    </row>
    <row r="1000" spans="1:24">
      <c r="B1000" t="s">
        <v>197</v>
      </c>
      <c r="C1000" t="s">
        <v>197</v>
      </c>
      <c r="D1000" t="s">
        <v>197</v>
      </c>
      <c r="E1000" t="s">
        <v>197</v>
      </c>
      <c r="F1000" t="s">
        <v>197</v>
      </c>
      <c r="G1000" t="s">
        <v>197</v>
      </c>
      <c r="H1000" t="s">
        <v>197</v>
      </c>
      <c r="I1000" t="s">
        <v>197</v>
      </c>
      <c r="J1000" t="s">
        <v>197</v>
      </c>
      <c r="K1000" t="s">
        <v>408</v>
      </c>
    </row>
    <row r="1001" spans="1:24">
      <c r="B1001" t="s">
        <v>197</v>
      </c>
      <c r="C1001" t="s">
        <v>197</v>
      </c>
      <c r="D1001" t="s">
        <v>197</v>
      </c>
      <c r="E1001" t="s">
        <v>197</v>
      </c>
      <c r="F1001" t="s">
        <v>197</v>
      </c>
      <c r="G1001" t="s">
        <v>197</v>
      </c>
      <c r="H1001" t="s">
        <v>197</v>
      </c>
      <c r="I1001" t="s">
        <v>197</v>
      </c>
      <c r="J1001" t="s">
        <v>197</v>
      </c>
      <c r="K1001" t="s">
        <v>412</v>
      </c>
    </row>
    <row r="1002" spans="1:24">
      <c r="B1002" t="s">
        <v>197</v>
      </c>
      <c r="C1002" t="s">
        <v>197</v>
      </c>
      <c r="D1002" t="s">
        <v>197</v>
      </c>
      <c r="E1002" t="s">
        <v>197</v>
      </c>
      <c r="F1002" t="s">
        <v>197</v>
      </c>
      <c r="G1002" t="s">
        <v>197</v>
      </c>
      <c r="H1002" t="s">
        <v>197</v>
      </c>
      <c r="I1002" t="s">
        <v>197</v>
      </c>
      <c r="J1002" t="s">
        <v>197</v>
      </c>
      <c r="K1002" t="s">
        <v>416</v>
      </c>
    </row>
    <row r="1003" spans="1:24">
      <c r="A1003" t="s">
        <v>1040</v>
      </c>
      <c r="K1003" t="s">
        <v>1041</v>
      </c>
      <c r="W1003" t="s">
        <v>171</v>
      </c>
      <c r="X1003" t="str">
        <f>A1003</f>
        <v>info_datetime2_dml_single_pk_irp</v>
      </c>
    </row>
    <row r="1004" spans="1:24">
      <c r="B1004" t="s">
        <v>196</v>
      </c>
      <c r="C1004" t="s">
        <v>197</v>
      </c>
      <c r="D1004" t="s">
        <v>197</v>
      </c>
      <c r="E1004" t="s">
        <v>197</v>
      </c>
      <c r="F1004" t="s">
        <v>197</v>
      </c>
      <c r="G1004" t="s">
        <v>197</v>
      </c>
      <c r="H1004" t="s">
        <v>197</v>
      </c>
      <c r="I1004" t="s">
        <v>1042</v>
      </c>
      <c r="J1004" t="s">
        <v>199</v>
      </c>
      <c r="K1004" t="s">
        <v>200</v>
      </c>
    </row>
    <row r="1005" spans="1:24">
      <c r="B1005" t="s">
        <v>197</v>
      </c>
      <c r="C1005" t="s">
        <v>197</v>
      </c>
      <c r="D1005" t="s">
        <v>197</v>
      </c>
      <c r="E1005" t="s">
        <v>197</v>
      </c>
      <c r="F1005" t="s">
        <v>197</v>
      </c>
      <c r="G1005" t="s">
        <v>197</v>
      </c>
      <c r="H1005" t="s">
        <v>197</v>
      </c>
      <c r="I1005" t="s">
        <v>197</v>
      </c>
      <c r="J1005" t="s">
        <v>197</v>
      </c>
      <c r="K1005" t="s">
        <v>667</v>
      </c>
    </row>
    <row r="1006" spans="1:24">
      <c r="B1006" t="s">
        <v>197</v>
      </c>
      <c r="C1006" t="s">
        <v>197</v>
      </c>
      <c r="D1006" t="s">
        <v>197</v>
      </c>
      <c r="E1006" t="s">
        <v>197</v>
      </c>
      <c r="F1006" t="s">
        <v>197</v>
      </c>
      <c r="G1006" t="s">
        <v>197</v>
      </c>
      <c r="H1006" t="s">
        <v>197</v>
      </c>
      <c r="I1006" t="s">
        <v>197</v>
      </c>
      <c r="J1006" t="s">
        <v>197</v>
      </c>
      <c r="K1006" t="s">
        <v>668</v>
      </c>
    </row>
    <row r="1007" spans="1:24">
      <c r="B1007" t="s">
        <v>197</v>
      </c>
      <c r="C1007" t="s">
        <v>197</v>
      </c>
      <c r="D1007" t="s">
        <v>197</v>
      </c>
      <c r="E1007" t="s">
        <v>197</v>
      </c>
      <c r="F1007" t="s">
        <v>197</v>
      </c>
      <c r="G1007" t="s">
        <v>197</v>
      </c>
      <c r="H1007" t="s">
        <v>197</v>
      </c>
      <c r="I1007" t="s">
        <v>197</v>
      </c>
      <c r="J1007" t="s">
        <v>197</v>
      </c>
      <c r="K1007" t="s">
        <v>669</v>
      </c>
    </row>
    <row r="1008" spans="1:24">
      <c r="B1008" t="s">
        <v>197</v>
      </c>
      <c r="C1008" t="s">
        <v>197</v>
      </c>
      <c r="D1008" t="s">
        <v>197</v>
      </c>
      <c r="E1008" t="s">
        <v>197</v>
      </c>
      <c r="F1008" t="s">
        <v>197</v>
      </c>
      <c r="G1008" t="s">
        <v>197</v>
      </c>
      <c r="H1008" t="s">
        <v>197</v>
      </c>
      <c r="I1008" t="s">
        <v>197</v>
      </c>
      <c r="J1008" t="s">
        <v>197</v>
      </c>
      <c r="K1008" t="s">
        <v>670</v>
      </c>
    </row>
    <row r="1009" spans="1:24">
      <c r="B1009" t="s">
        <v>197</v>
      </c>
      <c r="C1009" t="s">
        <v>197</v>
      </c>
      <c r="D1009" t="s">
        <v>197</v>
      </c>
      <c r="E1009" t="s">
        <v>197</v>
      </c>
      <c r="F1009" t="s">
        <v>197</v>
      </c>
      <c r="G1009" t="s">
        <v>197</v>
      </c>
      <c r="H1009" t="s">
        <v>197</v>
      </c>
      <c r="I1009" t="s">
        <v>197</v>
      </c>
      <c r="J1009" t="s">
        <v>197</v>
      </c>
      <c r="K1009" t="s">
        <v>671</v>
      </c>
    </row>
    <row r="1010" spans="1:24">
      <c r="B1010" t="s">
        <v>197</v>
      </c>
      <c r="C1010" t="s">
        <v>197</v>
      </c>
      <c r="D1010" t="s">
        <v>197</v>
      </c>
      <c r="E1010" t="s">
        <v>197</v>
      </c>
      <c r="F1010" t="s">
        <v>197</v>
      </c>
      <c r="G1010" t="s">
        <v>197</v>
      </c>
      <c r="H1010" t="s">
        <v>197</v>
      </c>
      <c r="I1010" t="s">
        <v>197</v>
      </c>
      <c r="J1010" t="s">
        <v>197</v>
      </c>
      <c r="K1010" t="s">
        <v>672</v>
      </c>
    </row>
    <row r="1011" spans="1:24">
      <c r="B1011" t="s">
        <v>197</v>
      </c>
      <c r="C1011" t="s">
        <v>197</v>
      </c>
      <c r="D1011" t="s">
        <v>197</v>
      </c>
      <c r="E1011" t="s">
        <v>197</v>
      </c>
      <c r="F1011" t="s">
        <v>197</v>
      </c>
      <c r="G1011" t="s">
        <v>197</v>
      </c>
      <c r="H1011" t="s">
        <v>197</v>
      </c>
      <c r="I1011" t="s">
        <v>197</v>
      </c>
      <c r="J1011" t="s">
        <v>197</v>
      </c>
      <c r="K1011" t="s">
        <v>673</v>
      </c>
    </row>
    <row r="1012" spans="1:24">
      <c r="B1012" t="s">
        <v>197</v>
      </c>
      <c r="C1012" t="s">
        <v>197</v>
      </c>
      <c r="D1012" t="s">
        <v>197</v>
      </c>
      <c r="E1012" t="s">
        <v>197</v>
      </c>
      <c r="F1012" t="s">
        <v>197</v>
      </c>
      <c r="G1012" t="s">
        <v>197</v>
      </c>
      <c r="H1012" t="s">
        <v>197</v>
      </c>
      <c r="I1012" t="s">
        <v>197</v>
      </c>
      <c r="J1012" t="s">
        <v>197</v>
      </c>
      <c r="K1012" t="s">
        <v>674</v>
      </c>
    </row>
    <row r="1013" spans="1:24">
      <c r="A1013" t="s">
        <v>1043</v>
      </c>
      <c r="K1013" t="s">
        <v>1044</v>
      </c>
      <c r="W1013" s="1" t="str">
        <f>HYPERLINK("#2026042000hbase2!BA2","NO 源备存在差异，共4个")</f>
        <v>NO 源备存在差异，共4个</v>
      </c>
      <c r="X1013" t="str">
        <f>A1013</f>
        <v>info_char_dml_single_pk</v>
      </c>
    </row>
    <row r="1014" spans="1:24">
      <c r="B1014" t="s">
        <v>196</v>
      </c>
      <c r="C1014" t="s">
        <v>197</v>
      </c>
      <c r="D1014" t="s">
        <v>197</v>
      </c>
      <c r="E1014" t="s">
        <v>197</v>
      </c>
      <c r="F1014" t="s">
        <v>197</v>
      </c>
      <c r="G1014" t="s">
        <v>197</v>
      </c>
      <c r="H1014" t="s">
        <v>197</v>
      </c>
      <c r="I1014" t="s">
        <v>1045</v>
      </c>
      <c r="J1014" t="s">
        <v>199</v>
      </c>
      <c r="K1014" t="s">
        <v>200</v>
      </c>
    </row>
    <row r="1015" spans="1:24">
      <c r="B1015" t="s">
        <v>197</v>
      </c>
      <c r="C1015" t="s">
        <v>197</v>
      </c>
      <c r="D1015" t="s">
        <v>197</v>
      </c>
      <c r="E1015" t="s">
        <v>197</v>
      </c>
      <c r="F1015" t="s">
        <v>197</v>
      </c>
      <c r="G1015" t="s">
        <v>197</v>
      </c>
      <c r="H1015" t="s">
        <v>197</v>
      </c>
      <c r="I1015" t="s">
        <v>197</v>
      </c>
      <c r="J1015" t="s">
        <v>197</v>
      </c>
      <c r="K1015" t="s">
        <v>622</v>
      </c>
    </row>
    <row r="1016" spans="1:24">
      <c r="B1016" t="s">
        <v>197</v>
      </c>
      <c r="C1016" t="s">
        <v>197</v>
      </c>
      <c r="D1016" t="s">
        <v>197</v>
      </c>
      <c r="E1016" t="s">
        <v>197</v>
      </c>
      <c r="F1016" t="s">
        <v>197</v>
      </c>
      <c r="G1016" t="s">
        <v>197</v>
      </c>
      <c r="H1016" t="s">
        <v>197</v>
      </c>
      <c r="I1016" t="s">
        <v>197</v>
      </c>
      <c r="J1016" t="s">
        <v>197</v>
      </c>
      <c r="K1016" t="s">
        <v>623</v>
      </c>
    </row>
    <row r="1017" spans="1:24">
      <c r="B1017" t="s">
        <v>197</v>
      </c>
      <c r="C1017" t="s">
        <v>197</v>
      </c>
      <c r="D1017" t="s">
        <v>197</v>
      </c>
      <c r="E1017" t="s">
        <v>197</v>
      </c>
      <c r="F1017" t="s">
        <v>197</v>
      </c>
      <c r="G1017" t="s">
        <v>197</v>
      </c>
      <c r="H1017" t="s">
        <v>197</v>
      </c>
      <c r="I1017" t="s">
        <v>197</v>
      </c>
      <c r="J1017" t="s">
        <v>197</v>
      </c>
      <c r="K1017" t="s">
        <v>832</v>
      </c>
    </row>
    <row r="1018" spans="1:24">
      <c r="A1018" t="s">
        <v>1046</v>
      </c>
      <c r="K1018" t="s">
        <v>1047</v>
      </c>
      <c r="W1018" s="1" t="str">
        <f>HYPERLINK("#2026042000hbase2!BB2","NO 源备存在差异，共12个")</f>
        <v>NO 源备存在差异，共12个</v>
      </c>
      <c r="X1018" t="str">
        <f>A1018</f>
        <v>info_varbinary_dml_batch1_pk_irp1</v>
      </c>
    </row>
    <row r="1019" spans="1:24">
      <c r="B1019" t="s">
        <v>196</v>
      </c>
      <c r="C1019" t="s">
        <v>197</v>
      </c>
      <c r="D1019" t="s">
        <v>197</v>
      </c>
      <c r="E1019" t="s">
        <v>197</v>
      </c>
      <c r="F1019" t="s">
        <v>197</v>
      </c>
      <c r="G1019" t="s">
        <v>197</v>
      </c>
      <c r="H1019" t="s">
        <v>197</v>
      </c>
      <c r="I1019" t="s">
        <v>1048</v>
      </c>
      <c r="J1019" t="s">
        <v>199</v>
      </c>
      <c r="K1019" t="s">
        <v>200</v>
      </c>
    </row>
    <row r="1020" spans="1:24">
      <c r="B1020" t="s">
        <v>197</v>
      </c>
      <c r="C1020" t="s">
        <v>197</v>
      </c>
      <c r="D1020" t="s">
        <v>197</v>
      </c>
      <c r="E1020" t="s">
        <v>197</v>
      </c>
      <c r="F1020" t="s">
        <v>197</v>
      </c>
      <c r="G1020" t="s">
        <v>197</v>
      </c>
      <c r="H1020" t="s">
        <v>197</v>
      </c>
      <c r="I1020" t="s">
        <v>197</v>
      </c>
      <c r="J1020" t="s">
        <v>197</v>
      </c>
      <c r="K1020" t="s">
        <v>495</v>
      </c>
    </row>
    <row r="1021" spans="1:24">
      <c r="B1021" t="s">
        <v>197</v>
      </c>
      <c r="C1021" t="s">
        <v>197</v>
      </c>
      <c r="D1021" t="s">
        <v>197</v>
      </c>
      <c r="E1021" t="s">
        <v>197</v>
      </c>
      <c r="F1021" t="s">
        <v>197</v>
      </c>
      <c r="G1021" t="s">
        <v>197</v>
      </c>
      <c r="H1021" t="s">
        <v>197</v>
      </c>
      <c r="I1021" t="s">
        <v>197</v>
      </c>
      <c r="J1021" t="s">
        <v>197</v>
      </c>
      <c r="K1021" t="s">
        <v>499</v>
      </c>
    </row>
    <row r="1022" spans="1:24">
      <c r="B1022" t="s">
        <v>197</v>
      </c>
      <c r="C1022" t="s">
        <v>197</v>
      </c>
      <c r="D1022" t="s">
        <v>197</v>
      </c>
      <c r="E1022" t="s">
        <v>197</v>
      </c>
      <c r="F1022" t="s">
        <v>197</v>
      </c>
      <c r="G1022" t="s">
        <v>197</v>
      </c>
      <c r="H1022" t="s">
        <v>197</v>
      </c>
      <c r="I1022" t="s">
        <v>197</v>
      </c>
      <c r="J1022" t="s">
        <v>197</v>
      </c>
      <c r="K1022" t="s">
        <v>503</v>
      </c>
    </row>
    <row r="1023" spans="1:24">
      <c r="A1023" t="s">
        <v>1049</v>
      </c>
      <c r="K1023" t="s">
        <v>1050</v>
      </c>
      <c r="W1023" s="1" t="str">
        <f>HYPERLINK("#2026042000hbase2!BC2","NO 源备存在差异，共8个")</f>
        <v>NO 源备存在差异，共8个</v>
      </c>
      <c r="X1023" t="str">
        <f>A1023</f>
        <v>info_geography_dml_single_pk_irp</v>
      </c>
    </row>
    <row r="1024" spans="1:24">
      <c r="B1024" t="s">
        <v>196</v>
      </c>
      <c r="C1024" t="s">
        <v>197</v>
      </c>
      <c r="D1024" t="s">
        <v>197</v>
      </c>
      <c r="E1024" t="s">
        <v>197</v>
      </c>
      <c r="F1024" t="s">
        <v>197</v>
      </c>
      <c r="G1024" t="s">
        <v>197</v>
      </c>
      <c r="H1024" t="s">
        <v>197</v>
      </c>
      <c r="I1024" t="s">
        <v>1051</v>
      </c>
      <c r="J1024" t="s">
        <v>199</v>
      </c>
      <c r="K1024" t="s">
        <v>200</v>
      </c>
    </row>
    <row r="1025" spans="1:24">
      <c r="B1025" t="s">
        <v>197</v>
      </c>
      <c r="C1025" t="s">
        <v>197</v>
      </c>
      <c r="D1025" t="s">
        <v>197</v>
      </c>
      <c r="E1025" t="s">
        <v>197</v>
      </c>
      <c r="F1025" t="s">
        <v>197</v>
      </c>
      <c r="G1025" t="s">
        <v>197</v>
      </c>
      <c r="H1025" t="s">
        <v>197</v>
      </c>
      <c r="I1025" t="s">
        <v>197</v>
      </c>
      <c r="J1025" t="s">
        <v>197</v>
      </c>
      <c r="K1025" t="s">
        <v>1052</v>
      </c>
    </row>
    <row r="1026" spans="1:24">
      <c r="A1026" t="s">
        <v>1053</v>
      </c>
      <c r="K1026" t="s">
        <v>1054</v>
      </c>
      <c r="W1026" t="s">
        <v>171</v>
      </c>
      <c r="X1026" t="str">
        <f>A1026</f>
        <v>info_varchar_dml_single_pk_irp</v>
      </c>
    </row>
    <row r="1027" spans="1:24">
      <c r="B1027" t="s">
        <v>196</v>
      </c>
      <c r="C1027" t="s">
        <v>197</v>
      </c>
      <c r="D1027" t="s">
        <v>197</v>
      </c>
      <c r="E1027" t="s">
        <v>197</v>
      </c>
      <c r="F1027" t="s">
        <v>197</v>
      </c>
      <c r="G1027" t="s">
        <v>197</v>
      </c>
      <c r="H1027" t="s">
        <v>197</v>
      </c>
      <c r="I1027" t="s">
        <v>1055</v>
      </c>
      <c r="J1027" t="s">
        <v>199</v>
      </c>
      <c r="K1027" t="s">
        <v>200</v>
      </c>
    </row>
    <row r="1028" spans="1:24">
      <c r="B1028" t="s">
        <v>197</v>
      </c>
      <c r="C1028" t="s">
        <v>197</v>
      </c>
      <c r="D1028" t="s">
        <v>197</v>
      </c>
      <c r="E1028" t="s">
        <v>197</v>
      </c>
      <c r="F1028" t="s">
        <v>197</v>
      </c>
      <c r="G1028" t="s">
        <v>197</v>
      </c>
      <c r="H1028" t="s">
        <v>197</v>
      </c>
      <c r="I1028" t="s">
        <v>197</v>
      </c>
      <c r="J1028" t="s">
        <v>197</v>
      </c>
      <c r="K1028" t="s">
        <v>431</v>
      </c>
    </row>
    <row r="1029" spans="1:24">
      <c r="B1029" t="s">
        <v>197</v>
      </c>
      <c r="C1029" t="s">
        <v>197</v>
      </c>
      <c r="D1029" t="s">
        <v>197</v>
      </c>
      <c r="E1029" t="s">
        <v>197</v>
      </c>
      <c r="F1029" t="s">
        <v>197</v>
      </c>
      <c r="G1029" t="s">
        <v>197</v>
      </c>
      <c r="H1029" t="s">
        <v>197</v>
      </c>
      <c r="I1029" t="s">
        <v>197</v>
      </c>
      <c r="J1029" t="s">
        <v>197</v>
      </c>
      <c r="K1029" t="s">
        <v>1056</v>
      </c>
    </row>
    <row r="1030" spans="1:24">
      <c r="B1030" t="s">
        <v>197</v>
      </c>
      <c r="C1030" t="s">
        <v>197</v>
      </c>
      <c r="D1030" t="s">
        <v>197</v>
      </c>
      <c r="E1030" t="s">
        <v>197</v>
      </c>
      <c r="F1030" t="s">
        <v>197</v>
      </c>
      <c r="G1030" t="s">
        <v>197</v>
      </c>
      <c r="H1030" t="s">
        <v>197</v>
      </c>
      <c r="I1030" t="s">
        <v>197</v>
      </c>
      <c r="J1030" t="s">
        <v>197</v>
      </c>
      <c r="K1030" t="s">
        <v>963</v>
      </c>
    </row>
    <row r="1031" spans="1:24">
      <c r="A1031" t="s">
        <v>1057</v>
      </c>
      <c r="K1031" t="s">
        <v>1058</v>
      </c>
      <c r="W1031" t="s">
        <v>171</v>
      </c>
      <c r="X1031" t="str">
        <f>A1031</f>
        <v>info_time_dml_batch2_pk_irp1</v>
      </c>
    </row>
    <row r="1032" spans="1:24">
      <c r="B1032" t="s">
        <v>196</v>
      </c>
      <c r="C1032" t="s">
        <v>197</v>
      </c>
      <c r="D1032" t="s">
        <v>197</v>
      </c>
      <c r="E1032" t="s">
        <v>197</v>
      </c>
      <c r="F1032" t="s">
        <v>197</v>
      </c>
      <c r="G1032" t="s">
        <v>197</v>
      </c>
      <c r="H1032" t="s">
        <v>197</v>
      </c>
      <c r="I1032" t="s">
        <v>1059</v>
      </c>
      <c r="J1032" t="s">
        <v>199</v>
      </c>
      <c r="K1032" t="s">
        <v>200</v>
      </c>
    </row>
    <row r="1033" spans="1:24">
      <c r="B1033" t="s">
        <v>197</v>
      </c>
      <c r="C1033" t="s">
        <v>197</v>
      </c>
      <c r="D1033" t="s">
        <v>197</v>
      </c>
      <c r="E1033" t="s">
        <v>197</v>
      </c>
      <c r="F1033" t="s">
        <v>197</v>
      </c>
      <c r="G1033" t="s">
        <v>197</v>
      </c>
      <c r="H1033" t="s">
        <v>197</v>
      </c>
      <c r="I1033" t="s">
        <v>197</v>
      </c>
      <c r="J1033" t="s">
        <v>197</v>
      </c>
      <c r="K1033" t="s">
        <v>800</v>
      </c>
    </row>
    <row r="1034" spans="1:24">
      <c r="B1034" t="s">
        <v>197</v>
      </c>
      <c r="C1034" t="s">
        <v>197</v>
      </c>
      <c r="D1034" t="s">
        <v>197</v>
      </c>
      <c r="E1034" t="s">
        <v>197</v>
      </c>
      <c r="F1034" t="s">
        <v>197</v>
      </c>
      <c r="G1034" t="s">
        <v>197</v>
      </c>
      <c r="H1034" t="s">
        <v>197</v>
      </c>
      <c r="I1034" t="s">
        <v>197</v>
      </c>
      <c r="J1034" t="s">
        <v>197</v>
      </c>
      <c r="K1034" t="s">
        <v>801</v>
      </c>
    </row>
    <row r="1035" spans="1:24">
      <c r="B1035" t="s">
        <v>197</v>
      </c>
      <c r="C1035" t="s">
        <v>197</v>
      </c>
      <c r="D1035" t="s">
        <v>197</v>
      </c>
      <c r="E1035" t="s">
        <v>197</v>
      </c>
      <c r="F1035" t="s">
        <v>197</v>
      </c>
      <c r="G1035" t="s">
        <v>197</v>
      </c>
      <c r="H1035" t="s">
        <v>197</v>
      </c>
      <c r="I1035" t="s">
        <v>197</v>
      </c>
      <c r="J1035" t="s">
        <v>197</v>
      </c>
      <c r="K1035" t="s">
        <v>802</v>
      </c>
    </row>
    <row r="1036" spans="1:24">
      <c r="B1036" t="s">
        <v>197</v>
      </c>
      <c r="C1036" t="s">
        <v>197</v>
      </c>
      <c r="D1036" t="s">
        <v>197</v>
      </c>
      <c r="E1036" t="s">
        <v>197</v>
      </c>
      <c r="F1036" t="s">
        <v>197</v>
      </c>
      <c r="G1036" t="s">
        <v>197</v>
      </c>
      <c r="H1036" t="s">
        <v>197</v>
      </c>
      <c r="I1036" t="s">
        <v>197</v>
      </c>
      <c r="J1036" t="s">
        <v>197</v>
      </c>
      <c r="K1036" t="s">
        <v>803</v>
      </c>
    </row>
    <row r="1037" spans="1:24">
      <c r="B1037" t="s">
        <v>197</v>
      </c>
      <c r="C1037" t="s">
        <v>197</v>
      </c>
      <c r="D1037" t="s">
        <v>197</v>
      </c>
      <c r="E1037" t="s">
        <v>197</v>
      </c>
      <c r="F1037" t="s">
        <v>197</v>
      </c>
      <c r="G1037" t="s">
        <v>197</v>
      </c>
      <c r="H1037" t="s">
        <v>197</v>
      </c>
      <c r="I1037" t="s">
        <v>197</v>
      </c>
      <c r="J1037" t="s">
        <v>197</v>
      </c>
      <c r="K1037" t="s">
        <v>804</v>
      </c>
    </row>
    <row r="1038" spans="1:24">
      <c r="B1038" t="s">
        <v>197</v>
      </c>
      <c r="C1038" t="s">
        <v>197</v>
      </c>
      <c r="D1038" t="s">
        <v>197</v>
      </c>
      <c r="E1038" t="s">
        <v>197</v>
      </c>
      <c r="F1038" t="s">
        <v>197</v>
      </c>
      <c r="G1038" t="s">
        <v>197</v>
      </c>
      <c r="H1038" t="s">
        <v>197</v>
      </c>
      <c r="I1038" t="s">
        <v>197</v>
      </c>
      <c r="J1038" t="s">
        <v>197</v>
      </c>
      <c r="K1038" t="s">
        <v>805</v>
      </c>
    </row>
    <row r="1039" spans="1:24">
      <c r="B1039" t="s">
        <v>197</v>
      </c>
      <c r="C1039" t="s">
        <v>197</v>
      </c>
      <c r="D1039" t="s">
        <v>197</v>
      </c>
      <c r="E1039" t="s">
        <v>197</v>
      </c>
      <c r="F1039" t="s">
        <v>197</v>
      </c>
      <c r="G1039" t="s">
        <v>197</v>
      </c>
      <c r="H1039" t="s">
        <v>197</v>
      </c>
      <c r="I1039" t="s">
        <v>197</v>
      </c>
      <c r="J1039" t="s">
        <v>197</v>
      </c>
      <c r="K1039" t="s">
        <v>806</v>
      </c>
    </row>
    <row r="1040" spans="1:24">
      <c r="B1040" t="s">
        <v>197</v>
      </c>
      <c r="C1040" t="s">
        <v>197</v>
      </c>
      <c r="D1040" t="s">
        <v>197</v>
      </c>
      <c r="E1040" t="s">
        <v>197</v>
      </c>
      <c r="F1040" t="s">
        <v>197</v>
      </c>
      <c r="G1040" t="s">
        <v>197</v>
      </c>
      <c r="H1040" t="s">
        <v>197</v>
      </c>
      <c r="I1040" t="s">
        <v>197</v>
      </c>
      <c r="J1040" t="s">
        <v>197</v>
      </c>
      <c r="K1040" t="s">
        <v>807</v>
      </c>
    </row>
    <row r="1041" spans="1:24">
      <c r="A1041" t="s">
        <v>1060</v>
      </c>
      <c r="K1041" t="s">
        <v>1061</v>
      </c>
      <c r="W1041" t="s">
        <v>171</v>
      </c>
      <c r="X1041" t="str">
        <f>A1041</f>
        <v>info_varchar_dml_batch2_pk_irp1</v>
      </c>
    </row>
    <row r="1042" spans="1:24">
      <c r="B1042" t="s">
        <v>196</v>
      </c>
      <c r="C1042" t="s">
        <v>197</v>
      </c>
      <c r="D1042" t="s">
        <v>197</v>
      </c>
      <c r="E1042" t="s">
        <v>197</v>
      </c>
      <c r="F1042" t="s">
        <v>197</v>
      </c>
      <c r="G1042" t="s">
        <v>197</v>
      </c>
      <c r="H1042" t="s">
        <v>197</v>
      </c>
      <c r="I1042" t="s">
        <v>1062</v>
      </c>
      <c r="J1042" t="s">
        <v>199</v>
      </c>
      <c r="K1042" t="s">
        <v>200</v>
      </c>
    </row>
    <row r="1043" spans="1:24">
      <c r="B1043" t="s">
        <v>197</v>
      </c>
      <c r="C1043" t="s">
        <v>197</v>
      </c>
      <c r="D1043" t="s">
        <v>197</v>
      </c>
      <c r="E1043" t="s">
        <v>197</v>
      </c>
      <c r="F1043" t="s">
        <v>197</v>
      </c>
      <c r="G1043" t="s">
        <v>197</v>
      </c>
      <c r="H1043" t="s">
        <v>197</v>
      </c>
      <c r="I1043" t="s">
        <v>197</v>
      </c>
      <c r="J1043" t="s">
        <v>197</v>
      </c>
      <c r="K1043" t="s">
        <v>431</v>
      </c>
    </row>
    <row r="1044" spans="1:24">
      <c r="B1044" t="s">
        <v>197</v>
      </c>
      <c r="C1044" t="s">
        <v>197</v>
      </c>
      <c r="D1044" t="s">
        <v>197</v>
      </c>
      <c r="E1044" t="s">
        <v>197</v>
      </c>
      <c r="F1044" t="s">
        <v>197</v>
      </c>
      <c r="G1044" t="s">
        <v>197</v>
      </c>
      <c r="H1044" t="s">
        <v>197</v>
      </c>
      <c r="I1044" t="s">
        <v>197</v>
      </c>
      <c r="J1044" t="s">
        <v>197</v>
      </c>
      <c r="K1044" t="s">
        <v>434</v>
      </c>
    </row>
    <row r="1045" spans="1:24">
      <c r="B1045" t="s">
        <v>197</v>
      </c>
      <c r="C1045" t="s">
        <v>197</v>
      </c>
      <c r="D1045" t="s">
        <v>197</v>
      </c>
      <c r="E1045" t="s">
        <v>197</v>
      </c>
      <c r="F1045" t="s">
        <v>197</v>
      </c>
      <c r="G1045" t="s">
        <v>197</v>
      </c>
      <c r="H1045" t="s">
        <v>197</v>
      </c>
      <c r="I1045" t="s">
        <v>197</v>
      </c>
      <c r="J1045" t="s">
        <v>197</v>
      </c>
      <c r="K1045" t="s">
        <v>963</v>
      </c>
    </row>
    <row r="1046" spans="1:24">
      <c r="K1046" t="s">
        <v>443</v>
      </c>
    </row>
    <row r="1047" spans="1:24">
      <c r="A1047" t="s">
        <v>1063</v>
      </c>
      <c r="K1047" t="s">
        <v>1064</v>
      </c>
      <c r="W1047" s="1" t="str">
        <f>HYPERLINK("#2026042000hbase2!BD2","NO 源备存在差异，共44个")</f>
        <v>NO 源备存在差异，共44个</v>
      </c>
      <c r="X1047" t="str">
        <f>A1047</f>
        <v>info_varbinary_dml_batch1_pk_irp2</v>
      </c>
    </row>
    <row r="1048" spans="1:24">
      <c r="B1048" t="s">
        <v>196</v>
      </c>
      <c r="C1048" t="s">
        <v>197</v>
      </c>
      <c r="D1048" t="s">
        <v>197</v>
      </c>
      <c r="E1048" t="s">
        <v>197</v>
      </c>
      <c r="F1048" t="s">
        <v>197</v>
      </c>
      <c r="G1048" t="s">
        <v>197</v>
      </c>
      <c r="H1048" t="s">
        <v>197</v>
      </c>
      <c r="I1048" t="s">
        <v>1065</v>
      </c>
      <c r="J1048" t="s">
        <v>199</v>
      </c>
      <c r="K1048" t="s">
        <v>200</v>
      </c>
    </row>
    <row r="1049" spans="1:24">
      <c r="B1049" t="s">
        <v>197</v>
      </c>
      <c r="C1049" t="s">
        <v>197</v>
      </c>
      <c r="D1049" t="s">
        <v>197</v>
      </c>
      <c r="E1049" t="s">
        <v>197</v>
      </c>
      <c r="F1049" t="s">
        <v>197</v>
      </c>
      <c r="G1049" t="s">
        <v>197</v>
      </c>
      <c r="H1049" t="s">
        <v>197</v>
      </c>
      <c r="I1049" t="s">
        <v>197</v>
      </c>
      <c r="J1049" t="s">
        <v>197</v>
      </c>
      <c r="K1049" t="s">
        <v>495</v>
      </c>
    </row>
    <row r="1050" spans="1:24">
      <c r="B1050" t="s">
        <v>197</v>
      </c>
      <c r="C1050" t="s">
        <v>197</v>
      </c>
      <c r="D1050" t="s">
        <v>197</v>
      </c>
      <c r="E1050" t="s">
        <v>197</v>
      </c>
      <c r="F1050" t="s">
        <v>197</v>
      </c>
      <c r="G1050" t="s">
        <v>197</v>
      </c>
      <c r="H1050" t="s">
        <v>197</v>
      </c>
      <c r="I1050" t="s">
        <v>197</v>
      </c>
      <c r="J1050" t="s">
        <v>197</v>
      </c>
      <c r="K1050" t="s">
        <v>499</v>
      </c>
    </row>
    <row r="1051" spans="1:24">
      <c r="B1051" t="s">
        <v>197</v>
      </c>
      <c r="C1051" t="s">
        <v>197</v>
      </c>
      <c r="D1051" t="s">
        <v>197</v>
      </c>
      <c r="E1051" t="s">
        <v>197</v>
      </c>
      <c r="F1051" t="s">
        <v>197</v>
      </c>
      <c r="G1051" t="s">
        <v>197</v>
      </c>
      <c r="H1051" t="s">
        <v>197</v>
      </c>
      <c r="I1051" t="s">
        <v>197</v>
      </c>
      <c r="J1051" t="s">
        <v>197</v>
      </c>
      <c r="K1051" t="s">
        <v>503</v>
      </c>
    </row>
    <row r="1052" spans="1:24">
      <c r="A1052" t="s">
        <v>1066</v>
      </c>
      <c r="K1052" t="s">
        <v>1067</v>
      </c>
      <c r="W1052" s="1" t="str">
        <f>HYPERLINK("#2026042000hbase2!BE2","NO 源备存在差异，共4个")</f>
        <v>NO 源备存在差异，共4个</v>
      </c>
      <c r="X1052" t="str">
        <f>A1052</f>
        <v>info_sql_variant_dml_single_pk_urp</v>
      </c>
    </row>
    <row r="1053" spans="1:24">
      <c r="B1053" t="s">
        <v>196</v>
      </c>
      <c r="C1053" t="s">
        <v>197</v>
      </c>
      <c r="D1053" t="s">
        <v>197</v>
      </c>
      <c r="E1053" t="s">
        <v>197</v>
      </c>
      <c r="F1053" t="s">
        <v>197</v>
      </c>
      <c r="G1053" t="s">
        <v>197</v>
      </c>
      <c r="H1053" t="s">
        <v>197</v>
      </c>
      <c r="I1053" t="s">
        <v>1068</v>
      </c>
      <c r="J1053" t="s">
        <v>199</v>
      </c>
      <c r="K1053" t="s">
        <v>200</v>
      </c>
    </row>
    <row r="1054" spans="1:24">
      <c r="B1054" t="s">
        <v>197</v>
      </c>
      <c r="C1054" t="s">
        <v>197</v>
      </c>
      <c r="D1054" t="s">
        <v>197</v>
      </c>
      <c r="E1054" t="s">
        <v>197</v>
      </c>
      <c r="F1054" t="s">
        <v>197</v>
      </c>
      <c r="G1054" t="s">
        <v>197</v>
      </c>
      <c r="H1054" t="s">
        <v>197</v>
      </c>
      <c r="I1054" t="s">
        <v>197</v>
      </c>
      <c r="J1054" t="s">
        <v>197</v>
      </c>
      <c r="K1054" t="s">
        <v>1006</v>
      </c>
    </row>
    <row r="1055" spans="1:24">
      <c r="B1055" t="s">
        <v>197</v>
      </c>
      <c r="C1055" t="s">
        <v>197</v>
      </c>
      <c r="D1055" t="s">
        <v>197</v>
      </c>
      <c r="E1055" t="s">
        <v>197</v>
      </c>
      <c r="F1055" t="s">
        <v>197</v>
      </c>
      <c r="G1055" t="s">
        <v>197</v>
      </c>
      <c r="H1055" t="s">
        <v>197</v>
      </c>
      <c r="I1055" t="s">
        <v>197</v>
      </c>
      <c r="J1055" t="s">
        <v>197</v>
      </c>
      <c r="K1055" t="s">
        <v>1007</v>
      </c>
    </row>
    <row r="1056" spans="1:24">
      <c r="B1056" t="s">
        <v>197</v>
      </c>
      <c r="C1056" t="s">
        <v>197</v>
      </c>
      <c r="D1056" t="s">
        <v>197</v>
      </c>
      <c r="E1056" t="s">
        <v>197</v>
      </c>
      <c r="F1056" t="s">
        <v>197</v>
      </c>
      <c r="G1056" t="s">
        <v>197</v>
      </c>
      <c r="H1056" t="s">
        <v>197</v>
      </c>
      <c r="I1056" t="s">
        <v>197</v>
      </c>
      <c r="J1056" t="s">
        <v>197</v>
      </c>
      <c r="K1056" t="s">
        <v>1008</v>
      </c>
    </row>
    <row r="1057" spans="2:11">
      <c r="B1057" t="s">
        <v>197</v>
      </c>
      <c r="C1057" t="s">
        <v>197</v>
      </c>
      <c r="D1057" t="s">
        <v>197</v>
      </c>
      <c r="E1057" t="s">
        <v>197</v>
      </c>
      <c r="F1057" t="s">
        <v>197</v>
      </c>
      <c r="G1057" t="s">
        <v>197</v>
      </c>
      <c r="H1057" t="s">
        <v>197</v>
      </c>
      <c r="I1057" t="s">
        <v>197</v>
      </c>
      <c r="J1057" t="s">
        <v>197</v>
      </c>
      <c r="K1057" t="s">
        <v>1009</v>
      </c>
    </row>
    <row r="1058" spans="2:11">
      <c r="B1058" t="s">
        <v>197</v>
      </c>
      <c r="C1058" t="s">
        <v>197</v>
      </c>
      <c r="D1058" t="s">
        <v>197</v>
      </c>
      <c r="E1058" t="s">
        <v>197</v>
      </c>
      <c r="F1058" t="s">
        <v>197</v>
      </c>
      <c r="G1058" t="s">
        <v>197</v>
      </c>
      <c r="H1058" t="s">
        <v>197</v>
      </c>
      <c r="I1058" t="s">
        <v>197</v>
      </c>
      <c r="J1058" t="s">
        <v>197</v>
      </c>
      <c r="K1058" t="s">
        <v>1010</v>
      </c>
    </row>
    <row r="1059" spans="2:11">
      <c r="B1059" t="s">
        <v>197</v>
      </c>
      <c r="C1059" t="s">
        <v>197</v>
      </c>
      <c r="D1059" t="s">
        <v>197</v>
      </c>
      <c r="E1059" t="s">
        <v>197</v>
      </c>
      <c r="F1059" t="s">
        <v>197</v>
      </c>
      <c r="G1059" t="s">
        <v>197</v>
      </c>
      <c r="H1059" t="s">
        <v>197</v>
      </c>
      <c r="I1059" t="s">
        <v>197</v>
      </c>
      <c r="J1059" t="s">
        <v>197</v>
      </c>
      <c r="K1059" t="s">
        <v>1011</v>
      </c>
    </row>
    <row r="1060" spans="2:11">
      <c r="B1060" t="s">
        <v>197</v>
      </c>
      <c r="C1060" t="s">
        <v>197</v>
      </c>
      <c r="D1060" t="s">
        <v>197</v>
      </c>
      <c r="E1060" t="s">
        <v>197</v>
      </c>
      <c r="F1060" t="s">
        <v>197</v>
      </c>
      <c r="G1060" t="s">
        <v>197</v>
      </c>
      <c r="H1060" t="s">
        <v>197</v>
      </c>
      <c r="I1060" t="s">
        <v>197</v>
      </c>
      <c r="J1060" t="s">
        <v>197</v>
      </c>
      <c r="K1060" t="s">
        <v>1012</v>
      </c>
    </row>
    <row r="1061" spans="2:11">
      <c r="B1061" t="s">
        <v>197</v>
      </c>
      <c r="C1061" t="s">
        <v>197</v>
      </c>
      <c r="D1061" t="s">
        <v>197</v>
      </c>
      <c r="E1061" t="s">
        <v>197</v>
      </c>
      <c r="F1061" t="s">
        <v>197</v>
      </c>
      <c r="G1061" t="s">
        <v>197</v>
      </c>
      <c r="H1061" t="s">
        <v>197</v>
      </c>
      <c r="I1061" t="s">
        <v>197</v>
      </c>
      <c r="J1061" t="s">
        <v>197</v>
      </c>
      <c r="K1061" t="s">
        <v>1013</v>
      </c>
    </row>
    <row r="1062" spans="2:11">
      <c r="B1062" t="s">
        <v>197</v>
      </c>
      <c r="C1062" t="s">
        <v>197</v>
      </c>
      <c r="D1062" t="s">
        <v>197</v>
      </c>
      <c r="E1062" t="s">
        <v>197</v>
      </c>
      <c r="F1062" t="s">
        <v>197</v>
      </c>
      <c r="G1062" t="s">
        <v>197</v>
      </c>
      <c r="H1062" t="s">
        <v>197</v>
      </c>
      <c r="I1062" t="s">
        <v>197</v>
      </c>
      <c r="J1062" t="s">
        <v>197</v>
      </c>
      <c r="K1062" t="s">
        <v>1014</v>
      </c>
    </row>
    <row r="1063" spans="2:11">
      <c r="B1063" t="s">
        <v>197</v>
      </c>
      <c r="C1063" t="s">
        <v>197</v>
      </c>
      <c r="D1063" t="s">
        <v>197</v>
      </c>
      <c r="E1063" t="s">
        <v>197</v>
      </c>
      <c r="F1063" t="s">
        <v>197</v>
      </c>
      <c r="G1063" t="s">
        <v>197</v>
      </c>
      <c r="H1063" t="s">
        <v>197</v>
      </c>
      <c r="I1063" t="s">
        <v>197</v>
      </c>
      <c r="J1063" t="s">
        <v>197</v>
      </c>
      <c r="K1063" t="s">
        <v>1015</v>
      </c>
    </row>
    <row r="1064" spans="2:11">
      <c r="B1064" t="s">
        <v>197</v>
      </c>
      <c r="C1064" t="s">
        <v>197</v>
      </c>
      <c r="D1064" t="s">
        <v>197</v>
      </c>
      <c r="E1064" t="s">
        <v>197</v>
      </c>
      <c r="F1064" t="s">
        <v>197</v>
      </c>
      <c r="G1064" t="s">
        <v>197</v>
      </c>
      <c r="H1064" t="s">
        <v>197</v>
      </c>
      <c r="I1064" t="s">
        <v>197</v>
      </c>
      <c r="J1064" t="s">
        <v>197</v>
      </c>
      <c r="K1064" t="s">
        <v>1016</v>
      </c>
    </row>
    <row r="1065" spans="2:11">
      <c r="B1065" t="s">
        <v>197</v>
      </c>
      <c r="C1065" t="s">
        <v>197</v>
      </c>
      <c r="D1065" t="s">
        <v>197</v>
      </c>
      <c r="E1065" t="s">
        <v>197</v>
      </c>
      <c r="F1065" t="s">
        <v>197</v>
      </c>
      <c r="G1065" t="s">
        <v>197</v>
      </c>
      <c r="H1065" t="s">
        <v>197</v>
      </c>
      <c r="I1065" t="s">
        <v>197</v>
      </c>
      <c r="J1065" t="s">
        <v>197</v>
      </c>
      <c r="K1065" t="s">
        <v>1017</v>
      </c>
    </row>
    <row r="1066" spans="2:11">
      <c r="B1066" t="s">
        <v>197</v>
      </c>
      <c r="C1066" t="s">
        <v>197</v>
      </c>
      <c r="D1066" t="s">
        <v>197</v>
      </c>
      <c r="E1066" t="s">
        <v>197</v>
      </c>
      <c r="F1066" t="s">
        <v>197</v>
      </c>
      <c r="G1066" t="s">
        <v>197</v>
      </c>
      <c r="H1066" t="s">
        <v>197</v>
      </c>
      <c r="I1066" t="s">
        <v>197</v>
      </c>
      <c r="J1066" t="s">
        <v>197</v>
      </c>
      <c r="K1066" t="s">
        <v>1018</v>
      </c>
    </row>
    <row r="1067" spans="2:11">
      <c r="B1067" t="s">
        <v>197</v>
      </c>
      <c r="C1067" t="s">
        <v>197</v>
      </c>
      <c r="D1067" t="s">
        <v>197</v>
      </c>
      <c r="E1067" t="s">
        <v>197</v>
      </c>
      <c r="F1067" t="s">
        <v>197</v>
      </c>
      <c r="G1067" t="s">
        <v>197</v>
      </c>
      <c r="H1067" t="s">
        <v>197</v>
      </c>
      <c r="I1067" t="s">
        <v>197</v>
      </c>
      <c r="J1067" t="s">
        <v>197</v>
      </c>
      <c r="K1067" t="s">
        <v>1019</v>
      </c>
    </row>
    <row r="1068" spans="2:11">
      <c r="B1068" t="s">
        <v>197</v>
      </c>
      <c r="C1068" t="s">
        <v>197</v>
      </c>
      <c r="D1068" t="s">
        <v>197</v>
      </c>
      <c r="E1068" t="s">
        <v>197</v>
      </c>
      <c r="F1068" t="s">
        <v>197</v>
      </c>
      <c r="G1068" t="s">
        <v>197</v>
      </c>
      <c r="H1068" t="s">
        <v>197</v>
      </c>
      <c r="I1068" t="s">
        <v>197</v>
      </c>
      <c r="J1068" t="s">
        <v>197</v>
      </c>
      <c r="K1068" t="s">
        <v>1020</v>
      </c>
    </row>
    <row r="1069" spans="2:11">
      <c r="B1069" t="s">
        <v>197</v>
      </c>
      <c r="C1069" t="s">
        <v>197</v>
      </c>
      <c r="D1069" t="s">
        <v>197</v>
      </c>
      <c r="E1069" t="s">
        <v>197</v>
      </c>
      <c r="F1069" t="s">
        <v>197</v>
      </c>
      <c r="G1069" t="s">
        <v>197</v>
      </c>
      <c r="H1069" t="s">
        <v>197</v>
      </c>
      <c r="I1069" t="s">
        <v>197</v>
      </c>
      <c r="J1069" t="s">
        <v>197</v>
      </c>
      <c r="K1069" t="s">
        <v>1021</v>
      </c>
    </row>
    <row r="1070" spans="2:11">
      <c r="B1070" t="s">
        <v>197</v>
      </c>
      <c r="C1070" t="s">
        <v>197</v>
      </c>
      <c r="D1070" t="s">
        <v>197</v>
      </c>
      <c r="E1070" t="s">
        <v>197</v>
      </c>
      <c r="F1070" t="s">
        <v>197</v>
      </c>
      <c r="G1070" t="s">
        <v>197</v>
      </c>
      <c r="H1070" t="s">
        <v>197</v>
      </c>
      <c r="I1070" t="s">
        <v>197</v>
      </c>
      <c r="J1070" t="s">
        <v>197</v>
      </c>
      <c r="K1070" t="s">
        <v>1022</v>
      </c>
    </row>
    <row r="1071" spans="2:11">
      <c r="B1071" t="s">
        <v>197</v>
      </c>
      <c r="C1071" t="s">
        <v>197</v>
      </c>
      <c r="D1071" t="s">
        <v>197</v>
      </c>
      <c r="E1071" t="s">
        <v>197</v>
      </c>
      <c r="F1071" t="s">
        <v>197</v>
      </c>
      <c r="G1071" t="s">
        <v>197</v>
      </c>
      <c r="H1071" t="s">
        <v>197</v>
      </c>
      <c r="I1071" t="s">
        <v>197</v>
      </c>
      <c r="J1071" t="s">
        <v>197</v>
      </c>
      <c r="K1071" t="s">
        <v>1023</v>
      </c>
    </row>
    <row r="1072" spans="2:11">
      <c r="B1072" t="s">
        <v>197</v>
      </c>
      <c r="C1072" t="s">
        <v>197</v>
      </c>
      <c r="D1072" t="s">
        <v>197</v>
      </c>
      <c r="E1072" t="s">
        <v>197</v>
      </c>
      <c r="F1072" t="s">
        <v>197</v>
      </c>
      <c r="G1072" t="s">
        <v>197</v>
      </c>
      <c r="H1072" t="s">
        <v>197</v>
      </c>
      <c r="I1072" t="s">
        <v>197</v>
      </c>
      <c r="J1072" t="s">
        <v>197</v>
      </c>
      <c r="K1072" t="s">
        <v>1024</v>
      </c>
    </row>
    <row r="1073" spans="1:24">
      <c r="B1073" t="s">
        <v>197</v>
      </c>
      <c r="C1073" t="s">
        <v>197</v>
      </c>
      <c r="D1073" t="s">
        <v>197</v>
      </c>
      <c r="E1073" t="s">
        <v>197</v>
      </c>
      <c r="F1073" t="s">
        <v>197</v>
      </c>
      <c r="G1073" t="s">
        <v>197</v>
      </c>
      <c r="H1073" t="s">
        <v>197</v>
      </c>
      <c r="I1073" t="s">
        <v>197</v>
      </c>
      <c r="J1073" t="s">
        <v>197</v>
      </c>
      <c r="K1073" t="s">
        <v>1025</v>
      </c>
    </row>
    <row r="1074" spans="1:24">
      <c r="B1074" t="s">
        <v>197</v>
      </c>
      <c r="C1074" t="s">
        <v>197</v>
      </c>
      <c r="D1074" t="s">
        <v>197</v>
      </c>
      <c r="E1074" t="s">
        <v>197</v>
      </c>
      <c r="F1074" t="s">
        <v>197</v>
      </c>
      <c r="G1074" t="s">
        <v>197</v>
      </c>
      <c r="H1074" t="s">
        <v>197</v>
      </c>
      <c r="I1074" t="s">
        <v>197</v>
      </c>
      <c r="J1074" t="s">
        <v>197</v>
      </c>
      <c r="K1074" t="s">
        <v>1026</v>
      </c>
    </row>
    <row r="1075" spans="1:24">
      <c r="B1075" t="s">
        <v>197</v>
      </c>
      <c r="C1075" t="s">
        <v>197</v>
      </c>
      <c r="D1075" t="s">
        <v>197</v>
      </c>
      <c r="E1075" t="s">
        <v>197</v>
      </c>
      <c r="F1075" t="s">
        <v>197</v>
      </c>
      <c r="G1075" t="s">
        <v>197</v>
      </c>
      <c r="H1075" t="s">
        <v>197</v>
      </c>
      <c r="I1075" t="s">
        <v>197</v>
      </c>
      <c r="J1075" t="s">
        <v>197</v>
      </c>
      <c r="K1075" t="s">
        <v>1027</v>
      </c>
    </row>
    <row r="1076" spans="1:24">
      <c r="B1076" t="s">
        <v>197</v>
      </c>
      <c r="C1076" t="s">
        <v>197</v>
      </c>
      <c r="D1076" t="s">
        <v>197</v>
      </c>
      <c r="E1076" t="s">
        <v>197</v>
      </c>
      <c r="F1076" t="s">
        <v>197</v>
      </c>
      <c r="G1076" t="s">
        <v>197</v>
      </c>
      <c r="H1076" t="s">
        <v>197</v>
      </c>
      <c r="I1076" t="s">
        <v>197</v>
      </c>
      <c r="J1076" t="s">
        <v>197</v>
      </c>
      <c r="K1076" t="s">
        <v>1028</v>
      </c>
    </row>
    <row r="1077" spans="1:24">
      <c r="B1077" t="s">
        <v>197</v>
      </c>
      <c r="C1077" t="s">
        <v>197</v>
      </c>
      <c r="D1077" t="s">
        <v>197</v>
      </c>
      <c r="E1077" t="s">
        <v>197</v>
      </c>
      <c r="F1077" t="s">
        <v>197</v>
      </c>
      <c r="G1077" t="s">
        <v>197</v>
      </c>
      <c r="H1077" t="s">
        <v>197</v>
      </c>
      <c r="I1077" t="s">
        <v>197</v>
      </c>
      <c r="J1077" t="s">
        <v>197</v>
      </c>
      <c r="K1077" t="s">
        <v>1029</v>
      </c>
    </row>
    <row r="1078" spans="1:24">
      <c r="A1078" t="s">
        <v>1069</v>
      </c>
      <c r="K1078" t="s">
        <v>1070</v>
      </c>
      <c r="W1078" t="s">
        <v>171</v>
      </c>
      <c r="X1078" t="str">
        <f>A1078</f>
        <v>info_varchar_dml_batch2_pk_irp2</v>
      </c>
    </row>
    <row r="1079" spans="1:24">
      <c r="B1079" t="s">
        <v>196</v>
      </c>
      <c r="C1079" t="s">
        <v>197</v>
      </c>
      <c r="D1079" t="s">
        <v>197</v>
      </c>
      <c r="E1079" t="s">
        <v>197</v>
      </c>
      <c r="F1079" t="s">
        <v>197</v>
      </c>
      <c r="G1079" t="s">
        <v>197</v>
      </c>
      <c r="H1079" t="s">
        <v>197</v>
      </c>
      <c r="I1079" t="s">
        <v>1071</v>
      </c>
      <c r="J1079" t="s">
        <v>199</v>
      </c>
      <c r="K1079" t="s">
        <v>200</v>
      </c>
    </row>
    <row r="1080" spans="1:24">
      <c r="B1080" t="s">
        <v>197</v>
      </c>
      <c r="C1080" t="s">
        <v>197</v>
      </c>
      <c r="D1080" t="s">
        <v>197</v>
      </c>
      <c r="E1080" t="s">
        <v>197</v>
      </c>
      <c r="F1080" t="s">
        <v>197</v>
      </c>
      <c r="G1080" t="s">
        <v>197</v>
      </c>
      <c r="H1080" t="s">
        <v>197</v>
      </c>
      <c r="I1080" t="s">
        <v>197</v>
      </c>
      <c r="J1080" t="s">
        <v>197</v>
      </c>
      <c r="K1080" t="s">
        <v>431</v>
      </c>
    </row>
    <row r="1081" spans="1:24">
      <c r="B1081" t="s">
        <v>197</v>
      </c>
      <c r="C1081" t="s">
        <v>197</v>
      </c>
      <c r="D1081" t="s">
        <v>197</v>
      </c>
      <c r="E1081" t="s">
        <v>197</v>
      </c>
      <c r="F1081" t="s">
        <v>197</v>
      </c>
      <c r="G1081" t="s">
        <v>197</v>
      </c>
      <c r="H1081" t="s">
        <v>197</v>
      </c>
      <c r="I1081" t="s">
        <v>197</v>
      </c>
      <c r="J1081" t="s">
        <v>197</v>
      </c>
      <c r="K1081" t="s">
        <v>434</v>
      </c>
    </row>
    <row r="1082" spans="1:24">
      <c r="B1082" t="s">
        <v>197</v>
      </c>
      <c r="C1082" t="s">
        <v>197</v>
      </c>
      <c r="D1082" t="s">
        <v>197</v>
      </c>
      <c r="E1082" t="s">
        <v>197</v>
      </c>
      <c r="F1082" t="s">
        <v>197</v>
      </c>
      <c r="G1082" t="s">
        <v>197</v>
      </c>
      <c r="H1082" t="s">
        <v>197</v>
      </c>
      <c r="I1082" t="s">
        <v>197</v>
      </c>
      <c r="J1082" t="s">
        <v>197</v>
      </c>
      <c r="K1082" t="s">
        <v>963</v>
      </c>
    </row>
    <row r="1083" spans="1:24">
      <c r="K1083" t="s">
        <v>443</v>
      </c>
    </row>
    <row r="1084" spans="1:24">
      <c r="A1084" t="s">
        <v>1072</v>
      </c>
      <c r="K1084" t="s">
        <v>1073</v>
      </c>
      <c r="W1084" s="1" t="str">
        <f>HYPERLINK("#2026042000hbase2!BF2","NO 源备存在差异，共2个")</f>
        <v>NO 源备存在差异，共2个</v>
      </c>
      <c r="X1084" t="str">
        <f>A1084</f>
        <v>info_sql_variant_dml_single_pk_drp</v>
      </c>
    </row>
    <row r="1085" spans="1:24">
      <c r="B1085" t="s">
        <v>196</v>
      </c>
      <c r="C1085" t="s">
        <v>197</v>
      </c>
      <c r="D1085" t="s">
        <v>197</v>
      </c>
      <c r="E1085" t="s">
        <v>197</v>
      </c>
      <c r="F1085" t="s">
        <v>197</v>
      </c>
      <c r="G1085" t="s">
        <v>197</v>
      </c>
      <c r="H1085" t="s">
        <v>197</v>
      </c>
      <c r="I1085" t="s">
        <v>1074</v>
      </c>
      <c r="J1085" t="s">
        <v>199</v>
      </c>
      <c r="K1085" t="s">
        <v>200</v>
      </c>
    </row>
    <row r="1086" spans="1:24">
      <c r="B1086" t="s">
        <v>197</v>
      </c>
      <c r="C1086" t="s">
        <v>197</v>
      </c>
      <c r="D1086" t="s">
        <v>197</v>
      </c>
      <c r="E1086" t="s">
        <v>197</v>
      </c>
      <c r="F1086" t="s">
        <v>197</v>
      </c>
      <c r="G1086" t="s">
        <v>197</v>
      </c>
      <c r="H1086" t="s">
        <v>197</v>
      </c>
      <c r="I1086" t="s">
        <v>197</v>
      </c>
      <c r="J1086" t="s">
        <v>197</v>
      </c>
      <c r="K1086" t="s">
        <v>1006</v>
      </c>
    </row>
    <row r="1087" spans="1:24">
      <c r="B1087" t="s">
        <v>197</v>
      </c>
      <c r="C1087" t="s">
        <v>197</v>
      </c>
      <c r="D1087" t="s">
        <v>197</v>
      </c>
      <c r="E1087" t="s">
        <v>197</v>
      </c>
      <c r="F1087" t="s">
        <v>197</v>
      </c>
      <c r="G1087" t="s">
        <v>197</v>
      </c>
      <c r="H1087" t="s">
        <v>197</v>
      </c>
      <c r="I1087" t="s">
        <v>197</v>
      </c>
      <c r="J1087" t="s">
        <v>197</v>
      </c>
      <c r="K1087" t="s">
        <v>1007</v>
      </c>
    </row>
    <row r="1088" spans="1:24">
      <c r="B1088" t="s">
        <v>197</v>
      </c>
      <c r="C1088" t="s">
        <v>197</v>
      </c>
      <c r="D1088" t="s">
        <v>197</v>
      </c>
      <c r="E1088" t="s">
        <v>197</v>
      </c>
      <c r="F1088" t="s">
        <v>197</v>
      </c>
      <c r="G1088" t="s">
        <v>197</v>
      </c>
      <c r="H1088" t="s">
        <v>197</v>
      </c>
      <c r="I1088" t="s">
        <v>197</v>
      </c>
      <c r="J1088" t="s">
        <v>197</v>
      </c>
      <c r="K1088" t="s">
        <v>1008</v>
      </c>
    </row>
    <row r="1089" spans="2:11">
      <c r="B1089" t="s">
        <v>197</v>
      </c>
      <c r="C1089" t="s">
        <v>197</v>
      </c>
      <c r="D1089" t="s">
        <v>197</v>
      </c>
      <c r="E1089" t="s">
        <v>197</v>
      </c>
      <c r="F1089" t="s">
        <v>197</v>
      </c>
      <c r="G1089" t="s">
        <v>197</v>
      </c>
      <c r="H1089" t="s">
        <v>197</v>
      </c>
      <c r="I1089" t="s">
        <v>197</v>
      </c>
      <c r="J1089" t="s">
        <v>197</v>
      </c>
      <c r="K1089" t="s">
        <v>1009</v>
      </c>
    </row>
    <row r="1090" spans="2:11">
      <c r="B1090" t="s">
        <v>197</v>
      </c>
      <c r="C1090" t="s">
        <v>197</v>
      </c>
      <c r="D1090" t="s">
        <v>197</v>
      </c>
      <c r="E1090" t="s">
        <v>197</v>
      </c>
      <c r="F1090" t="s">
        <v>197</v>
      </c>
      <c r="G1090" t="s">
        <v>197</v>
      </c>
      <c r="H1090" t="s">
        <v>197</v>
      </c>
      <c r="I1090" t="s">
        <v>197</v>
      </c>
      <c r="J1090" t="s">
        <v>197</v>
      </c>
      <c r="K1090" t="s">
        <v>1010</v>
      </c>
    </row>
    <row r="1091" spans="2:11">
      <c r="B1091" t="s">
        <v>197</v>
      </c>
      <c r="C1091" t="s">
        <v>197</v>
      </c>
      <c r="D1091" t="s">
        <v>197</v>
      </c>
      <c r="E1091" t="s">
        <v>197</v>
      </c>
      <c r="F1091" t="s">
        <v>197</v>
      </c>
      <c r="G1091" t="s">
        <v>197</v>
      </c>
      <c r="H1091" t="s">
        <v>197</v>
      </c>
      <c r="I1091" t="s">
        <v>197</v>
      </c>
      <c r="J1091" t="s">
        <v>197</v>
      </c>
      <c r="K1091" t="s">
        <v>1011</v>
      </c>
    </row>
    <row r="1092" spans="2:11">
      <c r="B1092" t="s">
        <v>197</v>
      </c>
      <c r="C1092" t="s">
        <v>197</v>
      </c>
      <c r="D1092" t="s">
        <v>197</v>
      </c>
      <c r="E1092" t="s">
        <v>197</v>
      </c>
      <c r="F1092" t="s">
        <v>197</v>
      </c>
      <c r="G1092" t="s">
        <v>197</v>
      </c>
      <c r="H1092" t="s">
        <v>197</v>
      </c>
      <c r="I1092" t="s">
        <v>197</v>
      </c>
      <c r="J1092" t="s">
        <v>197</v>
      </c>
      <c r="K1092" t="s">
        <v>1012</v>
      </c>
    </row>
    <row r="1093" spans="2:11">
      <c r="B1093" t="s">
        <v>197</v>
      </c>
      <c r="C1093" t="s">
        <v>197</v>
      </c>
      <c r="D1093" t="s">
        <v>197</v>
      </c>
      <c r="E1093" t="s">
        <v>197</v>
      </c>
      <c r="F1093" t="s">
        <v>197</v>
      </c>
      <c r="G1093" t="s">
        <v>197</v>
      </c>
      <c r="H1093" t="s">
        <v>197</v>
      </c>
      <c r="I1093" t="s">
        <v>197</v>
      </c>
      <c r="J1093" t="s">
        <v>197</v>
      </c>
      <c r="K1093" t="s">
        <v>1013</v>
      </c>
    </row>
    <row r="1094" spans="2:11">
      <c r="B1094" t="s">
        <v>197</v>
      </c>
      <c r="C1094" t="s">
        <v>197</v>
      </c>
      <c r="D1094" t="s">
        <v>197</v>
      </c>
      <c r="E1094" t="s">
        <v>197</v>
      </c>
      <c r="F1094" t="s">
        <v>197</v>
      </c>
      <c r="G1094" t="s">
        <v>197</v>
      </c>
      <c r="H1094" t="s">
        <v>197</v>
      </c>
      <c r="I1094" t="s">
        <v>197</v>
      </c>
      <c r="J1094" t="s">
        <v>197</v>
      </c>
      <c r="K1094" t="s">
        <v>1014</v>
      </c>
    </row>
    <row r="1095" spans="2:11">
      <c r="B1095" t="s">
        <v>197</v>
      </c>
      <c r="C1095" t="s">
        <v>197</v>
      </c>
      <c r="D1095" t="s">
        <v>197</v>
      </c>
      <c r="E1095" t="s">
        <v>197</v>
      </c>
      <c r="F1095" t="s">
        <v>197</v>
      </c>
      <c r="G1095" t="s">
        <v>197</v>
      </c>
      <c r="H1095" t="s">
        <v>197</v>
      </c>
      <c r="I1095" t="s">
        <v>197</v>
      </c>
      <c r="J1095" t="s">
        <v>197</v>
      </c>
      <c r="K1095" t="s">
        <v>1015</v>
      </c>
    </row>
    <row r="1096" spans="2:11">
      <c r="B1096" t="s">
        <v>197</v>
      </c>
      <c r="C1096" t="s">
        <v>197</v>
      </c>
      <c r="D1096" t="s">
        <v>197</v>
      </c>
      <c r="E1096" t="s">
        <v>197</v>
      </c>
      <c r="F1096" t="s">
        <v>197</v>
      </c>
      <c r="G1096" t="s">
        <v>197</v>
      </c>
      <c r="H1096" t="s">
        <v>197</v>
      </c>
      <c r="I1096" t="s">
        <v>197</v>
      </c>
      <c r="J1096" t="s">
        <v>197</v>
      </c>
      <c r="K1096" t="s">
        <v>1016</v>
      </c>
    </row>
    <row r="1097" spans="2:11">
      <c r="B1097" t="s">
        <v>197</v>
      </c>
      <c r="C1097" t="s">
        <v>197</v>
      </c>
      <c r="D1097" t="s">
        <v>197</v>
      </c>
      <c r="E1097" t="s">
        <v>197</v>
      </c>
      <c r="F1097" t="s">
        <v>197</v>
      </c>
      <c r="G1097" t="s">
        <v>197</v>
      </c>
      <c r="H1097" t="s">
        <v>197</v>
      </c>
      <c r="I1097" t="s">
        <v>197</v>
      </c>
      <c r="J1097" t="s">
        <v>197</v>
      </c>
      <c r="K1097" t="s">
        <v>1017</v>
      </c>
    </row>
    <row r="1098" spans="2:11">
      <c r="B1098" t="s">
        <v>197</v>
      </c>
      <c r="C1098" t="s">
        <v>197</v>
      </c>
      <c r="D1098" t="s">
        <v>197</v>
      </c>
      <c r="E1098" t="s">
        <v>197</v>
      </c>
      <c r="F1098" t="s">
        <v>197</v>
      </c>
      <c r="G1098" t="s">
        <v>197</v>
      </c>
      <c r="H1098" t="s">
        <v>197</v>
      </c>
      <c r="I1098" t="s">
        <v>197</v>
      </c>
      <c r="J1098" t="s">
        <v>197</v>
      </c>
      <c r="K1098" t="s">
        <v>1018</v>
      </c>
    </row>
    <row r="1099" spans="2:11">
      <c r="B1099" t="s">
        <v>197</v>
      </c>
      <c r="C1099" t="s">
        <v>197</v>
      </c>
      <c r="D1099" t="s">
        <v>197</v>
      </c>
      <c r="E1099" t="s">
        <v>197</v>
      </c>
      <c r="F1099" t="s">
        <v>197</v>
      </c>
      <c r="G1099" t="s">
        <v>197</v>
      </c>
      <c r="H1099" t="s">
        <v>197</v>
      </c>
      <c r="I1099" t="s">
        <v>197</v>
      </c>
      <c r="J1099" t="s">
        <v>197</v>
      </c>
      <c r="K1099" t="s">
        <v>1019</v>
      </c>
    </row>
    <row r="1100" spans="2:11">
      <c r="B1100" t="s">
        <v>197</v>
      </c>
      <c r="C1100" t="s">
        <v>197</v>
      </c>
      <c r="D1100" t="s">
        <v>197</v>
      </c>
      <c r="E1100" t="s">
        <v>197</v>
      </c>
      <c r="F1100" t="s">
        <v>197</v>
      </c>
      <c r="G1100" t="s">
        <v>197</v>
      </c>
      <c r="H1100" t="s">
        <v>197</v>
      </c>
      <c r="I1100" t="s">
        <v>197</v>
      </c>
      <c r="J1100" t="s">
        <v>197</v>
      </c>
      <c r="K1100" t="s">
        <v>1020</v>
      </c>
    </row>
    <row r="1101" spans="2:11">
      <c r="B1101" t="s">
        <v>197</v>
      </c>
      <c r="C1101" t="s">
        <v>197</v>
      </c>
      <c r="D1101" t="s">
        <v>197</v>
      </c>
      <c r="E1101" t="s">
        <v>197</v>
      </c>
      <c r="F1101" t="s">
        <v>197</v>
      </c>
      <c r="G1101" t="s">
        <v>197</v>
      </c>
      <c r="H1101" t="s">
        <v>197</v>
      </c>
      <c r="I1101" t="s">
        <v>197</v>
      </c>
      <c r="J1101" t="s">
        <v>197</v>
      </c>
      <c r="K1101" t="s">
        <v>1021</v>
      </c>
    </row>
    <row r="1102" spans="2:11">
      <c r="B1102" t="s">
        <v>197</v>
      </c>
      <c r="C1102" t="s">
        <v>197</v>
      </c>
      <c r="D1102" t="s">
        <v>197</v>
      </c>
      <c r="E1102" t="s">
        <v>197</v>
      </c>
      <c r="F1102" t="s">
        <v>197</v>
      </c>
      <c r="G1102" t="s">
        <v>197</v>
      </c>
      <c r="H1102" t="s">
        <v>197</v>
      </c>
      <c r="I1102" t="s">
        <v>197</v>
      </c>
      <c r="J1102" t="s">
        <v>197</v>
      </c>
      <c r="K1102" t="s">
        <v>1022</v>
      </c>
    </row>
    <row r="1103" spans="2:11">
      <c r="B1103" t="s">
        <v>197</v>
      </c>
      <c r="C1103" t="s">
        <v>197</v>
      </c>
      <c r="D1103" t="s">
        <v>197</v>
      </c>
      <c r="E1103" t="s">
        <v>197</v>
      </c>
      <c r="F1103" t="s">
        <v>197</v>
      </c>
      <c r="G1103" t="s">
        <v>197</v>
      </c>
      <c r="H1103" t="s">
        <v>197</v>
      </c>
      <c r="I1103" t="s">
        <v>197</v>
      </c>
      <c r="J1103" t="s">
        <v>197</v>
      </c>
      <c r="K1103" t="s">
        <v>1023</v>
      </c>
    </row>
    <row r="1104" spans="2:11">
      <c r="B1104" t="s">
        <v>197</v>
      </c>
      <c r="C1104" t="s">
        <v>197</v>
      </c>
      <c r="D1104" t="s">
        <v>197</v>
      </c>
      <c r="E1104" t="s">
        <v>197</v>
      </c>
      <c r="F1104" t="s">
        <v>197</v>
      </c>
      <c r="G1104" t="s">
        <v>197</v>
      </c>
      <c r="H1104" t="s">
        <v>197</v>
      </c>
      <c r="I1104" t="s">
        <v>197</v>
      </c>
      <c r="J1104" t="s">
        <v>197</v>
      </c>
      <c r="K1104" t="s">
        <v>1024</v>
      </c>
    </row>
    <row r="1105" spans="1:24">
      <c r="B1105" t="s">
        <v>197</v>
      </c>
      <c r="C1105" t="s">
        <v>197</v>
      </c>
      <c r="D1105" t="s">
        <v>197</v>
      </c>
      <c r="E1105" t="s">
        <v>197</v>
      </c>
      <c r="F1105" t="s">
        <v>197</v>
      </c>
      <c r="G1105" t="s">
        <v>197</v>
      </c>
      <c r="H1105" t="s">
        <v>197</v>
      </c>
      <c r="I1105" t="s">
        <v>197</v>
      </c>
      <c r="J1105" t="s">
        <v>197</v>
      </c>
      <c r="K1105" t="s">
        <v>1025</v>
      </c>
    </row>
    <row r="1106" spans="1:24">
      <c r="B1106" t="s">
        <v>197</v>
      </c>
      <c r="C1106" t="s">
        <v>197</v>
      </c>
      <c r="D1106" t="s">
        <v>197</v>
      </c>
      <c r="E1106" t="s">
        <v>197</v>
      </c>
      <c r="F1106" t="s">
        <v>197</v>
      </c>
      <c r="G1106" t="s">
        <v>197</v>
      </c>
      <c r="H1106" t="s">
        <v>197</v>
      </c>
      <c r="I1106" t="s">
        <v>197</v>
      </c>
      <c r="J1106" t="s">
        <v>197</v>
      </c>
      <c r="K1106" t="s">
        <v>1026</v>
      </c>
    </row>
    <row r="1107" spans="1:24">
      <c r="B1107" t="s">
        <v>197</v>
      </c>
      <c r="C1107" t="s">
        <v>197</v>
      </c>
      <c r="D1107" t="s">
        <v>197</v>
      </c>
      <c r="E1107" t="s">
        <v>197</v>
      </c>
      <c r="F1107" t="s">
        <v>197</v>
      </c>
      <c r="G1107" t="s">
        <v>197</v>
      </c>
      <c r="H1107" t="s">
        <v>197</v>
      </c>
      <c r="I1107" t="s">
        <v>197</v>
      </c>
      <c r="J1107" t="s">
        <v>197</v>
      </c>
      <c r="K1107" t="s">
        <v>1027</v>
      </c>
    </row>
    <row r="1108" spans="1:24">
      <c r="B1108" t="s">
        <v>197</v>
      </c>
      <c r="C1108" t="s">
        <v>197</v>
      </c>
      <c r="D1108" t="s">
        <v>197</v>
      </c>
      <c r="E1108" t="s">
        <v>197</v>
      </c>
      <c r="F1108" t="s">
        <v>197</v>
      </c>
      <c r="G1108" t="s">
        <v>197</v>
      </c>
      <c r="H1108" t="s">
        <v>197</v>
      </c>
      <c r="I1108" t="s">
        <v>197</v>
      </c>
      <c r="J1108" t="s">
        <v>197</v>
      </c>
      <c r="K1108" t="s">
        <v>1028</v>
      </c>
    </row>
    <row r="1109" spans="1:24">
      <c r="B1109" t="s">
        <v>197</v>
      </c>
      <c r="C1109" t="s">
        <v>197</v>
      </c>
      <c r="D1109" t="s">
        <v>197</v>
      </c>
      <c r="E1109" t="s">
        <v>197</v>
      </c>
      <c r="F1109" t="s">
        <v>197</v>
      </c>
      <c r="G1109" t="s">
        <v>197</v>
      </c>
      <c r="H1109" t="s">
        <v>197</v>
      </c>
      <c r="I1109" t="s">
        <v>197</v>
      </c>
      <c r="J1109" t="s">
        <v>197</v>
      </c>
      <c r="K1109" t="s">
        <v>1029</v>
      </c>
    </row>
    <row r="1110" spans="1:24">
      <c r="A1110" t="s">
        <v>1075</v>
      </c>
      <c r="K1110" t="s">
        <v>1076</v>
      </c>
      <c r="W1110" s="1" t="str">
        <f>HYPERLINK("#2026042000hbase2!BG2","NO 源备存在差异，共14个")</f>
        <v>NO 源备存在差异，共14个</v>
      </c>
      <c r="X1110" t="str">
        <f>A1110</f>
        <v>info_int_dml_batch1_pk_irp1</v>
      </c>
    </row>
    <row r="1111" spans="1:24">
      <c r="B1111" t="s">
        <v>196</v>
      </c>
      <c r="C1111" t="s">
        <v>197</v>
      </c>
      <c r="D1111" t="s">
        <v>197</v>
      </c>
      <c r="E1111" t="s">
        <v>197</v>
      </c>
      <c r="F1111" t="s">
        <v>197</v>
      </c>
      <c r="G1111" t="s">
        <v>197</v>
      </c>
      <c r="H1111" t="s">
        <v>197</v>
      </c>
      <c r="I1111" t="s">
        <v>1077</v>
      </c>
      <c r="J1111" t="s">
        <v>199</v>
      </c>
      <c r="K1111" t="s">
        <v>200</v>
      </c>
    </row>
    <row r="1112" spans="1:24">
      <c r="B1112" t="s">
        <v>197</v>
      </c>
      <c r="C1112" t="s">
        <v>197</v>
      </c>
      <c r="D1112" t="s">
        <v>197</v>
      </c>
      <c r="E1112" t="s">
        <v>197</v>
      </c>
      <c r="F1112" t="s">
        <v>197</v>
      </c>
      <c r="G1112" t="s">
        <v>197</v>
      </c>
      <c r="H1112" t="s">
        <v>197</v>
      </c>
      <c r="I1112" t="s">
        <v>197</v>
      </c>
      <c r="J1112" t="s">
        <v>197</v>
      </c>
      <c r="K1112" t="s">
        <v>549</v>
      </c>
    </row>
    <row r="1113" spans="1:24">
      <c r="B1113" t="s">
        <v>197</v>
      </c>
      <c r="C1113" t="s">
        <v>197</v>
      </c>
      <c r="D1113" t="s">
        <v>197</v>
      </c>
      <c r="E1113" t="s">
        <v>197</v>
      </c>
      <c r="F1113" t="s">
        <v>197</v>
      </c>
      <c r="G1113" t="s">
        <v>197</v>
      </c>
      <c r="H1113" t="s">
        <v>197</v>
      </c>
      <c r="I1113" t="s">
        <v>197</v>
      </c>
      <c r="J1113" t="s">
        <v>197</v>
      </c>
      <c r="K1113" t="s">
        <v>550</v>
      </c>
    </row>
    <row r="1114" spans="1:24">
      <c r="B1114" t="s">
        <v>197</v>
      </c>
      <c r="C1114" t="s">
        <v>197</v>
      </c>
      <c r="D1114" t="s">
        <v>197</v>
      </c>
      <c r="E1114" t="s">
        <v>197</v>
      </c>
      <c r="F1114" t="s">
        <v>197</v>
      </c>
      <c r="G1114" t="s">
        <v>197</v>
      </c>
      <c r="H1114" t="s">
        <v>197</v>
      </c>
      <c r="I1114" t="s">
        <v>197</v>
      </c>
      <c r="J1114" t="s">
        <v>197</v>
      </c>
      <c r="K1114" t="s">
        <v>551</v>
      </c>
    </row>
    <row r="1115" spans="1:24">
      <c r="B1115" t="s">
        <v>197</v>
      </c>
      <c r="C1115" t="s">
        <v>197</v>
      </c>
      <c r="D1115" t="s">
        <v>197</v>
      </c>
      <c r="E1115" t="s">
        <v>197</v>
      </c>
      <c r="F1115" t="s">
        <v>197</v>
      </c>
      <c r="G1115" t="s">
        <v>197</v>
      </c>
      <c r="H1115" t="s">
        <v>197</v>
      </c>
      <c r="I1115" t="s">
        <v>197</v>
      </c>
      <c r="J1115" t="s">
        <v>197</v>
      </c>
      <c r="K1115" t="s">
        <v>552</v>
      </c>
    </row>
    <row r="1116" spans="1:24">
      <c r="B1116" t="s">
        <v>197</v>
      </c>
      <c r="C1116" t="s">
        <v>197</v>
      </c>
      <c r="D1116" t="s">
        <v>197</v>
      </c>
      <c r="E1116" t="s">
        <v>197</v>
      </c>
      <c r="F1116" t="s">
        <v>197</v>
      </c>
      <c r="G1116" t="s">
        <v>197</v>
      </c>
      <c r="H1116" t="s">
        <v>197</v>
      </c>
      <c r="I1116" t="s">
        <v>197</v>
      </c>
      <c r="J1116" t="s">
        <v>197</v>
      </c>
      <c r="K1116" t="s">
        <v>553</v>
      </c>
    </row>
    <row r="1117" spans="1:24">
      <c r="B1117" t="s">
        <v>197</v>
      </c>
      <c r="C1117" t="s">
        <v>197</v>
      </c>
      <c r="D1117" t="s">
        <v>197</v>
      </c>
      <c r="E1117" t="s">
        <v>197</v>
      </c>
      <c r="F1117" t="s">
        <v>197</v>
      </c>
      <c r="G1117" t="s">
        <v>197</v>
      </c>
      <c r="H1117" t="s">
        <v>197</v>
      </c>
      <c r="I1117" t="s">
        <v>197</v>
      </c>
      <c r="J1117" t="s">
        <v>197</v>
      </c>
      <c r="K1117" t="s">
        <v>554</v>
      </c>
    </row>
    <row r="1118" spans="1:24">
      <c r="B1118" t="s">
        <v>197</v>
      </c>
      <c r="C1118" t="s">
        <v>197</v>
      </c>
      <c r="D1118" t="s">
        <v>197</v>
      </c>
      <c r="E1118" t="s">
        <v>197</v>
      </c>
      <c r="F1118" t="s">
        <v>197</v>
      </c>
      <c r="G1118" t="s">
        <v>197</v>
      </c>
      <c r="H1118" t="s">
        <v>197</v>
      </c>
      <c r="I1118" t="s">
        <v>197</v>
      </c>
      <c r="J1118" t="s">
        <v>197</v>
      </c>
      <c r="K1118" t="s">
        <v>555</v>
      </c>
    </row>
    <row r="1119" spans="1:24">
      <c r="B1119" t="s">
        <v>197</v>
      </c>
      <c r="C1119" t="s">
        <v>197</v>
      </c>
      <c r="D1119" t="s">
        <v>197</v>
      </c>
      <c r="E1119" t="s">
        <v>197</v>
      </c>
      <c r="F1119" t="s">
        <v>197</v>
      </c>
      <c r="G1119" t="s">
        <v>197</v>
      </c>
      <c r="H1119" t="s">
        <v>197</v>
      </c>
      <c r="I1119" t="s">
        <v>197</v>
      </c>
      <c r="J1119" t="s">
        <v>197</v>
      </c>
      <c r="K1119" t="s">
        <v>556</v>
      </c>
    </row>
    <row r="1120" spans="1:24">
      <c r="B1120" t="s">
        <v>197</v>
      </c>
      <c r="C1120" t="s">
        <v>197</v>
      </c>
      <c r="D1120" t="s">
        <v>197</v>
      </c>
      <c r="E1120" t="s">
        <v>197</v>
      </c>
      <c r="F1120" t="s">
        <v>197</v>
      </c>
      <c r="G1120" t="s">
        <v>197</v>
      </c>
      <c r="H1120" t="s">
        <v>197</v>
      </c>
      <c r="I1120" t="s">
        <v>197</v>
      </c>
      <c r="J1120" t="s">
        <v>197</v>
      </c>
      <c r="K1120" t="s">
        <v>557</v>
      </c>
    </row>
    <row r="1121" spans="1:24">
      <c r="B1121" t="s">
        <v>197</v>
      </c>
      <c r="C1121" t="s">
        <v>197</v>
      </c>
      <c r="D1121" t="s">
        <v>197</v>
      </c>
      <c r="E1121" t="s">
        <v>197</v>
      </c>
      <c r="F1121" t="s">
        <v>197</v>
      </c>
      <c r="G1121" t="s">
        <v>197</v>
      </c>
      <c r="H1121" t="s">
        <v>197</v>
      </c>
      <c r="I1121" t="s">
        <v>197</v>
      </c>
      <c r="J1121" t="s">
        <v>197</v>
      </c>
      <c r="K1121" t="s">
        <v>558</v>
      </c>
    </row>
    <row r="1122" spans="1:24">
      <c r="B1122" t="s">
        <v>197</v>
      </c>
      <c r="C1122" t="s">
        <v>197</v>
      </c>
      <c r="D1122" t="s">
        <v>197</v>
      </c>
      <c r="E1122" t="s">
        <v>197</v>
      </c>
      <c r="F1122" t="s">
        <v>197</v>
      </c>
      <c r="G1122" t="s">
        <v>197</v>
      </c>
      <c r="H1122" t="s">
        <v>197</v>
      </c>
      <c r="I1122" t="s">
        <v>197</v>
      </c>
      <c r="J1122" t="s">
        <v>197</v>
      </c>
      <c r="K1122" t="s">
        <v>559</v>
      </c>
    </row>
    <row r="1123" spans="1:24">
      <c r="B1123" t="s">
        <v>197</v>
      </c>
      <c r="C1123" t="s">
        <v>197</v>
      </c>
      <c r="D1123" t="s">
        <v>197</v>
      </c>
      <c r="E1123" t="s">
        <v>197</v>
      </c>
      <c r="F1123" t="s">
        <v>197</v>
      </c>
      <c r="G1123" t="s">
        <v>197</v>
      </c>
      <c r="H1123" t="s">
        <v>197</v>
      </c>
      <c r="I1123" t="s">
        <v>197</v>
      </c>
      <c r="J1123" t="s">
        <v>197</v>
      </c>
      <c r="K1123" t="s">
        <v>560</v>
      </c>
    </row>
    <row r="1124" spans="1:24">
      <c r="B1124" t="s">
        <v>197</v>
      </c>
      <c r="C1124" t="s">
        <v>197</v>
      </c>
      <c r="D1124" t="s">
        <v>197</v>
      </c>
      <c r="E1124" t="s">
        <v>197</v>
      </c>
      <c r="F1124" t="s">
        <v>197</v>
      </c>
      <c r="G1124" t="s">
        <v>197</v>
      </c>
      <c r="H1124" t="s">
        <v>197</v>
      </c>
      <c r="I1124" t="s">
        <v>197</v>
      </c>
      <c r="J1124" t="s">
        <v>197</v>
      </c>
      <c r="K1124" t="s">
        <v>561</v>
      </c>
    </row>
    <row r="1125" spans="1:24">
      <c r="B1125" t="s">
        <v>197</v>
      </c>
      <c r="C1125" t="s">
        <v>197</v>
      </c>
      <c r="D1125" t="s">
        <v>197</v>
      </c>
      <c r="E1125" t="s">
        <v>197</v>
      </c>
      <c r="F1125" t="s">
        <v>197</v>
      </c>
      <c r="G1125" t="s">
        <v>197</v>
      </c>
      <c r="H1125" t="s">
        <v>197</v>
      </c>
      <c r="I1125" t="s">
        <v>197</v>
      </c>
      <c r="J1125" t="s">
        <v>197</v>
      </c>
      <c r="K1125" t="s">
        <v>562</v>
      </c>
    </row>
    <row r="1126" spans="1:24">
      <c r="B1126" t="s">
        <v>197</v>
      </c>
      <c r="C1126" t="s">
        <v>197</v>
      </c>
      <c r="D1126" t="s">
        <v>197</v>
      </c>
      <c r="E1126" t="s">
        <v>197</v>
      </c>
      <c r="F1126" t="s">
        <v>197</v>
      </c>
      <c r="G1126" t="s">
        <v>197</v>
      </c>
      <c r="H1126" t="s">
        <v>197</v>
      </c>
      <c r="I1126" t="s">
        <v>197</v>
      </c>
      <c r="J1126" t="s">
        <v>197</v>
      </c>
      <c r="K1126" t="s">
        <v>563</v>
      </c>
    </row>
    <row r="1127" spans="1:24">
      <c r="B1127" t="s">
        <v>197</v>
      </c>
      <c r="C1127" t="s">
        <v>197</v>
      </c>
      <c r="D1127" t="s">
        <v>197</v>
      </c>
      <c r="E1127" t="s">
        <v>197</v>
      </c>
      <c r="F1127" t="s">
        <v>197</v>
      </c>
      <c r="G1127" t="s">
        <v>197</v>
      </c>
      <c r="H1127" t="s">
        <v>197</v>
      </c>
      <c r="I1127" t="s">
        <v>197</v>
      </c>
      <c r="J1127" t="s">
        <v>197</v>
      </c>
      <c r="K1127" t="s">
        <v>564</v>
      </c>
    </row>
    <row r="1128" spans="1:24">
      <c r="B1128" t="s">
        <v>197</v>
      </c>
      <c r="C1128" t="s">
        <v>197</v>
      </c>
      <c r="D1128" t="s">
        <v>197</v>
      </c>
      <c r="E1128" t="s">
        <v>197</v>
      </c>
      <c r="F1128" t="s">
        <v>197</v>
      </c>
      <c r="G1128" t="s">
        <v>197</v>
      </c>
      <c r="H1128" t="s">
        <v>197</v>
      </c>
      <c r="I1128" t="s">
        <v>197</v>
      </c>
      <c r="J1128" t="s">
        <v>197</v>
      </c>
      <c r="K1128" t="s">
        <v>565</v>
      </c>
    </row>
    <row r="1129" spans="1:24">
      <c r="B1129" t="s">
        <v>197</v>
      </c>
      <c r="C1129" t="s">
        <v>197</v>
      </c>
      <c r="D1129" t="s">
        <v>197</v>
      </c>
      <c r="E1129" t="s">
        <v>197</v>
      </c>
      <c r="F1129" t="s">
        <v>197</v>
      </c>
      <c r="G1129" t="s">
        <v>197</v>
      </c>
      <c r="H1129" t="s">
        <v>197</v>
      </c>
      <c r="I1129" t="s">
        <v>197</v>
      </c>
      <c r="J1129" t="s">
        <v>197</v>
      </c>
      <c r="K1129" t="s">
        <v>566</v>
      </c>
    </row>
    <row r="1130" spans="1:24">
      <c r="B1130" t="s">
        <v>197</v>
      </c>
      <c r="C1130" t="s">
        <v>197</v>
      </c>
      <c r="D1130" t="s">
        <v>197</v>
      </c>
      <c r="E1130" t="s">
        <v>197</v>
      </c>
      <c r="F1130" t="s">
        <v>197</v>
      </c>
      <c r="G1130" t="s">
        <v>197</v>
      </c>
      <c r="H1130" t="s">
        <v>197</v>
      </c>
      <c r="I1130" t="s">
        <v>197</v>
      </c>
      <c r="J1130" t="s">
        <v>197</v>
      </c>
      <c r="K1130" t="s">
        <v>567</v>
      </c>
    </row>
    <row r="1131" spans="1:24">
      <c r="A1131" t="s">
        <v>1081</v>
      </c>
      <c r="K1131" t="s">
        <v>1082</v>
      </c>
      <c r="W1131" t="s">
        <v>171</v>
      </c>
      <c r="X1131" t="str">
        <f>A1131</f>
        <v>info_nvarchar_dml_batch2_pk_irp1</v>
      </c>
    </row>
    <row r="1132" spans="1:24">
      <c r="B1132" t="s">
        <v>196</v>
      </c>
      <c r="C1132" t="s">
        <v>197</v>
      </c>
      <c r="D1132" t="s">
        <v>197</v>
      </c>
      <c r="E1132" t="s">
        <v>197</v>
      </c>
      <c r="F1132" t="s">
        <v>197</v>
      </c>
      <c r="G1132" t="s">
        <v>197</v>
      </c>
      <c r="H1132" t="s">
        <v>197</v>
      </c>
      <c r="I1132" t="s">
        <v>1083</v>
      </c>
      <c r="J1132" t="s">
        <v>199</v>
      </c>
      <c r="K1132" t="s">
        <v>200</v>
      </c>
    </row>
    <row r="1133" spans="1:24">
      <c r="B1133" t="s">
        <v>197</v>
      </c>
      <c r="C1133" t="s">
        <v>197</v>
      </c>
      <c r="D1133" t="s">
        <v>197</v>
      </c>
      <c r="E1133" t="s">
        <v>197</v>
      </c>
      <c r="F1133" t="s">
        <v>197</v>
      </c>
      <c r="G1133" t="s">
        <v>197</v>
      </c>
      <c r="H1133" t="s">
        <v>197</v>
      </c>
      <c r="I1133" t="s">
        <v>197</v>
      </c>
      <c r="J1133" t="s">
        <v>197</v>
      </c>
      <c r="K1133" t="s">
        <v>408</v>
      </c>
    </row>
    <row r="1134" spans="1:24">
      <c r="B1134" t="s">
        <v>197</v>
      </c>
      <c r="C1134" t="s">
        <v>197</v>
      </c>
      <c r="D1134" t="s">
        <v>197</v>
      </c>
      <c r="E1134" t="s">
        <v>197</v>
      </c>
      <c r="F1134" t="s">
        <v>197</v>
      </c>
      <c r="G1134" t="s">
        <v>197</v>
      </c>
      <c r="H1134" t="s">
        <v>197</v>
      </c>
      <c r="I1134" t="s">
        <v>197</v>
      </c>
      <c r="J1134" t="s">
        <v>197</v>
      </c>
      <c r="K1134" t="s">
        <v>412</v>
      </c>
    </row>
    <row r="1135" spans="1:24">
      <c r="B1135" t="s">
        <v>197</v>
      </c>
      <c r="C1135" t="s">
        <v>197</v>
      </c>
      <c r="D1135" t="s">
        <v>197</v>
      </c>
      <c r="E1135" t="s">
        <v>197</v>
      </c>
      <c r="F1135" t="s">
        <v>197</v>
      </c>
      <c r="G1135" t="s">
        <v>197</v>
      </c>
      <c r="H1135" t="s">
        <v>197</v>
      </c>
      <c r="I1135" t="s">
        <v>197</v>
      </c>
      <c r="J1135" t="s">
        <v>197</v>
      </c>
      <c r="K1135" t="s">
        <v>416</v>
      </c>
    </row>
    <row r="1136" spans="1:24">
      <c r="A1136" t="s">
        <v>1078</v>
      </c>
      <c r="K1136" t="s">
        <v>1079</v>
      </c>
      <c r="W1136" t="s">
        <v>171</v>
      </c>
      <c r="X1136" t="str">
        <f>A1136</f>
        <v>info_uniqueidentifier_dml_single_pk_urp</v>
      </c>
    </row>
    <row r="1137" spans="1:24">
      <c r="B1137" t="s">
        <v>196</v>
      </c>
      <c r="C1137" t="s">
        <v>197</v>
      </c>
      <c r="D1137" t="s">
        <v>197</v>
      </c>
      <c r="E1137" t="s">
        <v>197</v>
      </c>
      <c r="F1137" t="s">
        <v>197</v>
      </c>
      <c r="G1137" t="s">
        <v>197</v>
      </c>
      <c r="H1137" t="s">
        <v>197</v>
      </c>
      <c r="I1137" t="s">
        <v>1080</v>
      </c>
      <c r="J1137" t="s">
        <v>199</v>
      </c>
      <c r="K1137" t="s">
        <v>200</v>
      </c>
    </row>
    <row r="1138" spans="1:24">
      <c r="B1138" t="s">
        <v>197</v>
      </c>
      <c r="C1138" t="s">
        <v>197</v>
      </c>
      <c r="D1138" t="s">
        <v>197</v>
      </c>
      <c r="E1138" t="s">
        <v>197</v>
      </c>
      <c r="F1138" t="s">
        <v>197</v>
      </c>
      <c r="G1138" t="s">
        <v>197</v>
      </c>
      <c r="H1138" t="s">
        <v>197</v>
      </c>
      <c r="I1138" t="s">
        <v>197</v>
      </c>
      <c r="J1138" t="s">
        <v>197</v>
      </c>
      <c r="K1138" t="s">
        <v>1039</v>
      </c>
    </row>
    <row r="1139" spans="1:24">
      <c r="A1139" t="s">
        <v>1084</v>
      </c>
      <c r="K1139" t="s">
        <v>1085</v>
      </c>
      <c r="W1139" t="s">
        <v>171</v>
      </c>
      <c r="X1139" t="str">
        <f>A1139</f>
        <v>info_datetime2_dml_single_pk_urp</v>
      </c>
    </row>
    <row r="1140" spans="1:24">
      <c r="B1140" t="s">
        <v>196</v>
      </c>
      <c r="C1140" t="s">
        <v>197</v>
      </c>
      <c r="D1140" t="s">
        <v>197</v>
      </c>
      <c r="E1140" t="s">
        <v>197</v>
      </c>
      <c r="F1140" t="s">
        <v>197</v>
      </c>
      <c r="G1140" t="s">
        <v>197</v>
      </c>
      <c r="H1140" t="s">
        <v>197</v>
      </c>
      <c r="I1140" t="s">
        <v>1086</v>
      </c>
      <c r="J1140" t="s">
        <v>199</v>
      </c>
      <c r="K1140" t="s">
        <v>200</v>
      </c>
    </row>
    <row r="1141" spans="1:24">
      <c r="B1141" t="s">
        <v>197</v>
      </c>
      <c r="C1141" t="s">
        <v>197</v>
      </c>
      <c r="D1141" t="s">
        <v>197</v>
      </c>
      <c r="E1141" t="s">
        <v>197</v>
      </c>
      <c r="F1141" t="s">
        <v>197</v>
      </c>
      <c r="G1141" t="s">
        <v>197</v>
      </c>
      <c r="H1141" t="s">
        <v>197</v>
      </c>
      <c r="I1141" t="s">
        <v>197</v>
      </c>
      <c r="J1141" t="s">
        <v>197</v>
      </c>
      <c r="K1141" t="s">
        <v>667</v>
      </c>
    </row>
    <row r="1142" spans="1:24">
      <c r="B1142" t="s">
        <v>197</v>
      </c>
      <c r="C1142" t="s">
        <v>197</v>
      </c>
      <c r="D1142" t="s">
        <v>197</v>
      </c>
      <c r="E1142" t="s">
        <v>197</v>
      </c>
      <c r="F1142" t="s">
        <v>197</v>
      </c>
      <c r="G1142" t="s">
        <v>197</v>
      </c>
      <c r="H1142" t="s">
        <v>197</v>
      </c>
      <c r="I1142" t="s">
        <v>197</v>
      </c>
      <c r="J1142" t="s">
        <v>197</v>
      </c>
      <c r="K1142" t="s">
        <v>668</v>
      </c>
    </row>
    <row r="1143" spans="1:24">
      <c r="B1143" t="s">
        <v>197</v>
      </c>
      <c r="C1143" t="s">
        <v>197</v>
      </c>
      <c r="D1143" t="s">
        <v>197</v>
      </c>
      <c r="E1143" t="s">
        <v>197</v>
      </c>
      <c r="F1143" t="s">
        <v>197</v>
      </c>
      <c r="G1143" t="s">
        <v>197</v>
      </c>
      <c r="H1143" t="s">
        <v>197</v>
      </c>
      <c r="I1143" t="s">
        <v>197</v>
      </c>
      <c r="J1143" t="s">
        <v>197</v>
      </c>
      <c r="K1143" t="s">
        <v>669</v>
      </c>
    </row>
    <row r="1144" spans="1:24">
      <c r="B1144" t="s">
        <v>197</v>
      </c>
      <c r="C1144" t="s">
        <v>197</v>
      </c>
      <c r="D1144" t="s">
        <v>197</v>
      </c>
      <c r="E1144" t="s">
        <v>197</v>
      </c>
      <c r="F1144" t="s">
        <v>197</v>
      </c>
      <c r="G1144" t="s">
        <v>197</v>
      </c>
      <c r="H1144" t="s">
        <v>197</v>
      </c>
      <c r="I1144" t="s">
        <v>197</v>
      </c>
      <c r="J1144" t="s">
        <v>197</v>
      </c>
      <c r="K1144" t="s">
        <v>670</v>
      </c>
    </row>
    <row r="1145" spans="1:24">
      <c r="B1145" t="s">
        <v>197</v>
      </c>
      <c r="C1145" t="s">
        <v>197</v>
      </c>
      <c r="D1145" t="s">
        <v>197</v>
      </c>
      <c r="E1145" t="s">
        <v>197</v>
      </c>
      <c r="F1145" t="s">
        <v>197</v>
      </c>
      <c r="G1145" t="s">
        <v>197</v>
      </c>
      <c r="H1145" t="s">
        <v>197</v>
      </c>
      <c r="I1145" t="s">
        <v>197</v>
      </c>
      <c r="J1145" t="s">
        <v>197</v>
      </c>
      <c r="K1145" t="s">
        <v>671</v>
      </c>
    </row>
    <row r="1146" spans="1:24">
      <c r="B1146" t="s">
        <v>197</v>
      </c>
      <c r="C1146" t="s">
        <v>197</v>
      </c>
      <c r="D1146" t="s">
        <v>197</v>
      </c>
      <c r="E1146" t="s">
        <v>197</v>
      </c>
      <c r="F1146" t="s">
        <v>197</v>
      </c>
      <c r="G1146" t="s">
        <v>197</v>
      </c>
      <c r="H1146" t="s">
        <v>197</v>
      </c>
      <c r="I1146" t="s">
        <v>197</v>
      </c>
      <c r="J1146" t="s">
        <v>197</v>
      </c>
      <c r="K1146" t="s">
        <v>672</v>
      </c>
    </row>
    <row r="1147" spans="1:24">
      <c r="B1147" t="s">
        <v>197</v>
      </c>
      <c r="C1147" t="s">
        <v>197</v>
      </c>
      <c r="D1147" t="s">
        <v>197</v>
      </c>
      <c r="E1147" t="s">
        <v>197</v>
      </c>
      <c r="F1147" t="s">
        <v>197</v>
      </c>
      <c r="G1147" t="s">
        <v>197</v>
      </c>
      <c r="H1147" t="s">
        <v>197</v>
      </c>
      <c r="I1147" t="s">
        <v>197</v>
      </c>
      <c r="J1147" t="s">
        <v>197</v>
      </c>
      <c r="K1147" t="s">
        <v>673</v>
      </c>
    </row>
    <row r="1148" spans="1:24">
      <c r="B1148" t="s">
        <v>197</v>
      </c>
      <c r="C1148" t="s">
        <v>197</v>
      </c>
      <c r="D1148" t="s">
        <v>197</v>
      </c>
      <c r="E1148" t="s">
        <v>197</v>
      </c>
      <c r="F1148" t="s">
        <v>197</v>
      </c>
      <c r="G1148" t="s">
        <v>197</v>
      </c>
      <c r="H1148" t="s">
        <v>197</v>
      </c>
      <c r="I1148" t="s">
        <v>197</v>
      </c>
      <c r="J1148" t="s">
        <v>197</v>
      </c>
      <c r="K1148" t="s">
        <v>674</v>
      </c>
    </row>
    <row r="1149" spans="1:24">
      <c r="A1149" t="s">
        <v>1087</v>
      </c>
      <c r="K1149" t="s">
        <v>1088</v>
      </c>
      <c r="W1149" s="1" t="str">
        <f>HYPERLINK("#2026042000hbase2!BH2","NO 源备存在差异，共4个")</f>
        <v>NO 源备存在差异，共4个</v>
      </c>
      <c r="X1149" t="str">
        <f>A1149</f>
        <v>info_geography_dml_single_pk_urp</v>
      </c>
    </row>
    <row r="1150" spans="1:24">
      <c r="B1150" t="s">
        <v>196</v>
      </c>
      <c r="C1150" t="s">
        <v>197</v>
      </c>
      <c r="D1150" t="s">
        <v>197</v>
      </c>
      <c r="E1150" t="s">
        <v>197</v>
      </c>
      <c r="F1150" t="s">
        <v>197</v>
      </c>
      <c r="G1150" t="s">
        <v>197</v>
      </c>
      <c r="H1150" t="s">
        <v>197</v>
      </c>
      <c r="I1150" t="s">
        <v>1089</v>
      </c>
      <c r="J1150" t="s">
        <v>199</v>
      </c>
      <c r="K1150" t="s">
        <v>200</v>
      </c>
    </row>
    <row r="1151" spans="1:24">
      <c r="B1151" t="s">
        <v>197</v>
      </c>
      <c r="C1151" t="s">
        <v>197</v>
      </c>
      <c r="D1151" t="s">
        <v>197</v>
      </c>
      <c r="E1151" t="s">
        <v>197</v>
      </c>
      <c r="F1151" t="s">
        <v>197</v>
      </c>
      <c r="G1151" t="s">
        <v>197</v>
      </c>
      <c r="H1151" t="s">
        <v>197</v>
      </c>
      <c r="I1151" t="s">
        <v>197</v>
      </c>
      <c r="J1151" t="s">
        <v>197</v>
      </c>
      <c r="K1151" t="s">
        <v>1052</v>
      </c>
    </row>
    <row r="1152" spans="1:24">
      <c r="A1152" t="s">
        <v>1090</v>
      </c>
      <c r="K1152" t="s">
        <v>1091</v>
      </c>
      <c r="W1152" t="s">
        <v>171</v>
      </c>
      <c r="X1152" t="str">
        <f>A1152</f>
        <v>info_time_dml_batch2_pk_irp2</v>
      </c>
    </row>
    <row r="1153" spans="1:24">
      <c r="B1153" t="s">
        <v>196</v>
      </c>
      <c r="C1153" t="s">
        <v>197</v>
      </c>
      <c r="D1153" t="s">
        <v>197</v>
      </c>
      <c r="E1153" t="s">
        <v>197</v>
      </c>
      <c r="F1153" t="s">
        <v>197</v>
      </c>
      <c r="G1153" t="s">
        <v>197</v>
      </c>
      <c r="H1153" t="s">
        <v>197</v>
      </c>
      <c r="I1153" t="s">
        <v>1092</v>
      </c>
      <c r="J1153" t="s">
        <v>199</v>
      </c>
      <c r="K1153" t="s">
        <v>200</v>
      </c>
    </row>
    <row r="1154" spans="1:24">
      <c r="B1154" t="s">
        <v>197</v>
      </c>
      <c r="C1154" t="s">
        <v>197</v>
      </c>
      <c r="D1154" t="s">
        <v>197</v>
      </c>
      <c r="E1154" t="s">
        <v>197</v>
      </c>
      <c r="F1154" t="s">
        <v>197</v>
      </c>
      <c r="G1154" t="s">
        <v>197</v>
      </c>
      <c r="H1154" t="s">
        <v>197</v>
      </c>
      <c r="I1154" t="s">
        <v>197</v>
      </c>
      <c r="J1154" t="s">
        <v>197</v>
      </c>
      <c r="K1154" t="s">
        <v>800</v>
      </c>
    </row>
    <row r="1155" spans="1:24">
      <c r="B1155" t="s">
        <v>197</v>
      </c>
      <c r="C1155" t="s">
        <v>197</v>
      </c>
      <c r="D1155" t="s">
        <v>197</v>
      </c>
      <c r="E1155" t="s">
        <v>197</v>
      </c>
      <c r="F1155" t="s">
        <v>197</v>
      </c>
      <c r="G1155" t="s">
        <v>197</v>
      </c>
      <c r="H1155" t="s">
        <v>197</v>
      </c>
      <c r="I1155" t="s">
        <v>197</v>
      </c>
      <c r="J1155" t="s">
        <v>197</v>
      </c>
      <c r="K1155" t="s">
        <v>801</v>
      </c>
    </row>
    <row r="1156" spans="1:24">
      <c r="B1156" t="s">
        <v>197</v>
      </c>
      <c r="C1156" t="s">
        <v>197</v>
      </c>
      <c r="D1156" t="s">
        <v>197</v>
      </c>
      <c r="E1156" t="s">
        <v>197</v>
      </c>
      <c r="F1156" t="s">
        <v>197</v>
      </c>
      <c r="G1156" t="s">
        <v>197</v>
      </c>
      <c r="H1156" t="s">
        <v>197</v>
      </c>
      <c r="I1156" t="s">
        <v>197</v>
      </c>
      <c r="J1156" t="s">
        <v>197</v>
      </c>
      <c r="K1156" t="s">
        <v>802</v>
      </c>
    </row>
    <row r="1157" spans="1:24">
      <c r="B1157" t="s">
        <v>197</v>
      </c>
      <c r="C1157" t="s">
        <v>197</v>
      </c>
      <c r="D1157" t="s">
        <v>197</v>
      </c>
      <c r="E1157" t="s">
        <v>197</v>
      </c>
      <c r="F1157" t="s">
        <v>197</v>
      </c>
      <c r="G1157" t="s">
        <v>197</v>
      </c>
      <c r="H1157" t="s">
        <v>197</v>
      </c>
      <c r="I1157" t="s">
        <v>197</v>
      </c>
      <c r="J1157" t="s">
        <v>197</v>
      </c>
      <c r="K1157" t="s">
        <v>803</v>
      </c>
    </row>
    <row r="1158" spans="1:24">
      <c r="B1158" t="s">
        <v>197</v>
      </c>
      <c r="C1158" t="s">
        <v>197</v>
      </c>
      <c r="D1158" t="s">
        <v>197</v>
      </c>
      <c r="E1158" t="s">
        <v>197</v>
      </c>
      <c r="F1158" t="s">
        <v>197</v>
      </c>
      <c r="G1158" t="s">
        <v>197</v>
      </c>
      <c r="H1158" t="s">
        <v>197</v>
      </c>
      <c r="I1158" t="s">
        <v>197</v>
      </c>
      <c r="J1158" t="s">
        <v>197</v>
      </c>
      <c r="K1158" t="s">
        <v>804</v>
      </c>
    </row>
    <row r="1159" spans="1:24">
      <c r="B1159" t="s">
        <v>197</v>
      </c>
      <c r="C1159" t="s">
        <v>197</v>
      </c>
      <c r="D1159" t="s">
        <v>197</v>
      </c>
      <c r="E1159" t="s">
        <v>197</v>
      </c>
      <c r="F1159" t="s">
        <v>197</v>
      </c>
      <c r="G1159" t="s">
        <v>197</v>
      </c>
      <c r="H1159" t="s">
        <v>197</v>
      </c>
      <c r="I1159" t="s">
        <v>197</v>
      </c>
      <c r="J1159" t="s">
        <v>197</v>
      </c>
      <c r="K1159" t="s">
        <v>805</v>
      </c>
    </row>
    <row r="1160" spans="1:24">
      <c r="B1160" t="s">
        <v>197</v>
      </c>
      <c r="C1160" t="s">
        <v>197</v>
      </c>
      <c r="D1160" t="s">
        <v>197</v>
      </c>
      <c r="E1160" t="s">
        <v>197</v>
      </c>
      <c r="F1160" t="s">
        <v>197</v>
      </c>
      <c r="G1160" t="s">
        <v>197</v>
      </c>
      <c r="H1160" t="s">
        <v>197</v>
      </c>
      <c r="I1160" t="s">
        <v>197</v>
      </c>
      <c r="J1160" t="s">
        <v>197</v>
      </c>
      <c r="K1160" t="s">
        <v>806</v>
      </c>
    </row>
    <row r="1161" spans="1:24">
      <c r="B1161" t="s">
        <v>197</v>
      </c>
      <c r="C1161" t="s">
        <v>197</v>
      </c>
      <c r="D1161" t="s">
        <v>197</v>
      </c>
      <c r="E1161" t="s">
        <v>197</v>
      </c>
      <c r="F1161" t="s">
        <v>197</v>
      </c>
      <c r="G1161" t="s">
        <v>197</v>
      </c>
      <c r="H1161" t="s">
        <v>197</v>
      </c>
      <c r="I1161" t="s">
        <v>197</v>
      </c>
      <c r="J1161" t="s">
        <v>197</v>
      </c>
      <c r="K1161" t="s">
        <v>807</v>
      </c>
    </row>
    <row r="1162" spans="1:24">
      <c r="A1162" t="s">
        <v>1093</v>
      </c>
      <c r="K1162" t="s">
        <v>1094</v>
      </c>
      <c r="W1162" s="1" t="str">
        <f>HYPERLINK("#2026042000hbase2!BI2","NO 源备存在差异，共14个")</f>
        <v>NO 源备存在差异，共14个</v>
      </c>
      <c r="X1162" t="str">
        <f>A1162</f>
        <v>info_varbinary_dml_batch2_pk_irp1</v>
      </c>
    </row>
    <row r="1163" spans="1:24">
      <c r="B1163" t="s">
        <v>196</v>
      </c>
      <c r="C1163" t="s">
        <v>197</v>
      </c>
      <c r="D1163" t="s">
        <v>197</v>
      </c>
      <c r="E1163" t="s">
        <v>197</v>
      </c>
      <c r="F1163" t="s">
        <v>197</v>
      </c>
      <c r="G1163" t="s">
        <v>197</v>
      </c>
      <c r="H1163" t="s">
        <v>197</v>
      </c>
      <c r="I1163" t="s">
        <v>1095</v>
      </c>
      <c r="J1163" t="s">
        <v>199</v>
      </c>
      <c r="K1163" t="s">
        <v>200</v>
      </c>
    </row>
    <row r="1164" spans="1:24">
      <c r="B1164" t="s">
        <v>197</v>
      </c>
      <c r="C1164" t="s">
        <v>197</v>
      </c>
      <c r="D1164" t="s">
        <v>197</v>
      </c>
      <c r="E1164" t="s">
        <v>197</v>
      </c>
      <c r="F1164" t="s">
        <v>197</v>
      </c>
      <c r="G1164" t="s">
        <v>197</v>
      </c>
      <c r="H1164" t="s">
        <v>197</v>
      </c>
      <c r="I1164" t="s">
        <v>197</v>
      </c>
      <c r="J1164" t="s">
        <v>197</v>
      </c>
      <c r="K1164" t="s">
        <v>495</v>
      </c>
    </row>
    <row r="1165" spans="1:24">
      <c r="B1165" t="s">
        <v>197</v>
      </c>
      <c r="C1165" t="s">
        <v>197</v>
      </c>
      <c r="D1165" t="s">
        <v>197</v>
      </c>
      <c r="E1165" t="s">
        <v>197</v>
      </c>
      <c r="F1165" t="s">
        <v>197</v>
      </c>
      <c r="G1165" t="s">
        <v>197</v>
      </c>
      <c r="H1165" t="s">
        <v>197</v>
      </c>
      <c r="I1165" t="s">
        <v>197</v>
      </c>
      <c r="J1165" t="s">
        <v>197</v>
      </c>
      <c r="K1165" t="s">
        <v>499</v>
      </c>
    </row>
    <row r="1166" spans="1:24">
      <c r="B1166" t="s">
        <v>197</v>
      </c>
      <c r="C1166" t="s">
        <v>197</v>
      </c>
      <c r="D1166" t="s">
        <v>197</v>
      </c>
      <c r="E1166" t="s">
        <v>197</v>
      </c>
      <c r="F1166" t="s">
        <v>197</v>
      </c>
      <c r="G1166" t="s">
        <v>197</v>
      </c>
      <c r="H1166" t="s">
        <v>197</v>
      </c>
      <c r="I1166" t="s">
        <v>197</v>
      </c>
      <c r="J1166" t="s">
        <v>197</v>
      </c>
      <c r="K1166" t="s">
        <v>503</v>
      </c>
    </row>
    <row r="1167" spans="1:24">
      <c r="A1167" t="s">
        <v>1096</v>
      </c>
      <c r="K1167" t="s">
        <v>1097</v>
      </c>
      <c r="W1167" t="s">
        <v>171</v>
      </c>
      <c r="X1167" t="str">
        <f>A1167</f>
        <v>info_time_dml_batch1_pk_urp1</v>
      </c>
    </row>
    <row r="1168" spans="1:24">
      <c r="B1168" t="s">
        <v>196</v>
      </c>
      <c r="C1168" t="s">
        <v>197</v>
      </c>
      <c r="D1168" t="s">
        <v>197</v>
      </c>
      <c r="E1168" t="s">
        <v>197</v>
      </c>
      <c r="F1168" t="s">
        <v>197</v>
      </c>
      <c r="G1168" t="s">
        <v>197</v>
      </c>
      <c r="H1168" t="s">
        <v>197</v>
      </c>
      <c r="I1168" t="s">
        <v>1098</v>
      </c>
      <c r="J1168" t="s">
        <v>199</v>
      </c>
      <c r="K1168" t="s">
        <v>200</v>
      </c>
    </row>
    <row r="1169" spans="1:24">
      <c r="B1169" t="s">
        <v>197</v>
      </c>
      <c r="C1169" t="s">
        <v>197</v>
      </c>
      <c r="D1169" t="s">
        <v>197</v>
      </c>
      <c r="E1169" t="s">
        <v>197</v>
      </c>
      <c r="F1169" t="s">
        <v>197</v>
      </c>
      <c r="G1169" t="s">
        <v>197</v>
      </c>
      <c r="H1169" t="s">
        <v>197</v>
      </c>
      <c r="I1169" t="s">
        <v>197</v>
      </c>
      <c r="J1169" t="s">
        <v>197</v>
      </c>
      <c r="K1169" t="s">
        <v>800</v>
      </c>
    </row>
    <row r="1170" spans="1:24">
      <c r="B1170" t="s">
        <v>197</v>
      </c>
      <c r="C1170" t="s">
        <v>197</v>
      </c>
      <c r="D1170" t="s">
        <v>197</v>
      </c>
      <c r="E1170" t="s">
        <v>197</v>
      </c>
      <c r="F1170" t="s">
        <v>197</v>
      </c>
      <c r="G1170" t="s">
        <v>197</v>
      </c>
      <c r="H1170" t="s">
        <v>197</v>
      </c>
      <c r="I1170" t="s">
        <v>197</v>
      </c>
      <c r="J1170" t="s">
        <v>197</v>
      </c>
      <c r="K1170" t="s">
        <v>801</v>
      </c>
    </row>
    <row r="1171" spans="1:24">
      <c r="B1171" t="s">
        <v>197</v>
      </c>
      <c r="C1171" t="s">
        <v>197</v>
      </c>
      <c r="D1171" t="s">
        <v>197</v>
      </c>
      <c r="E1171" t="s">
        <v>197</v>
      </c>
      <c r="F1171" t="s">
        <v>197</v>
      </c>
      <c r="G1171" t="s">
        <v>197</v>
      </c>
      <c r="H1171" t="s">
        <v>197</v>
      </c>
      <c r="I1171" t="s">
        <v>197</v>
      </c>
      <c r="J1171" t="s">
        <v>197</v>
      </c>
      <c r="K1171" t="s">
        <v>802</v>
      </c>
    </row>
    <row r="1172" spans="1:24">
      <c r="B1172" t="s">
        <v>197</v>
      </c>
      <c r="C1172" t="s">
        <v>197</v>
      </c>
      <c r="D1172" t="s">
        <v>197</v>
      </c>
      <c r="E1172" t="s">
        <v>197</v>
      </c>
      <c r="F1172" t="s">
        <v>197</v>
      </c>
      <c r="G1172" t="s">
        <v>197</v>
      </c>
      <c r="H1172" t="s">
        <v>197</v>
      </c>
      <c r="I1172" t="s">
        <v>197</v>
      </c>
      <c r="J1172" t="s">
        <v>197</v>
      </c>
      <c r="K1172" t="s">
        <v>803</v>
      </c>
    </row>
    <row r="1173" spans="1:24">
      <c r="B1173" t="s">
        <v>197</v>
      </c>
      <c r="C1173" t="s">
        <v>197</v>
      </c>
      <c r="D1173" t="s">
        <v>197</v>
      </c>
      <c r="E1173" t="s">
        <v>197</v>
      </c>
      <c r="F1173" t="s">
        <v>197</v>
      </c>
      <c r="G1173" t="s">
        <v>197</v>
      </c>
      <c r="H1173" t="s">
        <v>197</v>
      </c>
      <c r="I1173" t="s">
        <v>197</v>
      </c>
      <c r="J1173" t="s">
        <v>197</v>
      </c>
      <c r="K1173" t="s">
        <v>804</v>
      </c>
    </row>
    <row r="1174" spans="1:24">
      <c r="B1174" t="s">
        <v>197</v>
      </c>
      <c r="C1174" t="s">
        <v>197</v>
      </c>
      <c r="D1174" t="s">
        <v>197</v>
      </c>
      <c r="E1174" t="s">
        <v>197</v>
      </c>
      <c r="F1174" t="s">
        <v>197</v>
      </c>
      <c r="G1174" t="s">
        <v>197</v>
      </c>
      <c r="H1174" t="s">
        <v>197</v>
      </c>
      <c r="I1174" t="s">
        <v>197</v>
      </c>
      <c r="J1174" t="s">
        <v>197</v>
      </c>
      <c r="K1174" t="s">
        <v>805</v>
      </c>
    </row>
    <row r="1175" spans="1:24">
      <c r="B1175" t="s">
        <v>197</v>
      </c>
      <c r="C1175" t="s">
        <v>197</v>
      </c>
      <c r="D1175" t="s">
        <v>197</v>
      </c>
      <c r="E1175" t="s">
        <v>197</v>
      </c>
      <c r="F1175" t="s">
        <v>197</v>
      </c>
      <c r="G1175" t="s">
        <v>197</v>
      </c>
      <c r="H1175" t="s">
        <v>197</v>
      </c>
      <c r="I1175" t="s">
        <v>197</v>
      </c>
      <c r="J1175" t="s">
        <v>197</v>
      </c>
      <c r="K1175" t="s">
        <v>806</v>
      </c>
    </row>
    <row r="1176" spans="1:24">
      <c r="B1176" t="s">
        <v>197</v>
      </c>
      <c r="C1176" t="s">
        <v>197</v>
      </c>
      <c r="D1176" t="s">
        <v>197</v>
      </c>
      <c r="E1176" t="s">
        <v>197</v>
      </c>
      <c r="F1176" t="s">
        <v>197</v>
      </c>
      <c r="G1176" t="s">
        <v>197</v>
      </c>
      <c r="H1176" t="s">
        <v>197</v>
      </c>
      <c r="I1176" t="s">
        <v>197</v>
      </c>
      <c r="J1176" t="s">
        <v>197</v>
      </c>
      <c r="K1176" t="s">
        <v>807</v>
      </c>
    </row>
    <row r="1177" spans="1:24">
      <c r="A1177" t="s">
        <v>1099</v>
      </c>
      <c r="K1177" t="s">
        <v>1100</v>
      </c>
      <c r="W1177" s="1" t="str">
        <f>HYPERLINK("#2026042000hbase2!BJ2","NO 源备存在差异，共2个")</f>
        <v>NO 源备存在差异，共2个</v>
      </c>
      <c r="X1177" t="str">
        <f>A1177</f>
        <v>info_sql_variant_dml_single_pk</v>
      </c>
    </row>
    <row r="1178" spans="1:24">
      <c r="B1178" t="s">
        <v>196</v>
      </c>
      <c r="C1178" t="s">
        <v>197</v>
      </c>
      <c r="D1178" t="s">
        <v>197</v>
      </c>
      <c r="E1178" t="s">
        <v>197</v>
      </c>
      <c r="F1178" t="s">
        <v>197</v>
      </c>
      <c r="G1178" t="s">
        <v>197</v>
      </c>
      <c r="H1178" t="s">
        <v>197</v>
      </c>
      <c r="I1178" t="s">
        <v>1101</v>
      </c>
      <c r="J1178" t="s">
        <v>199</v>
      </c>
      <c r="K1178" t="s">
        <v>200</v>
      </c>
    </row>
    <row r="1179" spans="1:24">
      <c r="B1179" t="s">
        <v>197</v>
      </c>
      <c r="C1179" t="s">
        <v>197</v>
      </c>
      <c r="D1179" t="s">
        <v>197</v>
      </c>
      <c r="E1179" t="s">
        <v>197</v>
      </c>
      <c r="F1179" t="s">
        <v>197</v>
      </c>
      <c r="G1179" t="s">
        <v>197</v>
      </c>
      <c r="H1179" t="s">
        <v>197</v>
      </c>
      <c r="I1179" t="s">
        <v>197</v>
      </c>
      <c r="J1179" t="s">
        <v>197</v>
      </c>
      <c r="K1179" t="s">
        <v>1006</v>
      </c>
    </row>
    <row r="1180" spans="1:24">
      <c r="B1180" t="s">
        <v>197</v>
      </c>
      <c r="C1180" t="s">
        <v>197</v>
      </c>
      <c r="D1180" t="s">
        <v>197</v>
      </c>
      <c r="E1180" t="s">
        <v>197</v>
      </c>
      <c r="F1180" t="s">
        <v>197</v>
      </c>
      <c r="G1180" t="s">
        <v>197</v>
      </c>
      <c r="H1180" t="s">
        <v>197</v>
      </c>
      <c r="I1180" t="s">
        <v>197</v>
      </c>
      <c r="J1180" t="s">
        <v>197</v>
      </c>
      <c r="K1180" t="s">
        <v>1007</v>
      </c>
    </row>
    <row r="1181" spans="1:24">
      <c r="B1181" t="s">
        <v>197</v>
      </c>
      <c r="C1181" t="s">
        <v>197</v>
      </c>
      <c r="D1181" t="s">
        <v>197</v>
      </c>
      <c r="E1181" t="s">
        <v>197</v>
      </c>
      <c r="F1181" t="s">
        <v>197</v>
      </c>
      <c r="G1181" t="s">
        <v>197</v>
      </c>
      <c r="H1181" t="s">
        <v>197</v>
      </c>
      <c r="I1181" t="s">
        <v>197</v>
      </c>
      <c r="J1181" t="s">
        <v>197</v>
      </c>
      <c r="K1181" t="s">
        <v>1008</v>
      </c>
    </row>
    <row r="1182" spans="1:24">
      <c r="B1182" t="s">
        <v>197</v>
      </c>
      <c r="C1182" t="s">
        <v>197</v>
      </c>
      <c r="D1182" t="s">
        <v>197</v>
      </c>
      <c r="E1182" t="s">
        <v>197</v>
      </c>
      <c r="F1182" t="s">
        <v>197</v>
      </c>
      <c r="G1182" t="s">
        <v>197</v>
      </c>
      <c r="H1182" t="s">
        <v>197</v>
      </c>
      <c r="I1182" t="s">
        <v>197</v>
      </c>
      <c r="J1182" t="s">
        <v>197</v>
      </c>
      <c r="K1182" t="s">
        <v>1009</v>
      </c>
    </row>
    <row r="1183" spans="1:24">
      <c r="B1183" t="s">
        <v>197</v>
      </c>
      <c r="C1183" t="s">
        <v>197</v>
      </c>
      <c r="D1183" t="s">
        <v>197</v>
      </c>
      <c r="E1183" t="s">
        <v>197</v>
      </c>
      <c r="F1183" t="s">
        <v>197</v>
      </c>
      <c r="G1183" t="s">
        <v>197</v>
      </c>
      <c r="H1183" t="s">
        <v>197</v>
      </c>
      <c r="I1183" t="s">
        <v>197</v>
      </c>
      <c r="J1183" t="s">
        <v>197</v>
      </c>
      <c r="K1183" t="s">
        <v>1010</v>
      </c>
    </row>
    <row r="1184" spans="1:24">
      <c r="B1184" t="s">
        <v>197</v>
      </c>
      <c r="C1184" t="s">
        <v>197</v>
      </c>
      <c r="D1184" t="s">
        <v>197</v>
      </c>
      <c r="E1184" t="s">
        <v>197</v>
      </c>
      <c r="F1184" t="s">
        <v>197</v>
      </c>
      <c r="G1184" t="s">
        <v>197</v>
      </c>
      <c r="H1184" t="s">
        <v>197</v>
      </c>
      <c r="I1184" t="s">
        <v>197</v>
      </c>
      <c r="J1184" t="s">
        <v>197</v>
      </c>
      <c r="K1184" t="s">
        <v>1011</v>
      </c>
    </row>
    <row r="1185" spans="2:11">
      <c r="B1185" t="s">
        <v>197</v>
      </c>
      <c r="C1185" t="s">
        <v>197</v>
      </c>
      <c r="D1185" t="s">
        <v>197</v>
      </c>
      <c r="E1185" t="s">
        <v>197</v>
      </c>
      <c r="F1185" t="s">
        <v>197</v>
      </c>
      <c r="G1185" t="s">
        <v>197</v>
      </c>
      <c r="H1185" t="s">
        <v>197</v>
      </c>
      <c r="I1185" t="s">
        <v>197</v>
      </c>
      <c r="J1185" t="s">
        <v>197</v>
      </c>
      <c r="K1185" t="s">
        <v>1012</v>
      </c>
    </row>
    <row r="1186" spans="2:11">
      <c r="B1186" t="s">
        <v>197</v>
      </c>
      <c r="C1186" t="s">
        <v>197</v>
      </c>
      <c r="D1186" t="s">
        <v>197</v>
      </c>
      <c r="E1186" t="s">
        <v>197</v>
      </c>
      <c r="F1186" t="s">
        <v>197</v>
      </c>
      <c r="G1186" t="s">
        <v>197</v>
      </c>
      <c r="H1186" t="s">
        <v>197</v>
      </c>
      <c r="I1186" t="s">
        <v>197</v>
      </c>
      <c r="J1186" t="s">
        <v>197</v>
      </c>
      <c r="K1186" t="s">
        <v>1013</v>
      </c>
    </row>
    <row r="1187" spans="2:11">
      <c r="B1187" t="s">
        <v>197</v>
      </c>
      <c r="C1187" t="s">
        <v>197</v>
      </c>
      <c r="D1187" t="s">
        <v>197</v>
      </c>
      <c r="E1187" t="s">
        <v>197</v>
      </c>
      <c r="F1187" t="s">
        <v>197</v>
      </c>
      <c r="G1187" t="s">
        <v>197</v>
      </c>
      <c r="H1187" t="s">
        <v>197</v>
      </c>
      <c r="I1187" t="s">
        <v>197</v>
      </c>
      <c r="J1187" t="s">
        <v>197</v>
      </c>
      <c r="K1187" t="s">
        <v>1014</v>
      </c>
    </row>
    <row r="1188" spans="2:11">
      <c r="B1188" t="s">
        <v>197</v>
      </c>
      <c r="C1188" t="s">
        <v>197</v>
      </c>
      <c r="D1188" t="s">
        <v>197</v>
      </c>
      <c r="E1188" t="s">
        <v>197</v>
      </c>
      <c r="F1188" t="s">
        <v>197</v>
      </c>
      <c r="G1188" t="s">
        <v>197</v>
      </c>
      <c r="H1188" t="s">
        <v>197</v>
      </c>
      <c r="I1188" t="s">
        <v>197</v>
      </c>
      <c r="J1188" t="s">
        <v>197</v>
      </c>
      <c r="K1188" t="s">
        <v>1015</v>
      </c>
    </row>
    <row r="1189" spans="2:11">
      <c r="B1189" t="s">
        <v>197</v>
      </c>
      <c r="C1189" t="s">
        <v>197</v>
      </c>
      <c r="D1189" t="s">
        <v>197</v>
      </c>
      <c r="E1189" t="s">
        <v>197</v>
      </c>
      <c r="F1189" t="s">
        <v>197</v>
      </c>
      <c r="G1189" t="s">
        <v>197</v>
      </c>
      <c r="H1189" t="s">
        <v>197</v>
      </c>
      <c r="I1189" t="s">
        <v>197</v>
      </c>
      <c r="J1189" t="s">
        <v>197</v>
      </c>
      <c r="K1189" t="s">
        <v>1016</v>
      </c>
    </row>
    <row r="1190" spans="2:11">
      <c r="B1190" t="s">
        <v>197</v>
      </c>
      <c r="C1190" t="s">
        <v>197</v>
      </c>
      <c r="D1190" t="s">
        <v>197</v>
      </c>
      <c r="E1190" t="s">
        <v>197</v>
      </c>
      <c r="F1190" t="s">
        <v>197</v>
      </c>
      <c r="G1190" t="s">
        <v>197</v>
      </c>
      <c r="H1190" t="s">
        <v>197</v>
      </c>
      <c r="I1190" t="s">
        <v>197</v>
      </c>
      <c r="J1190" t="s">
        <v>197</v>
      </c>
      <c r="K1190" t="s">
        <v>1017</v>
      </c>
    </row>
    <row r="1191" spans="2:11">
      <c r="B1191" t="s">
        <v>197</v>
      </c>
      <c r="C1191" t="s">
        <v>197</v>
      </c>
      <c r="D1191" t="s">
        <v>197</v>
      </c>
      <c r="E1191" t="s">
        <v>197</v>
      </c>
      <c r="F1191" t="s">
        <v>197</v>
      </c>
      <c r="G1191" t="s">
        <v>197</v>
      </c>
      <c r="H1191" t="s">
        <v>197</v>
      </c>
      <c r="I1191" t="s">
        <v>197</v>
      </c>
      <c r="J1191" t="s">
        <v>197</v>
      </c>
      <c r="K1191" t="s">
        <v>1018</v>
      </c>
    </row>
    <row r="1192" spans="2:11">
      <c r="B1192" t="s">
        <v>197</v>
      </c>
      <c r="C1192" t="s">
        <v>197</v>
      </c>
      <c r="D1192" t="s">
        <v>197</v>
      </c>
      <c r="E1192" t="s">
        <v>197</v>
      </c>
      <c r="F1192" t="s">
        <v>197</v>
      </c>
      <c r="G1192" t="s">
        <v>197</v>
      </c>
      <c r="H1192" t="s">
        <v>197</v>
      </c>
      <c r="I1192" t="s">
        <v>197</v>
      </c>
      <c r="J1192" t="s">
        <v>197</v>
      </c>
      <c r="K1192" t="s">
        <v>1019</v>
      </c>
    </row>
    <row r="1193" spans="2:11">
      <c r="B1193" t="s">
        <v>197</v>
      </c>
      <c r="C1193" t="s">
        <v>197</v>
      </c>
      <c r="D1193" t="s">
        <v>197</v>
      </c>
      <c r="E1193" t="s">
        <v>197</v>
      </c>
      <c r="F1193" t="s">
        <v>197</v>
      </c>
      <c r="G1193" t="s">
        <v>197</v>
      </c>
      <c r="H1193" t="s">
        <v>197</v>
      </c>
      <c r="I1193" t="s">
        <v>197</v>
      </c>
      <c r="J1193" t="s">
        <v>197</v>
      </c>
      <c r="K1193" t="s">
        <v>1020</v>
      </c>
    </row>
    <row r="1194" spans="2:11">
      <c r="B1194" t="s">
        <v>197</v>
      </c>
      <c r="C1194" t="s">
        <v>197</v>
      </c>
      <c r="D1194" t="s">
        <v>197</v>
      </c>
      <c r="E1194" t="s">
        <v>197</v>
      </c>
      <c r="F1194" t="s">
        <v>197</v>
      </c>
      <c r="G1194" t="s">
        <v>197</v>
      </c>
      <c r="H1194" t="s">
        <v>197</v>
      </c>
      <c r="I1194" t="s">
        <v>197</v>
      </c>
      <c r="J1194" t="s">
        <v>197</v>
      </c>
      <c r="K1194" t="s">
        <v>1021</v>
      </c>
    </row>
    <row r="1195" spans="2:11">
      <c r="B1195" t="s">
        <v>197</v>
      </c>
      <c r="C1195" t="s">
        <v>197</v>
      </c>
      <c r="D1195" t="s">
        <v>197</v>
      </c>
      <c r="E1195" t="s">
        <v>197</v>
      </c>
      <c r="F1195" t="s">
        <v>197</v>
      </c>
      <c r="G1195" t="s">
        <v>197</v>
      </c>
      <c r="H1195" t="s">
        <v>197</v>
      </c>
      <c r="I1195" t="s">
        <v>197</v>
      </c>
      <c r="J1195" t="s">
        <v>197</v>
      </c>
      <c r="K1195" t="s">
        <v>1022</v>
      </c>
    </row>
    <row r="1196" spans="2:11">
      <c r="B1196" t="s">
        <v>197</v>
      </c>
      <c r="C1196" t="s">
        <v>197</v>
      </c>
      <c r="D1196" t="s">
        <v>197</v>
      </c>
      <c r="E1196" t="s">
        <v>197</v>
      </c>
      <c r="F1196" t="s">
        <v>197</v>
      </c>
      <c r="G1196" t="s">
        <v>197</v>
      </c>
      <c r="H1196" t="s">
        <v>197</v>
      </c>
      <c r="I1196" t="s">
        <v>197</v>
      </c>
      <c r="J1196" t="s">
        <v>197</v>
      </c>
      <c r="K1196" t="s">
        <v>1023</v>
      </c>
    </row>
    <row r="1197" spans="2:11">
      <c r="B1197" t="s">
        <v>197</v>
      </c>
      <c r="C1197" t="s">
        <v>197</v>
      </c>
      <c r="D1197" t="s">
        <v>197</v>
      </c>
      <c r="E1197" t="s">
        <v>197</v>
      </c>
      <c r="F1197" t="s">
        <v>197</v>
      </c>
      <c r="G1197" t="s">
        <v>197</v>
      </c>
      <c r="H1197" t="s">
        <v>197</v>
      </c>
      <c r="I1197" t="s">
        <v>197</v>
      </c>
      <c r="J1197" t="s">
        <v>197</v>
      </c>
      <c r="K1197" t="s">
        <v>1024</v>
      </c>
    </row>
    <row r="1198" spans="2:11">
      <c r="B1198" t="s">
        <v>197</v>
      </c>
      <c r="C1198" t="s">
        <v>197</v>
      </c>
      <c r="D1198" t="s">
        <v>197</v>
      </c>
      <c r="E1198" t="s">
        <v>197</v>
      </c>
      <c r="F1198" t="s">
        <v>197</v>
      </c>
      <c r="G1198" t="s">
        <v>197</v>
      </c>
      <c r="H1198" t="s">
        <v>197</v>
      </c>
      <c r="I1198" t="s">
        <v>197</v>
      </c>
      <c r="J1198" t="s">
        <v>197</v>
      </c>
      <c r="K1198" t="s">
        <v>1025</v>
      </c>
    </row>
    <row r="1199" spans="2:11">
      <c r="B1199" t="s">
        <v>197</v>
      </c>
      <c r="C1199" t="s">
        <v>197</v>
      </c>
      <c r="D1199" t="s">
        <v>197</v>
      </c>
      <c r="E1199" t="s">
        <v>197</v>
      </c>
      <c r="F1199" t="s">
        <v>197</v>
      </c>
      <c r="G1199" t="s">
        <v>197</v>
      </c>
      <c r="H1199" t="s">
        <v>197</v>
      </c>
      <c r="I1199" t="s">
        <v>197</v>
      </c>
      <c r="J1199" t="s">
        <v>197</v>
      </c>
      <c r="K1199" t="s">
        <v>1026</v>
      </c>
    </row>
    <row r="1200" spans="2:11">
      <c r="B1200" t="s">
        <v>197</v>
      </c>
      <c r="C1200" t="s">
        <v>197</v>
      </c>
      <c r="D1200" t="s">
        <v>197</v>
      </c>
      <c r="E1200" t="s">
        <v>197</v>
      </c>
      <c r="F1200" t="s">
        <v>197</v>
      </c>
      <c r="G1200" t="s">
        <v>197</v>
      </c>
      <c r="H1200" t="s">
        <v>197</v>
      </c>
      <c r="I1200" t="s">
        <v>197</v>
      </c>
      <c r="J1200" t="s">
        <v>197</v>
      </c>
      <c r="K1200" t="s">
        <v>1027</v>
      </c>
    </row>
    <row r="1201" spans="1:24">
      <c r="B1201" t="s">
        <v>197</v>
      </c>
      <c r="C1201" t="s">
        <v>197</v>
      </c>
      <c r="D1201" t="s">
        <v>197</v>
      </c>
      <c r="E1201" t="s">
        <v>197</v>
      </c>
      <c r="F1201" t="s">
        <v>197</v>
      </c>
      <c r="G1201" t="s">
        <v>197</v>
      </c>
      <c r="H1201" t="s">
        <v>197</v>
      </c>
      <c r="I1201" t="s">
        <v>197</v>
      </c>
      <c r="J1201" t="s">
        <v>197</v>
      </c>
      <c r="K1201" t="s">
        <v>1028</v>
      </c>
    </row>
    <row r="1202" spans="1:24">
      <c r="B1202" t="s">
        <v>197</v>
      </c>
      <c r="C1202" t="s">
        <v>197</v>
      </c>
      <c r="D1202" t="s">
        <v>197</v>
      </c>
      <c r="E1202" t="s">
        <v>197</v>
      </c>
      <c r="F1202" t="s">
        <v>197</v>
      </c>
      <c r="G1202" t="s">
        <v>197</v>
      </c>
      <c r="H1202" t="s">
        <v>197</v>
      </c>
      <c r="I1202" t="s">
        <v>197</v>
      </c>
      <c r="J1202" t="s">
        <v>197</v>
      </c>
      <c r="K1202" t="s">
        <v>1029</v>
      </c>
    </row>
    <row r="1203" spans="1:24">
      <c r="A1203" t="s">
        <v>1105</v>
      </c>
      <c r="K1203" t="s">
        <v>1106</v>
      </c>
      <c r="W1203" t="s">
        <v>171</v>
      </c>
      <c r="X1203" t="str">
        <f>A1203</f>
        <v>info_time_dml_batch1_pk_urp2</v>
      </c>
    </row>
    <row r="1204" spans="1:24">
      <c r="B1204" t="s">
        <v>196</v>
      </c>
      <c r="C1204" t="s">
        <v>197</v>
      </c>
      <c r="D1204" t="s">
        <v>197</v>
      </c>
      <c r="E1204" t="s">
        <v>197</v>
      </c>
      <c r="F1204" t="s">
        <v>197</v>
      </c>
      <c r="G1204" t="s">
        <v>197</v>
      </c>
      <c r="H1204" t="s">
        <v>197</v>
      </c>
      <c r="I1204" t="s">
        <v>1107</v>
      </c>
      <c r="J1204" t="s">
        <v>199</v>
      </c>
      <c r="K1204" t="s">
        <v>200</v>
      </c>
    </row>
    <row r="1205" spans="1:24">
      <c r="B1205" t="s">
        <v>197</v>
      </c>
      <c r="C1205" t="s">
        <v>197</v>
      </c>
      <c r="D1205" t="s">
        <v>197</v>
      </c>
      <c r="E1205" t="s">
        <v>197</v>
      </c>
      <c r="F1205" t="s">
        <v>197</v>
      </c>
      <c r="G1205" t="s">
        <v>197</v>
      </c>
      <c r="H1205" t="s">
        <v>197</v>
      </c>
      <c r="I1205" t="s">
        <v>197</v>
      </c>
      <c r="J1205" t="s">
        <v>197</v>
      </c>
      <c r="K1205" t="s">
        <v>800</v>
      </c>
    </row>
    <row r="1206" spans="1:24">
      <c r="B1206" t="s">
        <v>197</v>
      </c>
      <c r="C1206" t="s">
        <v>197</v>
      </c>
      <c r="D1206" t="s">
        <v>197</v>
      </c>
      <c r="E1206" t="s">
        <v>197</v>
      </c>
      <c r="F1206" t="s">
        <v>197</v>
      </c>
      <c r="G1206" t="s">
        <v>197</v>
      </c>
      <c r="H1206" t="s">
        <v>197</v>
      </c>
      <c r="I1206" t="s">
        <v>197</v>
      </c>
      <c r="J1206" t="s">
        <v>197</v>
      </c>
      <c r="K1206" t="s">
        <v>801</v>
      </c>
    </row>
    <row r="1207" spans="1:24">
      <c r="B1207" t="s">
        <v>197</v>
      </c>
      <c r="C1207" t="s">
        <v>197</v>
      </c>
      <c r="D1207" t="s">
        <v>197</v>
      </c>
      <c r="E1207" t="s">
        <v>197</v>
      </c>
      <c r="F1207" t="s">
        <v>197</v>
      </c>
      <c r="G1207" t="s">
        <v>197</v>
      </c>
      <c r="H1207" t="s">
        <v>197</v>
      </c>
      <c r="I1207" t="s">
        <v>197</v>
      </c>
      <c r="J1207" t="s">
        <v>197</v>
      </c>
      <c r="K1207" t="s">
        <v>802</v>
      </c>
    </row>
    <row r="1208" spans="1:24">
      <c r="B1208" t="s">
        <v>197</v>
      </c>
      <c r="C1208" t="s">
        <v>197</v>
      </c>
      <c r="D1208" t="s">
        <v>197</v>
      </c>
      <c r="E1208" t="s">
        <v>197</v>
      </c>
      <c r="F1208" t="s">
        <v>197</v>
      </c>
      <c r="G1208" t="s">
        <v>197</v>
      </c>
      <c r="H1208" t="s">
        <v>197</v>
      </c>
      <c r="I1208" t="s">
        <v>197</v>
      </c>
      <c r="J1208" t="s">
        <v>197</v>
      </c>
      <c r="K1208" t="s">
        <v>803</v>
      </c>
    </row>
    <row r="1209" spans="1:24">
      <c r="B1209" t="s">
        <v>197</v>
      </c>
      <c r="C1209" t="s">
        <v>197</v>
      </c>
      <c r="D1209" t="s">
        <v>197</v>
      </c>
      <c r="E1209" t="s">
        <v>197</v>
      </c>
      <c r="F1209" t="s">
        <v>197</v>
      </c>
      <c r="G1209" t="s">
        <v>197</v>
      </c>
      <c r="H1209" t="s">
        <v>197</v>
      </c>
      <c r="I1209" t="s">
        <v>197</v>
      </c>
      <c r="J1209" t="s">
        <v>197</v>
      </c>
      <c r="K1209" t="s">
        <v>804</v>
      </c>
    </row>
    <row r="1210" spans="1:24">
      <c r="B1210" t="s">
        <v>197</v>
      </c>
      <c r="C1210" t="s">
        <v>197</v>
      </c>
      <c r="D1210" t="s">
        <v>197</v>
      </c>
      <c r="E1210" t="s">
        <v>197</v>
      </c>
      <c r="F1210" t="s">
        <v>197</v>
      </c>
      <c r="G1210" t="s">
        <v>197</v>
      </c>
      <c r="H1210" t="s">
        <v>197</v>
      </c>
      <c r="I1210" t="s">
        <v>197</v>
      </c>
      <c r="J1210" t="s">
        <v>197</v>
      </c>
      <c r="K1210" t="s">
        <v>805</v>
      </c>
    </row>
    <row r="1211" spans="1:24">
      <c r="B1211" t="s">
        <v>197</v>
      </c>
      <c r="C1211" t="s">
        <v>197</v>
      </c>
      <c r="D1211" t="s">
        <v>197</v>
      </c>
      <c r="E1211" t="s">
        <v>197</v>
      </c>
      <c r="F1211" t="s">
        <v>197</v>
      </c>
      <c r="G1211" t="s">
        <v>197</v>
      </c>
      <c r="H1211" t="s">
        <v>197</v>
      </c>
      <c r="I1211" t="s">
        <v>197</v>
      </c>
      <c r="J1211" t="s">
        <v>197</v>
      </c>
      <c r="K1211" t="s">
        <v>806</v>
      </c>
    </row>
    <row r="1212" spans="1:24">
      <c r="B1212" t="s">
        <v>197</v>
      </c>
      <c r="C1212" t="s">
        <v>197</v>
      </c>
      <c r="D1212" t="s">
        <v>197</v>
      </c>
      <c r="E1212" t="s">
        <v>197</v>
      </c>
      <c r="F1212" t="s">
        <v>197</v>
      </c>
      <c r="G1212" t="s">
        <v>197</v>
      </c>
      <c r="H1212" t="s">
        <v>197</v>
      </c>
      <c r="I1212" t="s">
        <v>197</v>
      </c>
      <c r="J1212" t="s">
        <v>197</v>
      </c>
      <c r="K1212" t="s">
        <v>807</v>
      </c>
    </row>
    <row r="1213" spans="1:24">
      <c r="A1213" t="s">
        <v>1102</v>
      </c>
      <c r="K1213" t="s">
        <v>1103</v>
      </c>
      <c r="W1213" t="s">
        <v>171</v>
      </c>
      <c r="X1213" t="str">
        <f>A1213</f>
        <v>info_uniqueidentifier_dml_single_pk_drp</v>
      </c>
    </row>
    <row r="1214" spans="1:24">
      <c r="B1214" t="s">
        <v>196</v>
      </c>
      <c r="C1214" t="s">
        <v>197</v>
      </c>
      <c r="D1214" t="s">
        <v>197</v>
      </c>
      <c r="E1214" t="s">
        <v>197</v>
      </c>
      <c r="F1214" t="s">
        <v>197</v>
      </c>
      <c r="G1214" t="s">
        <v>197</v>
      </c>
      <c r="H1214" t="s">
        <v>197</v>
      </c>
      <c r="I1214" t="s">
        <v>1104</v>
      </c>
      <c r="J1214" t="s">
        <v>199</v>
      </c>
      <c r="K1214" t="s">
        <v>200</v>
      </c>
    </row>
    <row r="1215" spans="1:24">
      <c r="B1215" t="s">
        <v>197</v>
      </c>
      <c r="C1215" t="s">
        <v>197</v>
      </c>
      <c r="D1215" t="s">
        <v>197</v>
      </c>
      <c r="E1215" t="s">
        <v>197</v>
      </c>
      <c r="F1215" t="s">
        <v>197</v>
      </c>
      <c r="G1215" t="s">
        <v>197</v>
      </c>
      <c r="H1215" t="s">
        <v>197</v>
      </c>
      <c r="I1215" t="s">
        <v>197</v>
      </c>
      <c r="J1215" t="s">
        <v>197</v>
      </c>
      <c r="K1215" t="s">
        <v>1039</v>
      </c>
    </row>
    <row r="1216" spans="1:24">
      <c r="A1216" t="s">
        <v>1108</v>
      </c>
      <c r="K1216" t="s">
        <v>1109</v>
      </c>
      <c r="W1216" t="s">
        <v>171</v>
      </c>
      <c r="X1216" t="str">
        <f>A1216</f>
        <v>info_datetime2_dml_single_pk_drp</v>
      </c>
    </row>
    <row r="1217" spans="1:24">
      <c r="B1217" t="s">
        <v>196</v>
      </c>
      <c r="C1217" t="s">
        <v>197</v>
      </c>
      <c r="D1217" t="s">
        <v>197</v>
      </c>
      <c r="E1217" t="s">
        <v>197</v>
      </c>
      <c r="F1217" t="s">
        <v>197</v>
      </c>
      <c r="G1217" t="s">
        <v>197</v>
      </c>
      <c r="H1217" t="s">
        <v>197</v>
      </c>
      <c r="I1217" t="s">
        <v>1110</v>
      </c>
      <c r="J1217" t="s">
        <v>199</v>
      </c>
      <c r="K1217" t="s">
        <v>200</v>
      </c>
    </row>
    <row r="1218" spans="1:24">
      <c r="B1218" t="s">
        <v>197</v>
      </c>
      <c r="C1218" t="s">
        <v>197</v>
      </c>
      <c r="D1218" t="s">
        <v>197</v>
      </c>
      <c r="E1218" t="s">
        <v>197</v>
      </c>
      <c r="F1218" t="s">
        <v>197</v>
      </c>
      <c r="G1218" t="s">
        <v>197</v>
      </c>
      <c r="H1218" t="s">
        <v>197</v>
      </c>
      <c r="I1218" t="s">
        <v>197</v>
      </c>
      <c r="J1218" t="s">
        <v>197</v>
      </c>
      <c r="K1218" t="s">
        <v>667</v>
      </c>
    </row>
    <row r="1219" spans="1:24">
      <c r="B1219" t="s">
        <v>197</v>
      </c>
      <c r="C1219" t="s">
        <v>197</v>
      </c>
      <c r="D1219" t="s">
        <v>197</v>
      </c>
      <c r="E1219" t="s">
        <v>197</v>
      </c>
      <c r="F1219" t="s">
        <v>197</v>
      </c>
      <c r="G1219" t="s">
        <v>197</v>
      </c>
      <c r="H1219" t="s">
        <v>197</v>
      </c>
      <c r="I1219" t="s">
        <v>197</v>
      </c>
      <c r="J1219" t="s">
        <v>197</v>
      </c>
      <c r="K1219" t="s">
        <v>668</v>
      </c>
    </row>
    <row r="1220" spans="1:24">
      <c r="B1220" t="s">
        <v>197</v>
      </c>
      <c r="C1220" t="s">
        <v>197</v>
      </c>
      <c r="D1220" t="s">
        <v>197</v>
      </c>
      <c r="E1220" t="s">
        <v>197</v>
      </c>
      <c r="F1220" t="s">
        <v>197</v>
      </c>
      <c r="G1220" t="s">
        <v>197</v>
      </c>
      <c r="H1220" t="s">
        <v>197</v>
      </c>
      <c r="I1220" t="s">
        <v>197</v>
      </c>
      <c r="J1220" t="s">
        <v>197</v>
      </c>
      <c r="K1220" t="s">
        <v>669</v>
      </c>
    </row>
    <row r="1221" spans="1:24">
      <c r="B1221" t="s">
        <v>197</v>
      </c>
      <c r="C1221" t="s">
        <v>197</v>
      </c>
      <c r="D1221" t="s">
        <v>197</v>
      </c>
      <c r="E1221" t="s">
        <v>197</v>
      </c>
      <c r="F1221" t="s">
        <v>197</v>
      </c>
      <c r="G1221" t="s">
        <v>197</v>
      </c>
      <c r="H1221" t="s">
        <v>197</v>
      </c>
      <c r="I1221" t="s">
        <v>197</v>
      </c>
      <c r="J1221" t="s">
        <v>197</v>
      </c>
      <c r="K1221" t="s">
        <v>670</v>
      </c>
    </row>
    <row r="1222" spans="1:24">
      <c r="B1222" t="s">
        <v>197</v>
      </c>
      <c r="C1222" t="s">
        <v>197</v>
      </c>
      <c r="D1222" t="s">
        <v>197</v>
      </c>
      <c r="E1222" t="s">
        <v>197</v>
      </c>
      <c r="F1222" t="s">
        <v>197</v>
      </c>
      <c r="G1222" t="s">
        <v>197</v>
      </c>
      <c r="H1222" t="s">
        <v>197</v>
      </c>
      <c r="I1222" t="s">
        <v>197</v>
      </c>
      <c r="J1222" t="s">
        <v>197</v>
      </c>
      <c r="K1222" t="s">
        <v>671</v>
      </c>
    </row>
    <row r="1223" spans="1:24">
      <c r="B1223" t="s">
        <v>197</v>
      </c>
      <c r="C1223" t="s">
        <v>197</v>
      </c>
      <c r="D1223" t="s">
        <v>197</v>
      </c>
      <c r="E1223" t="s">
        <v>197</v>
      </c>
      <c r="F1223" t="s">
        <v>197</v>
      </c>
      <c r="G1223" t="s">
        <v>197</v>
      </c>
      <c r="H1223" t="s">
        <v>197</v>
      </c>
      <c r="I1223" t="s">
        <v>197</v>
      </c>
      <c r="J1223" t="s">
        <v>197</v>
      </c>
      <c r="K1223" t="s">
        <v>672</v>
      </c>
    </row>
    <row r="1224" spans="1:24">
      <c r="B1224" t="s">
        <v>197</v>
      </c>
      <c r="C1224" t="s">
        <v>197</v>
      </c>
      <c r="D1224" t="s">
        <v>197</v>
      </c>
      <c r="E1224" t="s">
        <v>197</v>
      </c>
      <c r="F1224" t="s">
        <v>197</v>
      </c>
      <c r="G1224" t="s">
        <v>197</v>
      </c>
      <c r="H1224" t="s">
        <v>197</v>
      </c>
      <c r="I1224" t="s">
        <v>197</v>
      </c>
      <c r="J1224" t="s">
        <v>197</v>
      </c>
      <c r="K1224" t="s">
        <v>673</v>
      </c>
    </row>
    <row r="1225" spans="1:24">
      <c r="B1225" t="s">
        <v>197</v>
      </c>
      <c r="C1225" t="s">
        <v>197</v>
      </c>
      <c r="D1225" t="s">
        <v>197</v>
      </c>
      <c r="E1225" t="s">
        <v>197</v>
      </c>
      <c r="F1225" t="s">
        <v>197</v>
      </c>
      <c r="G1225" t="s">
        <v>197</v>
      </c>
      <c r="H1225" t="s">
        <v>197</v>
      </c>
      <c r="I1225" t="s">
        <v>197</v>
      </c>
      <c r="J1225" t="s">
        <v>197</v>
      </c>
      <c r="K1225" t="s">
        <v>674</v>
      </c>
    </row>
    <row r="1226" spans="1:24">
      <c r="A1226" t="s">
        <v>1111</v>
      </c>
      <c r="K1226" t="s">
        <v>1112</v>
      </c>
      <c r="W1226" t="s">
        <v>171</v>
      </c>
      <c r="X1226" t="str">
        <f>A1226</f>
        <v>info_varchar_dml_single_pk_urp</v>
      </c>
    </row>
    <row r="1227" spans="1:24">
      <c r="B1227" t="s">
        <v>196</v>
      </c>
      <c r="C1227" t="s">
        <v>197</v>
      </c>
      <c r="D1227" t="s">
        <v>197</v>
      </c>
      <c r="E1227" t="s">
        <v>197</v>
      </c>
      <c r="F1227" t="s">
        <v>197</v>
      </c>
      <c r="G1227" t="s">
        <v>197</v>
      </c>
      <c r="H1227" t="s">
        <v>197</v>
      </c>
      <c r="I1227" t="s">
        <v>1113</v>
      </c>
      <c r="J1227" t="s">
        <v>199</v>
      </c>
      <c r="K1227" t="s">
        <v>200</v>
      </c>
    </row>
    <row r="1228" spans="1:24">
      <c r="B1228" t="s">
        <v>197</v>
      </c>
      <c r="C1228" t="s">
        <v>197</v>
      </c>
      <c r="D1228" t="s">
        <v>197</v>
      </c>
      <c r="E1228" t="s">
        <v>197</v>
      </c>
      <c r="F1228" t="s">
        <v>197</v>
      </c>
      <c r="G1228" t="s">
        <v>197</v>
      </c>
      <c r="H1228" t="s">
        <v>197</v>
      </c>
      <c r="I1228" t="s">
        <v>197</v>
      </c>
      <c r="J1228" t="s">
        <v>197</v>
      </c>
      <c r="K1228" t="s">
        <v>431</v>
      </c>
    </row>
    <row r="1229" spans="1:24">
      <c r="B1229" t="s">
        <v>197</v>
      </c>
      <c r="C1229" t="s">
        <v>197</v>
      </c>
      <c r="D1229" t="s">
        <v>197</v>
      </c>
      <c r="E1229" t="s">
        <v>197</v>
      </c>
      <c r="F1229" t="s">
        <v>197</v>
      </c>
      <c r="G1229" t="s">
        <v>197</v>
      </c>
      <c r="H1229" t="s">
        <v>197</v>
      </c>
      <c r="I1229" t="s">
        <v>197</v>
      </c>
      <c r="J1229" t="s">
        <v>197</v>
      </c>
      <c r="K1229" t="s">
        <v>1056</v>
      </c>
    </row>
    <row r="1230" spans="1:24">
      <c r="B1230" t="s">
        <v>197</v>
      </c>
      <c r="C1230" t="s">
        <v>197</v>
      </c>
      <c r="D1230" t="s">
        <v>197</v>
      </c>
      <c r="E1230" t="s">
        <v>197</v>
      </c>
      <c r="F1230" t="s">
        <v>197</v>
      </c>
      <c r="G1230" t="s">
        <v>197</v>
      </c>
      <c r="H1230" t="s">
        <v>197</v>
      </c>
      <c r="I1230" t="s">
        <v>197</v>
      </c>
      <c r="J1230" t="s">
        <v>197</v>
      </c>
      <c r="K1230" t="s">
        <v>963</v>
      </c>
    </row>
    <row r="1231" spans="1:24">
      <c r="A1231" t="s">
        <v>1114</v>
      </c>
      <c r="K1231" t="s">
        <v>1115</v>
      </c>
      <c r="W1231" t="s">
        <v>171</v>
      </c>
      <c r="X1231" t="str">
        <f>A1231</f>
        <v>info_time_dml_batch1_pk_drp1</v>
      </c>
    </row>
    <row r="1232" spans="1:24">
      <c r="B1232" t="s">
        <v>196</v>
      </c>
      <c r="C1232" t="s">
        <v>197</v>
      </c>
      <c r="D1232" t="s">
        <v>197</v>
      </c>
      <c r="E1232" t="s">
        <v>197</v>
      </c>
      <c r="F1232" t="s">
        <v>197</v>
      </c>
      <c r="G1232" t="s">
        <v>197</v>
      </c>
      <c r="H1232" t="s">
        <v>197</v>
      </c>
      <c r="I1232" t="s">
        <v>1116</v>
      </c>
      <c r="J1232" t="s">
        <v>199</v>
      </c>
      <c r="K1232" t="s">
        <v>200</v>
      </c>
    </row>
    <row r="1233" spans="1:24">
      <c r="B1233" t="s">
        <v>197</v>
      </c>
      <c r="C1233" t="s">
        <v>197</v>
      </c>
      <c r="D1233" t="s">
        <v>197</v>
      </c>
      <c r="E1233" t="s">
        <v>197</v>
      </c>
      <c r="F1233" t="s">
        <v>197</v>
      </c>
      <c r="G1233" t="s">
        <v>197</v>
      </c>
      <c r="H1233" t="s">
        <v>197</v>
      </c>
      <c r="I1233" t="s">
        <v>197</v>
      </c>
      <c r="J1233" t="s">
        <v>197</v>
      </c>
      <c r="K1233" t="s">
        <v>800</v>
      </c>
    </row>
    <row r="1234" spans="1:24">
      <c r="B1234" t="s">
        <v>197</v>
      </c>
      <c r="C1234" t="s">
        <v>197</v>
      </c>
      <c r="D1234" t="s">
        <v>197</v>
      </c>
      <c r="E1234" t="s">
        <v>197</v>
      </c>
      <c r="F1234" t="s">
        <v>197</v>
      </c>
      <c r="G1234" t="s">
        <v>197</v>
      </c>
      <c r="H1234" t="s">
        <v>197</v>
      </c>
      <c r="I1234" t="s">
        <v>197</v>
      </c>
      <c r="J1234" t="s">
        <v>197</v>
      </c>
      <c r="K1234" t="s">
        <v>801</v>
      </c>
    </row>
    <row r="1235" spans="1:24">
      <c r="B1235" t="s">
        <v>197</v>
      </c>
      <c r="C1235" t="s">
        <v>197</v>
      </c>
      <c r="D1235" t="s">
        <v>197</v>
      </c>
      <c r="E1235" t="s">
        <v>197</v>
      </c>
      <c r="F1235" t="s">
        <v>197</v>
      </c>
      <c r="G1235" t="s">
        <v>197</v>
      </c>
      <c r="H1235" t="s">
        <v>197</v>
      </c>
      <c r="I1235" t="s">
        <v>197</v>
      </c>
      <c r="J1235" t="s">
        <v>197</v>
      </c>
      <c r="K1235" t="s">
        <v>802</v>
      </c>
    </row>
    <row r="1236" spans="1:24">
      <c r="B1236" t="s">
        <v>197</v>
      </c>
      <c r="C1236" t="s">
        <v>197</v>
      </c>
      <c r="D1236" t="s">
        <v>197</v>
      </c>
      <c r="E1236" t="s">
        <v>197</v>
      </c>
      <c r="F1236" t="s">
        <v>197</v>
      </c>
      <c r="G1236" t="s">
        <v>197</v>
      </c>
      <c r="H1236" t="s">
        <v>197</v>
      </c>
      <c r="I1236" t="s">
        <v>197</v>
      </c>
      <c r="J1236" t="s">
        <v>197</v>
      </c>
      <c r="K1236" t="s">
        <v>803</v>
      </c>
    </row>
    <row r="1237" spans="1:24">
      <c r="B1237" t="s">
        <v>197</v>
      </c>
      <c r="C1237" t="s">
        <v>197</v>
      </c>
      <c r="D1237" t="s">
        <v>197</v>
      </c>
      <c r="E1237" t="s">
        <v>197</v>
      </c>
      <c r="F1237" t="s">
        <v>197</v>
      </c>
      <c r="G1237" t="s">
        <v>197</v>
      </c>
      <c r="H1237" t="s">
        <v>197</v>
      </c>
      <c r="I1237" t="s">
        <v>197</v>
      </c>
      <c r="J1237" t="s">
        <v>197</v>
      </c>
      <c r="K1237" t="s">
        <v>804</v>
      </c>
    </row>
    <row r="1238" spans="1:24">
      <c r="B1238" t="s">
        <v>197</v>
      </c>
      <c r="C1238" t="s">
        <v>197</v>
      </c>
      <c r="D1238" t="s">
        <v>197</v>
      </c>
      <c r="E1238" t="s">
        <v>197</v>
      </c>
      <c r="F1238" t="s">
        <v>197</v>
      </c>
      <c r="G1238" t="s">
        <v>197</v>
      </c>
      <c r="H1238" t="s">
        <v>197</v>
      </c>
      <c r="I1238" t="s">
        <v>197</v>
      </c>
      <c r="J1238" t="s">
        <v>197</v>
      </c>
      <c r="K1238" t="s">
        <v>805</v>
      </c>
    </row>
    <row r="1239" spans="1:24">
      <c r="B1239" t="s">
        <v>197</v>
      </c>
      <c r="C1239" t="s">
        <v>197</v>
      </c>
      <c r="D1239" t="s">
        <v>197</v>
      </c>
      <c r="E1239" t="s">
        <v>197</v>
      </c>
      <c r="F1239" t="s">
        <v>197</v>
      </c>
      <c r="G1239" t="s">
        <v>197</v>
      </c>
      <c r="H1239" t="s">
        <v>197</v>
      </c>
      <c r="I1239" t="s">
        <v>197</v>
      </c>
      <c r="J1239" t="s">
        <v>197</v>
      </c>
      <c r="K1239" t="s">
        <v>806</v>
      </c>
    </row>
    <row r="1240" spans="1:24">
      <c r="B1240" t="s">
        <v>197</v>
      </c>
      <c r="C1240" t="s">
        <v>197</v>
      </c>
      <c r="D1240" t="s">
        <v>197</v>
      </c>
      <c r="E1240" t="s">
        <v>197</v>
      </c>
      <c r="F1240" t="s">
        <v>197</v>
      </c>
      <c r="G1240" t="s">
        <v>197</v>
      </c>
      <c r="H1240" t="s">
        <v>197</v>
      </c>
      <c r="I1240" t="s">
        <v>197</v>
      </c>
      <c r="J1240" t="s">
        <v>197</v>
      </c>
      <c r="K1240" t="s">
        <v>807</v>
      </c>
    </row>
    <row r="1241" spans="1:24">
      <c r="K1241" t="s">
        <v>443</v>
      </c>
    </row>
    <row r="1242" spans="1:24">
      <c r="A1242" t="s">
        <v>1117</v>
      </c>
      <c r="K1242" t="s">
        <v>1118</v>
      </c>
      <c r="W1242" s="1" t="str">
        <f>HYPERLINK("#2026042000hbase2!BK2","NO 源备存在差异，共42个")</f>
        <v>NO 源备存在差异，共42个</v>
      </c>
      <c r="X1242" t="str">
        <f>A1242</f>
        <v>info_int_dml_batch1_pk_irp2</v>
      </c>
    </row>
    <row r="1243" spans="1:24">
      <c r="B1243" t="s">
        <v>196</v>
      </c>
      <c r="C1243" t="s">
        <v>197</v>
      </c>
      <c r="D1243" t="s">
        <v>197</v>
      </c>
      <c r="E1243" t="s">
        <v>197</v>
      </c>
      <c r="F1243" t="s">
        <v>197</v>
      </c>
      <c r="G1243" t="s">
        <v>197</v>
      </c>
      <c r="H1243" t="s">
        <v>197</v>
      </c>
      <c r="I1243" t="s">
        <v>1119</v>
      </c>
      <c r="J1243" t="s">
        <v>199</v>
      </c>
      <c r="K1243" t="s">
        <v>200</v>
      </c>
    </row>
    <row r="1244" spans="1:24">
      <c r="B1244" t="s">
        <v>197</v>
      </c>
      <c r="C1244" t="s">
        <v>197</v>
      </c>
      <c r="D1244" t="s">
        <v>197</v>
      </c>
      <c r="E1244" t="s">
        <v>197</v>
      </c>
      <c r="F1244" t="s">
        <v>197</v>
      </c>
      <c r="G1244" t="s">
        <v>197</v>
      </c>
      <c r="H1244" t="s">
        <v>197</v>
      </c>
      <c r="I1244" t="s">
        <v>197</v>
      </c>
      <c r="J1244" t="s">
        <v>197</v>
      </c>
      <c r="K1244" t="s">
        <v>549</v>
      </c>
    </row>
    <row r="1245" spans="1:24">
      <c r="B1245" t="s">
        <v>197</v>
      </c>
      <c r="C1245" t="s">
        <v>197</v>
      </c>
      <c r="D1245" t="s">
        <v>197</v>
      </c>
      <c r="E1245" t="s">
        <v>197</v>
      </c>
      <c r="F1245" t="s">
        <v>197</v>
      </c>
      <c r="G1245" t="s">
        <v>197</v>
      </c>
      <c r="H1245" t="s">
        <v>197</v>
      </c>
      <c r="I1245" t="s">
        <v>197</v>
      </c>
      <c r="J1245" t="s">
        <v>197</v>
      </c>
      <c r="K1245" t="s">
        <v>550</v>
      </c>
    </row>
    <row r="1246" spans="1:24">
      <c r="B1246" t="s">
        <v>197</v>
      </c>
      <c r="C1246" t="s">
        <v>197</v>
      </c>
      <c r="D1246" t="s">
        <v>197</v>
      </c>
      <c r="E1246" t="s">
        <v>197</v>
      </c>
      <c r="F1246" t="s">
        <v>197</v>
      </c>
      <c r="G1246" t="s">
        <v>197</v>
      </c>
      <c r="H1246" t="s">
        <v>197</v>
      </c>
      <c r="I1246" t="s">
        <v>197</v>
      </c>
      <c r="J1246" t="s">
        <v>197</v>
      </c>
      <c r="K1246" t="s">
        <v>551</v>
      </c>
    </row>
    <row r="1247" spans="1:24">
      <c r="B1247" t="s">
        <v>197</v>
      </c>
      <c r="C1247" t="s">
        <v>197</v>
      </c>
      <c r="D1247" t="s">
        <v>197</v>
      </c>
      <c r="E1247" t="s">
        <v>197</v>
      </c>
      <c r="F1247" t="s">
        <v>197</v>
      </c>
      <c r="G1247" t="s">
        <v>197</v>
      </c>
      <c r="H1247" t="s">
        <v>197</v>
      </c>
      <c r="I1247" t="s">
        <v>197</v>
      </c>
      <c r="J1247" t="s">
        <v>197</v>
      </c>
      <c r="K1247" t="s">
        <v>552</v>
      </c>
    </row>
    <row r="1248" spans="1:24">
      <c r="B1248" t="s">
        <v>197</v>
      </c>
      <c r="C1248" t="s">
        <v>197</v>
      </c>
      <c r="D1248" t="s">
        <v>197</v>
      </c>
      <c r="E1248" t="s">
        <v>197</v>
      </c>
      <c r="F1248" t="s">
        <v>197</v>
      </c>
      <c r="G1248" t="s">
        <v>197</v>
      </c>
      <c r="H1248" t="s">
        <v>197</v>
      </c>
      <c r="I1248" t="s">
        <v>197</v>
      </c>
      <c r="J1248" t="s">
        <v>197</v>
      </c>
      <c r="K1248" t="s">
        <v>553</v>
      </c>
    </row>
    <row r="1249" spans="1:24">
      <c r="B1249" t="s">
        <v>197</v>
      </c>
      <c r="C1249" t="s">
        <v>197</v>
      </c>
      <c r="D1249" t="s">
        <v>197</v>
      </c>
      <c r="E1249" t="s">
        <v>197</v>
      </c>
      <c r="F1249" t="s">
        <v>197</v>
      </c>
      <c r="G1249" t="s">
        <v>197</v>
      </c>
      <c r="H1249" t="s">
        <v>197</v>
      </c>
      <c r="I1249" t="s">
        <v>197</v>
      </c>
      <c r="J1249" t="s">
        <v>197</v>
      </c>
      <c r="K1249" t="s">
        <v>554</v>
      </c>
    </row>
    <row r="1250" spans="1:24">
      <c r="B1250" t="s">
        <v>197</v>
      </c>
      <c r="C1250" t="s">
        <v>197</v>
      </c>
      <c r="D1250" t="s">
        <v>197</v>
      </c>
      <c r="E1250" t="s">
        <v>197</v>
      </c>
      <c r="F1250" t="s">
        <v>197</v>
      </c>
      <c r="G1250" t="s">
        <v>197</v>
      </c>
      <c r="H1250" t="s">
        <v>197</v>
      </c>
      <c r="I1250" t="s">
        <v>197</v>
      </c>
      <c r="J1250" t="s">
        <v>197</v>
      </c>
      <c r="K1250" t="s">
        <v>555</v>
      </c>
    </row>
    <row r="1251" spans="1:24">
      <c r="B1251" t="s">
        <v>197</v>
      </c>
      <c r="C1251" t="s">
        <v>197</v>
      </c>
      <c r="D1251" t="s">
        <v>197</v>
      </c>
      <c r="E1251" t="s">
        <v>197</v>
      </c>
      <c r="F1251" t="s">
        <v>197</v>
      </c>
      <c r="G1251" t="s">
        <v>197</v>
      </c>
      <c r="H1251" t="s">
        <v>197</v>
      </c>
      <c r="I1251" t="s">
        <v>197</v>
      </c>
      <c r="J1251" t="s">
        <v>197</v>
      </c>
      <c r="K1251" t="s">
        <v>556</v>
      </c>
    </row>
    <row r="1252" spans="1:24">
      <c r="B1252" t="s">
        <v>197</v>
      </c>
      <c r="C1252" t="s">
        <v>197</v>
      </c>
      <c r="D1252" t="s">
        <v>197</v>
      </c>
      <c r="E1252" t="s">
        <v>197</v>
      </c>
      <c r="F1252" t="s">
        <v>197</v>
      </c>
      <c r="G1252" t="s">
        <v>197</v>
      </c>
      <c r="H1252" t="s">
        <v>197</v>
      </c>
      <c r="I1252" t="s">
        <v>197</v>
      </c>
      <c r="J1252" t="s">
        <v>197</v>
      </c>
      <c r="K1252" t="s">
        <v>557</v>
      </c>
    </row>
    <row r="1253" spans="1:24">
      <c r="B1253" t="s">
        <v>197</v>
      </c>
      <c r="C1253" t="s">
        <v>197</v>
      </c>
      <c r="D1253" t="s">
        <v>197</v>
      </c>
      <c r="E1253" t="s">
        <v>197</v>
      </c>
      <c r="F1253" t="s">
        <v>197</v>
      </c>
      <c r="G1253" t="s">
        <v>197</v>
      </c>
      <c r="H1253" t="s">
        <v>197</v>
      </c>
      <c r="I1253" t="s">
        <v>197</v>
      </c>
      <c r="J1253" t="s">
        <v>197</v>
      </c>
      <c r="K1253" t="s">
        <v>558</v>
      </c>
    </row>
    <row r="1254" spans="1:24">
      <c r="B1254" t="s">
        <v>197</v>
      </c>
      <c r="C1254" t="s">
        <v>197</v>
      </c>
      <c r="D1254" t="s">
        <v>197</v>
      </c>
      <c r="E1254" t="s">
        <v>197</v>
      </c>
      <c r="F1254" t="s">
        <v>197</v>
      </c>
      <c r="G1254" t="s">
        <v>197</v>
      </c>
      <c r="H1254" t="s">
        <v>197</v>
      </c>
      <c r="I1254" t="s">
        <v>197</v>
      </c>
      <c r="J1254" t="s">
        <v>197</v>
      </c>
      <c r="K1254" t="s">
        <v>559</v>
      </c>
    </row>
    <row r="1255" spans="1:24">
      <c r="B1255" t="s">
        <v>197</v>
      </c>
      <c r="C1255" t="s">
        <v>197</v>
      </c>
      <c r="D1255" t="s">
        <v>197</v>
      </c>
      <c r="E1255" t="s">
        <v>197</v>
      </c>
      <c r="F1255" t="s">
        <v>197</v>
      </c>
      <c r="G1255" t="s">
        <v>197</v>
      </c>
      <c r="H1255" t="s">
        <v>197</v>
      </c>
      <c r="I1255" t="s">
        <v>197</v>
      </c>
      <c r="J1255" t="s">
        <v>197</v>
      </c>
      <c r="K1255" t="s">
        <v>560</v>
      </c>
    </row>
    <row r="1256" spans="1:24">
      <c r="B1256" t="s">
        <v>197</v>
      </c>
      <c r="C1256" t="s">
        <v>197</v>
      </c>
      <c r="D1256" t="s">
        <v>197</v>
      </c>
      <c r="E1256" t="s">
        <v>197</v>
      </c>
      <c r="F1256" t="s">
        <v>197</v>
      </c>
      <c r="G1256" t="s">
        <v>197</v>
      </c>
      <c r="H1256" t="s">
        <v>197</v>
      </c>
      <c r="I1256" t="s">
        <v>197</v>
      </c>
      <c r="J1256" t="s">
        <v>197</v>
      </c>
      <c r="K1256" t="s">
        <v>561</v>
      </c>
    </row>
    <row r="1257" spans="1:24">
      <c r="B1257" t="s">
        <v>197</v>
      </c>
      <c r="C1257" t="s">
        <v>197</v>
      </c>
      <c r="D1257" t="s">
        <v>197</v>
      </c>
      <c r="E1257" t="s">
        <v>197</v>
      </c>
      <c r="F1257" t="s">
        <v>197</v>
      </c>
      <c r="G1257" t="s">
        <v>197</v>
      </c>
      <c r="H1257" t="s">
        <v>197</v>
      </c>
      <c r="I1257" t="s">
        <v>197</v>
      </c>
      <c r="J1257" t="s">
        <v>197</v>
      </c>
      <c r="K1257" t="s">
        <v>562</v>
      </c>
    </row>
    <row r="1258" spans="1:24">
      <c r="B1258" t="s">
        <v>197</v>
      </c>
      <c r="C1258" t="s">
        <v>197</v>
      </c>
      <c r="D1258" t="s">
        <v>197</v>
      </c>
      <c r="E1258" t="s">
        <v>197</v>
      </c>
      <c r="F1258" t="s">
        <v>197</v>
      </c>
      <c r="G1258" t="s">
        <v>197</v>
      </c>
      <c r="H1258" t="s">
        <v>197</v>
      </c>
      <c r="I1258" t="s">
        <v>197</v>
      </c>
      <c r="J1258" t="s">
        <v>197</v>
      </c>
      <c r="K1258" t="s">
        <v>563</v>
      </c>
    </row>
    <row r="1259" spans="1:24">
      <c r="B1259" t="s">
        <v>197</v>
      </c>
      <c r="C1259" t="s">
        <v>197</v>
      </c>
      <c r="D1259" t="s">
        <v>197</v>
      </c>
      <c r="E1259" t="s">
        <v>197</v>
      </c>
      <c r="F1259" t="s">
        <v>197</v>
      </c>
      <c r="G1259" t="s">
        <v>197</v>
      </c>
      <c r="H1259" t="s">
        <v>197</v>
      </c>
      <c r="I1259" t="s">
        <v>197</v>
      </c>
      <c r="J1259" t="s">
        <v>197</v>
      </c>
      <c r="K1259" t="s">
        <v>564</v>
      </c>
    </row>
    <row r="1260" spans="1:24">
      <c r="B1260" t="s">
        <v>197</v>
      </c>
      <c r="C1260" t="s">
        <v>197</v>
      </c>
      <c r="D1260" t="s">
        <v>197</v>
      </c>
      <c r="E1260" t="s">
        <v>197</v>
      </c>
      <c r="F1260" t="s">
        <v>197</v>
      </c>
      <c r="G1260" t="s">
        <v>197</v>
      </c>
      <c r="H1260" t="s">
        <v>197</v>
      </c>
      <c r="I1260" t="s">
        <v>197</v>
      </c>
      <c r="J1260" t="s">
        <v>197</v>
      </c>
      <c r="K1260" t="s">
        <v>565</v>
      </c>
    </row>
    <row r="1261" spans="1:24">
      <c r="B1261" t="s">
        <v>197</v>
      </c>
      <c r="C1261" t="s">
        <v>197</v>
      </c>
      <c r="D1261" t="s">
        <v>197</v>
      </c>
      <c r="E1261" t="s">
        <v>197</v>
      </c>
      <c r="F1261" t="s">
        <v>197</v>
      </c>
      <c r="G1261" t="s">
        <v>197</v>
      </c>
      <c r="H1261" t="s">
        <v>197</v>
      </c>
      <c r="I1261" t="s">
        <v>197</v>
      </c>
      <c r="J1261" t="s">
        <v>197</v>
      </c>
      <c r="K1261" t="s">
        <v>566</v>
      </c>
    </row>
    <row r="1262" spans="1:24">
      <c r="B1262" t="s">
        <v>197</v>
      </c>
      <c r="C1262" t="s">
        <v>197</v>
      </c>
      <c r="D1262" t="s">
        <v>197</v>
      </c>
      <c r="E1262" t="s">
        <v>197</v>
      </c>
      <c r="F1262" t="s">
        <v>197</v>
      </c>
      <c r="G1262" t="s">
        <v>197</v>
      </c>
      <c r="H1262" t="s">
        <v>197</v>
      </c>
      <c r="I1262" t="s">
        <v>197</v>
      </c>
      <c r="J1262" t="s">
        <v>197</v>
      </c>
      <c r="K1262" t="s">
        <v>567</v>
      </c>
    </row>
    <row r="1263" spans="1:24">
      <c r="A1263" t="s">
        <v>1120</v>
      </c>
      <c r="K1263" t="s">
        <v>1121</v>
      </c>
      <c r="W1263" t="s">
        <v>171</v>
      </c>
      <c r="X1263" t="str">
        <f>A1263</f>
        <v>info_uniqueidentifier_dml_single_pk</v>
      </c>
    </row>
    <row r="1264" spans="1:24">
      <c r="B1264" t="s">
        <v>196</v>
      </c>
      <c r="C1264" t="s">
        <v>197</v>
      </c>
      <c r="D1264" t="s">
        <v>197</v>
      </c>
      <c r="E1264" t="s">
        <v>197</v>
      </c>
      <c r="F1264" t="s">
        <v>197</v>
      </c>
      <c r="G1264" t="s">
        <v>197</v>
      </c>
      <c r="H1264" t="s">
        <v>197</v>
      </c>
      <c r="I1264" t="s">
        <v>1122</v>
      </c>
      <c r="J1264" t="s">
        <v>199</v>
      </c>
      <c r="K1264" t="s">
        <v>200</v>
      </c>
    </row>
    <row r="1265" spans="1:24">
      <c r="B1265" t="s">
        <v>197</v>
      </c>
      <c r="C1265" t="s">
        <v>197</v>
      </c>
      <c r="D1265" t="s">
        <v>197</v>
      </c>
      <c r="E1265" t="s">
        <v>197</v>
      </c>
      <c r="F1265" t="s">
        <v>197</v>
      </c>
      <c r="G1265" t="s">
        <v>197</v>
      </c>
      <c r="H1265" t="s">
        <v>197</v>
      </c>
      <c r="I1265" t="s">
        <v>197</v>
      </c>
      <c r="J1265" t="s">
        <v>197</v>
      </c>
      <c r="K1265" t="s">
        <v>1039</v>
      </c>
    </row>
    <row r="1266" spans="1:24">
      <c r="A1266" t="s">
        <v>1123</v>
      </c>
      <c r="K1266" t="s">
        <v>1124</v>
      </c>
      <c r="W1266" t="s">
        <v>171</v>
      </c>
      <c r="X1266" t="str">
        <f>A1266</f>
        <v>info_datetime2_dml_single_pk</v>
      </c>
    </row>
    <row r="1267" spans="1:24">
      <c r="B1267" t="s">
        <v>196</v>
      </c>
      <c r="C1267" t="s">
        <v>197</v>
      </c>
      <c r="D1267" t="s">
        <v>197</v>
      </c>
      <c r="E1267" t="s">
        <v>197</v>
      </c>
      <c r="F1267" t="s">
        <v>197</v>
      </c>
      <c r="G1267" t="s">
        <v>197</v>
      </c>
      <c r="H1267" t="s">
        <v>197</v>
      </c>
      <c r="I1267" t="s">
        <v>1125</v>
      </c>
      <c r="J1267" t="s">
        <v>199</v>
      </c>
      <c r="K1267" t="s">
        <v>200</v>
      </c>
    </row>
    <row r="1268" spans="1:24">
      <c r="B1268" t="s">
        <v>197</v>
      </c>
      <c r="C1268" t="s">
        <v>197</v>
      </c>
      <c r="D1268" t="s">
        <v>197</v>
      </c>
      <c r="E1268" t="s">
        <v>197</v>
      </c>
      <c r="F1268" t="s">
        <v>197</v>
      </c>
      <c r="G1268" t="s">
        <v>197</v>
      </c>
      <c r="H1268" t="s">
        <v>197</v>
      </c>
      <c r="I1268" t="s">
        <v>197</v>
      </c>
      <c r="J1268" t="s">
        <v>197</v>
      </c>
      <c r="K1268" t="s">
        <v>667</v>
      </c>
    </row>
    <row r="1269" spans="1:24">
      <c r="B1269" t="s">
        <v>197</v>
      </c>
      <c r="C1269" t="s">
        <v>197</v>
      </c>
      <c r="D1269" t="s">
        <v>197</v>
      </c>
      <c r="E1269" t="s">
        <v>197</v>
      </c>
      <c r="F1269" t="s">
        <v>197</v>
      </c>
      <c r="G1269" t="s">
        <v>197</v>
      </c>
      <c r="H1269" t="s">
        <v>197</v>
      </c>
      <c r="I1269" t="s">
        <v>197</v>
      </c>
      <c r="J1269" t="s">
        <v>197</v>
      </c>
      <c r="K1269" t="s">
        <v>668</v>
      </c>
    </row>
    <row r="1270" spans="1:24">
      <c r="B1270" t="s">
        <v>197</v>
      </c>
      <c r="C1270" t="s">
        <v>197</v>
      </c>
      <c r="D1270" t="s">
        <v>197</v>
      </c>
      <c r="E1270" t="s">
        <v>197</v>
      </c>
      <c r="F1270" t="s">
        <v>197</v>
      </c>
      <c r="G1270" t="s">
        <v>197</v>
      </c>
      <c r="H1270" t="s">
        <v>197</v>
      </c>
      <c r="I1270" t="s">
        <v>197</v>
      </c>
      <c r="J1270" t="s">
        <v>197</v>
      </c>
      <c r="K1270" t="s">
        <v>669</v>
      </c>
    </row>
    <row r="1271" spans="1:24">
      <c r="B1271" t="s">
        <v>197</v>
      </c>
      <c r="C1271" t="s">
        <v>197</v>
      </c>
      <c r="D1271" t="s">
        <v>197</v>
      </c>
      <c r="E1271" t="s">
        <v>197</v>
      </c>
      <c r="F1271" t="s">
        <v>197</v>
      </c>
      <c r="G1271" t="s">
        <v>197</v>
      </c>
      <c r="H1271" t="s">
        <v>197</v>
      </c>
      <c r="I1271" t="s">
        <v>197</v>
      </c>
      <c r="J1271" t="s">
        <v>197</v>
      </c>
      <c r="K1271" t="s">
        <v>670</v>
      </c>
    </row>
    <row r="1272" spans="1:24">
      <c r="B1272" t="s">
        <v>197</v>
      </c>
      <c r="C1272" t="s">
        <v>197</v>
      </c>
      <c r="D1272" t="s">
        <v>197</v>
      </c>
      <c r="E1272" t="s">
        <v>197</v>
      </c>
      <c r="F1272" t="s">
        <v>197</v>
      </c>
      <c r="G1272" t="s">
        <v>197</v>
      </c>
      <c r="H1272" t="s">
        <v>197</v>
      </c>
      <c r="I1272" t="s">
        <v>197</v>
      </c>
      <c r="J1272" t="s">
        <v>197</v>
      </c>
      <c r="K1272" t="s">
        <v>671</v>
      </c>
    </row>
    <row r="1273" spans="1:24">
      <c r="B1273" t="s">
        <v>197</v>
      </c>
      <c r="C1273" t="s">
        <v>197</v>
      </c>
      <c r="D1273" t="s">
        <v>197</v>
      </c>
      <c r="E1273" t="s">
        <v>197</v>
      </c>
      <c r="F1273" t="s">
        <v>197</v>
      </c>
      <c r="G1273" t="s">
        <v>197</v>
      </c>
      <c r="H1273" t="s">
        <v>197</v>
      </c>
      <c r="I1273" t="s">
        <v>197</v>
      </c>
      <c r="J1273" t="s">
        <v>197</v>
      </c>
      <c r="K1273" t="s">
        <v>672</v>
      </c>
    </row>
    <row r="1274" spans="1:24">
      <c r="B1274" t="s">
        <v>197</v>
      </c>
      <c r="C1274" t="s">
        <v>197</v>
      </c>
      <c r="D1274" t="s">
        <v>197</v>
      </c>
      <c r="E1274" t="s">
        <v>197</v>
      </c>
      <c r="F1274" t="s">
        <v>197</v>
      </c>
      <c r="G1274" t="s">
        <v>197</v>
      </c>
      <c r="H1274" t="s">
        <v>197</v>
      </c>
      <c r="I1274" t="s">
        <v>197</v>
      </c>
      <c r="J1274" t="s">
        <v>197</v>
      </c>
      <c r="K1274" t="s">
        <v>673</v>
      </c>
    </row>
    <row r="1275" spans="1:24">
      <c r="B1275" t="s">
        <v>197</v>
      </c>
      <c r="C1275" t="s">
        <v>197</v>
      </c>
      <c r="D1275" t="s">
        <v>197</v>
      </c>
      <c r="E1275" t="s">
        <v>197</v>
      </c>
      <c r="F1275" t="s">
        <v>197</v>
      </c>
      <c r="G1275" t="s">
        <v>197</v>
      </c>
      <c r="H1275" t="s">
        <v>197</v>
      </c>
      <c r="I1275" t="s">
        <v>197</v>
      </c>
      <c r="J1275" t="s">
        <v>197</v>
      </c>
      <c r="K1275" t="s">
        <v>674</v>
      </c>
    </row>
    <row r="1276" spans="1:24">
      <c r="A1276" t="s">
        <v>1129</v>
      </c>
      <c r="K1276" t="s">
        <v>1130</v>
      </c>
      <c r="W1276" s="1" t="str">
        <f>HYPERLINK("#2026042000hbase2!BL2","NO 源备存在差异，共4个")</f>
        <v>NO 源备存在差异，共4个</v>
      </c>
      <c r="X1276" t="str">
        <f>A1276</f>
        <v>info_geography_dml_single_pk_drp</v>
      </c>
    </row>
    <row r="1277" spans="1:24">
      <c r="B1277" t="s">
        <v>196</v>
      </c>
      <c r="C1277" t="s">
        <v>197</v>
      </c>
      <c r="D1277" t="s">
        <v>197</v>
      </c>
      <c r="E1277" t="s">
        <v>197</v>
      </c>
      <c r="F1277" t="s">
        <v>197</v>
      </c>
      <c r="G1277" t="s">
        <v>197</v>
      </c>
      <c r="H1277" t="s">
        <v>197</v>
      </c>
      <c r="I1277" t="s">
        <v>1131</v>
      </c>
      <c r="J1277" t="s">
        <v>199</v>
      </c>
      <c r="K1277" t="s">
        <v>200</v>
      </c>
    </row>
    <row r="1278" spans="1:24">
      <c r="B1278" t="s">
        <v>197</v>
      </c>
      <c r="C1278" t="s">
        <v>197</v>
      </c>
      <c r="D1278" t="s">
        <v>197</v>
      </c>
      <c r="E1278" t="s">
        <v>197</v>
      </c>
      <c r="F1278" t="s">
        <v>197</v>
      </c>
      <c r="G1278" t="s">
        <v>197</v>
      </c>
      <c r="H1278" t="s">
        <v>197</v>
      </c>
      <c r="I1278" t="s">
        <v>197</v>
      </c>
      <c r="J1278" t="s">
        <v>197</v>
      </c>
      <c r="K1278" t="s">
        <v>1052</v>
      </c>
    </row>
    <row r="1279" spans="1:24">
      <c r="A1279" t="s">
        <v>1126</v>
      </c>
      <c r="K1279" t="s">
        <v>1127</v>
      </c>
      <c r="W1279" t="s">
        <v>171</v>
      </c>
      <c r="X1279" t="str">
        <f>A1279</f>
        <v>info_varchar_dml_single_pk_drp</v>
      </c>
    </row>
    <row r="1280" spans="1:24">
      <c r="B1280" t="s">
        <v>196</v>
      </c>
      <c r="C1280" t="s">
        <v>197</v>
      </c>
      <c r="D1280" t="s">
        <v>197</v>
      </c>
      <c r="E1280" t="s">
        <v>197</v>
      </c>
      <c r="F1280" t="s">
        <v>197</v>
      </c>
      <c r="G1280" t="s">
        <v>197</v>
      </c>
      <c r="H1280" t="s">
        <v>197</v>
      </c>
      <c r="I1280" t="s">
        <v>1128</v>
      </c>
      <c r="J1280" t="s">
        <v>199</v>
      </c>
      <c r="K1280" t="s">
        <v>200</v>
      </c>
    </row>
    <row r="1281" spans="1:24">
      <c r="B1281" t="s">
        <v>197</v>
      </c>
      <c r="C1281" t="s">
        <v>197</v>
      </c>
      <c r="D1281" t="s">
        <v>197</v>
      </c>
      <c r="E1281" t="s">
        <v>197</v>
      </c>
      <c r="F1281" t="s">
        <v>197</v>
      </c>
      <c r="G1281" t="s">
        <v>197</v>
      </c>
      <c r="H1281" t="s">
        <v>197</v>
      </c>
      <c r="I1281" t="s">
        <v>197</v>
      </c>
      <c r="J1281" t="s">
        <v>197</v>
      </c>
      <c r="K1281" t="s">
        <v>431</v>
      </c>
    </row>
    <row r="1282" spans="1:24">
      <c r="B1282" t="s">
        <v>197</v>
      </c>
      <c r="C1282" t="s">
        <v>197</v>
      </c>
      <c r="D1282" t="s">
        <v>197</v>
      </c>
      <c r="E1282" t="s">
        <v>197</v>
      </c>
      <c r="F1282" t="s">
        <v>197</v>
      </c>
      <c r="G1282" t="s">
        <v>197</v>
      </c>
      <c r="H1282" t="s">
        <v>197</v>
      </c>
      <c r="I1282" t="s">
        <v>197</v>
      </c>
      <c r="J1282" t="s">
        <v>197</v>
      </c>
      <c r="K1282" t="s">
        <v>1056</v>
      </c>
    </row>
    <row r="1283" spans="1:24">
      <c r="B1283" t="s">
        <v>197</v>
      </c>
      <c r="C1283" t="s">
        <v>197</v>
      </c>
      <c r="D1283" t="s">
        <v>197</v>
      </c>
      <c r="E1283" t="s">
        <v>197</v>
      </c>
      <c r="F1283" t="s">
        <v>197</v>
      </c>
      <c r="G1283" t="s">
        <v>197</v>
      </c>
      <c r="H1283" t="s">
        <v>197</v>
      </c>
      <c r="I1283" t="s">
        <v>197</v>
      </c>
      <c r="J1283" t="s">
        <v>197</v>
      </c>
      <c r="K1283" t="s">
        <v>963</v>
      </c>
    </row>
    <row r="1284" spans="1:24">
      <c r="A1284" t="s">
        <v>1132</v>
      </c>
      <c r="K1284" t="s">
        <v>1133</v>
      </c>
      <c r="W1284" t="s">
        <v>171</v>
      </c>
      <c r="X1284" t="str">
        <f>A1284</f>
        <v>info_time_dml_batch1_pk_drp2</v>
      </c>
    </row>
    <row r="1285" spans="1:24">
      <c r="B1285" t="s">
        <v>196</v>
      </c>
      <c r="C1285" t="s">
        <v>197</v>
      </c>
      <c r="D1285" t="s">
        <v>197</v>
      </c>
      <c r="E1285" t="s">
        <v>197</v>
      </c>
      <c r="F1285" t="s">
        <v>197</v>
      </c>
      <c r="G1285" t="s">
        <v>197</v>
      </c>
      <c r="H1285" t="s">
        <v>197</v>
      </c>
      <c r="I1285" t="s">
        <v>1134</v>
      </c>
      <c r="J1285" t="s">
        <v>199</v>
      </c>
      <c r="K1285" t="s">
        <v>200</v>
      </c>
    </row>
    <row r="1286" spans="1:24">
      <c r="B1286" t="s">
        <v>197</v>
      </c>
      <c r="C1286" t="s">
        <v>197</v>
      </c>
      <c r="D1286" t="s">
        <v>197</v>
      </c>
      <c r="E1286" t="s">
        <v>197</v>
      </c>
      <c r="F1286" t="s">
        <v>197</v>
      </c>
      <c r="G1286" t="s">
        <v>197</v>
      </c>
      <c r="H1286" t="s">
        <v>197</v>
      </c>
      <c r="I1286" t="s">
        <v>197</v>
      </c>
      <c r="J1286" t="s">
        <v>197</v>
      </c>
      <c r="K1286" t="s">
        <v>800</v>
      </c>
    </row>
    <row r="1287" spans="1:24">
      <c r="B1287" t="s">
        <v>197</v>
      </c>
      <c r="C1287" t="s">
        <v>197</v>
      </c>
      <c r="D1287" t="s">
        <v>197</v>
      </c>
      <c r="E1287" t="s">
        <v>197</v>
      </c>
      <c r="F1287" t="s">
        <v>197</v>
      </c>
      <c r="G1287" t="s">
        <v>197</v>
      </c>
      <c r="H1287" t="s">
        <v>197</v>
      </c>
      <c r="I1287" t="s">
        <v>197</v>
      </c>
      <c r="J1287" t="s">
        <v>197</v>
      </c>
      <c r="K1287" t="s">
        <v>801</v>
      </c>
    </row>
    <row r="1288" spans="1:24">
      <c r="B1288" t="s">
        <v>197</v>
      </c>
      <c r="C1288" t="s">
        <v>197</v>
      </c>
      <c r="D1288" t="s">
        <v>197</v>
      </c>
      <c r="E1288" t="s">
        <v>197</v>
      </c>
      <c r="F1288" t="s">
        <v>197</v>
      </c>
      <c r="G1288" t="s">
        <v>197</v>
      </c>
      <c r="H1288" t="s">
        <v>197</v>
      </c>
      <c r="I1288" t="s">
        <v>197</v>
      </c>
      <c r="J1288" t="s">
        <v>197</v>
      </c>
      <c r="K1288" t="s">
        <v>802</v>
      </c>
    </row>
    <row r="1289" spans="1:24">
      <c r="B1289" t="s">
        <v>197</v>
      </c>
      <c r="C1289" t="s">
        <v>197</v>
      </c>
      <c r="D1289" t="s">
        <v>197</v>
      </c>
      <c r="E1289" t="s">
        <v>197</v>
      </c>
      <c r="F1289" t="s">
        <v>197</v>
      </c>
      <c r="G1289" t="s">
        <v>197</v>
      </c>
      <c r="H1289" t="s">
        <v>197</v>
      </c>
      <c r="I1289" t="s">
        <v>197</v>
      </c>
      <c r="J1289" t="s">
        <v>197</v>
      </c>
      <c r="K1289" t="s">
        <v>803</v>
      </c>
    </row>
    <row r="1290" spans="1:24">
      <c r="B1290" t="s">
        <v>197</v>
      </c>
      <c r="C1290" t="s">
        <v>197</v>
      </c>
      <c r="D1290" t="s">
        <v>197</v>
      </c>
      <c r="E1290" t="s">
        <v>197</v>
      </c>
      <c r="F1290" t="s">
        <v>197</v>
      </c>
      <c r="G1290" t="s">
        <v>197</v>
      </c>
      <c r="H1290" t="s">
        <v>197</v>
      </c>
      <c r="I1290" t="s">
        <v>197</v>
      </c>
      <c r="J1290" t="s">
        <v>197</v>
      </c>
      <c r="K1290" t="s">
        <v>804</v>
      </c>
    </row>
    <row r="1291" spans="1:24">
      <c r="B1291" t="s">
        <v>197</v>
      </c>
      <c r="C1291" t="s">
        <v>197</v>
      </c>
      <c r="D1291" t="s">
        <v>197</v>
      </c>
      <c r="E1291" t="s">
        <v>197</v>
      </c>
      <c r="F1291" t="s">
        <v>197</v>
      </c>
      <c r="G1291" t="s">
        <v>197</v>
      </c>
      <c r="H1291" t="s">
        <v>197</v>
      </c>
      <c r="I1291" t="s">
        <v>197</v>
      </c>
      <c r="J1291" t="s">
        <v>197</v>
      </c>
      <c r="K1291" t="s">
        <v>805</v>
      </c>
    </row>
    <row r="1292" spans="1:24">
      <c r="B1292" t="s">
        <v>197</v>
      </c>
      <c r="C1292" t="s">
        <v>197</v>
      </c>
      <c r="D1292" t="s">
        <v>197</v>
      </c>
      <c r="E1292" t="s">
        <v>197</v>
      </c>
      <c r="F1292" t="s">
        <v>197</v>
      </c>
      <c r="G1292" t="s">
        <v>197</v>
      </c>
      <c r="H1292" t="s">
        <v>197</v>
      </c>
      <c r="I1292" t="s">
        <v>197</v>
      </c>
      <c r="J1292" t="s">
        <v>197</v>
      </c>
      <c r="K1292" t="s">
        <v>806</v>
      </c>
    </row>
    <row r="1293" spans="1:24">
      <c r="B1293" t="s">
        <v>197</v>
      </c>
      <c r="C1293" t="s">
        <v>197</v>
      </c>
      <c r="D1293" t="s">
        <v>197</v>
      </c>
      <c r="E1293" t="s">
        <v>197</v>
      </c>
      <c r="F1293" t="s">
        <v>197</v>
      </c>
      <c r="G1293" t="s">
        <v>197</v>
      </c>
      <c r="H1293" t="s">
        <v>197</v>
      </c>
      <c r="I1293" t="s">
        <v>197</v>
      </c>
      <c r="J1293" t="s">
        <v>197</v>
      </c>
      <c r="K1293" t="s">
        <v>807</v>
      </c>
    </row>
    <row r="1294" spans="1:24">
      <c r="A1294" t="s">
        <v>1135</v>
      </c>
      <c r="K1294" t="s">
        <v>1136</v>
      </c>
      <c r="W1294" t="s">
        <v>171</v>
      </c>
      <c r="X1294" t="str">
        <f>A1294</f>
        <v>info_varchar_dml_batch1_pk_urp1</v>
      </c>
    </row>
    <row r="1295" spans="1:24">
      <c r="B1295" t="s">
        <v>196</v>
      </c>
      <c r="C1295" t="s">
        <v>197</v>
      </c>
      <c r="D1295" t="s">
        <v>197</v>
      </c>
      <c r="E1295" t="s">
        <v>197</v>
      </c>
      <c r="F1295" t="s">
        <v>197</v>
      </c>
      <c r="G1295" t="s">
        <v>197</v>
      </c>
      <c r="H1295" t="s">
        <v>197</v>
      </c>
      <c r="I1295" t="s">
        <v>1137</v>
      </c>
      <c r="J1295" t="s">
        <v>199</v>
      </c>
      <c r="K1295" t="s">
        <v>200</v>
      </c>
    </row>
    <row r="1296" spans="1:24">
      <c r="B1296" t="s">
        <v>197</v>
      </c>
      <c r="C1296" t="s">
        <v>197</v>
      </c>
      <c r="D1296" t="s">
        <v>197</v>
      </c>
      <c r="E1296" t="s">
        <v>197</v>
      </c>
      <c r="F1296" t="s">
        <v>197</v>
      </c>
      <c r="G1296" t="s">
        <v>197</v>
      </c>
      <c r="H1296" t="s">
        <v>197</v>
      </c>
      <c r="I1296" t="s">
        <v>197</v>
      </c>
      <c r="J1296" t="s">
        <v>197</v>
      </c>
      <c r="K1296" t="s">
        <v>431</v>
      </c>
    </row>
    <row r="1297" spans="1:24">
      <c r="B1297" t="s">
        <v>197</v>
      </c>
      <c r="C1297" t="s">
        <v>197</v>
      </c>
      <c r="D1297" t="s">
        <v>197</v>
      </c>
      <c r="E1297" t="s">
        <v>197</v>
      </c>
      <c r="F1297" t="s">
        <v>197</v>
      </c>
      <c r="G1297" t="s">
        <v>197</v>
      </c>
      <c r="H1297" t="s">
        <v>197</v>
      </c>
      <c r="I1297" t="s">
        <v>197</v>
      </c>
      <c r="J1297" t="s">
        <v>197</v>
      </c>
      <c r="K1297" t="s">
        <v>434</v>
      </c>
    </row>
    <row r="1298" spans="1:24">
      <c r="B1298" t="s">
        <v>197</v>
      </c>
      <c r="C1298" t="s">
        <v>197</v>
      </c>
      <c r="D1298" t="s">
        <v>197</v>
      </c>
      <c r="E1298" t="s">
        <v>197</v>
      </c>
      <c r="F1298" t="s">
        <v>197</v>
      </c>
      <c r="G1298" t="s">
        <v>197</v>
      </c>
      <c r="H1298" t="s">
        <v>197</v>
      </c>
      <c r="I1298" t="s">
        <v>197</v>
      </c>
      <c r="J1298" t="s">
        <v>197</v>
      </c>
      <c r="K1298" t="s">
        <v>439</v>
      </c>
    </row>
    <row r="1299" spans="1:24">
      <c r="A1299" t="s">
        <v>1141</v>
      </c>
      <c r="K1299" t="s">
        <v>1142</v>
      </c>
      <c r="W1299" t="s">
        <v>171</v>
      </c>
      <c r="X1299" t="str">
        <f>A1299</f>
        <v>info_nvarchar_dml_batch2_pk_irp2</v>
      </c>
    </row>
    <row r="1300" spans="1:24">
      <c r="B1300" t="s">
        <v>196</v>
      </c>
      <c r="C1300" t="s">
        <v>197</v>
      </c>
      <c r="D1300" t="s">
        <v>197</v>
      </c>
      <c r="E1300" t="s">
        <v>197</v>
      </c>
      <c r="F1300" t="s">
        <v>197</v>
      </c>
      <c r="G1300" t="s">
        <v>197</v>
      </c>
      <c r="H1300" t="s">
        <v>197</v>
      </c>
      <c r="I1300" t="s">
        <v>1143</v>
      </c>
      <c r="J1300" t="s">
        <v>199</v>
      </c>
      <c r="K1300" t="s">
        <v>200</v>
      </c>
    </row>
    <row r="1301" spans="1:24">
      <c r="B1301" t="s">
        <v>197</v>
      </c>
      <c r="C1301" t="s">
        <v>197</v>
      </c>
      <c r="D1301" t="s">
        <v>197</v>
      </c>
      <c r="E1301" t="s">
        <v>197</v>
      </c>
      <c r="F1301" t="s">
        <v>197</v>
      </c>
      <c r="G1301" t="s">
        <v>197</v>
      </c>
      <c r="H1301" t="s">
        <v>197</v>
      </c>
      <c r="I1301" t="s">
        <v>197</v>
      </c>
      <c r="J1301" t="s">
        <v>197</v>
      </c>
      <c r="K1301" t="s">
        <v>408</v>
      </c>
    </row>
    <row r="1302" spans="1:24">
      <c r="B1302" t="s">
        <v>197</v>
      </c>
      <c r="C1302" t="s">
        <v>197</v>
      </c>
      <c r="D1302" t="s">
        <v>197</v>
      </c>
      <c r="E1302" t="s">
        <v>197</v>
      </c>
      <c r="F1302" t="s">
        <v>197</v>
      </c>
      <c r="G1302" t="s">
        <v>197</v>
      </c>
      <c r="H1302" t="s">
        <v>197</v>
      </c>
      <c r="I1302" t="s">
        <v>197</v>
      </c>
      <c r="J1302" t="s">
        <v>197</v>
      </c>
      <c r="K1302" t="s">
        <v>412</v>
      </c>
    </row>
    <row r="1303" spans="1:24">
      <c r="B1303" t="s">
        <v>197</v>
      </c>
      <c r="C1303" t="s">
        <v>197</v>
      </c>
      <c r="D1303" t="s">
        <v>197</v>
      </c>
      <c r="E1303" t="s">
        <v>197</v>
      </c>
      <c r="F1303" t="s">
        <v>197</v>
      </c>
      <c r="G1303" t="s">
        <v>197</v>
      </c>
      <c r="H1303" t="s">
        <v>197</v>
      </c>
      <c r="I1303" t="s">
        <v>197</v>
      </c>
      <c r="J1303" t="s">
        <v>197</v>
      </c>
      <c r="K1303" t="s">
        <v>416</v>
      </c>
    </row>
    <row r="1304" spans="1:24">
      <c r="A1304" t="s">
        <v>1138</v>
      </c>
      <c r="K1304" t="s">
        <v>1139</v>
      </c>
      <c r="W1304" t="s">
        <v>171</v>
      </c>
      <c r="X1304" t="str">
        <f>A1304</f>
        <v>info_geography_dml_single_pk</v>
      </c>
    </row>
    <row r="1305" spans="1:24">
      <c r="B1305" t="s">
        <v>196</v>
      </c>
      <c r="C1305" t="s">
        <v>197</v>
      </c>
      <c r="D1305" t="s">
        <v>197</v>
      </c>
      <c r="E1305" t="s">
        <v>197</v>
      </c>
      <c r="F1305" t="s">
        <v>197</v>
      </c>
      <c r="G1305" t="s">
        <v>197</v>
      </c>
      <c r="H1305" t="s">
        <v>197</v>
      </c>
      <c r="I1305" t="s">
        <v>1140</v>
      </c>
      <c r="J1305" t="s">
        <v>199</v>
      </c>
      <c r="K1305" t="s">
        <v>200</v>
      </c>
    </row>
    <row r="1306" spans="1:24">
      <c r="B1306" t="s">
        <v>197</v>
      </c>
      <c r="C1306" t="s">
        <v>197</v>
      </c>
      <c r="D1306" t="s">
        <v>197</v>
      </c>
      <c r="E1306" t="s">
        <v>197</v>
      </c>
      <c r="F1306" t="s">
        <v>197</v>
      </c>
      <c r="G1306" t="s">
        <v>197</v>
      </c>
      <c r="H1306" t="s">
        <v>197</v>
      </c>
      <c r="I1306" t="s">
        <v>197</v>
      </c>
      <c r="J1306" t="s">
        <v>197</v>
      </c>
      <c r="K1306" t="s">
        <v>1052</v>
      </c>
    </row>
    <row r="1307" spans="1:24">
      <c r="A1307" t="s">
        <v>1150</v>
      </c>
      <c r="K1307" t="s">
        <v>1151</v>
      </c>
      <c r="W1307" t="s">
        <v>171</v>
      </c>
      <c r="X1307" t="str">
        <f>A1307</f>
        <v>info_time_dml_batch1_pk</v>
      </c>
    </row>
    <row r="1308" spans="1:24">
      <c r="B1308" t="s">
        <v>196</v>
      </c>
      <c r="C1308" t="s">
        <v>197</v>
      </c>
      <c r="D1308" t="s">
        <v>197</v>
      </c>
      <c r="E1308" t="s">
        <v>197</v>
      </c>
      <c r="F1308" t="s">
        <v>197</v>
      </c>
      <c r="G1308" t="s">
        <v>197</v>
      </c>
      <c r="H1308" t="s">
        <v>197</v>
      </c>
      <c r="I1308" t="s">
        <v>1152</v>
      </c>
      <c r="J1308" t="s">
        <v>199</v>
      </c>
      <c r="K1308" t="s">
        <v>200</v>
      </c>
    </row>
    <row r="1309" spans="1:24">
      <c r="B1309" t="s">
        <v>197</v>
      </c>
      <c r="C1309" t="s">
        <v>197</v>
      </c>
      <c r="D1309" t="s">
        <v>197</v>
      </c>
      <c r="E1309" t="s">
        <v>197</v>
      </c>
      <c r="F1309" t="s">
        <v>197</v>
      </c>
      <c r="G1309" t="s">
        <v>197</v>
      </c>
      <c r="H1309" t="s">
        <v>197</v>
      </c>
      <c r="I1309" t="s">
        <v>197</v>
      </c>
      <c r="J1309" t="s">
        <v>197</v>
      </c>
      <c r="K1309" t="s">
        <v>800</v>
      </c>
    </row>
    <row r="1310" spans="1:24">
      <c r="B1310" t="s">
        <v>197</v>
      </c>
      <c r="C1310" t="s">
        <v>197</v>
      </c>
      <c r="D1310" t="s">
        <v>197</v>
      </c>
      <c r="E1310" t="s">
        <v>197</v>
      </c>
      <c r="F1310" t="s">
        <v>197</v>
      </c>
      <c r="G1310" t="s">
        <v>197</v>
      </c>
      <c r="H1310" t="s">
        <v>197</v>
      </c>
      <c r="I1310" t="s">
        <v>197</v>
      </c>
      <c r="J1310" t="s">
        <v>197</v>
      </c>
      <c r="K1310" t="s">
        <v>801</v>
      </c>
    </row>
    <row r="1311" spans="1:24">
      <c r="B1311" t="s">
        <v>197</v>
      </c>
      <c r="C1311" t="s">
        <v>197</v>
      </c>
      <c r="D1311" t="s">
        <v>197</v>
      </c>
      <c r="E1311" t="s">
        <v>197</v>
      </c>
      <c r="F1311" t="s">
        <v>197</v>
      </c>
      <c r="G1311" t="s">
        <v>197</v>
      </c>
      <c r="H1311" t="s">
        <v>197</v>
      </c>
      <c r="I1311" t="s">
        <v>197</v>
      </c>
      <c r="J1311" t="s">
        <v>197</v>
      </c>
      <c r="K1311" t="s">
        <v>802</v>
      </c>
    </row>
    <row r="1312" spans="1:24">
      <c r="B1312" t="s">
        <v>197</v>
      </c>
      <c r="C1312" t="s">
        <v>197</v>
      </c>
      <c r="D1312" t="s">
        <v>197</v>
      </c>
      <c r="E1312" t="s">
        <v>197</v>
      </c>
      <c r="F1312" t="s">
        <v>197</v>
      </c>
      <c r="G1312" t="s">
        <v>197</v>
      </c>
      <c r="H1312" t="s">
        <v>197</v>
      </c>
      <c r="I1312" t="s">
        <v>197</v>
      </c>
      <c r="J1312" t="s">
        <v>197</v>
      </c>
      <c r="K1312" t="s">
        <v>803</v>
      </c>
    </row>
    <row r="1313" spans="1:24">
      <c r="B1313" t="s">
        <v>197</v>
      </c>
      <c r="C1313" t="s">
        <v>197</v>
      </c>
      <c r="D1313" t="s">
        <v>197</v>
      </c>
      <c r="E1313" t="s">
        <v>197</v>
      </c>
      <c r="F1313" t="s">
        <v>197</v>
      </c>
      <c r="G1313" t="s">
        <v>197</v>
      </c>
      <c r="H1313" t="s">
        <v>197</v>
      </c>
      <c r="I1313" t="s">
        <v>197</v>
      </c>
      <c r="J1313" t="s">
        <v>197</v>
      </c>
      <c r="K1313" t="s">
        <v>804</v>
      </c>
    </row>
    <row r="1314" spans="1:24">
      <c r="B1314" t="s">
        <v>197</v>
      </c>
      <c r="C1314" t="s">
        <v>197</v>
      </c>
      <c r="D1314" t="s">
        <v>197</v>
      </c>
      <c r="E1314" t="s">
        <v>197</v>
      </c>
      <c r="F1314" t="s">
        <v>197</v>
      </c>
      <c r="G1314" t="s">
        <v>197</v>
      </c>
      <c r="H1314" t="s">
        <v>197</v>
      </c>
      <c r="I1314" t="s">
        <v>197</v>
      </c>
      <c r="J1314" t="s">
        <v>197</v>
      </c>
      <c r="K1314" t="s">
        <v>805</v>
      </c>
    </row>
    <row r="1315" spans="1:24">
      <c r="B1315" t="s">
        <v>197</v>
      </c>
      <c r="C1315" t="s">
        <v>197</v>
      </c>
      <c r="D1315" t="s">
        <v>197</v>
      </c>
      <c r="E1315" t="s">
        <v>197</v>
      </c>
      <c r="F1315" t="s">
        <v>197</v>
      </c>
      <c r="G1315" t="s">
        <v>197</v>
      </c>
      <c r="H1315" t="s">
        <v>197</v>
      </c>
      <c r="I1315" t="s">
        <v>197</v>
      </c>
      <c r="J1315" t="s">
        <v>197</v>
      </c>
      <c r="K1315" t="s">
        <v>806</v>
      </c>
    </row>
    <row r="1316" spans="1:24">
      <c r="B1316" t="s">
        <v>197</v>
      </c>
      <c r="C1316" t="s">
        <v>197</v>
      </c>
      <c r="D1316" t="s">
        <v>197</v>
      </c>
      <c r="E1316" t="s">
        <v>197</v>
      </c>
      <c r="F1316" t="s">
        <v>197</v>
      </c>
      <c r="G1316" t="s">
        <v>197</v>
      </c>
      <c r="H1316" t="s">
        <v>197</v>
      </c>
      <c r="I1316" t="s">
        <v>197</v>
      </c>
      <c r="J1316" t="s">
        <v>197</v>
      </c>
      <c r="K1316" t="s">
        <v>807</v>
      </c>
    </row>
    <row r="1317" spans="1:24">
      <c r="A1317" t="s">
        <v>1153</v>
      </c>
      <c r="K1317" t="s">
        <v>1154</v>
      </c>
      <c r="W1317" t="s">
        <v>171</v>
      </c>
      <c r="X1317" t="str">
        <f>A1317</f>
        <v>info_sdt_dml_batch1_pk_irp1</v>
      </c>
    </row>
    <row r="1318" spans="1:24">
      <c r="B1318" t="s">
        <v>196</v>
      </c>
      <c r="C1318" t="s">
        <v>197</v>
      </c>
      <c r="D1318" t="s">
        <v>197</v>
      </c>
      <c r="E1318" t="s">
        <v>197</v>
      </c>
      <c r="F1318" t="s">
        <v>197</v>
      </c>
      <c r="G1318" t="s">
        <v>197</v>
      </c>
      <c r="H1318" t="s">
        <v>197</v>
      </c>
      <c r="I1318" t="s">
        <v>1155</v>
      </c>
      <c r="J1318" t="s">
        <v>199</v>
      </c>
      <c r="K1318" t="s">
        <v>200</v>
      </c>
    </row>
    <row r="1319" spans="1:24">
      <c r="B1319" t="s">
        <v>197</v>
      </c>
      <c r="C1319" t="s">
        <v>197</v>
      </c>
      <c r="D1319" t="s">
        <v>197</v>
      </c>
      <c r="E1319" t="s">
        <v>197</v>
      </c>
      <c r="F1319" t="s">
        <v>197</v>
      </c>
      <c r="G1319" t="s">
        <v>197</v>
      </c>
      <c r="H1319" t="s">
        <v>197</v>
      </c>
      <c r="I1319" t="s">
        <v>197</v>
      </c>
      <c r="J1319" t="s">
        <v>197</v>
      </c>
      <c r="K1319" t="s">
        <v>422</v>
      </c>
    </row>
    <row r="1320" spans="1:24">
      <c r="A1320" t="s">
        <v>1144</v>
      </c>
      <c r="K1320" t="s">
        <v>1145</v>
      </c>
      <c r="W1320" s="1" t="str">
        <f>HYPERLINK("#2026042000hbase2!BM2","NO 源备存在差异，共14个")</f>
        <v>NO 源备存在差异，共14个</v>
      </c>
      <c r="X1320" t="str">
        <f>A1320</f>
        <v>info_int_dml_batch2_pk_irp1</v>
      </c>
    </row>
    <row r="1321" spans="1:24">
      <c r="B1321" t="s">
        <v>196</v>
      </c>
      <c r="C1321" t="s">
        <v>197</v>
      </c>
      <c r="D1321" t="s">
        <v>197</v>
      </c>
      <c r="E1321" t="s">
        <v>197</v>
      </c>
      <c r="F1321" t="s">
        <v>197</v>
      </c>
      <c r="G1321" t="s">
        <v>197</v>
      </c>
      <c r="H1321" t="s">
        <v>197</v>
      </c>
      <c r="I1321" t="s">
        <v>1146</v>
      </c>
      <c r="J1321" t="s">
        <v>199</v>
      </c>
      <c r="K1321" t="s">
        <v>200</v>
      </c>
    </row>
    <row r="1322" spans="1:24">
      <c r="B1322" t="s">
        <v>197</v>
      </c>
      <c r="C1322" t="s">
        <v>197</v>
      </c>
      <c r="D1322" t="s">
        <v>197</v>
      </c>
      <c r="E1322" t="s">
        <v>197</v>
      </c>
      <c r="F1322" t="s">
        <v>197</v>
      </c>
      <c r="G1322" t="s">
        <v>197</v>
      </c>
      <c r="H1322" t="s">
        <v>197</v>
      </c>
      <c r="I1322" t="s">
        <v>197</v>
      </c>
      <c r="J1322" t="s">
        <v>197</v>
      </c>
      <c r="K1322" t="s">
        <v>549</v>
      </c>
    </row>
    <row r="1323" spans="1:24">
      <c r="B1323" t="s">
        <v>197</v>
      </c>
      <c r="C1323" t="s">
        <v>197</v>
      </c>
      <c r="D1323" t="s">
        <v>197</v>
      </c>
      <c r="E1323" t="s">
        <v>197</v>
      </c>
      <c r="F1323" t="s">
        <v>197</v>
      </c>
      <c r="G1323" t="s">
        <v>197</v>
      </c>
      <c r="H1323" t="s">
        <v>197</v>
      </c>
      <c r="I1323" t="s">
        <v>197</v>
      </c>
      <c r="J1323" t="s">
        <v>197</v>
      </c>
      <c r="K1323" t="s">
        <v>550</v>
      </c>
    </row>
    <row r="1324" spans="1:24">
      <c r="B1324" t="s">
        <v>197</v>
      </c>
      <c r="C1324" t="s">
        <v>197</v>
      </c>
      <c r="D1324" t="s">
        <v>197</v>
      </c>
      <c r="E1324" t="s">
        <v>197</v>
      </c>
      <c r="F1324" t="s">
        <v>197</v>
      </c>
      <c r="G1324" t="s">
        <v>197</v>
      </c>
      <c r="H1324" t="s">
        <v>197</v>
      </c>
      <c r="I1324" t="s">
        <v>197</v>
      </c>
      <c r="J1324" t="s">
        <v>197</v>
      </c>
      <c r="K1324" t="s">
        <v>551</v>
      </c>
    </row>
    <row r="1325" spans="1:24">
      <c r="B1325" t="s">
        <v>197</v>
      </c>
      <c r="C1325" t="s">
        <v>197</v>
      </c>
      <c r="D1325" t="s">
        <v>197</v>
      </c>
      <c r="E1325" t="s">
        <v>197</v>
      </c>
      <c r="F1325" t="s">
        <v>197</v>
      </c>
      <c r="G1325" t="s">
        <v>197</v>
      </c>
      <c r="H1325" t="s">
        <v>197</v>
      </c>
      <c r="I1325" t="s">
        <v>197</v>
      </c>
      <c r="J1325" t="s">
        <v>197</v>
      </c>
      <c r="K1325" t="s">
        <v>552</v>
      </c>
    </row>
    <row r="1326" spans="1:24">
      <c r="B1326" t="s">
        <v>197</v>
      </c>
      <c r="C1326" t="s">
        <v>197</v>
      </c>
      <c r="D1326" t="s">
        <v>197</v>
      </c>
      <c r="E1326" t="s">
        <v>197</v>
      </c>
      <c r="F1326" t="s">
        <v>197</v>
      </c>
      <c r="G1326" t="s">
        <v>197</v>
      </c>
      <c r="H1326" t="s">
        <v>197</v>
      </c>
      <c r="I1326" t="s">
        <v>197</v>
      </c>
      <c r="J1326" t="s">
        <v>197</v>
      </c>
      <c r="K1326" t="s">
        <v>553</v>
      </c>
    </row>
    <row r="1327" spans="1:24">
      <c r="B1327" t="s">
        <v>197</v>
      </c>
      <c r="C1327" t="s">
        <v>197</v>
      </c>
      <c r="D1327" t="s">
        <v>197</v>
      </c>
      <c r="E1327" t="s">
        <v>197</v>
      </c>
      <c r="F1327" t="s">
        <v>197</v>
      </c>
      <c r="G1327" t="s">
        <v>197</v>
      </c>
      <c r="H1327" t="s">
        <v>197</v>
      </c>
      <c r="I1327" t="s">
        <v>197</v>
      </c>
      <c r="J1327" t="s">
        <v>197</v>
      </c>
      <c r="K1327" t="s">
        <v>554</v>
      </c>
    </row>
    <row r="1328" spans="1:24">
      <c r="B1328" t="s">
        <v>197</v>
      </c>
      <c r="C1328" t="s">
        <v>197</v>
      </c>
      <c r="D1328" t="s">
        <v>197</v>
      </c>
      <c r="E1328" t="s">
        <v>197</v>
      </c>
      <c r="F1328" t="s">
        <v>197</v>
      </c>
      <c r="G1328" t="s">
        <v>197</v>
      </c>
      <c r="H1328" t="s">
        <v>197</v>
      </c>
      <c r="I1328" t="s">
        <v>197</v>
      </c>
      <c r="J1328" t="s">
        <v>197</v>
      </c>
      <c r="K1328" t="s">
        <v>555</v>
      </c>
    </row>
    <row r="1329" spans="1:24">
      <c r="B1329" t="s">
        <v>197</v>
      </c>
      <c r="C1329" t="s">
        <v>197</v>
      </c>
      <c r="D1329" t="s">
        <v>197</v>
      </c>
      <c r="E1329" t="s">
        <v>197</v>
      </c>
      <c r="F1329" t="s">
        <v>197</v>
      </c>
      <c r="G1329" t="s">
        <v>197</v>
      </c>
      <c r="H1329" t="s">
        <v>197</v>
      </c>
      <c r="I1329" t="s">
        <v>197</v>
      </c>
      <c r="J1329" t="s">
        <v>197</v>
      </c>
      <c r="K1329" t="s">
        <v>556</v>
      </c>
    </row>
    <row r="1330" spans="1:24">
      <c r="B1330" t="s">
        <v>197</v>
      </c>
      <c r="C1330" t="s">
        <v>197</v>
      </c>
      <c r="D1330" t="s">
        <v>197</v>
      </c>
      <c r="E1330" t="s">
        <v>197</v>
      </c>
      <c r="F1330" t="s">
        <v>197</v>
      </c>
      <c r="G1330" t="s">
        <v>197</v>
      </c>
      <c r="H1330" t="s">
        <v>197</v>
      </c>
      <c r="I1330" t="s">
        <v>197</v>
      </c>
      <c r="J1330" t="s">
        <v>197</v>
      </c>
      <c r="K1330" t="s">
        <v>557</v>
      </c>
    </row>
    <row r="1331" spans="1:24">
      <c r="B1331" t="s">
        <v>197</v>
      </c>
      <c r="C1331" t="s">
        <v>197</v>
      </c>
      <c r="D1331" t="s">
        <v>197</v>
      </c>
      <c r="E1331" t="s">
        <v>197</v>
      </c>
      <c r="F1331" t="s">
        <v>197</v>
      </c>
      <c r="G1331" t="s">
        <v>197</v>
      </c>
      <c r="H1331" t="s">
        <v>197</v>
      </c>
      <c r="I1331" t="s">
        <v>197</v>
      </c>
      <c r="J1331" t="s">
        <v>197</v>
      </c>
      <c r="K1331" t="s">
        <v>558</v>
      </c>
    </row>
    <row r="1332" spans="1:24">
      <c r="B1332" t="s">
        <v>197</v>
      </c>
      <c r="C1332" t="s">
        <v>197</v>
      </c>
      <c r="D1332" t="s">
        <v>197</v>
      </c>
      <c r="E1332" t="s">
        <v>197</v>
      </c>
      <c r="F1332" t="s">
        <v>197</v>
      </c>
      <c r="G1332" t="s">
        <v>197</v>
      </c>
      <c r="H1332" t="s">
        <v>197</v>
      </c>
      <c r="I1332" t="s">
        <v>197</v>
      </c>
      <c r="J1332" t="s">
        <v>197</v>
      </c>
      <c r="K1332" t="s">
        <v>559</v>
      </c>
    </row>
    <row r="1333" spans="1:24">
      <c r="B1333" t="s">
        <v>197</v>
      </c>
      <c r="C1333" t="s">
        <v>197</v>
      </c>
      <c r="D1333" t="s">
        <v>197</v>
      </c>
      <c r="E1333" t="s">
        <v>197</v>
      </c>
      <c r="F1333" t="s">
        <v>197</v>
      </c>
      <c r="G1333" t="s">
        <v>197</v>
      </c>
      <c r="H1333" t="s">
        <v>197</v>
      </c>
      <c r="I1333" t="s">
        <v>197</v>
      </c>
      <c r="J1333" t="s">
        <v>197</v>
      </c>
      <c r="K1333" t="s">
        <v>560</v>
      </c>
    </row>
    <row r="1334" spans="1:24">
      <c r="B1334" t="s">
        <v>197</v>
      </c>
      <c r="C1334" t="s">
        <v>197</v>
      </c>
      <c r="D1334" t="s">
        <v>197</v>
      </c>
      <c r="E1334" t="s">
        <v>197</v>
      </c>
      <c r="F1334" t="s">
        <v>197</v>
      </c>
      <c r="G1334" t="s">
        <v>197</v>
      </c>
      <c r="H1334" t="s">
        <v>197</v>
      </c>
      <c r="I1334" t="s">
        <v>197</v>
      </c>
      <c r="J1334" t="s">
        <v>197</v>
      </c>
      <c r="K1334" t="s">
        <v>561</v>
      </c>
    </row>
    <row r="1335" spans="1:24">
      <c r="B1335" t="s">
        <v>197</v>
      </c>
      <c r="C1335" t="s">
        <v>197</v>
      </c>
      <c r="D1335" t="s">
        <v>197</v>
      </c>
      <c r="E1335" t="s">
        <v>197</v>
      </c>
      <c r="F1335" t="s">
        <v>197</v>
      </c>
      <c r="G1335" t="s">
        <v>197</v>
      </c>
      <c r="H1335" t="s">
        <v>197</v>
      </c>
      <c r="I1335" t="s">
        <v>197</v>
      </c>
      <c r="J1335" t="s">
        <v>197</v>
      </c>
      <c r="K1335" t="s">
        <v>562</v>
      </c>
    </row>
    <row r="1336" spans="1:24">
      <c r="B1336" t="s">
        <v>197</v>
      </c>
      <c r="C1336" t="s">
        <v>197</v>
      </c>
      <c r="D1336" t="s">
        <v>197</v>
      </c>
      <c r="E1336" t="s">
        <v>197</v>
      </c>
      <c r="F1336" t="s">
        <v>197</v>
      </c>
      <c r="G1336" t="s">
        <v>197</v>
      </c>
      <c r="H1336" t="s">
        <v>197</v>
      </c>
      <c r="I1336" t="s">
        <v>197</v>
      </c>
      <c r="J1336" t="s">
        <v>197</v>
      </c>
      <c r="K1336" t="s">
        <v>563</v>
      </c>
    </row>
    <row r="1337" spans="1:24">
      <c r="B1337" t="s">
        <v>197</v>
      </c>
      <c r="C1337" t="s">
        <v>197</v>
      </c>
      <c r="D1337" t="s">
        <v>197</v>
      </c>
      <c r="E1337" t="s">
        <v>197</v>
      </c>
      <c r="F1337" t="s">
        <v>197</v>
      </c>
      <c r="G1337" t="s">
        <v>197</v>
      </c>
      <c r="H1337" t="s">
        <v>197</v>
      </c>
      <c r="I1337" t="s">
        <v>197</v>
      </c>
      <c r="J1337" t="s">
        <v>197</v>
      </c>
      <c r="K1337" t="s">
        <v>564</v>
      </c>
    </row>
    <row r="1338" spans="1:24">
      <c r="B1338" t="s">
        <v>197</v>
      </c>
      <c r="C1338" t="s">
        <v>197</v>
      </c>
      <c r="D1338" t="s">
        <v>197</v>
      </c>
      <c r="E1338" t="s">
        <v>197</v>
      </c>
      <c r="F1338" t="s">
        <v>197</v>
      </c>
      <c r="G1338" t="s">
        <v>197</v>
      </c>
      <c r="H1338" t="s">
        <v>197</v>
      </c>
      <c r="I1338" t="s">
        <v>197</v>
      </c>
      <c r="J1338" t="s">
        <v>197</v>
      </c>
      <c r="K1338" t="s">
        <v>565</v>
      </c>
    </row>
    <row r="1339" spans="1:24">
      <c r="B1339" t="s">
        <v>197</v>
      </c>
      <c r="C1339" t="s">
        <v>197</v>
      </c>
      <c r="D1339" t="s">
        <v>197</v>
      </c>
      <c r="E1339" t="s">
        <v>197</v>
      </c>
      <c r="F1339" t="s">
        <v>197</v>
      </c>
      <c r="G1339" t="s">
        <v>197</v>
      </c>
      <c r="H1339" t="s">
        <v>197</v>
      </c>
      <c r="I1339" t="s">
        <v>197</v>
      </c>
      <c r="J1339" t="s">
        <v>197</v>
      </c>
      <c r="K1339" t="s">
        <v>566</v>
      </c>
    </row>
    <row r="1340" spans="1:24">
      <c r="B1340" t="s">
        <v>197</v>
      </c>
      <c r="C1340" t="s">
        <v>197</v>
      </c>
      <c r="D1340" t="s">
        <v>197</v>
      </c>
      <c r="E1340" t="s">
        <v>197</v>
      </c>
      <c r="F1340" t="s">
        <v>197</v>
      </c>
      <c r="G1340" t="s">
        <v>197</v>
      </c>
      <c r="H1340" t="s">
        <v>197</v>
      </c>
      <c r="I1340" t="s">
        <v>197</v>
      </c>
      <c r="J1340" t="s">
        <v>197</v>
      </c>
      <c r="K1340" t="s">
        <v>567</v>
      </c>
    </row>
    <row r="1341" spans="1:24">
      <c r="A1341" t="s">
        <v>1147</v>
      </c>
      <c r="K1341" t="s">
        <v>1148</v>
      </c>
      <c r="W1341" s="1" t="str">
        <f>HYPERLINK("#2026042000hbase2!BN2","NO 源备存在差异，共38个")</f>
        <v>NO 源备存在差异，共38个</v>
      </c>
      <c r="X1341" t="str">
        <f>A1341</f>
        <v>info_varbinary_dml_batch2_pk_irp2</v>
      </c>
    </row>
    <row r="1342" spans="1:24">
      <c r="B1342" t="s">
        <v>196</v>
      </c>
      <c r="C1342" t="s">
        <v>197</v>
      </c>
      <c r="D1342" t="s">
        <v>197</v>
      </c>
      <c r="E1342" t="s">
        <v>197</v>
      </c>
      <c r="F1342" t="s">
        <v>197</v>
      </c>
      <c r="G1342" t="s">
        <v>197</v>
      </c>
      <c r="H1342" t="s">
        <v>197</v>
      </c>
      <c r="I1342" t="s">
        <v>1149</v>
      </c>
      <c r="J1342" t="s">
        <v>199</v>
      </c>
      <c r="K1342" t="s">
        <v>200</v>
      </c>
    </row>
    <row r="1343" spans="1:24">
      <c r="B1343" t="s">
        <v>197</v>
      </c>
      <c r="C1343" t="s">
        <v>197</v>
      </c>
      <c r="D1343" t="s">
        <v>197</v>
      </c>
      <c r="E1343" t="s">
        <v>197</v>
      </c>
      <c r="F1343" t="s">
        <v>197</v>
      </c>
      <c r="G1343" t="s">
        <v>197</v>
      </c>
      <c r="H1343" t="s">
        <v>197</v>
      </c>
      <c r="I1343" t="s">
        <v>197</v>
      </c>
      <c r="J1343" t="s">
        <v>197</v>
      </c>
      <c r="K1343" t="s">
        <v>495</v>
      </c>
    </row>
    <row r="1344" spans="1:24">
      <c r="B1344" t="s">
        <v>197</v>
      </c>
      <c r="C1344" t="s">
        <v>197</v>
      </c>
      <c r="D1344" t="s">
        <v>197</v>
      </c>
      <c r="E1344" t="s">
        <v>197</v>
      </c>
      <c r="F1344" t="s">
        <v>197</v>
      </c>
      <c r="G1344" t="s">
        <v>197</v>
      </c>
      <c r="H1344" t="s">
        <v>197</v>
      </c>
      <c r="I1344" t="s">
        <v>197</v>
      </c>
      <c r="J1344" t="s">
        <v>197</v>
      </c>
      <c r="K1344" t="s">
        <v>499</v>
      </c>
    </row>
    <row r="1345" spans="1:24">
      <c r="B1345" t="s">
        <v>197</v>
      </c>
      <c r="C1345" t="s">
        <v>197</v>
      </c>
      <c r="D1345" t="s">
        <v>197</v>
      </c>
      <c r="E1345" t="s">
        <v>197</v>
      </c>
      <c r="F1345" t="s">
        <v>197</v>
      </c>
      <c r="G1345" t="s">
        <v>197</v>
      </c>
      <c r="H1345" t="s">
        <v>197</v>
      </c>
      <c r="I1345" t="s">
        <v>197</v>
      </c>
      <c r="J1345" t="s">
        <v>197</v>
      </c>
      <c r="K1345" t="s">
        <v>503</v>
      </c>
    </row>
    <row r="1346" spans="1:24">
      <c r="A1346" t="s">
        <v>1156</v>
      </c>
      <c r="K1346" t="s">
        <v>1157</v>
      </c>
      <c r="W1346" t="s">
        <v>171</v>
      </c>
      <c r="X1346" t="str">
        <f>A1346</f>
        <v>info_sdt_dml_batch1_pk_irp2</v>
      </c>
    </row>
    <row r="1347" spans="1:24">
      <c r="B1347" t="s">
        <v>196</v>
      </c>
      <c r="C1347" t="s">
        <v>197</v>
      </c>
      <c r="D1347" t="s">
        <v>197</v>
      </c>
      <c r="E1347" t="s">
        <v>197</v>
      </c>
      <c r="F1347" t="s">
        <v>197</v>
      </c>
      <c r="G1347" t="s">
        <v>197</v>
      </c>
      <c r="H1347" t="s">
        <v>197</v>
      </c>
      <c r="I1347" t="s">
        <v>1158</v>
      </c>
      <c r="J1347" t="s">
        <v>199</v>
      </c>
      <c r="K1347" t="s">
        <v>200</v>
      </c>
    </row>
    <row r="1348" spans="1:24">
      <c r="B1348" t="s">
        <v>197</v>
      </c>
      <c r="C1348" t="s">
        <v>197</v>
      </c>
      <c r="D1348" t="s">
        <v>197</v>
      </c>
      <c r="E1348" t="s">
        <v>197</v>
      </c>
      <c r="F1348" t="s">
        <v>197</v>
      </c>
      <c r="G1348" t="s">
        <v>197</v>
      </c>
      <c r="H1348" t="s">
        <v>197</v>
      </c>
      <c r="I1348" t="s">
        <v>197</v>
      </c>
      <c r="J1348" t="s">
        <v>197</v>
      </c>
      <c r="K1348" t="s">
        <v>422</v>
      </c>
    </row>
    <row r="1349" spans="1:24">
      <c r="A1349" t="s">
        <v>1165</v>
      </c>
      <c r="K1349" t="s">
        <v>1166</v>
      </c>
      <c r="W1349" s="1" t="str">
        <f>HYPERLINK("#2026042000hbase2!BO2","NO 源备存在差异，共36个")</f>
        <v>NO 源备存在差异，共36个</v>
      </c>
      <c r="X1349" t="str">
        <f>A1349</f>
        <v>info_int_dml_batch2_pk_irp2</v>
      </c>
    </row>
    <row r="1350" spans="1:24">
      <c r="B1350" t="s">
        <v>196</v>
      </c>
      <c r="C1350" t="s">
        <v>197</v>
      </c>
      <c r="D1350" t="s">
        <v>197</v>
      </c>
      <c r="E1350" t="s">
        <v>197</v>
      </c>
      <c r="F1350" t="s">
        <v>197</v>
      </c>
      <c r="G1350" t="s">
        <v>197</v>
      </c>
      <c r="H1350" t="s">
        <v>197</v>
      </c>
      <c r="I1350" t="s">
        <v>1167</v>
      </c>
      <c r="J1350" t="s">
        <v>199</v>
      </c>
      <c r="K1350" t="s">
        <v>200</v>
      </c>
    </row>
    <row r="1351" spans="1:24">
      <c r="B1351" t="s">
        <v>197</v>
      </c>
      <c r="C1351" t="s">
        <v>197</v>
      </c>
      <c r="D1351" t="s">
        <v>197</v>
      </c>
      <c r="E1351" t="s">
        <v>197</v>
      </c>
      <c r="F1351" t="s">
        <v>197</v>
      </c>
      <c r="G1351" t="s">
        <v>197</v>
      </c>
      <c r="H1351" t="s">
        <v>197</v>
      </c>
      <c r="I1351" t="s">
        <v>197</v>
      </c>
      <c r="J1351" t="s">
        <v>197</v>
      </c>
      <c r="K1351" t="s">
        <v>549</v>
      </c>
    </row>
    <row r="1352" spans="1:24">
      <c r="B1352" t="s">
        <v>197</v>
      </c>
      <c r="C1352" t="s">
        <v>197</v>
      </c>
      <c r="D1352" t="s">
        <v>197</v>
      </c>
      <c r="E1352" t="s">
        <v>197</v>
      </c>
      <c r="F1352" t="s">
        <v>197</v>
      </c>
      <c r="G1352" t="s">
        <v>197</v>
      </c>
      <c r="H1352" t="s">
        <v>197</v>
      </c>
      <c r="I1352" t="s">
        <v>197</v>
      </c>
      <c r="J1352" t="s">
        <v>197</v>
      </c>
      <c r="K1352" t="s">
        <v>550</v>
      </c>
    </row>
    <row r="1353" spans="1:24">
      <c r="B1353" t="s">
        <v>197</v>
      </c>
      <c r="C1353" t="s">
        <v>197</v>
      </c>
      <c r="D1353" t="s">
        <v>197</v>
      </c>
      <c r="E1353" t="s">
        <v>197</v>
      </c>
      <c r="F1353" t="s">
        <v>197</v>
      </c>
      <c r="G1353" t="s">
        <v>197</v>
      </c>
      <c r="H1353" t="s">
        <v>197</v>
      </c>
      <c r="I1353" t="s">
        <v>197</v>
      </c>
      <c r="J1353" t="s">
        <v>197</v>
      </c>
      <c r="K1353" t="s">
        <v>551</v>
      </c>
    </row>
    <row r="1354" spans="1:24">
      <c r="B1354" t="s">
        <v>197</v>
      </c>
      <c r="C1354" t="s">
        <v>197</v>
      </c>
      <c r="D1354" t="s">
        <v>197</v>
      </c>
      <c r="E1354" t="s">
        <v>197</v>
      </c>
      <c r="F1354" t="s">
        <v>197</v>
      </c>
      <c r="G1354" t="s">
        <v>197</v>
      </c>
      <c r="H1354" t="s">
        <v>197</v>
      </c>
      <c r="I1354" t="s">
        <v>197</v>
      </c>
      <c r="J1354" t="s">
        <v>197</v>
      </c>
      <c r="K1354" t="s">
        <v>552</v>
      </c>
    </row>
    <row r="1355" spans="1:24">
      <c r="B1355" t="s">
        <v>197</v>
      </c>
      <c r="C1355" t="s">
        <v>197</v>
      </c>
      <c r="D1355" t="s">
        <v>197</v>
      </c>
      <c r="E1355" t="s">
        <v>197</v>
      </c>
      <c r="F1355" t="s">
        <v>197</v>
      </c>
      <c r="G1355" t="s">
        <v>197</v>
      </c>
      <c r="H1355" t="s">
        <v>197</v>
      </c>
      <c r="I1355" t="s">
        <v>197</v>
      </c>
      <c r="J1355" t="s">
        <v>197</v>
      </c>
      <c r="K1355" t="s">
        <v>553</v>
      </c>
    </row>
    <row r="1356" spans="1:24">
      <c r="B1356" t="s">
        <v>197</v>
      </c>
      <c r="C1356" t="s">
        <v>197</v>
      </c>
      <c r="D1356" t="s">
        <v>197</v>
      </c>
      <c r="E1356" t="s">
        <v>197</v>
      </c>
      <c r="F1356" t="s">
        <v>197</v>
      </c>
      <c r="G1356" t="s">
        <v>197</v>
      </c>
      <c r="H1356" t="s">
        <v>197</v>
      </c>
      <c r="I1356" t="s">
        <v>197</v>
      </c>
      <c r="J1356" t="s">
        <v>197</v>
      </c>
      <c r="K1356" t="s">
        <v>554</v>
      </c>
    </row>
    <row r="1357" spans="1:24">
      <c r="B1357" t="s">
        <v>197</v>
      </c>
      <c r="C1357" t="s">
        <v>197</v>
      </c>
      <c r="D1357" t="s">
        <v>197</v>
      </c>
      <c r="E1357" t="s">
        <v>197</v>
      </c>
      <c r="F1357" t="s">
        <v>197</v>
      </c>
      <c r="G1357" t="s">
        <v>197</v>
      </c>
      <c r="H1357" t="s">
        <v>197</v>
      </c>
      <c r="I1357" t="s">
        <v>197</v>
      </c>
      <c r="J1357" t="s">
        <v>197</v>
      </c>
      <c r="K1357" t="s">
        <v>555</v>
      </c>
    </row>
    <row r="1358" spans="1:24">
      <c r="B1358" t="s">
        <v>197</v>
      </c>
      <c r="C1358" t="s">
        <v>197</v>
      </c>
      <c r="D1358" t="s">
        <v>197</v>
      </c>
      <c r="E1358" t="s">
        <v>197</v>
      </c>
      <c r="F1358" t="s">
        <v>197</v>
      </c>
      <c r="G1358" t="s">
        <v>197</v>
      </c>
      <c r="H1358" t="s">
        <v>197</v>
      </c>
      <c r="I1358" t="s">
        <v>197</v>
      </c>
      <c r="J1358" t="s">
        <v>197</v>
      </c>
      <c r="K1358" t="s">
        <v>556</v>
      </c>
    </row>
    <row r="1359" spans="1:24">
      <c r="B1359" t="s">
        <v>197</v>
      </c>
      <c r="C1359" t="s">
        <v>197</v>
      </c>
      <c r="D1359" t="s">
        <v>197</v>
      </c>
      <c r="E1359" t="s">
        <v>197</v>
      </c>
      <c r="F1359" t="s">
        <v>197</v>
      </c>
      <c r="G1359" t="s">
        <v>197</v>
      </c>
      <c r="H1359" t="s">
        <v>197</v>
      </c>
      <c r="I1359" t="s">
        <v>197</v>
      </c>
      <c r="J1359" t="s">
        <v>197</v>
      </c>
      <c r="K1359" t="s">
        <v>557</v>
      </c>
    </row>
    <row r="1360" spans="1:24">
      <c r="B1360" t="s">
        <v>197</v>
      </c>
      <c r="C1360" t="s">
        <v>197</v>
      </c>
      <c r="D1360" t="s">
        <v>197</v>
      </c>
      <c r="E1360" t="s">
        <v>197</v>
      </c>
      <c r="F1360" t="s">
        <v>197</v>
      </c>
      <c r="G1360" t="s">
        <v>197</v>
      </c>
      <c r="H1360" t="s">
        <v>197</v>
      </c>
      <c r="I1360" t="s">
        <v>197</v>
      </c>
      <c r="J1360" t="s">
        <v>197</v>
      </c>
      <c r="K1360" t="s">
        <v>558</v>
      </c>
    </row>
    <row r="1361" spans="1:24">
      <c r="B1361" t="s">
        <v>197</v>
      </c>
      <c r="C1361" t="s">
        <v>197</v>
      </c>
      <c r="D1361" t="s">
        <v>197</v>
      </c>
      <c r="E1361" t="s">
        <v>197</v>
      </c>
      <c r="F1361" t="s">
        <v>197</v>
      </c>
      <c r="G1361" t="s">
        <v>197</v>
      </c>
      <c r="H1361" t="s">
        <v>197</v>
      </c>
      <c r="I1361" t="s">
        <v>197</v>
      </c>
      <c r="J1361" t="s">
        <v>197</v>
      </c>
      <c r="K1361" t="s">
        <v>559</v>
      </c>
    </row>
    <row r="1362" spans="1:24">
      <c r="B1362" t="s">
        <v>197</v>
      </c>
      <c r="C1362" t="s">
        <v>197</v>
      </c>
      <c r="D1362" t="s">
        <v>197</v>
      </c>
      <c r="E1362" t="s">
        <v>197</v>
      </c>
      <c r="F1362" t="s">
        <v>197</v>
      </c>
      <c r="G1362" t="s">
        <v>197</v>
      </c>
      <c r="H1362" t="s">
        <v>197</v>
      </c>
      <c r="I1362" t="s">
        <v>197</v>
      </c>
      <c r="J1362" t="s">
        <v>197</v>
      </c>
      <c r="K1362" t="s">
        <v>560</v>
      </c>
    </row>
    <row r="1363" spans="1:24">
      <c r="B1363" t="s">
        <v>197</v>
      </c>
      <c r="C1363" t="s">
        <v>197</v>
      </c>
      <c r="D1363" t="s">
        <v>197</v>
      </c>
      <c r="E1363" t="s">
        <v>197</v>
      </c>
      <c r="F1363" t="s">
        <v>197</v>
      </c>
      <c r="G1363" t="s">
        <v>197</v>
      </c>
      <c r="H1363" t="s">
        <v>197</v>
      </c>
      <c r="I1363" t="s">
        <v>197</v>
      </c>
      <c r="J1363" t="s">
        <v>197</v>
      </c>
      <c r="K1363" t="s">
        <v>561</v>
      </c>
    </row>
    <row r="1364" spans="1:24">
      <c r="B1364" t="s">
        <v>197</v>
      </c>
      <c r="C1364" t="s">
        <v>197</v>
      </c>
      <c r="D1364" t="s">
        <v>197</v>
      </c>
      <c r="E1364" t="s">
        <v>197</v>
      </c>
      <c r="F1364" t="s">
        <v>197</v>
      </c>
      <c r="G1364" t="s">
        <v>197</v>
      </c>
      <c r="H1364" t="s">
        <v>197</v>
      </c>
      <c r="I1364" t="s">
        <v>197</v>
      </c>
      <c r="J1364" t="s">
        <v>197</v>
      </c>
      <c r="K1364" t="s">
        <v>562</v>
      </c>
    </row>
    <row r="1365" spans="1:24">
      <c r="B1365" t="s">
        <v>197</v>
      </c>
      <c r="C1365" t="s">
        <v>197</v>
      </c>
      <c r="D1365" t="s">
        <v>197</v>
      </c>
      <c r="E1365" t="s">
        <v>197</v>
      </c>
      <c r="F1365" t="s">
        <v>197</v>
      </c>
      <c r="G1365" t="s">
        <v>197</v>
      </c>
      <c r="H1365" t="s">
        <v>197</v>
      </c>
      <c r="I1365" t="s">
        <v>197</v>
      </c>
      <c r="J1365" t="s">
        <v>197</v>
      </c>
      <c r="K1365" t="s">
        <v>563</v>
      </c>
    </row>
    <row r="1366" spans="1:24">
      <c r="B1366" t="s">
        <v>197</v>
      </c>
      <c r="C1366" t="s">
        <v>197</v>
      </c>
      <c r="D1366" t="s">
        <v>197</v>
      </c>
      <c r="E1366" t="s">
        <v>197</v>
      </c>
      <c r="F1366" t="s">
        <v>197</v>
      </c>
      <c r="G1366" t="s">
        <v>197</v>
      </c>
      <c r="H1366" t="s">
        <v>197</v>
      </c>
      <c r="I1366" t="s">
        <v>197</v>
      </c>
      <c r="J1366" t="s">
        <v>197</v>
      </c>
      <c r="K1366" t="s">
        <v>564</v>
      </c>
    </row>
    <row r="1367" spans="1:24">
      <c r="B1367" t="s">
        <v>197</v>
      </c>
      <c r="C1367" t="s">
        <v>197</v>
      </c>
      <c r="D1367" t="s">
        <v>197</v>
      </c>
      <c r="E1367" t="s">
        <v>197</v>
      </c>
      <c r="F1367" t="s">
        <v>197</v>
      </c>
      <c r="G1367" t="s">
        <v>197</v>
      </c>
      <c r="H1367" t="s">
        <v>197</v>
      </c>
      <c r="I1367" t="s">
        <v>197</v>
      </c>
      <c r="J1367" t="s">
        <v>197</v>
      </c>
      <c r="K1367" t="s">
        <v>565</v>
      </c>
    </row>
    <row r="1368" spans="1:24">
      <c r="B1368" t="s">
        <v>197</v>
      </c>
      <c r="C1368" t="s">
        <v>197</v>
      </c>
      <c r="D1368" t="s">
        <v>197</v>
      </c>
      <c r="E1368" t="s">
        <v>197</v>
      </c>
      <c r="F1368" t="s">
        <v>197</v>
      </c>
      <c r="G1368" t="s">
        <v>197</v>
      </c>
      <c r="H1368" t="s">
        <v>197</v>
      </c>
      <c r="I1368" t="s">
        <v>197</v>
      </c>
      <c r="J1368" t="s">
        <v>197</v>
      </c>
      <c r="K1368" t="s">
        <v>566</v>
      </c>
    </row>
    <row r="1369" spans="1:24">
      <c r="B1369" t="s">
        <v>197</v>
      </c>
      <c r="C1369" t="s">
        <v>197</v>
      </c>
      <c r="D1369" t="s">
        <v>197</v>
      </c>
      <c r="E1369" t="s">
        <v>197</v>
      </c>
      <c r="F1369" t="s">
        <v>197</v>
      </c>
      <c r="G1369" t="s">
        <v>197</v>
      </c>
      <c r="H1369" t="s">
        <v>197</v>
      </c>
      <c r="I1369" t="s">
        <v>197</v>
      </c>
      <c r="J1369" t="s">
        <v>197</v>
      </c>
      <c r="K1369" t="s">
        <v>567</v>
      </c>
    </row>
    <row r="1370" spans="1:24">
      <c r="A1370" t="s">
        <v>1168</v>
      </c>
      <c r="K1370" t="s">
        <v>1169</v>
      </c>
      <c r="W1370" t="s">
        <v>171</v>
      </c>
      <c r="X1370" t="str">
        <f>A1370</f>
        <v>info_varchar_dml_single_pk</v>
      </c>
    </row>
    <row r="1371" spans="1:24">
      <c r="B1371" t="s">
        <v>196</v>
      </c>
      <c r="C1371" t="s">
        <v>197</v>
      </c>
      <c r="D1371" t="s">
        <v>197</v>
      </c>
      <c r="E1371" t="s">
        <v>197</v>
      </c>
      <c r="F1371" t="s">
        <v>197</v>
      </c>
      <c r="G1371" t="s">
        <v>197</v>
      </c>
      <c r="H1371" t="s">
        <v>197</v>
      </c>
      <c r="I1371" t="s">
        <v>1170</v>
      </c>
      <c r="J1371" t="s">
        <v>199</v>
      </c>
      <c r="K1371" t="s">
        <v>200</v>
      </c>
    </row>
    <row r="1372" spans="1:24">
      <c r="B1372" t="s">
        <v>197</v>
      </c>
      <c r="C1372" t="s">
        <v>197</v>
      </c>
      <c r="D1372" t="s">
        <v>197</v>
      </c>
      <c r="E1372" t="s">
        <v>197</v>
      </c>
      <c r="F1372" t="s">
        <v>197</v>
      </c>
      <c r="G1372" t="s">
        <v>197</v>
      </c>
      <c r="H1372" t="s">
        <v>197</v>
      </c>
      <c r="I1372" t="s">
        <v>197</v>
      </c>
      <c r="J1372" t="s">
        <v>197</v>
      </c>
      <c r="K1372" t="s">
        <v>431</v>
      </c>
    </row>
    <row r="1373" spans="1:24">
      <c r="B1373" t="s">
        <v>197</v>
      </c>
      <c r="C1373" t="s">
        <v>197</v>
      </c>
      <c r="D1373" t="s">
        <v>197</v>
      </c>
      <c r="E1373" t="s">
        <v>197</v>
      </c>
      <c r="F1373" t="s">
        <v>197</v>
      </c>
      <c r="G1373" t="s">
        <v>197</v>
      </c>
      <c r="H1373" t="s">
        <v>197</v>
      </c>
      <c r="I1373" t="s">
        <v>197</v>
      </c>
      <c r="J1373" t="s">
        <v>197</v>
      </c>
      <c r="K1373" t="s">
        <v>1056</v>
      </c>
    </row>
    <row r="1374" spans="1:24">
      <c r="B1374" t="s">
        <v>197</v>
      </c>
      <c r="C1374" t="s">
        <v>197</v>
      </c>
      <c r="D1374" t="s">
        <v>197</v>
      </c>
      <c r="E1374" t="s">
        <v>197</v>
      </c>
      <c r="F1374" t="s">
        <v>197</v>
      </c>
      <c r="G1374" t="s">
        <v>197</v>
      </c>
      <c r="H1374" t="s">
        <v>197</v>
      </c>
      <c r="I1374" t="s">
        <v>197</v>
      </c>
      <c r="J1374" t="s">
        <v>197</v>
      </c>
      <c r="K1374" t="s">
        <v>963</v>
      </c>
    </row>
    <row r="1375" spans="1:24">
      <c r="A1375" t="s">
        <v>1162</v>
      </c>
      <c r="K1375" t="s">
        <v>1163</v>
      </c>
      <c r="W1375" t="s">
        <v>171</v>
      </c>
      <c r="X1375" t="str">
        <f>A1375</f>
        <v>info_varchar_dml_batch1_pk_urp2</v>
      </c>
    </row>
    <row r="1376" spans="1:24">
      <c r="B1376" t="s">
        <v>196</v>
      </c>
      <c r="C1376" t="s">
        <v>197</v>
      </c>
      <c r="D1376" t="s">
        <v>197</v>
      </c>
      <c r="E1376" t="s">
        <v>197</v>
      </c>
      <c r="F1376" t="s">
        <v>197</v>
      </c>
      <c r="G1376" t="s">
        <v>197</v>
      </c>
      <c r="H1376" t="s">
        <v>197</v>
      </c>
      <c r="I1376" t="s">
        <v>1164</v>
      </c>
      <c r="J1376" t="s">
        <v>199</v>
      </c>
      <c r="K1376" t="s">
        <v>200</v>
      </c>
    </row>
    <row r="1377" spans="1:24">
      <c r="B1377" t="s">
        <v>197</v>
      </c>
      <c r="C1377" t="s">
        <v>197</v>
      </c>
      <c r="D1377" t="s">
        <v>197</v>
      </c>
      <c r="E1377" t="s">
        <v>197</v>
      </c>
      <c r="F1377" t="s">
        <v>197</v>
      </c>
      <c r="G1377" t="s">
        <v>197</v>
      </c>
      <c r="H1377" t="s">
        <v>197</v>
      </c>
      <c r="I1377" t="s">
        <v>197</v>
      </c>
      <c r="J1377" t="s">
        <v>197</v>
      </c>
      <c r="K1377" t="s">
        <v>431</v>
      </c>
    </row>
    <row r="1378" spans="1:24">
      <c r="B1378" t="s">
        <v>197</v>
      </c>
      <c r="C1378" t="s">
        <v>197</v>
      </c>
      <c r="D1378" t="s">
        <v>197</v>
      </c>
      <c r="E1378" t="s">
        <v>197</v>
      </c>
      <c r="F1378" t="s">
        <v>197</v>
      </c>
      <c r="G1378" t="s">
        <v>197</v>
      </c>
      <c r="H1378" t="s">
        <v>197</v>
      </c>
      <c r="I1378" t="s">
        <v>197</v>
      </c>
      <c r="J1378" t="s">
        <v>197</v>
      </c>
      <c r="K1378" t="s">
        <v>434</v>
      </c>
    </row>
    <row r="1379" spans="1:24">
      <c r="B1379" t="s">
        <v>197</v>
      </c>
      <c r="C1379" t="s">
        <v>197</v>
      </c>
      <c r="D1379" t="s">
        <v>197</v>
      </c>
      <c r="E1379" t="s">
        <v>197</v>
      </c>
      <c r="F1379" t="s">
        <v>197</v>
      </c>
      <c r="G1379" t="s">
        <v>197</v>
      </c>
      <c r="H1379" t="s">
        <v>197</v>
      </c>
      <c r="I1379" t="s">
        <v>197</v>
      </c>
      <c r="J1379" t="s">
        <v>197</v>
      </c>
      <c r="K1379" t="s">
        <v>439</v>
      </c>
    </row>
    <row r="1380" spans="1:24">
      <c r="A1380" t="s">
        <v>1159</v>
      </c>
      <c r="K1380" t="s">
        <v>1160</v>
      </c>
      <c r="W1380" t="s">
        <v>171</v>
      </c>
      <c r="X1380" t="str">
        <f>A1380</f>
        <v>info_datetimeoffset_dml_single_pk_irp</v>
      </c>
    </row>
    <row r="1381" spans="1:24">
      <c r="B1381" t="s">
        <v>196</v>
      </c>
      <c r="C1381" t="s">
        <v>197</v>
      </c>
      <c r="D1381" t="s">
        <v>197</v>
      </c>
      <c r="E1381" t="s">
        <v>197</v>
      </c>
      <c r="F1381" t="s">
        <v>197</v>
      </c>
      <c r="G1381" t="s">
        <v>197</v>
      </c>
      <c r="H1381" t="s">
        <v>197</v>
      </c>
      <c r="I1381" t="s">
        <v>1161</v>
      </c>
      <c r="J1381" t="s">
        <v>199</v>
      </c>
      <c r="K1381" t="s">
        <v>200</v>
      </c>
    </row>
    <row r="1382" spans="1:24">
      <c r="B1382" t="s">
        <v>197</v>
      </c>
      <c r="C1382" t="s">
        <v>197</v>
      </c>
      <c r="D1382" t="s">
        <v>197</v>
      </c>
      <c r="E1382" t="s">
        <v>197</v>
      </c>
      <c r="F1382" t="s">
        <v>197</v>
      </c>
      <c r="G1382" t="s">
        <v>197</v>
      </c>
      <c r="H1382" t="s">
        <v>197</v>
      </c>
      <c r="I1382" t="s">
        <v>197</v>
      </c>
      <c r="J1382" t="s">
        <v>197</v>
      </c>
      <c r="K1382" t="s">
        <v>301</v>
      </c>
    </row>
    <row r="1383" spans="1:24">
      <c r="B1383" t="s">
        <v>197</v>
      </c>
      <c r="C1383" t="s">
        <v>197</v>
      </c>
      <c r="D1383" t="s">
        <v>197</v>
      </c>
      <c r="E1383" t="s">
        <v>197</v>
      </c>
      <c r="F1383" t="s">
        <v>197</v>
      </c>
      <c r="G1383" t="s">
        <v>197</v>
      </c>
      <c r="H1383" t="s">
        <v>197</v>
      </c>
      <c r="I1383" t="s">
        <v>197</v>
      </c>
      <c r="J1383" t="s">
        <v>197</v>
      </c>
      <c r="K1383" t="s">
        <v>314</v>
      </c>
    </row>
    <row r="1384" spans="1:24">
      <c r="B1384" t="s">
        <v>197</v>
      </c>
      <c r="C1384" t="s">
        <v>197</v>
      </c>
      <c r="D1384" t="s">
        <v>197</v>
      </c>
      <c r="E1384" t="s">
        <v>197</v>
      </c>
      <c r="F1384" t="s">
        <v>197</v>
      </c>
      <c r="G1384" t="s">
        <v>197</v>
      </c>
      <c r="H1384" t="s">
        <v>197</v>
      </c>
      <c r="I1384" t="s">
        <v>197</v>
      </c>
      <c r="J1384" t="s">
        <v>197</v>
      </c>
      <c r="K1384" t="s">
        <v>324</v>
      </c>
    </row>
    <row r="1385" spans="1:24">
      <c r="B1385" t="s">
        <v>197</v>
      </c>
      <c r="C1385" t="s">
        <v>197</v>
      </c>
      <c r="D1385" t="s">
        <v>197</v>
      </c>
      <c r="E1385" t="s">
        <v>197</v>
      </c>
      <c r="F1385" t="s">
        <v>197</v>
      </c>
      <c r="G1385" t="s">
        <v>197</v>
      </c>
      <c r="H1385" t="s">
        <v>197</v>
      </c>
      <c r="I1385" t="s">
        <v>197</v>
      </c>
      <c r="J1385" t="s">
        <v>197</v>
      </c>
      <c r="K1385" t="s">
        <v>335</v>
      </c>
    </row>
    <row r="1386" spans="1:24">
      <c r="B1386" t="s">
        <v>197</v>
      </c>
      <c r="C1386" t="s">
        <v>197</v>
      </c>
      <c r="D1386" t="s">
        <v>197</v>
      </c>
      <c r="E1386" t="s">
        <v>197</v>
      </c>
      <c r="F1386" t="s">
        <v>197</v>
      </c>
      <c r="G1386" t="s">
        <v>197</v>
      </c>
      <c r="H1386" t="s">
        <v>197</v>
      </c>
      <c r="I1386" t="s">
        <v>197</v>
      </c>
      <c r="J1386" t="s">
        <v>197</v>
      </c>
      <c r="K1386" t="s">
        <v>350</v>
      </c>
    </row>
    <row r="1387" spans="1:24">
      <c r="B1387" t="s">
        <v>197</v>
      </c>
      <c r="C1387" t="s">
        <v>197</v>
      </c>
      <c r="D1387" t="s">
        <v>197</v>
      </c>
      <c r="E1387" t="s">
        <v>197</v>
      </c>
      <c r="F1387" t="s">
        <v>197</v>
      </c>
      <c r="G1387" t="s">
        <v>197</v>
      </c>
      <c r="H1387" t="s">
        <v>197</v>
      </c>
      <c r="I1387" t="s">
        <v>197</v>
      </c>
      <c r="J1387" t="s">
        <v>197</v>
      </c>
      <c r="K1387" t="s">
        <v>360</v>
      </c>
    </row>
    <row r="1388" spans="1:24">
      <c r="B1388" t="s">
        <v>197</v>
      </c>
      <c r="C1388" t="s">
        <v>197</v>
      </c>
      <c r="D1388" t="s">
        <v>197</v>
      </c>
      <c r="E1388" t="s">
        <v>197</v>
      </c>
      <c r="F1388" t="s">
        <v>197</v>
      </c>
      <c r="G1388" t="s">
        <v>197</v>
      </c>
      <c r="H1388" t="s">
        <v>197</v>
      </c>
      <c r="I1388" t="s">
        <v>197</v>
      </c>
      <c r="J1388" t="s">
        <v>197</v>
      </c>
      <c r="K1388" t="s">
        <v>367</v>
      </c>
    </row>
    <row r="1389" spans="1:24">
      <c r="B1389" t="s">
        <v>197</v>
      </c>
      <c r="C1389" t="s">
        <v>197</v>
      </c>
      <c r="D1389" t="s">
        <v>197</v>
      </c>
      <c r="E1389" t="s">
        <v>197</v>
      </c>
      <c r="F1389" t="s">
        <v>197</v>
      </c>
      <c r="G1389" t="s">
        <v>197</v>
      </c>
      <c r="H1389" t="s">
        <v>197</v>
      </c>
      <c r="I1389" t="s">
        <v>197</v>
      </c>
      <c r="J1389" t="s">
        <v>197</v>
      </c>
      <c r="K1389" t="s">
        <v>373</v>
      </c>
    </row>
    <row r="1390" spans="1:24">
      <c r="A1390" t="s">
        <v>1171</v>
      </c>
      <c r="K1390" t="s">
        <v>1172</v>
      </c>
      <c r="W1390" t="s">
        <v>171</v>
      </c>
      <c r="X1390" t="str">
        <f>A1390</f>
        <v>info_sdt_dml_batch2_pk_irp1</v>
      </c>
    </row>
    <row r="1391" spans="1:24">
      <c r="B1391" t="s">
        <v>196</v>
      </c>
      <c r="C1391" t="s">
        <v>197</v>
      </c>
      <c r="D1391" t="s">
        <v>197</v>
      </c>
      <c r="E1391" t="s">
        <v>197</v>
      </c>
      <c r="F1391" t="s">
        <v>197</v>
      </c>
      <c r="G1391" t="s">
        <v>197</v>
      </c>
      <c r="H1391" t="s">
        <v>197</v>
      </c>
      <c r="I1391" t="s">
        <v>1173</v>
      </c>
      <c r="J1391" t="s">
        <v>199</v>
      </c>
      <c r="K1391" t="s">
        <v>200</v>
      </c>
    </row>
    <row r="1392" spans="1:24">
      <c r="B1392" t="s">
        <v>197</v>
      </c>
      <c r="C1392" t="s">
        <v>197</v>
      </c>
      <c r="D1392" t="s">
        <v>197</v>
      </c>
      <c r="E1392" t="s">
        <v>197</v>
      </c>
      <c r="F1392" t="s">
        <v>197</v>
      </c>
      <c r="G1392" t="s">
        <v>197</v>
      </c>
      <c r="H1392" t="s">
        <v>197</v>
      </c>
      <c r="I1392" t="s">
        <v>197</v>
      </c>
      <c r="J1392" t="s">
        <v>197</v>
      </c>
      <c r="K1392" t="s">
        <v>422</v>
      </c>
    </row>
  </sheetData>
  <mergeCells count="202">
    <mergeCell ref="A3:A6"/>
    <mergeCell ref="A7:A11"/>
    <mergeCell ref="A12:A21"/>
    <mergeCell ref="A22:A24"/>
    <mergeCell ref="A25:A27"/>
    <mergeCell ref="A28:A30"/>
    <mergeCell ref="A31:A36"/>
    <mergeCell ref="A37:A39"/>
    <mergeCell ref="A40:A42"/>
    <mergeCell ref="A43:A47"/>
    <mergeCell ref="A48:A51"/>
    <mergeCell ref="A52:A56"/>
    <mergeCell ref="A57:A66"/>
    <mergeCell ref="A67:A70"/>
    <mergeCell ref="A71:A73"/>
    <mergeCell ref="A74:A76"/>
    <mergeCell ref="A77:A81"/>
    <mergeCell ref="A82:A86"/>
    <mergeCell ref="A87:A89"/>
    <mergeCell ref="A90:A110"/>
    <mergeCell ref="A111:A113"/>
    <mergeCell ref="A114:A116"/>
    <mergeCell ref="A117:A121"/>
    <mergeCell ref="A122:A124"/>
    <mergeCell ref="A125:A134"/>
    <mergeCell ref="A135:A138"/>
    <mergeCell ref="A139:A141"/>
    <mergeCell ref="A142:A147"/>
    <mergeCell ref="A148:A152"/>
    <mergeCell ref="A153:A173"/>
    <mergeCell ref="A174:A176"/>
    <mergeCell ref="A177:A181"/>
    <mergeCell ref="A182:A184"/>
    <mergeCell ref="A185:A189"/>
    <mergeCell ref="A190:A192"/>
    <mergeCell ref="A193:A214"/>
    <mergeCell ref="A215:A220"/>
    <mergeCell ref="A221:A223"/>
    <mergeCell ref="A224:A226"/>
    <mergeCell ref="A227:A231"/>
    <mergeCell ref="A232:A234"/>
    <mergeCell ref="A235:A239"/>
    <mergeCell ref="A240:A242"/>
    <mergeCell ref="A243:A246"/>
    <mergeCell ref="A247:A249"/>
    <mergeCell ref="A250:A254"/>
    <mergeCell ref="A255:A259"/>
    <mergeCell ref="A260:A262"/>
    <mergeCell ref="A263:A268"/>
    <mergeCell ref="A269:A273"/>
    <mergeCell ref="A274:A283"/>
    <mergeCell ref="A284:A286"/>
    <mergeCell ref="A287:A296"/>
    <mergeCell ref="A297:A306"/>
    <mergeCell ref="A307:A311"/>
    <mergeCell ref="A312:A332"/>
    <mergeCell ref="A333:A342"/>
    <mergeCell ref="A343:A363"/>
    <mergeCell ref="A364:A369"/>
    <mergeCell ref="A370:A372"/>
    <mergeCell ref="A373:A382"/>
    <mergeCell ref="A383:A388"/>
    <mergeCell ref="A389:A391"/>
    <mergeCell ref="A392:A396"/>
    <mergeCell ref="A397:A406"/>
    <mergeCell ref="A407:A411"/>
    <mergeCell ref="A412:A422"/>
    <mergeCell ref="A423:A427"/>
    <mergeCell ref="A428:A432"/>
    <mergeCell ref="A433:A437"/>
    <mergeCell ref="A438:A447"/>
    <mergeCell ref="A448:A450"/>
    <mergeCell ref="A451:A455"/>
    <mergeCell ref="A456:A465"/>
    <mergeCell ref="A466:A470"/>
    <mergeCell ref="A471:A475"/>
    <mergeCell ref="A476:A478"/>
    <mergeCell ref="A479:A481"/>
    <mergeCell ref="A482:A491"/>
    <mergeCell ref="A492:A496"/>
    <mergeCell ref="A497:A499"/>
    <mergeCell ref="A500:A503"/>
    <mergeCell ref="A504:A513"/>
    <mergeCell ref="A514:A523"/>
    <mergeCell ref="A524:A528"/>
    <mergeCell ref="A529:A533"/>
    <mergeCell ref="A534:A538"/>
    <mergeCell ref="A539:A548"/>
    <mergeCell ref="A549:A558"/>
    <mergeCell ref="A559:A568"/>
    <mergeCell ref="A569:A578"/>
    <mergeCell ref="A579:A581"/>
    <mergeCell ref="A582:A586"/>
    <mergeCell ref="A587:A597"/>
    <mergeCell ref="A598:A602"/>
    <mergeCell ref="A603:A605"/>
    <mergeCell ref="A606:A615"/>
    <mergeCell ref="A616:A621"/>
    <mergeCell ref="A622:A631"/>
    <mergeCell ref="A632:A636"/>
    <mergeCell ref="A637:A639"/>
    <mergeCell ref="A640:A649"/>
    <mergeCell ref="A650:A654"/>
    <mergeCell ref="A655:A664"/>
    <mergeCell ref="A665:A669"/>
    <mergeCell ref="A670:A672"/>
    <mergeCell ref="A673:A677"/>
    <mergeCell ref="A678:A687"/>
    <mergeCell ref="A688:A708"/>
    <mergeCell ref="A709:A711"/>
    <mergeCell ref="A712:A716"/>
    <mergeCell ref="A717:A722"/>
    <mergeCell ref="A723:A725"/>
    <mergeCell ref="A726:A730"/>
    <mergeCell ref="A731:A734"/>
    <mergeCell ref="A735:A737"/>
    <mergeCell ref="A738:A742"/>
    <mergeCell ref="A743:A745"/>
    <mergeCell ref="A746:A766"/>
    <mergeCell ref="A767:A771"/>
    <mergeCell ref="A772:A775"/>
    <mergeCell ref="A776:A781"/>
    <mergeCell ref="A782:A786"/>
    <mergeCell ref="A787:A792"/>
    <mergeCell ref="A793:A797"/>
    <mergeCell ref="A798:A800"/>
    <mergeCell ref="A801:A803"/>
    <mergeCell ref="A804:A808"/>
    <mergeCell ref="A809:A811"/>
    <mergeCell ref="A812:A815"/>
    <mergeCell ref="A816:A836"/>
    <mergeCell ref="A837:A841"/>
    <mergeCell ref="A842:A846"/>
    <mergeCell ref="A847:A867"/>
    <mergeCell ref="A868:A870"/>
    <mergeCell ref="A871:A875"/>
    <mergeCell ref="A876:A880"/>
    <mergeCell ref="A881:A885"/>
    <mergeCell ref="A886:A890"/>
    <mergeCell ref="A891:A894"/>
    <mergeCell ref="A895:A900"/>
    <mergeCell ref="A901:A903"/>
    <mergeCell ref="A904:A908"/>
    <mergeCell ref="A909:A912"/>
    <mergeCell ref="A913:A915"/>
    <mergeCell ref="A916:A918"/>
    <mergeCell ref="A919:A928"/>
    <mergeCell ref="A929:A931"/>
    <mergeCell ref="A932:A936"/>
    <mergeCell ref="A937:A942"/>
    <mergeCell ref="A943:A945"/>
    <mergeCell ref="A946:A955"/>
    <mergeCell ref="A956:A981"/>
    <mergeCell ref="A982:A986"/>
    <mergeCell ref="A987:A989"/>
    <mergeCell ref="A990:A994"/>
    <mergeCell ref="A995:A997"/>
    <mergeCell ref="A998:A1002"/>
    <mergeCell ref="A1003:A1012"/>
    <mergeCell ref="A1013:A1017"/>
    <mergeCell ref="A1018:A1022"/>
    <mergeCell ref="A1023:A1025"/>
    <mergeCell ref="A1026:A1030"/>
    <mergeCell ref="A1031:A1040"/>
    <mergeCell ref="A1041:A1046"/>
    <mergeCell ref="A1047:A1051"/>
    <mergeCell ref="A1052:A1077"/>
    <mergeCell ref="A1078:A1083"/>
    <mergeCell ref="A1084:A1109"/>
    <mergeCell ref="A1110:A1130"/>
    <mergeCell ref="A1131:A1135"/>
    <mergeCell ref="A1136:A1138"/>
    <mergeCell ref="A1139:A1148"/>
    <mergeCell ref="A1149:A1151"/>
    <mergeCell ref="A1152:A1161"/>
    <mergeCell ref="A1162:A1166"/>
    <mergeCell ref="A1167:A1176"/>
    <mergeCell ref="A1177:A1202"/>
    <mergeCell ref="A1203:A1212"/>
    <mergeCell ref="A1213:A1215"/>
    <mergeCell ref="A1216:A1225"/>
    <mergeCell ref="A1226:A1230"/>
    <mergeCell ref="A1231:A1241"/>
    <mergeCell ref="A1242:A1262"/>
    <mergeCell ref="A1263:A1265"/>
    <mergeCell ref="A1266:A1275"/>
    <mergeCell ref="A1276:A1278"/>
    <mergeCell ref="A1279:A1283"/>
    <mergeCell ref="A1284:A1293"/>
    <mergeCell ref="A1294:A1298"/>
    <mergeCell ref="A1299:A1303"/>
    <mergeCell ref="A1304:A1306"/>
    <mergeCell ref="A1307:A1316"/>
    <mergeCell ref="A1317:A1319"/>
    <mergeCell ref="A1320:A1340"/>
    <mergeCell ref="A1341:A1345"/>
    <mergeCell ref="A1346:A1348"/>
    <mergeCell ref="A1349:A1369"/>
    <mergeCell ref="A1370:A1374"/>
    <mergeCell ref="A1375:A1379"/>
    <mergeCell ref="A1380:A1389"/>
    <mergeCell ref="A1390:A1392"/>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1387"/>
  <sheetViews>
    <sheetView topLeftCell="T1" workbookViewId="0">
      <selection activeCell="W8" sqref="W8"/>
    </sheetView>
  </sheetViews>
  <sheetFormatPr defaultColWidth="9" defaultRowHeight="13.5"/>
  <cols>
    <col min="29" max="29" width="255.625" style="2" customWidth="1"/>
  </cols>
  <sheetData>
    <row r="1" spans="1:62">
      <c r="A1" t="s">
        <v>1195</v>
      </c>
      <c r="E1" t="s">
        <v>1196</v>
      </c>
    </row>
    <row r="2" spans="1:62">
      <c r="A2" t="s">
        <v>157</v>
      </c>
      <c r="B2" t="s">
        <v>158</v>
      </c>
      <c r="C2" t="s">
        <v>159</v>
      </c>
      <c r="D2" t="s">
        <v>160</v>
      </c>
      <c r="E2" t="s">
        <v>161</v>
      </c>
      <c r="F2" t="s">
        <v>162</v>
      </c>
      <c r="G2" t="s">
        <v>163</v>
      </c>
      <c r="H2" t="s">
        <v>164</v>
      </c>
      <c r="I2" t="s">
        <v>165</v>
      </c>
      <c r="J2" t="s">
        <v>166</v>
      </c>
      <c r="K2" t="s">
        <v>167</v>
      </c>
      <c r="W2" t="s">
        <v>168</v>
      </c>
      <c r="Y2" s="1" t="str">
        <f>HYPERLINK("#2026042011hbase0!W43","info_varbinary_dml_batch1_pk_urp1")</f>
        <v>info_varbinary_dml_batch1_pk_urp1</v>
      </c>
      <c r="Z2" s="1" t="str">
        <f>HYPERLINK("#2026042011hbase0!W77","info_geometry_dml_single_pk_urp")</f>
        <v>info_geometry_dml_single_pk_urp</v>
      </c>
      <c r="AA2" s="1" t="str">
        <f>HYPERLINK("#2026042011hbase0!W85","info_int_dml_batch1_pk_urp1")</f>
        <v>info_int_dml_batch1_pk_urp1</v>
      </c>
      <c r="AB2" s="1" t="str">
        <f>HYPERLINK("#2026042011hbase0!W106","info_xml_dml_single_pk_urp")</f>
        <v>info_xml_dml_single_pk_urp</v>
      </c>
      <c r="AC2" s="1" t="str">
        <f>HYPERLINK("#2026042011hbase0!W117","info_varbinary_dml_batch1_pk_urp2")</f>
        <v>info_varbinary_dml_batch1_pk_urp2</v>
      </c>
      <c r="AD2" s="1" t="str">
        <f>HYPERLINK("#2026042011hbase0!W148","info_int_dml_batch1_pk_urp2")</f>
        <v>info_int_dml_batch1_pk_urp2</v>
      </c>
      <c r="AE2" s="1" t="str">
        <f>HYPERLINK("#2026042011hbase0!W240","info_geometry_dml_single_pk")</f>
        <v>info_geometry_dml_single_pk</v>
      </c>
      <c r="AF2" s="1" t="str">
        <f>HYPERLINK("#2026042011hbase0!W307","info_int_dml_batch1_pk_drp2")</f>
        <v>info_int_dml_batch1_pk_drp2</v>
      </c>
      <c r="AG2" s="1" t="str">
        <f>HYPERLINK("#2026042011hbase0!W328","info_binary_dml_batch1_pk_irp1")</f>
        <v>info_binary_dml_batch1_pk_irp1</v>
      </c>
      <c r="AH2" s="1" t="str">
        <f>HYPERLINK("#2026042011hbase0!W349","info_hierarchyid_dml_single_pk_irp")</f>
        <v>info_hierarchyid_dml_single_pk_irp</v>
      </c>
      <c r="AI2" s="1" t="str">
        <f>HYPERLINK("#2026042011hbase0!W412","info_binary_dml_batch1_pk_irp2")</f>
        <v>info_binary_dml_batch1_pk_irp2</v>
      </c>
      <c r="AJ2" s="1" t="str">
        <f>HYPERLINK("#2026042011hbase0!W450","info_binary_dml_batch2_pk_irp1")</f>
        <v>info_binary_dml_batch2_pk_irp1</v>
      </c>
      <c r="AK2" s="1" t="str">
        <f>HYPERLINK("#2026042011hbase0!W493","info_binary_dml_batch2_pk_irp2")</f>
        <v>info_binary_dml_batch2_pk_irp2</v>
      </c>
      <c r="AL2" s="1" t="str">
        <f>HYPERLINK("#2026042011hbase0!W629","info_binary_dml_batch1_pk_urp1")</f>
        <v>info_binary_dml_batch1_pk_urp1</v>
      </c>
      <c r="AM2" s="1" t="str">
        <f>HYPERLINK("#2026042011hbase0!W652","info_binary_dml_batch1_pk_urp2")</f>
        <v>info_binary_dml_batch1_pk_urp2</v>
      </c>
      <c r="AN2" s="1" t="str">
        <f>HYPERLINK("#2026042011hbase0!W667","info_int_dml_single_pk_irp")</f>
        <v>info_int_dml_single_pk_irp</v>
      </c>
      <c r="AO2" s="1" t="str">
        <f>HYPERLINK("#2026042011hbase0!W725","info_int_dml_single_pk_urp")</f>
        <v>info_int_dml_single_pk_urp</v>
      </c>
      <c r="AP2" s="1" t="str">
        <f>HYPERLINK("#2026042011hbase0!W778","info_binary_dml_batch1_pk_drp2")</f>
        <v>info_binary_dml_batch1_pk_drp2</v>
      </c>
      <c r="AQ2" s="1" t="str">
        <f>HYPERLINK("#2026042011hbase0!W786","info_int_dml_single_pk_drp")</f>
        <v>info_int_dml_single_pk_drp</v>
      </c>
      <c r="AR2" s="1" t="str">
        <f>HYPERLINK("#2026042011hbase0!W837","info_timestamp_dml_single_pk_irp")</f>
        <v>info_timestamp_dml_single_pk_irp</v>
      </c>
      <c r="AS2" s="1" t="str">
        <f>HYPERLINK("#2026042011hbase0!W901","info_timestamp_dml_single_pk_drp")</f>
        <v>info_timestamp_dml_single_pk_drp</v>
      </c>
      <c r="AT2" s="1" t="str">
        <f>HYPERLINK("#2026042011hbase0!W914","info_binary_dml_batch1_pk")</f>
        <v>info_binary_dml_batch1_pk</v>
      </c>
      <c r="AU2" s="1" t="str">
        <f>HYPERLINK("#2026042011hbase0!W938","info_sql_variant_dml_single_pk_irp")</f>
        <v>info_sql_variant_dml_single_pk_irp</v>
      </c>
      <c r="AV2" s="1" t="str">
        <f>HYPERLINK("#2026042011hbase0!W992","info_varbinary_dml_batch1_pk_irp1")</f>
        <v>info_varbinary_dml_batch1_pk_irp1</v>
      </c>
      <c r="AW2" s="1" t="str">
        <f>HYPERLINK("#2026042011hbase0!W997","info_geography_dml_single_pk_irp")</f>
        <v>info_geography_dml_single_pk_irp</v>
      </c>
      <c r="AX2" s="1" t="str">
        <f>HYPERLINK("#2026042011hbase0!W1021","info_varbinary_dml_batch1_pk_irp2")</f>
        <v>info_varbinary_dml_batch1_pk_irp2</v>
      </c>
      <c r="AY2" s="1" t="str">
        <f>HYPERLINK("#2026042011hbase0!W1026","info_sql_variant_dml_single_pk_urp")</f>
        <v>info_sql_variant_dml_single_pk_urp</v>
      </c>
      <c r="AZ2" s="1" t="str">
        <f>HYPERLINK("#2026042011hbase0!W1058","info_sql_variant_dml_single_pk_drp")</f>
        <v>info_sql_variant_dml_single_pk_drp</v>
      </c>
      <c r="BA2" s="1" t="str">
        <f>HYPERLINK("#2026042011hbase0!W1084","info_int_dml_batch1_pk_irp1")</f>
        <v>info_int_dml_batch1_pk_irp1</v>
      </c>
      <c r="BB2" s="1" t="str">
        <f>HYPERLINK("#2026042011hbase0!W1133","info_geography_dml_single_pk_urp")</f>
        <v>info_geography_dml_single_pk_urp</v>
      </c>
      <c r="BC2" s="1" t="str">
        <f>HYPERLINK("#2026042011hbase0!W1136","info_varbinary_dml_batch2_pk_irp1")</f>
        <v>info_varbinary_dml_batch2_pk_irp1</v>
      </c>
      <c r="BD2" s="1" t="str">
        <f>HYPERLINK("#2026042011hbase0!W1161","info_sql_variant_dml_single_pk")</f>
        <v>info_sql_variant_dml_single_pk</v>
      </c>
      <c r="BE2" s="1" t="str">
        <f>HYPERLINK("#2026042011hbase0!W1201","info_int_dml_batch1_pk_irp2")</f>
        <v>info_int_dml_batch1_pk_irp2</v>
      </c>
      <c r="BF2" s="1" t="str">
        <f>HYPERLINK("#2026042011hbase0!W1255","info_geography_dml_single_pk_drp")</f>
        <v>info_geography_dml_single_pk_drp</v>
      </c>
      <c r="BG2" s="1" t="str">
        <f>HYPERLINK("#2026042011hbase0!W1291","info_int_dml_batch1_pk")</f>
        <v>info_int_dml_batch1_pk</v>
      </c>
      <c r="BH2" s="1" t="str">
        <f>HYPERLINK("#2026042011hbase0!W1315","info_int_dml_batch2_pk_irp1")</f>
        <v>info_int_dml_batch2_pk_irp1</v>
      </c>
      <c r="BI2" s="1" t="str">
        <f>HYPERLINK("#2026042011hbase0!W1336","info_varbinary_dml_batch2_pk_irp2")</f>
        <v>info_varbinary_dml_batch2_pk_irp2</v>
      </c>
      <c r="BJ2" s="1" t="str">
        <f>HYPERLINK("#2026042011hbase0!W1359","info_int_dml_batch2_pk_irp2")</f>
        <v>info_int_dml_batch2_pk_irp2</v>
      </c>
    </row>
    <row r="3" spans="1:62">
      <c r="A3" t="s">
        <v>277</v>
      </c>
      <c r="K3" t="s">
        <v>278</v>
      </c>
      <c r="W3" t="s">
        <v>171</v>
      </c>
      <c r="X3" t="str">
        <f>A3</f>
        <v>info_datetimeoffset_dml_single_pk_urp</v>
      </c>
      <c r="Y3" t="s">
        <v>172</v>
      </c>
      <c r="Z3" t="s">
        <v>173</v>
      </c>
      <c r="AA3" t="s">
        <v>1197</v>
      </c>
      <c r="AB3" t="s">
        <v>174</v>
      </c>
      <c r="AC3" t="s">
        <v>172</v>
      </c>
      <c r="AD3" t="s">
        <v>1198</v>
      </c>
      <c r="AE3" t="s">
        <v>175</v>
      </c>
      <c r="AF3" t="s">
        <v>176</v>
      </c>
      <c r="AG3" t="s">
        <v>172</v>
      </c>
      <c r="AH3" t="s">
        <v>177</v>
      </c>
      <c r="AI3" t="s">
        <v>172</v>
      </c>
      <c r="AJ3" t="s">
        <v>172</v>
      </c>
      <c r="AK3" t="s">
        <v>172</v>
      </c>
      <c r="AL3" t="s">
        <v>178</v>
      </c>
      <c r="AM3" t="s">
        <v>178</v>
      </c>
      <c r="AN3" t="s">
        <v>179</v>
      </c>
      <c r="AO3" t="s">
        <v>179</v>
      </c>
      <c r="AP3" t="s">
        <v>182</v>
      </c>
      <c r="AQ3" t="s">
        <v>179</v>
      </c>
      <c r="AR3" t="s">
        <v>184</v>
      </c>
      <c r="AS3" t="s">
        <v>187</v>
      </c>
      <c r="AT3" t="s">
        <v>188</v>
      </c>
      <c r="AU3" t="s">
        <v>189</v>
      </c>
      <c r="AV3" t="s">
        <v>172</v>
      </c>
      <c r="AW3" t="s">
        <v>190</v>
      </c>
      <c r="AX3" t="s">
        <v>172</v>
      </c>
      <c r="AY3" t="s">
        <v>191</v>
      </c>
      <c r="AZ3" t="s">
        <v>192</v>
      </c>
      <c r="BA3" t="s">
        <v>179</v>
      </c>
      <c r="BB3" t="s">
        <v>193</v>
      </c>
      <c r="BC3" t="s">
        <v>172</v>
      </c>
      <c r="BD3" t="s">
        <v>194</v>
      </c>
      <c r="BE3" t="s">
        <v>179</v>
      </c>
      <c r="BF3" t="s">
        <v>195</v>
      </c>
      <c r="BG3" t="s">
        <v>1199</v>
      </c>
      <c r="BH3" t="s">
        <v>179</v>
      </c>
      <c r="BI3" t="s">
        <v>172</v>
      </c>
      <c r="BJ3" t="s">
        <v>179</v>
      </c>
    </row>
    <row r="4" spans="1:62">
      <c r="B4" t="s">
        <v>196</v>
      </c>
      <c r="C4" t="s">
        <v>197</v>
      </c>
      <c r="D4" t="s">
        <v>197</v>
      </c>
      <c r="E4" t="s">
        <v>197</v>
      </c>
      <c r="F4" t="s">
        <v>197</v>
      </c>
      <c r="G4" t="s">
        <v>197</v>
      </c>
      <c r="H4" t="s">
        <v>197</v>
      </c>
      <c r="I4" t="s">
        <v>291</v>
      </c>
      <c r="J4" t="s">
        <v>199</v>
      </c>
      <c r="K4" t="s">
        <v>200</v>
      </c>
      <c r="Y4" t="s">
        <v>201</v>
      </c>
      <c r="Z4" t="s">
        <v>175</v>
      </c>
      <c r="AA4" t="s">
        <v>1200</v>
      </c>
      <c r="AB4" t="s">
        <v>202</v>
      </c>
      <c r="AC4" t="s">
        <v>201</v>
      </c>
      <c r="AD4" t="s">
        <v>1201</v>
      </c>
      <c r="AE4" t="s">
        <v>203</v>
      </c>
      <c r="AF4" t="s">
        <v>204</v>
      </c>
      <c r="AG4" t="s">
        <v>205</v>
      </c>
      <c r="AH4" t="s">
        <v>206</v>
      </c>
      <c r="AI4" t="s">
        <v>207</v>
      </c>
      <c r="AJ4" t="s">
        <v>205</v>
      </c>
      <c r="AK4" t="s">
        <v>208</v>
      </c>
      <c r="AL4" t="s">
        <v>209</v>
      </c>
      <c r="AM4" t="s">
        <v>210</v>
      </c>
      <c r="AN4" t="s">
        <v>1202</v>
      </c>
      <c r="AO4" t="s">
        <v>211</v>
      </c>
      <c r="AP4" t="s">
        <v>214</v>
      </c>
      <c r="AQ4" t="s">
        <v>211</v>
      </c>
      <c r="AR4" t="s">
        <v>216</v>
      </c>
      <c r="AS4" t="s">
        <v>219</v>
      </c>
      <c r="AT4" t="s">
        <v>220</v>
      </c>
      <c r="AU4" t="s">
        <v>221</v>
      </c>
      <c r="AV4" t="s">
        <v>201</v>
      </c>
      <c r="AW4" t="s">
        <v>195</v>
      </c>
      <c r="AX4" t="s">
        <v>222</v>
      </c>
      <c r="AY4" t="s">
        <v>223</v>
      </c>
      <c r="AZ4" t="s">
        <v>224</v>
      </c>
      <c r="BA4" t="s">
        <v>176</v>
      </c>
      <c r="BB4" t="s">
        <v>225</v>
      </c>
      <c r="BC4" t="s">
        <v>201</v>
      </c>
      <c r="BD4" t="s">
        <v>226</v>
      </c>
      <c r="BE4" t="s">
        <v>176</v>
      </c>
      <c r="BF4" t="s">
        <v>227</v>
      </c>
      <c r="BG4" t="s">
        <v>1203</v>
      </c>
      <c r="BH4" t="s">
        <v>176</v>
      </c>
      <c r="BI4" t="s">
        <v>228</v>
      </c>
      <c r="BJ4" t="s">
        <v>176</v>
      </c>
    </row>
    <row r="5" spans="1:62">
      <c r="B5" t="s">
        <v>197</v>
      </c>
      <c r="C5" t="s">
        <v>197</v>
      </c>
      <c r="D5" t="s">
        <v>197</v>
      </c>
      <c r="E5" t="s">
        <v>197</v>
      </c>
      <c r="F5" t="s">
        <v>197</v>
      </c>
      <c r="G5" t="s">
        <v>197</v>
      </c>
      <c r="H5" t="s">
        <v>197</v>
      </c>
      <c r="I5" t="s">
        <v>197</v>
      </c>
      <c r="J5" t="s">
        <v>197</v>
      </c>
      <c r="K5" t="s">
        <v>301</v>
      </c>
      <c r="Y5" t="s">
        <v>182</v>
      </c>
      <c r="Z5" t="s">
        <v>230</v>
      </c>
      <c r="AA5" t="s">
        <v>1204</v>
      </c>
      <c r="AB5" t="s">
        <v>231</v>
      </c>
      <c r="AC5" t="s">
        <v>182</v>
      </c>
      <c r="AD5" t="s">
        <v>1205</v>
      </c>
      <c r="AF5" t="s">
        <v>1199</v>
      </c>
      <c r="AG5" t="s">
        <v>233</v>
      </c>
      <c r="AH5" t="s">
        <v>234</v>
      </c>
      <c r="AI5" t="s">
        <v>235</v>
      </c>
      <c r="AJ5" t="s">
        <v>233</v>
      </c>
      <c r="AK5" t="s">
        <v>236</v>
      </c>
      <c r="AL5" t="s">
        <v>237</v>
      </c>
      <c r="AM5" t="s">
        <v>237</v>
      </c>
      <c r="AN5" t="s">
        <v>211</v>
      </c>
      <c r="AO5" t="s">
        <v>1206</v>
      </c>
      <c r="AP5" t="s">
        <v>241</v>
      </c>
      <c r="AQ5" t="s">
        <v>1207</v>
      </c>
      <c r="AR5" t="s">
        <v>219</v>
      </c>
      <c r="AT5" t="s">
        <v>244</v>
      </c>
      <c r="AU5" t="s">
        <v>245</v>
      </c>
      <c r="AV5" t="s">
        <v>182</v>
      </c>
      <c r="AW5" t="s">
        <v>227</v>
      </c>
      <c r="AX5" t="s">
        <v>246</v>
      </c>
      <c r="AY5" t="s">
        <v>247</v>
      </c>
      <c r="BA5" t="s">
        <v>204</v>
      </c>
      <c r="BB5" t="s">
        <v>248</v>
      </c>
      <c r="BC5" t="s">
        <v>182</v>
      </c>
      <c r="BE5" t="s">
        <v>204</v>
      </c>
      <c r="BF5" t="s">
        <v>249</v>
      </c>
      <c r="BH5" t="s">
        <v>204</v>
      </c>
      <c r="BI5" t="s">
        <v>250</v>
      </c>
      <c r="BJ5" t="s">
        <v>204</v>
      </c>
    </row>
    <row r="6" spans="1:62">
      <c r="B6" t="s">
        <v>197</v>
      </c>
      <c r="C6" t="s">
        <v>197</v>
      </c>
      <c r="D6" t="s">
        <v>197</v>
      </c>
      <c r="E6" t="s">
        <v>197</v>
      </c>
      <c r="F6" t="s">
        <v>197</v>
      </c>
      <c r="G6" t="s">
        <v>197</v>
      </c>
      <c r="H6" t="s">
        <v>197</v>
      </c>
      <c r="I6" t="s">
        <v>197</v>
      </c>
      <c r="J6" t="s">
        <v>197</v>
      </c>
      <c r="K6" t="s">
        <v>314</v>
      </c>
      <c r="Y6" t="s">
        <v>252</v>
      </c>
      <c r="Z6" t="s">
        <v>253</v>
      </c>
      <c r="AA6" t="s">
        <v>1208</v>
      </c>
      <c r="AB6" t="s">
        <v>254</v>
      </c>
      <c r="AC6" t="s">
        <v>252</v>
      </c>
      <c r="AD6" t="s">
        <v>1208</v>
      </c>
      <c r="AF6" t="s">
        <v>232</v>
      </c>
      <c r="AG6" t="s">
        <v>256</v>
      </c>
      <c r="AH6" t="s">
        <v>257</v>
      </c>
      <c r="AI6" t="s">
        <v>246</v>
      </c>
      <c r="AJ6" t="s">
        <v>256</v>
      </c>
      <c r="AK6" t="s">
        <v>250</v>
      </c>
      <c r="AL6" t="s">
        <v>188</v>
      </c>
      <c r="AM6" t="s">
        <v>188</v>
      </c>
      <c r="AN6" t="s">
        <v>1207</v>
      </c>
      <c r="AO6" t="s">
        <v>1209</v>
      </c>
      <c r="AP6" t="s">
        <v>261</v>
      </c>
      <c r="AQ6" t="s">
        <v>1206</v>
      </c>
      <c r="AR6" t="s">
        <v>263</v>
      </c>
      <c r="AT6" t="s">
        <v>267</v>
      </c>
      <c r="AU6" t="s">
        <v>268</v>
      </c>
      <c r="AV6" t="s">
        <v>269</v>
      </c>
      <c r="AW6" t="s">
        <v>270</v>
      </c>
      <c r="AX6" t="s">
        <v>271</v>
      </c>
      <c r="AY6" t="s">
        <v>272</v>
      </c>
      <c r="BA6" t="s">
        <v>1199</v>
      </c>
      <c r="BB6" t="s">
        <v>273</v>
      </c>
      <c r="BC6" t="s">
        <v>274</v>
      </c>
      <c r="BE6" t="s">
        <v>1199</v>
      </c>
      <c r="BF6" t="s">
        <v>275</v>
      </c>
      <c r="BH6" t="s">
        <v>1199</v>
      </c>
      <c r="BI6" t="s">
        <v>276</v>
      </c>
      <c r="BJ6" t="s">
        <v>1199</v>
      </c>
    </row>
    <row r="7" spans="1:62">
      <c r="B7" t="s">
        <v>197</v>
      </c>
      <c r="C7" t="s">
        <v>197</v>
      </c>
      <c r="D7" t="s">
        <v>197</v>
      </c>
      <c r="E7" t="s">
        <v>197</v>
      </c>
      <c r="F7" t="s">
        <v>197</v>
      </c>
      <c r="G7" t="s">
        <v>197</v>
      </c>
      <c r="H7" t="s">
        <v>197</v>
      </c>
      <c r="I7" t="s">
        <v>197</v>
      </c>
      <c r="J7" t="s">
        <v>197</v>
      </c>
      <c r="K7" t="s">
        <v>324</v>
      </c>
      <c r="Y7" t="s">
        <v>269</v>
      </c>
      <c r="Z7" t="s">
        <v>203</v>
      </c>
      <c r="AA7" t="s">
        <v>1210</v>
      </c>
      <c r="AC7" t="s">
        <v>269</v>
      </c>
      <c r="AD7" t="s">
        <v>1210</v>
      </c>
      <c r="AF7" t="s">
        <v>255</v>
      </c>
      <c r="AG7" t="s">
        <v>182</v>
      </c>
      <c r="AI7" t="s">
        <v>280</v>
      </c>
      <c r="AJ7" t="s">
        <v>182</v>
      </c>
      <c r="AK7" t="s">
        <v>281</v>
      </c>
      <c r="AL7" t="s">
        <v>282</v>
      </c>
      <c r="AM7" t="s">
        <v>256</v>
      </c>
      <c r="AN7" t="s">
        <v>1206</v>
      </c>
      <c r="AQ7" t="s">
        <v>1209</v>
      </c>
      <c r="AV7" t="s">
        <v>287</v>
      </c>
      <c r="AW7" t="s">
        <v>288</v>
      </c>
      <c r="AX7" t="s">
        <v>289</v>
      </c>
      <c r="BA7" t="s">
        <v>232</v>
      </c>
      <c r="BC7" t="s">
        <v>269</v>
      </c>
      <c r="BE7" t="s">
        <v>232</v>
      </c>
      <c r="BH7" t="s">
        <v>232</v>
      </c>
      <c r="BI7" t="s">
        <v>290</v>
      </c>
      <c r="BJ7" t="s">
        <v>232</v>
      </c>
    </row>
    <row r="8" spans="1:62">
      <c r="B8" t="s">
        <v>197</v>
      </c>
      <c r="C8" t="s">
        <v>197</v>
      </c>
      <c r="D8" t="s">
        <v>197</v>
      </c>
      <c r="E8" t="s">
        <v>197</v>
      </c>
      <c r="F8" t="s">
        <v>197</v>
      </c>
      <c r="G8" t="s">
        <v>197</v>
      </c>
      <c r="H8" t="s">
        <v>197</v>
      </c>
      <c r="I8" t="s">
        <v>197</v>
      </c>
      <c r="J8" t="s">
        <v>197</v>
      </c>
      <c r="K8" t="s">
        <v>335</v>
      </c>
      <c r="Y8" t="s">
        <v>287</v>
      </c>
      <c r="Z8" t="s">
        <v>292</v>
      </c>
      <c r="AA8" t="s">
        <v>1211</v>
      </c>
      <c r="AC8" t="s">
        <v>287</v>
      </c>
      <c r="AD8" t="s">
        <v>1211</v>
      </c>
      <c r="AF8" t="s">
        <v>1212</v>
      </c>
      <c r="AG8" t="s">
        <v>214</v>
      </c>
      <c r="AI8" t="s">
        <v>294</v>
      </c>
      <c r="AJ8" t="s">
        <v>214</v>
      </c>
      <c r="AK8" t="s">
        <v>295</v>
      </c>
      <c r="AL8" t="s">
        <v>296</v>
      </c>
      <c r="AM8" t="s">
        <v>182</v>
      </c>
      <c r="AN8" t="s">
        <v>1209</v>
      </c>
      <c r="AQ8" t="s">
        <v>1213</v>
      </c>
      <c r="AV8" t="s">
        <v>299</v>
      </c>
      <c r="AW8" t="s">
        <v>249</v>
      </c>
      <c r="AX8" t="s">
        <v>300</v>
      </c>
      <c r="BA8" t="s">
        <v>211</v>
      </c>
      <c r="BC8" t="s">
        <v>287</v>
      </c>
      <c r="BE8" t="s">
        <v>211</v>
      </c>
      <c r="BH8" t="s">
        <v>211</v>
      </c>
      <c r="BI8" t="s">
        <v>295</v>
      </c>
      <c r="BJ8" t="s">
        <v>211</v>
      </c>
    </row>
    <row r="9" spans="1:62">
      <c r="B9" t="s">
        <v>197</v>
      </c>
      <c r="C9" t="s">
        <v>197</v>
      </c>
      <c r="D9" t="s">
        <v>197</v>
      </c>
      <c r="E9" t="s">
        <v>197</v>
      </c>
      <c r="F9" t="s">
        <v>197</v>
      </c>
      <c r="G9" t="s">
        <v>197</v>
      </c>
      <c r="H9" t="s">
        <v>197</v>
      </c>
      <c r="I9" t="s">
        <v>197</v>
      </c>
      <c r="J9" t="s">
        <v>197</v>
      </c>
      <c r="K9" t="s">
        <v>350</v>
      </c>
      <c r="Y9" t="s">
        <v>299</v>
      </c>
      <c r="AA9" t="s">
        <v>1214</v>
      </c>
      <c r="AC9" t="s">
        <v>299</v>
      </c>
      <c r="AD9" t="s">
        <v>1214</v>
      </c>
      <c r="AF9" t="s">
        <v>1215</v>
      </c>
      <c r="AG9" t="s">
        <v>287</v>
      </c>
      <c r="AI9" t="s">
        <v>289</v>
      </c>
      <c r="AJ9" t="s">
        <v>287</v>
      </c>
      <c r="AK9" t="s">
        <v>303</v>
      </c>
      <c r="AL9" t="s">
        <v>304</v>
      </c>
      <c r="AM9" t="s">
        <v>305</v>
      </c>
      <c r="AN9" t="s">
        <v>1213</v>
      </c>
      <c r="AV9" t="s">
        <v>310</v>
      </c>
      <c r="AW9" t="s">
        <v>275</v>
      </c>
      <c r="AX9" t="s">
        <v>311</v>
      </c>
      <c r="BA9" t="s">
        <v>255</v>
      </c>
      <c r="BC9" t="s">
        <v>299</v>
      </c>
      <c r="BE9" t="s">
        <v>255</v>
      </c>
      <c r="BH9" t="s">
        <v>255</v>
      </c>
      <c r="BI9" t="s">
        <v>201</v>
      </c>
      <c r="BJ9" t="s">
        <v>255</v>
      </c>
    </row>
    <row r="10" spans="1:62">
      <c r="B10" t="s">
        <v>197</v>
      </c>
      <c r="C10" t="s">
        <v>197</v>
      </c>
      <c r="D10" t="s">
        <v>197</v>
      </c>
      <c r="E10" t="s">
        <v>197</v>
      </c>
      <c r="F10" t="s">
        <v>197</v>
      </c>
      <c r="G10" t="s">
        <v>197</v>
      </c>
      <c r="H10" t="s">
        <v>197</v>
      </c>
      <c r="I10" t="s">
        <v>197</v>
      </c>
      <c r="J10" t="s">
        <v>197</v>
      </c>
      <c r="K10" t="s">
        <v>360</v>
      </c>
      <c r="Y10" t="s">
        <v>310</v>
      </c>
      <c r="AA10" t="s">
        <v>1216</v>
      </c>
      <c r="AC10" t="s">
        <v>310</v>
      </c>
      <c r="AD10" t="s">
        <v>1217</v>
      </c>
      <c r="AF10" t="s">
        <v>1203</v>
      </c>
      <c r="AG10" t="s">
        <v>316</v>
      </c>
      <c r="AI10" t="s">
        <v>205</v>
      </c>
      <c r="AJ10" t="s">
        <v>316</v>
      </c>
      <c r="AK10" t="s">
        <v>317</v>
      </c>
      <c r="AL10" t="s">
        <v>318</v>
      </c>
      <c r="AM10" t="s">
        <v>214</v>
      </c>
      <c r="AN10" t="s">
        <v>1218</v>
      </c>
      <c r="AV10" t="s">
        <v>241</v>
      </c>
      <c r="AW10" t="s">
        <v>321</v>
      </c>
      <c r="AX10" t="s">
        <v>322</v>
      </c>
      <c r="BA10" t="s">
        <v>1219</v>
      </c>
      <c r="BC10" t="s">
        <v>310</v>
      </c>
      <c r="BE10" t="s">
        <v>313</v>
      </c>
      <c r="BH10" t="s">
        <v>1219</v>
      </c>
      <c r="BI10" t="s">
        <v>182</v>
      </c>
      <c r="BJ10" t="s">
        <v>313</v>
      </c>
    </row>
    <row r="11" spans="1:62">
      <c r="B11" t="s">
        <v>197</v>
      </c>
      <c r="C11" t="s">
        <v>197</v>
      </c>
      <c r="D11" t="s">
        <v>197</v>
      </c>
      <c r="E11" t="s">
        <v>197</v>
      </c>
      <c r="F11" t="s">
        <v>197</v>
      </c>
      <c r="G11" t="s">
        <v>197</v>
      </c>
      <c r="H11" t="s">
        <v>197</v>
      </c>
      <c r="I11" t="s">
        <v>197</v>
      </c>
      <c r="J11" t="s">
        <v>197</v>
      </c>
      <c r="K11" t="s">
        <v>367</v>
      </c>
      <c r="Y11" t="s">
        <v>241</v>
      </c>
      <c r="AA11" t="s">
        <v>1220</v>
      </c>
      <c r="AC11" t="s">
        <v>241</v>
      </c>
      <c r="AD11" t="s">
        <v>1221</v>
      </c>
      <c r="AF11" t="s">
        <v>1222</v>
      </c>
      <c r="AG11" t="s">
        <v>325</v>
      </c>
      <c r="AI11" t="s">
        <v>326</v>
      </c>
      <c r="AJ11" t="s">
        <v>325</v>
      </c>
      <c r="AK11" t="s">
        <v>205</v>
      </c>
      <c r="AL11" t="s">
        <v>327</v>
      </c>
      <c r="AM11" t="s">
        <v>220</v>
      </c>
      <c r="AV11" t="s">
        <v>331</v>
      </c>
      <c r="AX11" t="s">
        <v>332</v>
      </c>
      <c r="BA11" t="s">
        <v>312</v>
      </c>
      <c r="BC11" t="s">
        <v>241</v>
      </c>
      <c r="BE11" t="s">
        <v>323</v>
      </c>
      <c r="BH11" t="s">
        <v>312</v>
      </c>
      <c r="BI11" t="s">
        <v>334</v>
      </c>
      <c r="BJ11" t="s">
        <v>323</v>
      </c>
    </row>
    <row r="12" spans="1:62">
      <c r="B12" t="s">
        <v>197</v>
      </c>
      <c r="C12" t="s">
        <v>197</v>
      </c>
      <c r="D12" t="s">
        <v>197</v>
      </c>
      <c r="E12" t="s">
        <v>197</v>
      </c>
      <c r="F12" t="s">
        <v>197</v>
      </c>
      <c r="G12" t="s">
        <v>197</v>
      </c>
      <c r="H12" t="s">
        <v>197</v>
      </c>
      <c r="I12" t="s">
        <v>197</v>
      </c>
      <c r="J12" t="s">
        <v>197</v>
      </c>
      <c r="K12" t="s">
        <v>373</v>
      </c>
      <c r="Y12" t="s">
        <v>336</v>
      </c>
      <c r="AA12" t="s">
        <v>1223</v>
      </c>
      <c r="AC12" t="s">
        <v>336</v>
      </c>
      <c r="AD12" t="s">
        <v>1224</v>
      </c>
      <c r="AF12" t="s">
        <v>1225</v>
      </c>
      <c r="AG12" t="s">
        <v>337</v>
      </c>
      <c r="AI12" t="s">
        <v>338</v>
      </c>
      <c r="AJ12" t="s">
        <v>337</v>
      </c>
      <c r="AK12" t="s">
        <v>233</v>
      </c>
      <c r="AL12" t="s">
        <v>339</v>
      </c>
      <c r="AM12" t="s">
        <v>340</v>
      </c>
      <c r="AV12" t="s">
        <v>344</v>
      </c>
      <c r="AX12" t="s">
        <v>345</v>
      </c>
      <c r="BA12" t="s">
        <v>1206</v>
      </c>
      <c r="BC12" t="s">
        <v>347</v>
      </c>
      <c r="BE12" t="s">
        <v>1226</v>
      </c>
      <c r="BH12" t="s">
        <v>1206</v>
      </c>
      <c r="BI12" t="s">
        <v>349</v>
      </c>
      <c r="BJ12" t="s">
        <v>1226</v>
      </c>
    </row>
    <row r="13" spans="1:62">
      <c r="A13" t="s">
        <v>380</v>
      </c>
      <c r="K13" t="s">
        <v>381</v>
      </c>
      <c r="W13" t="s">
        <v>171</v>
      </c>
      <c r="X13" t="str">
        <f>A13</f>
        <v>info_geometry_dml_single_pk_irp</v>
      </c>
      <c r="Y13" t="s">
        <v>331</v>
      </c>
      <c r="AA13" t="s">
        <v>1227</v>
      </c>
      <c r="AC13" t="s">
        <v>331</v>
      </c>
      <c r="AD13" t="s">
        <v>1228</v>
      </c>
      <c r="AG13" t="s">
        <v>351</v>
      </c>
      <c r="AI13" t="s">
        <v>352</v>
      </c>
      <c r="AJ13" t="s">
        <v>351</v>
      </c>
      <c r="AK13" t="s">
        <v>256</v>
      </c>
      <c r="AL13" t="s">
        <v>353</v>
      </c>
      <c r="AM13" t="s">
        <v>353</v>
      </c>
      <c r="AV13" t="s">
        <v>356</v>
      </c>
      <c r="AX13" t="s">
        <v>357</v>
      </c>
      <c r="BA13" t="s">
        <v>1209</v>
      </c>
      <c r="BC13" t="s">
        <v>331</v>
      </c>
      <c r="BE13" t="s">
        <v>333</v>
      </c>
      <c r="BH13" t="s">
        <v>1209</v>
      </c>
      <c r="BI13" t="s">
        <v>359</v>
      </c>
      <c r="BJ13" t="s">
        <v>333</v>
      </c>
    </row>
    <row r="14" spans="1:62">
      <c r="B14" t="s">
        <v>196</v>
      </c>
      <c r="C14" t="s">
        <v>197</v>
      </c>
      <c r="D14" t="s">
        <v>197</v>
      </c>
      <c r="E14" t="s">
        <v>197</v>
      </c>
      <c r="F14" t="s">
        <v>197</v>
      </c>
      <c r="G14" t="s">
        <v>197</v>
      </c>
      <c r="H14" t="s">
        <v>197</v>
      </c>
      <c r="I14" t="s">
        <v>385</v>
      </c>
      <c r="J14" t="s">
        <v>199</v>
      </c>
      <c r="K14" t="s">
        <v>200</v>
      </c>
      <c r="Y14" t="s">
        <v>344</v>
      </c>
      <c r="AA14" t="s">
        <v>1229</v>
      </c>
      <c r="AC14" t="s">
        <v>344</v>
      </c>
      <c r="AD14" t="s">
        <v>1230</v>
      </c>
      <c r="AG14" t="s">
        <v>241</v>
      </c>
      <c r="AI14" t="s">
        <v>311</v>
      </c>
      <c r="AJ14" t="s">
        <v>241</v>
      </c>
      <c r="AK14" t="s">
        <v>182</v>
      </c>
      <c r="AL14" t="s">
        <v>361</v>
      </c>
      <c r="AM14" t="s">
        <v>361</v>
      </c>
      <c r="AV14" t="s">
        <v>364</v>
      </c>
      <c r="AX14" t="s">
        <v>201</v>
      </c>
      <c r="BA14" t="s">
        <v>1231</v>
      </c>
      <c r="BC14" t="s">
        <v>344</v>
      </c>
      <c r="BE14" t="s">
        <v>348</v>
      </c>
      <c r="BH14" t="s">
        <v>1231</v>
      </c>
      <c r="BI14" t="s">
        <v>366</v>
      </c>
      <c r="BJ14" t="s">
        <v>348</v>
      </c>
    </row>
    <row r="15" spans="1:62">
      <c r="B15" t="s">
        <v>197</v>
      </c>
      <c r="C15" t="s">
        <v>197</v>
      </c>
      <c r="D15" t="s">
        <v>197</v>
      </c>
      <c r="E15" t="s">
        <v>197</v>
      </c>
      <c r="F15" t="s">
        <v>197</v>
      </c>
      <c r="G15" t="s">
        <v>197</v>
      </c>
      <c r="H15" t="s">
        <v>197</v>
      </c>
      <c r="I15" t="s">
        <v>197</v>
      </c>
      <c r="J15" t="s">
        <v>197</v>
      </c>
      <c r="K15" t="s">
        <v>393</v>
      </c>
      <c r="Y15" t="s">
        <v>356</v>
      </c>
      <c r="AA15" t="s">
        <v>1232</v>
      </c>
      <c r="AC15" t="s">
        <v>356</v>
      </c>
      <c r="AD15" t="s">
        <v>1233</v>
      </c>
      <c r="AG15" t="s">
        <v>261</v>
      </c>
      <c r="AI15" t="s">
        <v>368</v>
      </c>
      <c r="AJ15" t="s">
        <v>261</v>
      </c>
      <c r="AK15" t="s">
        <v>369</v>
      </c>
      <c r="AL15" t="s">
        <v>244</v>
      </c>
      <c r="AM15" t="s">
        <v>244</v>
      </c>
      <c r="AX15" t="s">
        <v>182</v>
      </c>
      <c r="BA15" t="s">
        <v>346</v>
      </c>
      <c r="BC15" t="s">
        <v>356</v>
      </c>
      <c r="BE15" t="s">
        <v>1234</v>
      </c>
      <c r="BH15" t="s">
        <v>346</v>
      </c>
      <c r="BI15" t="s">
        <v>372</v>
      </c>
      <c r="BJ15" t="s">
        <v>1234</v>
      </c>
    </row>
    <row r="16" spans="1:62">
      <c r="A16" t="s">
        <v>417</v>
      </c>
      <c r="K16" t="s">
        <v>418</v>
      </c>
      <c r="W16" t="s">
        <v>171</v>
      </c>
      <c r="X16" t="str">
        <f>A16</f>
        <v>info_sdt_dml_batch2_pk_irp2</v>
      </c>
      <c r="Y16" t="s">
        <v>364</v>
      </c>
      <c r="AA16" t="s">
        <v>1235</v>
      </c>
      <c r="AC16" t="s">
        <v>364</v>
      </c>
      <c r="AD16" t="s">
        <v>1236</v>
      </c>
      <c r="AG16" t="s">
        <v>344</v>
      </c>
      <c r="AI16" t="s">
        <v>374</v>
      </c>
      <c r="AJ16" t="s">
        <v>344</v>
      </c>
      <c r="AK16" t="s">
        <v>375</v>
      </c>
      <c r="AL16" t="s">
        <v>376</v>
      </c>
      <c r="AM16" t="s">
        <v>351</v>
      </c>
      <c r="AX16" t="s">
        <v>269</v>
      </c>
      <c r="BA16" t="s">
        <v>1212</v>
      </c>
      <c r="BC16" t="s">
        <v>364</v>
      </c>
      <c r="BE16" t="s">
        <v>358</v>
      </c>
      <c r="BH16" t="s">
        <v>1212</v>
      </c>
      <c r="BI16" t="s">
        <v>379</v>
      </c>
      <c r="BJ16" t="s">
        <v>358</v>
      </c>
    </row>
    <row r="17" spans="1:62">
      <c r="B17" t="s">
        <v>196</v>
      </c>
      <c r="C17" t="s">
        <v>197</v>
      </c>
      <c r="D17" t="s">
        <v>197</v>
      </c>
      <c r="E17" t="s">
        <v>197</v>
      </c>
      <c r="F17" t="s">
        <v>197</v>
      </c>
      <c r="G17" t="s">
        <v>197</v>
      </c>
      <c r="H17" t="s">
        <v>197</v>
      </c>
      <c r="I17" t="s">
        <v>420</v>
      </c>
      <c r="J17" t="s">
        <v>199</v>
      </c>
      <c r="K17" t="s">
        <v>200</v>
      </c>
      <c r="AA17" t="s">
        <v>1237</v>
      </c>
      <c r="AD17" t="s">
        <v>1237</v>
      </c>
      <c r="AG17" t="s">
        <v>382</v>
      </c>
      <c r="AI17" t="s">
        <v>332</v>
      </c>
      <c r="AJ17" t="s">
        <v>382</v>
      </c>
      <c r="AK17" t="s">
        <v>349</v>
      </c>
      <c r="AL17" t="s">
        <v>383</v>
      </c>
      <c r="AM17" t="s">
        <v>241</v>
      </c>
      <c r="AX17" t="s">
        <v>384</v>
      </c>
      <c r="BA17" t="s">
        <v>1215</v>
      </c>
      <c r="BE17" t="s">
        <v>365</v>
      </c>
      <c r="BH17" t="s">
        <v>1215</v>
      </c>
      <c r="BI17" t="s">
        <v>274</v>
      </c>
      <c r="BJ17" t="s">
        <v>365</v>
      </c>
    </row>
    <row r="18" spans="1:62">
      <c r="B18" t="s">
        <v>197</v>
      </c>
      <c r="C18" t="s">
        <v>197</v>
      </c>
      <c r="D18" t="s">
        <v>197</v>
      </c>
      <c r="E18" t="s">
        <v>197</v>
      </c>
      <c r="F18" t="s">
        <v>197</v>
      </c>
      <c r="G18" t="s">
        <v>197</v>
      </c>
      <c r="H18" t="s">
        <v>197</v>
      </c>
      <c r="I18" t="s">
        <v>197</v>
      </c>
      <c r="J18" t="s">
        <v>197</v>
      </c>
      <c r="K18" t="s">
        <v>422</v>
      </c>
      <c r="AA18" t="s">
        <v>1238</v>
      </c>
      <c r="AD18" t="s">
        <v>1239</v>
      </c>
      <c r="AG18" t="s">
        <v>364</v>
      </c>
      <c r="AI18" t="s">
        <v>386</v>
      </c>
      <c r="AJ18" t="s">
        <v>364</v>
      </c>
      <c r="AK18" t="s">
        <v>387</v>
      </c>
      <c r="AL18" t="s">
        <v>388</v>
      </c>
      <c r="AM18" t="s">
        <v>389</v>
      </c>
      <c r="AX18" t="s">
        <v>390</v>
      </c>
      <c r="BA18" t="s">
        <v>1203</v>
      </c>
      <c r="BE18" t="s">
        <v>1219</v>
      </c>
      <c r="BH18" t="s">
        <v>1203</v>
      </c>
      <c r="BI18" t="s">
        <v>392</v>
      </c>
      <c r="BJ18" t="s">
        <v>1219</v>
      </c>
    </row>
    <row r="19" spans="1:62">
      <c r="A19" t="s">
        <v>169</v>
      </c>
      <c r="K19" t="s">
        <v>170</v>
      </c>
      <c r="W19" t="s">
        <v>171</v>
      </c>
      <c r="X19" t="str">
        <f>A19</f>
        <v>info_text_dml_single_pk_irp</v>
      </c>
      <c r="AA19" t="s">
        <v>1240</v>
      </c>
      <c r="AD19" t="s">
        <v>1241</v>
      </c>
      <c r="AI19" t="s">
        <v>233</v>
      </c>
      <c r="AK19" t="s">
        <v>372</v>
      </c>
      <c r="AL19" t="s">
        <v>394</v>
      </c>
      <c r="AM19" t="s">
        <v>261</v>
      </c>
      <c r="AX19" t="s">
        <v>395</v>
      </c>
      <c r="BA19" t="s">
        <v>1222</v>
      </c>
      <c r="BE19" t="s">
        <v>371</v>
      </c>
      <c r="BH19" t="s">
        <v>1222</v>
      </c>
      <c r="BI19" t="s">
        <v>269</v>
      </c>
      <c r="BJ19" t="s">
        <v>371</v>
      </c>
    </row>
    <row r="20" spans="1:62">
      <c r="B20" t="s">
        <v>196</v>
      </c>
      <c r="C20" t="s">
        <v>197</v>
      </c>
      <c r="D20" t="s">
        <v>197</v>
      </c>
      <c r="E20" t="s">
        <v>197</v>
      </c>
      <c r="F20" t="s">
        <v>197</v>
      </c>
      <c r="G20" t="s">
        <v>197</v>
      </c>
      <c r="H20" t="s">
        <v>197</v>
      </c>
      <c r="I20" t="s">
        <v>198</v>
      </c>
      <c r="J20" t="s">
        <v>199</v>
      </c>
      <c r="K20" t="s">
        <v>200</v>
      </c>
      <c r="AA20" t="s">
        <v>1242</v>
      </c>
      <c r="AD20" t="s">
        <v>1243</v>
      </c>
      <c r="AI20" t="s">
        <v>357</v>
      </c>
      <c r="AK20" t="s">
        <v>399</v>
      </c>
      <c r="AL20" t="s">
        <v>400</v>
      </c>
      <c r="AM20" t="s">
        <v>267</v>
      </c>
      <c r="AX20" t="s">
        <v>401</v>
      </c>
      <c r="BA20" t="s">
        <v>1225</v>
      </c>
      <c r="BE20" t="s">
        <v>378</v>
      </c>
      <c r="BH20" t="s">
        <v>1225</v>
      </c>
      <c r="BI20" t="s">
        <v>287</v>
      </c>
      <c r="BJ20" t="s">
        <v>378</v>
      </c>
    </row>
    <row r="21" spans="1:62">
      <c r="B21" t="s">
        <v>197</v>
      </c>
      <c r="C21" t="s">
        <v>197</v>
      </c>
      <c r="D21" t="s">
        <v>197</v>
      </c>
      <c r="E21" t="s">
        <v>197</v>
      </c>
      <c r="F21" t="s">
        <v>197</v>
      </c>
      <c r="G21" t="s">
        <v>197</v>
      </c>
      <c r="H21" t="s">
        <v>197</v>
      </c>
      <c r="I21" t="s">
        <v>197</v>
      </c>
      <c r="J21" t="s">
        <v>197</v>
      </c>
      <c r="K21" t="s">
        <v>229</v>
      </c>
      <c r="AA21" t="s">
        <v>1244</v>
      </c>
      <c r="AD21" t="s">
        <v>1245</v>
      </c>
      <c r="AI21" t="s">
        <v>256</v>
      </c>
      <c r="AK21" t="s">
        <v>392</v>
      </c>
      <c r="AL21" t="s">
        <v>404</v>
      </c>
      <c r="AM21" t="s">
        <v>405</v>
      </c>
      <c r="AX21" t="s">
        <v>406</v>
      </c>
      <c r="BE21" t="s">
        <v>312</v>
      </c>
      <c r="BI21" t="s">
        <v>299</v>
      </c>
      <c r="BJ21" t="s">
        <v>312</v>
      </c>
    </row>
    <row r="22" spans="1:62">
      <c r="B22" t="s">
        <v>197</v>
      </c>
      <c r="C22" t="s">
        <v>197</v>
      </c>
      <c r="D22" t="s">
        <v>197</v>
      </c>
      <c r="E22" t="s">
        <v>197</v>
      </c>
      <c r="F22" t="s">
        <v>197</v>
      </c>
      <c r="G22" t="s">
        <v>197</v>
      </c>
      <c r="H22" t="s">
        <v>197</v>
      </c>
      <c r="I22" t="s">
        <v>197</v>
      </c>
      <c r="J22" t="s">
        <v>197</v>
      </c>
      <c r="K22" t="s">
        <v>251</v>
      </c>
      <c r="AA22" t="s">
        <v>1246</v>
      </c>
      <c r="AD22" t="s">
        <v>1247</v>
      </c>
      <c r="AI22" t="s">
        <v>182</v>
      </c>
      <c r="AK22" t="s">
        <v>214</v>
      </c>
      <c r="AL22" t="s">
        <v>409</v>
      </c>
      <c r="AM22" t="s">
        <v>410</v>
      </c>
      <c r="AX22" t="s">
        <v>287</v>
      </c>
      <c r="BE22" t="s">
        <v>391</v>
      </c>
      <c r="BI22" t="s">
        <v>310</v>
      </c>
      <c r="BJ22" t="s">
        <v>391</v>
      </c>
    </row>
    <row r="23" spans="1:62">
      <c r="A23" t="s">
        <v>397</v>
      </c>
      <c r="K23" t="s">
        <v>398</v>
      </c>
      <c r="W23" t="s">
        <v>171</v>
      </c>
      <c r="X23" t="str">
        <f>A23</f>
        <v>info_nvarchar_dml_batch1_pk_urp1</v>
      </c>
      <c r="AA23" t="s">
        <v>1248</v>
      </c>
      <c r="AD23" t="s">
        <v>1249</v>
      </c>
      <c r="AI23" t="s">
        <v>413</v>
      </c>
      <c r="AK23" t="s">
        <v>287</v>
      </c>
      <c r="AX23" t="s">
        <v>414</v>
      </c>
      <c r="BE23" t="s">
        <v>396</v>
      </c>
      <c r="BI23" t="s">
        <v>241</v>
      </c>
      <c r="BJ23" t="s">
        <v>396</v>
      </c>
    </row>
    <row r="24" spans="1:62">
      <c r="B24" t="s">
        <v>196</v>
      </c>
      <c r="C24" t="s">
        <v>197</v>
      </c>
      <c r="D24" t="s">
        <v>197</v>
      </c>
      <c r="E24" t="s">
        <v>197</v>
      </c>
      <c r="F24" t="s">
        <v>197</v>
      </c>
      <c r="G24" t="s">
        <v>197</v>
      </c>
      <c r="H24" t="s">
        <v>197</v>
      </c>
      <c r="I24" t="s">
        <v>403</v>
      </c>
      <c r="J24" t="s">
        <v>199</v>
      </c>
      <c r="K24" t="s">
        <v>200</v>
      </c>
      <c r="AA24" t="s">
        <v>1250</v>
      </c>
      <c r="AD24" t="s">
        <v>1251</v>
      </c>
      <c r="AI24" t="s">
        <v>214</v>
      </c>
      <c r="AK24" t="s">
        <v>316</v>
      </c>
      <c r="AX24" t="s">
        <v>299</v>
      </c>
      <c r="BE24" t="s">
        <v>402</v>
      </c>
      <c r="BI24" t="s">
        <v>347</v>
      </c>
      <c r="BJ24" t="s">
        <v>402</v>
      </c>
    </row>
    <row r="25" spans="1:62">
      <c r="B25" t="s">
        <v>197</v>
      </c>
      <c r="C25" t="s">
        <v>197</v>
      </c>
      <c r="D25" t="s">
        <v>197</v>
      </c>
      <c r="E25" t="s">
        <v>197</v>
      </c>
      <c r="F25" t="s">
        <v>197</v>
      </c>
      <c r="G25" t="s">
        <v>197</v>
      </c>
      <c r="H25" t="s">
        <v>197</v>
      </c>
      <c r="I25" t="s">
        <v>197</v>
      </c>
      <c r="J25" t="s">
        <v>197</v>
      </c>
      <c r="K25" t="s">
        <v>408</v>
      </c>
      <c r="AA25" t="s">
        <v>1252</v>
      </c>
      <c r="AD25" t="s">
        <v>1253</v>
      </c>
      <c r="AI25" t="s">
        <v>419</v>
      </c>
      <c r="AK25" t="s">
        <v>325</v>
      </c>
      <c r="AX25" t="s">
        <v>310</v>
      </c>
      <c r="BE25" t="s">
        <v>407</v>
      </c>
      <c r="BI25" t="s">
        <v>331</v>
      </c>
      <c r="BJ25" t="s">
        <v>1206</v>
      </c>
    </row>
    <row r="26" spans="1:62">
      <c r="B26" t="s">
        <v>197</v>
      </c>
      <c r="C26" t="s">
        <v>197</v>
      </c>
      <c r="D26" t="s">
        <v>197</v>
      </c>
      <c r="E26" t="s">
        <v>197</v>
      </c>
      <c r="F26" t="s">
        <v>197</v>
      </c>
      <c r="G26" t="s">
        <v>197</v>
      </c>
      <c r="H26" t="s">
        <v>197</v>
      </c>
      <c r="I26" t="s">
        <v>197</v>
      </c>
      <c r="J26" t="s">
        <v>197</v>
      </c>
      <c r="K26" t="s">
        <v>412</v>
      </c>
      <c r="AA26" t="s">
        <v>1254</v>
      </c>
      <c r="AD26" t="s">
        <v>1254</v>
      </c>
      <c r="AI26" t="s">
        <v>421</v>
      </c>
      <c r="AK26" t="s">
        <v>337</v>
      </c>
      <c r="AX26" t="s">
        <v>241</v>
      </c>
      <c r="BE26" t="s">
        <v>411</v>
      </c>
      <c r="BI26" t="s">
        <v>344</v>
      </c>
      <c r="BJ26" t="s">
        <v>1209</v>
      </c>
    </row>
    <row r="27" spans="1:62">
      <c r="B27" t="s">
        <v>197</v>
      </c>
      <c r="C27" t="s">
        <v>197</v>
      </c>
      <c r="D27" t="s">
        <v>197</v>
      </c>
      <c r="E27" t="s">
        <v>197</v>
      </c>
      <c r="F27" t="s">
        <v>197</v>
      </c>
      <c r="G27" t="s">
        <v>197</v>
      </c>
      <c r="H27" t="s">
        <v>197</v>
      </c>
      <c r="I27" t="s">
        <v>197</v>
      </c>
      <c r="J27" t="s">
        <v>197</v>
      </c>
      <c r="K27" t="s">
        <v>416</v>
      </c>
      <c r="AA27" t="s">
        <v>1255</v>
      </c>
      <c r="AD27" t="s">
        <v>1256</v>
      </c>
      <c r="AI27" t="s">
        <v>390</v>
      </c>
      <c r="AK27" t="s">
        <v>351</v>
      </c>
      <c r="AX27" t="s">
        <v>331</v>
      </c>
      <c r="BE27" t="s">
        <v>415</v>
      </c>
      <c r="BI27" t="s">
        <v>356</v>
      </c>
      <c r="BJ27" t="s">
        <v>1231</v>
      </c>
    </row>
    <row r="28" spans="1:62">
      <c r="A28" t="s">
        <v>423</v>
      </c>
      <c r="K28" t="s">
        <v>424</v>
      </c>
      <c r="W28" t="s">
        <v>171</v>
      </c>
      <c r="X28" t="str">
        <f>A28</f>
        <v>info_varchar_dml_batch1_pk_drp1</v>
      </c>
      <c r="AA28" t="s">
        <v>1257</v>
      </c>
      <c r="AD28" t="s">
        <v>1258</v>
      </c>
      <c r="AI28" t="s">
        <v>425</v>
      </c>
      <c r="AK28" t="s">
        <v>241</v>
      </c>
      <c r="AX28" t="s">
        <v>344</v>
      </c>
      <c r="BE28" t="s">
        <v>1206</v>
      </c>
      <c r="BI28" t="s">
        <v>364</v>
      </c>
      <c r="BJ28" t="s">
        <v>346</v>
      </c>
    </row>
    <row r="29" spans="1:62">
      <c r="B29" t="s">
        <v>196</v>
      </c>
      <c r="C29" t="s">
        <v>197</v>
      </c>
      <c r="D29" t="s">
        <v>197</v>
      </c>
      <c r="E29" t="s">
        <v>197</v>
      </c>
      <c r="F29" t="s">
        <v>197</v>
      </c>
      <c r="G29" t="s">
        <v>197</v>
      </c>
      <c r="H29" t="s">
        <v>197</v>
      </c>
      <c r="I29" t="s">
        <v>427</v>
      </c>
      <c r="J29" t="s">
        <v>199</v>
      </c>
      <c r="K29" t="s">
        <v>200</v>
      </c>
      <c r="AA29" t="s">
        <v>1259</v>
      </c>
      <c r="AD29" t="s">
        <v>1260</v>
      </c>
      <c r="AI29" t="s">
        <v>428</v>
      </c>
      <c r="AK29" t="s">
        <v>261</v>
      </c>
      <c r="AX29" t="s">
        <v>356</v>
      </c>
      <c r="BE29" t="s">
        <v>1209</v>
      </c>
      <c r="BI29" t="s">
        <v>429</v>
      </c>
      <c r="BJ29" t="s">
        <v>1212</v>
      </c>
    </row>
    <row r="30" spans="1:62">
      <c r="B30" t="s">
        <v>197</v>
      </c>
      <c r="C30" t="s">
        <v>197</v>
      </c>
      <c r="D30" t="s">
        <v>197</v>
      </c>
      <c r="E30" t="s">
        <v>197</v>
      </c>
      <c r="F30" t="s">
        <v>197</v>
      </c>
      <c r="G30" t="s">
        <v>197</v>
      </c>
      <c r="H30" t="s">
        <v>197</v>
      </c>
      <c r="I30" t="s">
        <v>197</v>
      </c>
      <c r="J30" t="s">
        <v>197</v>
      </c>
      <c r="K30" t="s">
        <v>431</v>
      </c>
      <c r="AA30" t="s">
        <v>1261</v>
      </c>
      <c r="AD30" t="s">
        <v>1262</v>
      </c>
      <c r="AI30" t="s">
        <v>401</v>
      </c>
      <c r="AK30" t="s">
        <v>344</v>
      </c>
      <c r="AX30" t="s">
        <v>364</v>
      </c>
      <c r="BE30" t="s">
        <v>1231</v>
      </c>
      <c r="BI30" t="s">
        <v>432</v>
      </c>
      <c r="BJ30" t="s">
        <v>1215</v>
      </c>
    </row>
    <row r="31" spans="1:62">
      <c r="B31" t="s">
        <v>197</v>
      </c>
      <c r="C31" t="s">
        <v>197</v>
      </c>
      <c r="D31" t="s">
        <v>197</v>
      </c>
      <c r="E31" t="s">
        <v>197</v>
      </c>
      <c r="F31" t="s">
        <v>197</v>
      </c>
      <c r="G31" t="s">
        <v>197</v>
      </c>
      <c r="H31" t="s">
        <v>197</v>
      </c>
      <c r="I31" t="s">
        <v>197</v>
      </c>
      <c r="J31" t="s">
        <v>197</v>
      </c>
      <c r="K31" t="s">
        <v>434</v>
      </c>
      <c r="AA31" t="s">
        <v>1263</v>
      </c>
      <c r="AD31" t="s">
        <v>1264</v>
      </c>
      <c r="AI31" t="s">
        <v>435</v>
      </c>
      <c r="AK31" t="s">
        <v>382</v>
      </c>
      <c r="AX31" t="s">
        <v>436</v>
      </c>
      <c r="BE31" t="s">
        <v>346</v>
      </c>
      <c r="BI31" t="s">
        <v>437</v>
      </c>
      <c r="BJ31" t="s">
        <v>1203</v>
      </c>
    </row>
    <row r="32" spans="1:62">
      <c r="B32" t="s">
        <v>197</v>
      </c>
      <c r="C32" t="s">
        <v>197</v>
      </c>
      <c r="D32" t="s">
        <v>197</v>
      </c>
      <c r="E32" t="s">
        <v>197</v>
      </c>
      <c r="F32" t="s">
        <v>197</v>
      </c>
      <c r="G32" t="s">
        <v>197</v>
      </c>
      <c r="H32" t="s">
        <v>197</v>
      </c>
      <c r="I32" t="s">
        <v>197</v>
      </c>
      <c r="J32" t="s">
        <v>197</v>
      </c>
      <c r="K32" t="s">
        <v>439</v>
      </c>
      <c r="AA32" t="s">
        <v>1265</v>
      </c>
      <c r="AD32" t="s">
        <v>1266</v>
      </c>
      <c r="AI32" t="s">
        <v>287</v>
      </c>
      <c r="AK32" t="s">
        <v>364</v>
      </c>
      <c r="AX32" t="s">
        <v>440</v>
      </c>
      <c r="BE32" t="s">
        <v>1212</v>
      </c>
      <c r="BI32" t="s">
        <v>441</v>
      </c>
      <c r="BJ32" t="s">
        <v>1222</v>
      </c>
    </row>
    <row r="33" spans="1:62">
      <c r="K33" t="s">
        <v>443</v>
      </c>
      <c r="AA33" t="s">
        <v>1267</v>
      </c>
      <c r="AD33" t="s">
        <v>1268</v>
      </c>
      <c r="AI33" t="s">
        <v>414</v>
      </c>
      <c r="AK33" t="s">
        <v>444</v>
      </c>
      <c r="AX33" t="s">
        <v>445</v>
      </c>
      <c r="BE33" t="s">
        <v>1215</v>
      </c>
      <c r="BI33" t="s">
        <v>446</v>
      </c>
      <c r="BJ33" t="s">
        <v>1225</v>
      </c>
    </row>
    <row r="34" spans="1:62">
      <c r="A34" t="s">
        <v>448</v>
      </c>
      <c r="K34" t="s">
        <v>449</v>
      </c>
      <c r="W34" t="s">
        <v>171</v>
      </c>
      <c r="X34" t="str">
        <f>A34</f>
        <v>info_sdt_dml_batch1_pk_urp1</v>
      </c>
      <c r="AA34" t="s">
        <v>1269</v>
      </c>
      <c r="AD34" t="s">
        <v>1269</v>
      </c>
      <c r="AI34" t="s">
        <v>316</v>
      </c>
      <c r="AK34" t="s">
        <v>450</v>
      </c>
      <c r="AX34" t="s">
        <v>451</v>
      </c>
      <c r="BE34" t="s">
        <v>1203</v>
      </c>
      <c r="BI34" t="s">
        <v>452</v>
      </c>
      <c r="BJ34" t="s">
        <v>426</v>
      </c>
    </row>
    <row r="35" spans="1:62">
      <c r="B35" t="s">
        <v>196</v>
      </c>
      <c r="C35" t="s">
        <v>197</v>
      </c>
      <c r="D35" t="s">
        <v>197</v>
      </c>
      <c r="E35" t="s">
        <v>197</v>
      </c>
      <c r="F35" t="s">
        <v>197</v>
      </c>
      <c r="G35" t="s">
        <v>197</v>
      </c>
      <c r="H35" t="s">
        <v>197</v>
      </c>
      <c r="I35" t="s">
        <v>454</v>
      </c>
      <c r="J35" t="s">
        <v>199</v>
      </c>
      <c r="K35" t="s">
        <v>200</v>
      </c>
      <c r="AA35" t="s">
        <v>1270</v>
      </c>
      <c r="AD35" t="s">
        <v>1270</v>
      </c>
      <c r="AI35" t="s">
        <v>325</v>
      </c>
      <c r="AK35" t="s">
        <v>432</v>
      </c>
      <c r="AX35" t="s">
        <v>455</v>
      </c>
      <c r="BE35" t="s">
        <v>1222</v>
      </c>
      <c r="BI35" t="s">
        <v>456</v>
      </c>
      <c r="BJ35" t="s">
        <v>430</v>
      </c>
    </row>
    <row r="36" spans="1:62">
      <c r="B36" t="s">
        <v>197</v>
      </c>
      <c r="C36" t="s">
        <v>197</v>
      </c>
      <c r="D36" t="s">
        <v>197</v>
      </c>
      <c r="E36" t="s">
        <v>197</v>
      </c>
      <c r="F36" t="s">
        <v>197</v>
      </c>
      <c r="G36" t="s">
        <v>197</v>
      </c>
      <c r="H36" t="s">
        <v>197</v>
      </c>
      <c r="I36" t="s">
        <v>197</v>
      </c>
      <c r="J36" t="s">
        <v>197</v>
      </c>
      <c r="K36" t="s">
        <v>422</v>
      </c>
      <c r="AA36" t="s">
        <v>1271</v>
      </c>
      <c r="AD36" t="s">
        <v>1271</v>
      </c>
      <c r="AI36" t="s">
        <v>337</v>
      </c>
      <c r="AK36" t="s">
        <v>458</v>
      </c>
      <c r="AX36" t="s">
        <v>459</v>
      </c>
      <c r="BE36" t="s">
        <v>1225</v>
      </c>
      <c r="BI36" t="s">
        <v>460</v>
      </c>
      <c r="BJ36" t="s">
        <v>1272</v>
      </c>
    </row>
    <row r="37" spans="1:62">
      <c r="A37" t="s">
        <v>462</v>
      </c>
      <c r="K37" t="s">
        <v>463</v>
      </c>
      <c r="W37" t="s">
        <v>171</v>
      </c>
      <c r="X37" t="str">
        <f>A37</f>
        <v>info_xml_dml_single_pk_irp</v>
      </c>
      <c r="AA37" t="s">
        <v>1273</v>
      </c>
      <c r="AD37" t="s">
        <v>1273</v>
      </c>
      <c r="AI37" t="s">
        <v>351</v>
      </c>
      <c r="AK37" t="s">
        <v>446</v>
      </c>
      <c r="AX37" t="s">
        <v>464</v>
      </c>
      <c r="BE37" t="s">
        <v>426</v>
      </c>
      <c r="BI37" t="s">
        <v>465</v>
      </c>
      <c r="BJ37" t="s">
        <v>1274</v>
      </c>
    </row>
    <row r="38" spans="1:62">
      <c r="B38" t="s">
        <v>196</v>
      </c>
      <c r="C38" t="s">
        <v>197</v>
      </c>
      <c r="D38" t="s">
        <v>197</v>
      </c>
      <c r="E38" t="s">
        <v>197</v>
      </c>
      <c r="F38" t="s">
        <v>197</v>
      </c>
      <c r="G38" t="s">
        <v>197</v>
      </c>
      <c r="H38" t="s">
        <v>197</v>
      </c>
      <c r="I38" t="s">
        <v>467</v>
      </c>
      <c r="J38" t="s">
        <v>199</v>
      </c>
      <c r="K38" t="s">
        <v>200</v>
      </c>
      <c r="AA38" t="s">
        <v>1275</v>
      </c>
      <c r="AD38" t="s">
        <v>1276</v>
      </c>
      <c r="AI38" t="s">
        <v>241</v>
      </c>
      <c r="AK38" t="s">
        <v>468</v>
      </c>
      <c r="AX38" t="s">
        <v>469</v>
      </c>
      <c r="BE38" t="s">
        <v>430</v>
      </c>
      <c r="BI38" t="s">
        <v>470</v>
      </c>
      <c r="BJ38" t="s">
        <v>1277</v>
      </c>
    </row>
    <row r="39" spans="1:62">
      <c r="B39" t="s">
        <v>197</v>
      </c>
      <c r="C39" t="s">
        <v>197</v>
      </c>
      <c r="D39" t="s">
        <v>197</v>
      </c>
      <c r="E39" t="s">
        <v>197</v>
      </c>
      <c r="F39" t="s">
        <v>197</v>
      </c>
      <c r="G39" t="s">
        <v>197</v>
      </c>
      <c r="H39" t="s">
        <v>197</v>
      </c>
      <c r="I39" t="s">
        <v>197</v>
      </c>
      <c r="J39" t="s">
        <v>197</v>
      </c>
      <c r="K39" t="s">
        <v>472</v>
      </c>
      <c r="AA39" t="s">
        <v>1278</v>
      </c>
      <c r="AD39" t="s">
        <v>1279</v>
      </c>
      <c r="AI39" t="s">
        <v>473</v>
      </c>
      <c r="AK39" t="s">
        <v>456</v>
      </c>
      <c r="AX39" t="s">
        <v>474</v>
      </c>
      <c r="BE39" t="s">
        <v>1272</v>
      </c>
      <c r="BI39" t="s">
        <v>475</v>
      </c>
      <c r="BJ39" t="s">
        <v>1280</v>
      </c>
    </row>
    <row r="40" spans="1:62">
      <c r="A40" t="s">
        <v>476</v>
      </c>
      <c r="K40" t="s">
        <v>477</v>
      </c>
      <c r="W40" t="s">
        <v>171</v>
      </c>
      <c r="X40" t="str">
        <f>A40</f>
        <v>info_sdt_dml_batch1_pk_urp2</v>
      </c>
      <c r="AA40" t="s">
        <v>1281</v>
      </c>
      <c r="AD40" t="s">
        <v>1282</v>
      </c>
      <c r="AI40" t="s">
        <v>261</v>
      </c>
      <c r="AK40" t="s">
        <v>478</v>
      </c>
      <c r="AX40" t="s">
        <v>479</v>
      </c>
      <c r="BE40" t="s">
        <v>1274</v>
      </c>
      <c r="BI40" t="s">
        <v>480</v>
      </c>
      <c r="BJ40" t="s">
        <v>1283</v>
      </c>
    </row>
    <row r="41" spans="1:62">
      <c r="B41" t="s">
        <v>196</v>
      </c>
      <c r="C41" t="s">
        <v>197</v>
      </c>
      <c r="D41" t="s">
        <v>197</v>
      </c>
      <c r="E41" t="s">
        <v>197</v>
      </c>
      <c r="F41" t="s">
        <v>197</v>
      </c>
      <c r="G41" t="s">
        <v>197</v>
      </c>
      <c r="H41" t="s">
        <v>197</v>
      </c>
      <c r="I41" t="s">
        <v>481</v>
      </c>
      <c r="J41" t="s">
        <v>199</v>
      </c>
      <c r="K41" t="s">
        <v>200</v>
      </c>
      <c r="AA41" t="s">
        <v>1284</v>
      </c>
      <c r="AD41" t="s">
        <v>1285</v>
      </c>
      <c r="AI41" t="s">
        <v>344</v>
      </c>
      <c r="AK41" t="s">
        <v>482</v>
      </c>
      <c r="AX41" t="s">
        <v>483</v>
      </c>
      <c r="BE41" t="s">
        <v>1277</v>
      </c>
      <c r="BJ41" t="s">
        <v>1286</v>
      </c>
    </row>
    <row r="42" spans="1:62">
      <c r="B42" t="s">
        <v>197</v>
      </c>
      <c r="C42" t="s">
        <v>197</v>
      </c>
      <c r="D42" t="s">
        <v>197</v>
      </c>
      <c r="E42" t="s">
        <v>197</v>
      </c>
      <c r="F42" t="s">
        <v>197</v>
      </c>
      <c r="G42" t="s">
        <v>197</v>
      </c>
      <c r="H42" t="s">
        <v>197</v>
      </c>
      <c r="I42" t="s">
        <v>197</v>
      </c>
      <c r="J42" t="s">
        <v>197</v>
      </c>
      <c r="K42" t="s">
        <v>422</v>
      </c>
      <c r="AA42" t="s">
        <v>1287</v>
      </c>
      <c r="AD42" t="s">
        <v>1288</v>
      </c>
      <c r="AI42" t="s">
        <v>382</v>
      </c>
      <c r="AK42" t="s">
        <v>465</v>
      </c>
      <c r="AX42" t="s">
        <v>484</v>
      </c>
      <c r="BE42" t="s">
        <v>1280</v>
      </c>
      <c r="BJ42" t="s">
        <v>1289</v>
      </c>
    </row>
    <row r="43" spans="1:62">
      <c r="A43" t="s">
        <v>486</v>
      </c>
      <c r="K43" t="s">
        <v>487</v>
      </c>
      <c r="W43" s="1" t="str">
        <f>HYPERLINK("#2026042011hbase0!Y2","NO 源备存在差异，共14个")</f>
        <v>NO 源备存在差异，共14个</v>
      </c>
      <c r="X43" t="str">
        <f>A43</f>
        <v>info_varbinary_dml_batch1_pk_urp1</v>
      </c>
      <c r="AI43" t="s">
        <v>364</v>
      </c>
      <c r="AK43" t="s">
        <v>488</v>
      </c>
      <c r="AX43" t="s">
        <v>489</v>
      </c>
      <c r="BE43" t="s">
        <v>1283</v>
      </c>
      <c r="BJ43" t="s">
        <v>1290</v>
      </c>
    </row>
    <row r="44" spans="1:62">
      <c r="B44" t="s">
        <v>196</v>
      </c>
      <c r="C44" t="s">
        <v>197</v>
      </c>
      <c r="D44" t="s">
        <v>197</v>
      </c>
      <c r="E44" t="s">
        <v>197</v>
      </c>
      <c r="F44" t="s">
        <v>197</v>
      </c>
      <c r="G44" t="s">
        <v>197</v>
      </c>
      <c r="H44" t="s">
        <v>197</v>
      </c>
      <c r="I44" t="s">
        <v>491</v>
      </c>
      <c r="J44" t="s">
        <v>199</v>
      </c>
      <c r="K44" t="s">
        <v>200</v>
      </c>
      <c r="AI44" t="s">
        <v>492</v>
      </c>
      <c r="AK44" t="s">
        <v>480</v>
      </c>
      <c r="AX44" t="s">
        <v>493</v>
      </c>
      <c r="BE44" t="s">
        <v>1286</v>
      </c>
      <c r="BJ44" t="s">
        <v>1291</v>
      </c>
    </row>
    <row r="45" spans="1:62">
      <c r="B45" t="s">
        <v>197</v>
      </c>
      <c r="C45" t="s">
        <v>197</v>
      </c>
      <c r="D45" t="s">
        <v>197</v>
      </c>
      <c r="E45" t="s">
        <v>197</v>
      </c>
      <c r="F45" t="s">
        <v>197</v>
      </c>
      <c r="G45" t="s">
        <v>197</v>
      </c>
      <c r="H45" t="s">
        <v>197</v>
      </c>
      <c r="I45" t="s">
        <v>197</v>
      </c>
      <c r="J45" t="s">
        <v>197</v>
      </c>
      <c r="K45" t="s">
        <v>495</v>
      </c>
      <c r="AI45" t="s">
        <v>496</v>
      </c>
      <c r="AK45" t="s">
        <v>497</v>
      </c>
      <c r="AX45" t="s">
        <v>498</v>
      </c>
      <c r="BE45" t="s">
        <v>1289</v>
      </c>
      <c r="BJ45" t="s">
        <v>1292</v>
      </c>
    </row>
    <row r="46" spans="1:62">
      <c r="B46" t="s">
        <v>197</v>
      </c>
      <c r="C46" t="s">
        <v>197</v>
      </c>
      <c r="D46" t="s">
        <v>197</v>
      </c>
      <c r="E46" t="s">
        <v>197</v>
      </c>
      <c r="F46" t="s">
        <v>197</v>
      </c>
      <c r="G46" t="s">
        <v>197</v>
      </c>
      <c r="H46" t="s">
        <v>197</v>
      </c>
      <c r="I46" t="s">
        <v>197</v>
      </c>
      <c r="J46" t="s">
        <v>197</v>
      </c>
      <c r="K46" t="s">
        <v>499</v>
      </c>
      <c r="AI46" t="s">
        <v>500</v>
      </c>
      <c r="AK46" t="s">
        <v>501</v>
      </c>
      <c r="AX46" t="s">
        <v>502</v>
      </c>
      <c r="BE46" t="s">
        <v>1290</v>
      </c>
      <c r="BJ46" t="s">
        <v>1293</v>
      </c>
    </row>
    <row r="47" spans="1:62">
      <c r="B47" t="s">
        <v>197</v>
      </c>
      <c r="C47" t="s">
        <v>197</v>
      </c>
      <c r="D47" t="s">
        <v>197</v>
      </c>
      <c r="E47" t="s">
        <v>197</v>
      </c>
      <c r="F47" t="s">
        <v>197</v>
      </c>
      <c r="G47" t="s">
        <v>197</v>
      </c>
      <c r="H47" t="s">
        <v>197</v>
      </c>
      <c r="I47" t="s">
        <v>197</v>
      </c>
      <c r="J47" t="s">
        <v>197</v>
      </c>
      <c r="K47" t="s">
        <v>503</v>
      </c>
      <c r="AI47" t="s">
        <v>440</v>
      </c>
      <c r="BE47" t="s">
        <v>1291</v>
      </c>
    </row>
    <row r="48" spans="1:62">
      <c r="A48" t="s">
        <v>519</v>
      </c>
      <c r="K48" t="s">
        <v>520</v>
      </c>
      <c r="W48" t="s">
        <v>171</v>
      </c>
      <c r="X48" t="str">
        <f>A48</f>
        <v>info_datetimeoffset_dml_single_pk_drp</v>
      </c>
      <c r="AI48" t="s">
        <v>506</v>
      </c>
      <c r="BE48" t="s">
        <v>1292</v>
      </c>
    </row>
    <row r="49" spans="1:57">
      <c r="B49" t="s">
        <v>196</v>
      </c>
      <c r="C49" t="s">
        <v>197</v>
      </c>
      <c r="D49" t="s">
        <v>197</v>
      </c>
      <c r="E49" t="s">
        <v>197</v>
      </c>
      <c r="F49" t="s">
        <v>197</v>
      </c>
      <c r="G49" t="s">
        <v>197</v>
      </c>
      <c r="H49" t="s">
        <v>197</v>
      </c>
      <c r="I49" t="s">
        <v>522</v>
      </c>
      <c r="J49" t="s">
        <v>199</v>
      </c>
      <c r="K49" t="s">
        <v>200</v>
      </c>
      <c r="AI49" t="s">
        <v>508</v>
      </c>
      <c r="BE49" t="s">
        <v>1293</v>
      </c>
    </row>
    <row r="50" spans="1:57">
      <c r="B50" t="s">
        <v>197</v>
      </c>
      <c r="C50" t="s">
        <v>197</v>
      </c>
      <c r="D50" t="s">
        <v>197</v>
      </c>
      <c r="E50" t="s">
        <v>197</v>
      </c>
      <c r="F50" t="s">
        <v>197</v>
      </c>
      <c r="G50" t="s">
        <v>197</v>
      </c>
      <c r="H50" t="s">
        <v>197</v>
      </c>
      <c r="I50" t="s">
        <v>197</v>
      </c>
      <c r="J50" t="s">
        <v>197</v>
      </c>
      <c r="K50" t="s">
        <v>301</v>
      </c>
      <c r="AI50" t="s">
        <v>451</v>
      </c>
      <c r="BE50" t="s">
        <v>1294</v>
      </c>
    </row>
    <row r="51" spans="1:57">
      <c r="B51" t="s">
        <v>197</v>
      </c>
      <c r="C51" t="s">
        <v>197</v>
      </c>
      <c r="D51" t="s">
        <v>197</v>
      </c>
      <c r="E51" t="s">
        <v>197</v>
      </c>
      <c r="F51" t="s">
        <v>197</v>
      </c>
      <c r="G51" t="s">
        <v>197</v>
      </c>
      <c r="H51" t="s">
        <v>197</v>
      </c>
      <c r="I51" t="s">
        <v>197</v>
      </c>
      <c r="J51" t="s">
        <v>197</v>
      </c>
      <c r="K51" t="s">
        <v>314</v>
      </c>
      <c r="AI51" t="s">
        <v>509</v>
      </c>
      <c r="BE51" t="s">
        <v>1295</v>
      </c>
    </row>
    <row r="52" spans="1:57">
      <c r="B52" t="s">
        <v>197</v>
      </c>
      <c r="C52" t="s">
        <v>197</v>
      </c>
      <c r="D52" t="s">
        <v>197</v>
      </c>
      <c r="E52" t="s">
        <v>197</v>
      </c>
      <c r="F52" t="s">
        <v>197</v>
      </c>
      <c r="G52" t="s">
        <v>197</v>
      </c>
      <c r="H52" t="s">
        <v>197</v>
      </c>
      <c r="I52" t="s">
        <v>197</v>
      </c>
      <c r="J52" t="s">
        <v>197</v>
      </c>
      <c r="K52" t="s">
        <v>324</v>
      </c>
      <c r="AI52" t="s">
        <v>459</v>
      </c>
      <c r="BE52" t="s">
        <v>1296</v>
      </c>
    </row>
    <row r="53" spans="1:57">
      <c r="B53" t="s">
        <v>197</v>
      </c>
      <c r="C53" t="s">
        <v>197</v>
      </c>
      <c r="D53" t="s">
        <v>197</v>
      </c>
      <c r="E53" t="s">
        <v>197</v>
      </c>
      <c r="F53" t="s">
        <v>197</v>
      </c>
      <c r="G53" t="s">
        <v>197</v>
      </c>
      <c r="H53" t="s">
        <v>197</v>
      </c>
      <c r="I53" t="s">
        <v>197</v>
      </c>
      <c r="J53" t="s">
        <v>197</v>
      </c>
      <c r="K53" t="s">
        <v>335</v>
      </c>
      <c r="AI53" t="s">
        <v>513</v>
      </c>
    </row>
    <row r="54" spans="1:57">
      <c r="B54" t="s">
        <v>197</v>
      </c>
      <c r="C54" t="s">
        <v>197</v>
      </c>
      <c r="D54" t="s">
        <v>197</v>
      </c>
      <c r="E54" t="s">
        <v>197</v>
      </c>
      <c r="F54" t="s">
        <v>197</v>
      </c>
      <c r="G54" t="s">
        <v>197</v>
      </c>
      <c r="H54" t="s">
        <v>197</v>
      </c>
      <c r="I54" t="s">
        <v>197</v>
      </c>
      <c r="J54" t="s">
        <v>197</v>
      </c>
      <c r="K54" t="s">
        <v>350</v>
      </c>
      <c r="AI54" t="s">
        <v>515</v>
      </c>
    </row>
    <row r="55" spans="1:57">
      <c r="B55" t="s">
        <v>197</v>
      </c>
      <c r="C55" t="s">
        <v>197</v>
      </c>
      <c r="D55" t="s">
        <v>197</v>
      </c>
      <c r="E55" t="s">
        <v>197</v>
      </c>
      <c r="F55" t="s">
        <v>197</v>
      </c>
      <c r="G55" t="s">
        <v>197</v>
      </c>
      <c r="H55" t="s">
        <v>197</v>
      </c>
      <c r="I55" t="s">
        <v>197</v>
      </c>
      <c r="J55" t="s">
        <v>197</v>
      </c>
      <c r="K55" t="s">
        <v>360</v>
      </c>
      <c r="AI55" t="s">
        <v>469</v>
      </c>
    </row>
    <row r="56" spans="1:57">
      <c r="B56" t="s">
        <v>197</v>
      </c>
      <c r="C56" t="s">
        <v>197</v>
      </c>
      <c r="D56" t="s">
        <v>197</v>
      </c>
      <c r="E56" t="s">
        <v>197</v>
      </c>
      <c r="F56" t="s">
        <v>197</v>
      </c>
      <c r="G56" t="s">
        <v>197</v>
      </c>
      <c r="H56" t="s">
        <v>197</v>
      </c>
      <c r="I56" t="s">
        <v>197</v>
      </c>
      <c r="J56" t="s">
        <v>197</v>
      </c>
      <c r="K56" t="s">
        <v>367</v>
      </c>
      <c r="AI56" t="s">
        <v>518</v>
      </c>
    </row>
    <row r="57" spans="1:57">
      <c r="B57" t="s">
        <v>197</v>
      </c>
      <c r="C57" t="s">
        <v>197</v>
      </c>
      <c r="D57" t="s">
        <v>197</v>
      </c>
      <c r="E57" t="s">
        <v>197</v>
      </c>
      <c r="F57" t="s">
        <v>197</v>
      </c>
      <c r="G57" t="s">
        <v>197</v>
      </c>
      <c r="H57" t="s">
        <v>197</v>
      </c>
      <c r="I57" t="s">
        <v>197</v>
      </c>
      <c r="J57" t="s">
        <v>197</v>
      </c>
      <c r="K57" t="s">
        <v>373</v>
      </c>
      <c r="AI57" t="s">
        <v>521</v>
      </c>
    </row>
    <row r="58" spans="1:57">
      <c r="A58" t="s">
        <v>510</v>
      </c>
      <c r="K58" t="s">
        <v>511</v>
      </c>
      <c r="W58" t="s">
        <v>171</v>
      </c>
      <c r="X58" t="str">
        <f>A58</f>
        <v>info_nchar_dml_single_pk_irp</v>
      </c>
      <c r="AI58" t="s">
        <v>479</v>
      </c>
    </row>
    <row r="59" spans="1:57">
      <c r="B59" t="s">
        <v>196</v>
      </c>
      <c r="C59" t="s">
        <v>197</v>
      </c>
      <c r="D59" t="s">
        <v>197</v>
      </c>
      <c r="E59" t="s">
        <v>197</v>
      </c>
      <c r="F59" t="s">
        <v>197</v>
      </c>
      <c r="G59" t="s">
        <v>197</v>
      </c>
      <c r="H59" t="s">
        <v>197</v>
      </c>
      <c r="I59" t="s">
        <v>512</v>
      </c>
      <c r="J59" t="s">
        <v>199</v>
      </c>
      <c r="K59" t="s">
        <v>200</v>
      </c>
      <c r="AI59" t="s">
        <v>523</v>
      </c>
    </row>
    <row r="60" spans="1:57">
      <c r="B60" t="s">
        <v>197</v>
      </c>
      <c r="C60" t="s">
        <v>197</v>
      </c>
      <c r="D60" t="s">
        <v>197</v>
      </c>
      <c r="E60" t="s">
        <v>197</v>
      </c>
      <c r="F60" t="s">
        <v>197</v>
      </c>
      <c r="G60" t="s">
        <v>197</v>
      </c>
      <c r="H60" t="s">
        <v>197</v>
      </c>
      <c r="I60" t="s">
        <v>197</v>
      </c>
      <c r="J60" t="s">
        <v>197</v>
      </c>
      <c r="K60" t="s">
        <v>514</v>
      </c>
      <c r="AI60" t="s">
        <v>484</v>
      </c>
    </row>
    <row r="61" spans="1:57">
      <c r="B61" t="s">
        <v>197</v>
      </c>
      <c r="C61" t="s">
        <v>197</v>
      </c>
      <c r="D61" t="s">
        <v>197</v>
      </c>
      <c r="E61" t="s">
        <v>197</v>
      </c>
      <c r="F61" t="s">
        <v>197</v>
      </c>
      <c r="G61" t="s">
        <v>197</v>
      </c>
      <c r="H61" t="s">
        <v>197</v>
      </c>
      <c r="I61" t="s">
        <v>197</v>
      </c>
      <c r="J61" t="s">
        <v>197</v>
      </c>
      <c r="K61" t="s">
        <v>516</v>
      </c>
      <c r="AI61" t="s">
        <v>524</v>
      </c>
    </row>
    <row r="62" spans="1:57">
      <c r="B62" t="s">
        <v>197</v>
      </c>
      <c r="C62" t="s">
        <v>197</v>
      </c>
      <c r="D62" t="s">
        <v>197</v>
      </c>
      <c r="E62" t="s">
        <v>197</v>
      </c>
      <c r="F62" t="s">
        <v>197</v>
      </c>
      <c r="G62" t="s">
        <v>197</v>
      </c>
      <c r="H62" t="s">
        <v>197</v>
      </c>
      <c r="I62" t="s">
        <v>197</v>
      </c>
      <c r="J62" t="s">
        <v>197</v>
      </c>
      <c r="K62" t="s">
        <v>517</v>
      </c>
      <c r="AI62" t="s">
        <v>525</v>
      </c>
    </row>
    <row r="63" spans="1:57">
      <c r="A63" t="s">
        <v>528</v>
      </c>
      <c r="K63" t="s">
        <v>529</v>
      </c>
      <c r="W63" t="s">
        <v>171</v>
      </c>
      <c r="X63" t="str">
        <f>A63</f>
        <v>info_text_dml_single_pk_urp</v>
      </c>
      <c r="AI63" t="s">
        <v>493</v>
      </c>
    </row>
    <row r="64" spans="1:57">
      <c r="B64" t="s">
        <v>196</v>
      </c>
      <c r="C64" t="s">
        <v>197</v>
      </c>
      <c r="D64" t="s">
        <v>197</v>
      </c>
      <c r="E64" t="s">
        <v>197</v>
      </c>
      <c r="F64" t="s">
        <v>197</v>
      </c>
      <c r="G64" t="s">
        <v>197</v>
      </c>
      <c r="H64" t="s">
        <v>197</v>
      </c>
      <c r="I64" t="s">
        <v>530</v>
      </c>
      <c r="J64" t="s">
        <v>199</v>
      </c>
      <c r="K64" t="s">
        <v>200</v>
      </c>
      <c r="AI64" t="s">
        <v>526</v>
      </c>
    </row>
    <row r="65" spans="1:35">
      <c r="B65" t="s">
        <v>197</v>
      </c>
      <c r="C65" t="s">
        <v>197</v>
      </c>
      <c r="D65" t="s">
        <v>197</v>
      </c>
      <c r="E65" t="s">
        <v>197</v>
      </c>
      <c r="F65" t="s">
        <v>197</v>
      </c>
      <c r="G65" t="s">
        <v>197</v>
      </c>
      <c r="H65" t="s">
        <v>197</v>
      </c>
      <c r="I65" t="s">
        <v>197</v>
      </c>
      <c r="J65" t="s">
        <v>197</v>
      </c>
      <c r="K65" t="s">
        <v>229</v>
      </c>
      <c r="AI65" t="s">
        <v>527</v>
      </c>
    </row>
    <row r="66" spans="1:35">
      <c r="B66" t="s">
        <v>197</v>
      </c>
      <c r="C66" t="s">
        <v>197</v>
      </c>
      <c r="D66" t="s">
        <v>197</v>
      </c>
      <c r="E66" t="s">
        <v>197</v>
      </c>
      <c r="F66" t="s">
        <v>197</v>
      </c>
      <c r="G66" t="s">
        <v>197</v>
      </c>
      <c r="H66" t="s">
        <v>197</v>
      </c>
      <c r="I66" t="s">
        <v>197</v>
      </c>
      <c r="J66" t="s">
        <v>197</v>
      </c>
      <c r="K66" t="s">
        <v>251</v>
      </c>
      <c r="AI66" t="s">
        <v>502</v>
      </c>
    </row>
    <row r="67" spans="1:35">
      <c r="A67" t="s">
        <v>504</v>
      </c>
      <c r="K67" t="s">
        <v>505</v>
      </c>
      <c r="W67" t="s">
        <v>171</v>
      </c>
      <c r="X67" t="str">
        <f>A67</f>
        <v>info_sdt_dml_batch1_pk_drp1</v>
      </c>
    </row>
    <row r="68" spans="1:35">
      <c r="B68" t="s">
        <v>196</v>
      </c>
      <c r="C68" t="s">
        <v>197</v>
      </c>
      <c r="D68" t="s">
        <v>197</v>
      </c>
      <c r="E68" t="s">
        <v>197</v>
      </c>
      <c r="F68" t="s">
        <v>197</v>
      </c>
      <c r="G68" t="s">
        <v>197</v>
      </c>
      <c r="H68" t="s">
        <v>197</v>
      </c>
      <c r="I68" t="s">
        <v>507</v>
      </c>
      <c r="J68" t="s">
        <v>199</v>
      </c>
      <c r="K68" t="s">
        <v>200</v>
      </c>
    </row>
    <row r="69" spans="1:35">
      <c r="B69" t="s">
        <v>197</v>
      </c>
      <c r="C69" t="s">
        <v>197</v>
      </c>
      <c r="D69" t="s">
        <v>197</v>
      </c>
      <c r="E69" t="s">
        <v>197</v>
      </c>
      <c r="F69" t="s">
        <v>197</v>
      </c>
      <c r="G69" t="s">
        <v>197</v>
      </c>
      <c r="H69" t="s">
        <v>197</v>
      </c>
      <c r="I69" t="s">
        <v>197</v>
      </c>
      <c r="J69" t="s">
        <v>197</v>
      </c>
      <c r="K69" t="s">
        <v>422</v>
      </c>
    </row>
    <row r="70" spans="1:35">
      <c r="K70" t="s">
        <v>443</v>
      </c>
    </row>
    <row r="71" spans="1:35">
      <c r="A71" t="s">
        <v>534</v>
      </c>
      <c r="K71" t="s">
        <v>535</v>
      </c>
      <c r="W71" t="s">
        <v>171</v>
      </c>
      <c r="X71" t="str">
        <f>A71</f>
        <v>info_sdt_dml_batch1_pk_drp2</v>
      </c>
    </row>
    <row r="72" spans="1:35">
      <c r="B72" t="s">
        <v>196</v>
      </c>
      <c r="C72" t="s">
        <v>197</v>
      </c>
      <c r="D72" t="s">
        <v>197</v>
      </c>
      <c r="E72" t="s">
        <v>197</v>
      </c>
      <c r="F72" t="s">
        <v>197</v>
      </c>
      <c r="G72" t="s">
        <v>197</v>
      </c>
      <c r="H72" t="s">
        <v>197</v>
      </c>
      <c r="I72" t="s">
        <v>536</v>
      </c>
      <c r="J72" t="s">
        <v>199</v>
      </c>
      <c r="K72" t="s">
        <v>200</v>
      </c>
    </row>
    <row r="73" spans="1:35">
      <c r="B73" t="s">
        <v>197</v>
      </c>
      <c r="C73" t="s">
        <v>197</v>
      </c>
      <c r="D73" t="s">
        <v>197</v>
      </c>
      <c r="E73" t="s">
        <v>197</v>
      </c>
      <c r="F73" t="s">
        <v>197</v>
      </c>
      <c r="G73" t="s">
        <v>197</v>
      </c>
      <c r="H73" t="s">
        <v>197</v>
      </c>
      <c r="I73" t="s">
        <v>197</v>
      </c>
      <c r="J73" t="s">
        <v>197</v>
      </c>
      <c r="K73" t="s">
        <v>422</v>
      </c>
    </row>
    <row r="74" spans="1:35">
      <c r="A74" t="s">
        <v>543</v>
      </c>
      <c r="K74" t="s">
        <v>544</v>
      </c>
      <c r="W74" t="s">
        <v>171</v>
      </c>
      <c r="X74" t="str">
        <f>A74</f>
        <v>info_sdt_dml_batch1_pk</v>
      </c>
    </row>
    <row r="75" spans="1:35">
      <c r="B75" t="s">
        <v>196</v>
      </c>
      <c r="C75" t="s">
        <v>197</v>
      </c>
      <c r="D75" t="s">
        <v>197</v>
      </c>
      <c r="E75" t="s">
        <v>197</v>
      </c>
      <c r="F75" t="s">
        <v>197</v>
      </c>
      <c r="G75" t="s">
        <v>197</v>
      </c>
      <c r="H75" t="s">
        <v>197</v>
      </c>
      <c r="I75" t="s">
        <v>545</v>
      </c>
      <c r="J75" t="s">
        <v>199</v>
      </c>
      <c r="K75" t="s">
        <v>200</v>
      </c>
    </row>
    <row r="76" spans="1:35">
      <c r="B76" t="s">
        <v>197</v>
      </c>
      <c r="C76" t="s">
        <v>197</v>
      </c>
      <c r="D76" t="s">
        <v>197</v>
      </c>
      <c r="E76" t="s">
        <v>197</v>
      </c>
      <c r="F76" t="s">
        <v>197</v>
      </c>
      <c r="G76" t="s">
        <v>197</v>
      </c>
      <c r="H76" t="s">
        <v>197</v>
      </c>
      <c r="I76" t="s">
        <v>197</v>
      </c>
      <c r="J76" t="s">
        <v>197</v>
      </c>
      <c r="K76" t="s">
        <v>422</v>
      </c>
    </row>
    <row r="77" spans="1:35">
      <c r="A77" t="s">
        <v>531</v>
      </c>
      <c r="K77" t="s">
        <v>532</v>
      </c>
      <c r="W77" s="1" t="str">
        <f>HYPERLINK("#2026042011hbase0!Z2","NO 源备存在差异，共6个")</f>
        <v>NO 源备存在差异，共6个</v>
      </c>
      <c r="X77" t="str">
        <f>A77</f>
        <v>info_geometry_dml_single_pk_urp</v>
      </c>
    </row>
    <row r="78" spans="1:35">
      <c r="B78" t="s">
        <v>196</v>
      </c>
      <c r="C78" t="s">
        <v>197</v>
      </c>
      <c r="D78" t="s">
        <v>197</v>
      </c>
      <c r="E78" t="s">
        <v>197</v>
      </c>
      <c r="F78" t="s">
        <v>197</v>
      </c>
      <c r="G78" t="s">
        <v>197</v>
      </c>
      <c r="H78" t="s">
        <v>197</v>
      </c>
      <c r="I78" t="s">
        <v>533</v>
      </c>
      <c r="J78" t="s">
        <v>199</v>
      </c>
      <c r="K78" t="s">
        <v>200</v>
      </c>
    </row>
    <row r="79" spans="1:35">
      <c r="B79" t="s">
        <v>197</v>
      </c>
      <c r="C79" t="s">
        <v>197</v>
      </c>
      <c r="D79" t="s">
        <v>197</v>
      </c>
      <c r="E79" t="s">
        <v>197</v>
      </c>
      <c r="F79" t="s">
        <v>197</v>
      </c>
      <c r="G79" t="s">
        <v>197</v>
      </c>
      <c r="H79" t="s">
        <v>197</v>
      </c>
      <c r="I79" t="s">
        <v>197</v>
      </c>
      <c r="J79" t="s">
        <v>197</v>
      </c>
      <c r="K79" t="s">
        <v>393</v>
      </c>
    </row>
    <row r="80" spans="1:35">
      <c r="A80" t="s">
        <v>537</v>
      </c>
      <c r="K80" t="s">
        <v>538</v>
      </c>
      <c r="W80" t="s">
        <v>171</v>
      </c>
      <c r="X80" t="str">
        <f>A80</f>
        <v>info_nvarchar_dml_batch2_pk_urp2</v>
      </c>
    </row>
    <row r="81" spans="1:24">
      <c r="B81" t="s">
        <v>196</v>
      </c>
      <c r="C81" t="s">
        <v>197</v>
      </c>
      <c r="D81" t="s">
        <v>197</v>
      </c>
      <c r="E81" t="s">
        <v>197</v>
      </c>
      <c r="F81" t="s">
        <v>197</v>
      </c>
      <c r="G81" t="s">
        <v>197</v>
      </c>
      <c r="H81" t="s">
        <v>197</v>
      </c>
      <c r="I81" t="s">
        <v>539</v>
      </c>
      <c r="J81" t="s">
        <v>199</v>
      </c>
      <c r="K81" t="s">
        <v>200</v>
      </c>
    </row>
    <row r="82" spans="1:24">
      <c r="B82" t="s">
        <v>197</v>
      </c>
      <c r="C82" t="s">
        <v>197</v>
      </c>
      <c r="D82" t="s">
        <v>197</v>
      </c>
      <c r="E82" t="s">
        <v>197</v>
      </c>
      <c r="F82" t="s">
        <v>197</v>
      </c>
      <c r="G82" t="s">
        <v>197</v>
      </c>
      <c r="H82" t="s">
        <v>197</v>
      </c>
      <c r="I82" t="s">
        <v>197</v>
      </c>
      <c r="J82" t="s">
        <v>197</v>
      </c>
      <c r="K82" t="s">
        <v>408</v>
      </c>
    </row>
    <row r="83" spans="1:24">
      <c r="B83" t="s">
        <v>197</v>
      </c>
      <c r="C83" t="s">
        <v>197</v>
      </c>
      <c r="D83" t="s">
        <v>197</v>
      </c>
      <c r="E83" t="s">
        <v>197</v>
      </c>
      <c r="F83" t="s">
        <v>197</v>
      </c>
      <c r="G83" t="s">
        <v>197</v>
      </c>
      <c r="H83" t="s">
        <v>197</v>
      </c>
      <c r="I83" t="s">
        <v>197</v>
      </c>
      <c r="J83" t="s">
        <v>197</v>
      </c>
      <c r="K83" t="s">
        <v>412</v>
      </c>
    </row>
    <row r="84" spans="1:24">
      <c r="B84" t="s">
        <v>197</v>
      </c>
      <c r="C84" t="s">
        <v>197</v>
      </c>
      <c r="D84" t="s">
        <v>197</v>
      </c>
      <c r="E84" t="s">
        <v>197</v>
      </c>
      <c r="F84" t="s">
        <v>197</v>
      </c>
      <c r="G84" t="s">
        <v>197</v>
      </c>
      <c r="H84" t="s">
        <v>197</v>
      </c>
      <c r="I84" t="s">
        <v>197</v>
      </c>
      <c r="J84" t="s">
        <v>197</v>
      </c>
      <c r="K84" t="s">
        <v>416</v>
      </c>
    </row>
    <row r="85" spans="1:24">
      <c r="A85" t="s">
        <v>546</v>
      </c>
      <c r="K85" t="s">
        <v>547</v>
      </c>
      <c r="W85" s="1" t="str">
        <f>HYPERLINK("#2026042011hbase0!AA2","NO 源备存在差异，共40个")</f>
        <v>NO 源备存在差异，共40个</v>
      </c>
      <c r="X85" t="str">
        <f>A85</f>
        <v>info_int_dml_batch1_pk_urp1</v>
      </c>
    </row>
    <row r="86" spans="1:24">
      <c r="B86" t="s">
        <v>196</v>
      </c>
      <c r="C86" t="s">
        <v>197</v>
      </c>
      <c r="D86" t="s">
        <v>197</v>
      </c>
      <c r="E86" t="s">
        <v>197</v>
      </c>
      <c r="F86" t="s">
        <v>197</v>
      </c>
      <c r="G86" t="s">
        <v>197</v>
      </c>
      <c r="H86" t="s">
        <v>197</v>
      </c>
      <c r="I86" t="s">
        <v>548</v>
      </c>
      <c r="J86" t="s">
        <v>199</v>
      </c>
      <c r="K86" t="s">
        <v>200</v>
      </c>
    </row>
    <row r="87" spans="1:24">
      <c r="B87" t="s">
        <v>197</v>
      </c>
      <c r="C87" t="s">
        <v>197</v>
      </c>
      <c r="D87" t="s">
        <v>197</v>
      </c>
      <c r="E87" t="s">
        <v>197</v>
      </c>
      <c r="F87" t="s">
        <v>197</v>
      </c>
      <c r="G87" t="s">
        <v>197</v>
      </c>
      <c r="H87" t="s">
        <v>197</v>
      </c>
      <c r="I87" t="s">
        <v>197</v>
      </c>
      <c r="J87" t="s">
        <v>197</v>
      </c>
      <c r="K87" t="s">
        <v>549</v>
      </c>
    </row>
    <row r="88" spans="1:24">
      <c r="B88" t="s">
        <v>197</v>
      </c>
      <c r="C88" t="s">
        <v>197</v>
      </c>
      <c r="D88" t="s">
        <v>197</v>
      </c>
      <c r="E88" t="s">
        <v>197</v>
      </c>
      <c r="F88" t="s">
        <v>197</v>
      </c>
      <c r="G88" t="s">
        <v>197</v>
      </c>
      <c r="H88" t="s">
        <v>197</v>
      </c>
      <c r="I88" t="s">
        <v>197</v>
      </c>
      <c r="J88" t="s">
        <v>197</v>
      </c>
      <c r="K88" t="s">
        <v>550</v>
      </c>
    </row>
    <row r="89" spans="1:24">
      <c r="B89" t="s">
        <v>197</v>
      </c>
      <c r="C89" t="s">
        <v>197</v>
      </c>
      <c r="D89" t="s">
        <v>197</v>
      </c>
      <c r="E89" t="s">
        <v>197</v>
      </c>
      <c r="F89" t="s">
        <v>197</v>
      </c>
      <c r="G89" t="s">
        <v>197</v>
      </c>
      <c r="H89" t="s">
        <v>197</v>
      </c>
      <c r="I89" t="s">
        <v>197</v>
      </c>
      <c r="J89" t="s">
        <v>197</v>
      </c>
      <c r="K89" t="s">
        <v>551</v>
      </c>
    </row>
    <row r="90" spans="1:24">
      <c r="B90" t="s">
        <v>197</v>
      </c>
      <c r="C90" t="s">
        <v>197</v>
      </c>
      <c r="D90" t="s">
        <v>197</v>
      </c>
      <c r="E90" t="s">
        <v>197</v>
      </c>
      <c r="F90" t="s">
        <v>197</v>
      </c>
      <c r="G90" t="s">
        <v>197</v>
      </c>
      <c r="H90" t="s">
        <v>197</v>
      </c>
      <c r="I90" t="s">
        <v>197</v>
      </c>
      <c r="J90" t="s">
        <v>197</v>
      </c>
      <c r="K90" t="s">
        <v>552</v>
      </c>
    </row>
    <row r="91" spans="1:24">
      <c r="B91" t="s">
        <v>197</v>
      </c>
      <c r="C91" t="s">
        <v>197</v>
      </c>
      <c r="D91" t="s">
        <v>197</v>
      </c>
      <c r="E91" t="s">
        <v>197</v>
      </c>
      <c r="F91" t="s">
        <v>197</v>
      </c>
      <c r="G91" t="s">
        <v>197</v>
      </c>
      <c r="H91" t="s">
        <v>197</v>
      </c>
      <c r="I91" t="s">
        <v>197</v>
      </c>
      <c r="J91" t="s">
        <v>197</v>
      </c>
      <c r="K91" t="s">
        <v>553</v>
      </c>
    </row>
    <row r="92" spans="1:24">
      <c r="B92" t="s">
        <v>197</v>
      </c>
      <c r="C92" t="s">
        <v>197</v>
      </c>
      <c r="D92" t="s">
        <v>197</v>
      </c>
      <c r="E92" t="s">
        <v>197</v>
      </c>
      <c r="F92" t="s">
        <v>197</v>
      </c>
      <c r="G92" t="s">
        <v>197</v>
      </c>
      <c r="H92" t="s">
        <v>197</v>
      </c>
      <c r="I92" t="s">
        <v>197</v>
      </c>
      <c r="J92" t="s">
        <v>197</v>
      </c>
      <c r="K92" t="s">
        <v>554</v>
      </c>
    </row>
    <row r="93" spans="1:24">
      <c r="B93" t="s">
        <v>197</v>
      </c>
      <c r="C93" t="s">
        <v>197</v>
      </c>
      <c r="D93" t="s">
        <v>197</v>
      </c>
      <c r="E93" t="s">
        <v>197</v>
      </c>
      <c r="F93" t="s">
        <v>197</v>
      </c>
      <c r="G93" t="s">
        <v>197</v>
      </c>
      <c r="H93" t="s">
        <v>197</v>
      </c>
      <c r="I93" t="s">
        <v>197</v>
      </c>
      <c r="J93" t="s">
        <v>197</v>
      </c>
      <c r="K93" t="s">
        <v>555</v>
      </c>
    </row>
    <row r="94" spans="1:24">
      <c r="B94" t="s">
        <v>197</v>
      </c>
      <c r="C94" t="s">
        <v>197</v>
      </c>
      <c r="D94" t="s">
        <v>197</v>
      </c>
      <c r="E94" t="s">
        <v>197</v>
      </c>
      <c r="F94" t="s">
        <v>197</v>
      </c>
      <c r="G94" t="s">
        <v>197</v>
      </c>
      <c r="H94" t="s">
        <v>197</v>
      </c>
      <c r="I94" t="s">
        <v>197</v>
      </c>
      <c r="J94" t="s">
        <v>197</v>
      </c>
      <c r="K94" t="s">
        <v>556</v>
      </c>
    </row>
    <row r="95" spans="1:24">
      <c r="B95" t="s">
        <v>197</v>
      </c>
      <c r="C95" t="s">
        <v>197</v>
      </c>
      <c r="D95" t="s">
        <v>197</v>
      </c>
      <c r="E95" t="s">
        <v>197</v>
      </c>
      <c r="F95" t="s">
        <v>197</v>
      </c>
      <c r="G95" t="s">
        <v>197</v>
      </c>
      <c r="H95" t="s">
        <v>197</v>
      </c>
      <c r="I95" t="s">
        <v>197</v>
      </c>
      <c r="J95" t="s">
        <v>197</v>
      </c>
      <c r="K95" t="s">
        <v>557</v>
      </c>
    </row>
    <row r="96" spans="1:24">
      <c r="B96" t="s">
        <v>197</v>
      </c>
      <c r="C96" t="s">
        <v>197</v>
      </c>
      <c r="D96" t="s">
        <v>197</v>
      </c>
      <c r="E96" t="s">
        <v>197</v>
      </c>
      <c r="F96" t="s">
        <v>197</v>
      </c>
      <c r="G96" t="s">
        <v>197</v>
      </c>
      <c r="H96" t="s">
        <v>197</v>
      </c>
      <c r="I96" t="s">
        <v>197</v>
      </c>
      <c r="J96" t="s">
        <v>197</v>
      </c>
      <c r="K96" t="s">
        <v>558</v>
      </c>
    </row>
    <row r="97" spans="1:24">
      <c r="B97" t="s">
        <v>197</v>
      </c>
      <c r="C97" t="s">
        <v>197</v>
      </c>
      <c r="D97" t="s">
        <v>197</v>
      </c>
      <c r="E97" t="s">
        <v>197</v>
      </c>
      <c r="F97" t="s">
        <v>197</v>
      </c>
      <c r="G97" t="s">
        <v>197</v>
      </c>
      <c r="H97" t="s">
        <v>197</v>
      </c>
      <c r="I97" t="s">
        <v>197</v>
      </c>
      <c r="J97" t="s">
        <v>197</v>
      </c>
      <c r="K97" t="s">
        <v>559</v>
      </c>
    </row>
    <row r="98" spans="1:24">
      <c r="B98" t="s">
        <v>197</v>
      </c>
      <c r="C98" t="s">
        <v>197</v>
      </c>
      <c r="D98" t="s">
        <v>197</v>
      </c>
      <c r="E98" t="s">
        <v>197</v>
      </c>
      <c r="F98" t="s">
        <v>197</v>
      </c>
      <c r="G98" t="s">
        <v>197</v>
      </c>
      <c r="H98" t="s">
        <v>197</v>
      </c>
      <c r="I98" t="s">
        <v>197</v>
      </c>
      <c r="J98" t="s">
        <v>197</v>
      </c>
      <c r="K98" t="s">
        <v>560</v>
      </c>
    </row>
    <row r="99" spans="1:24">
      <c r="B99" t="s">
        <v>197</v>
      </c>
      <c r="C99" t="s">
        <v>197</v>
      </c>
      <c r="D99" t="s">
        <v>197</v>
      </c>
      <c r="E99" t="s">
        <v>197</v>
      </c>
      <c r="F99" t="s">
        <v>197</v>
      </c>
      <c r="G99" t="s">
        <v>197</v>
      </c>
      <c r="H99" t="s">
        <v>197</v>
      </c>
      <c r="I99" t="s">
        <v>197</v>
      </c>
      <c r="J99" t="s">
        <v>197</v>
      </c>
      <c r="K99" t="s">
        <v>561</v>
      </c>
    </row>
    <row r="100" spans="1:24">
      <c r="B100" t="s">
        <v>197</v>
      </c>
      <c r="C100" t="s">
        <v>197</v>
      </c>
      <c r="D100" t="s">
        <v>197</v>
      </c>
      <c r="E100" t="s">
        <v>197</v>
      </c>
      <c r="F100" t="s">
        <v>197</v>
      </c>
      <c r="G100" t="s">
        <v>197</v>
      </c>
      <c r="H100" t="s">
        <v>197</v>
      </c>
      <c r="I100" t="s">
        <v>197</v>
      </c>
      <c r="J100" t="s">
        <v>197</v>
      </c>
      <c r="K100" t="s">
        <v>562</v>
      </c>
    </row>
    <row r="101" spans="1:24">
      <c r="B101" t="s">
        <v>197</v>
      </c>
      <c r="C101" t="s">
        <v>197</v>
      </c>
      <c r="D101" t="s">
        <v>197</v>
      </c>
      <c r="E101" t="s">
        <v>197</v>
      </c>
      <c r="F101" t="s">
        <v>197</v>
      </c>
      <c r="G101" t="s">
        <v>197</v>
      </c>
      <c r="H101" t="s">
        <v>197</v>
      </c>
      <c r="I101" t="s">
        <v>197</v>
      </c>
      <c r="J101" t="s">
        <v>197</v>
      </c>
      <c r="K101" t="s">
        <v>563</v>
      </c>
    </row>
    <row r="102" spans="1:24">
      <c r="B102" t="s">
        <v>197</v>
      </c>
      <c r="C102" t="s">
        <v>197</v>
      </c>
      <c r="D102" t="s">
        <v>197</v>
      </c>
      <c r="E102" t="s">
        <v>197</v>
      </c>
      <c r="F102" t="s">
        <v>197</v>
      </c>
      <c r="G102" t="s">
        <v>197</v>
      </c>
      <c r="H102" t="s">
        <v>197</v>
      </c>
      <c r="I102" t="s">
        <v>197</v>
      </c>
      <c r="J102" t="s">
        <v>197</v>
      </c>
      <c r="K102" t="s">
        <v>564</v>
      </c>
    </row>
    <row r="103" spans="1:24">
      <c r="B103" t="s">
        <v>197</v>
      </c>
      <c r="C103" t="s">
        <v>197</v>
      </c>
      <c r="D103" t="s">
        <v>197</v>
      </c>
      <c r="E103" t="s">
        <v>197</v>
      </c>
      <c r="F103" t="s">
        <v>197</v>
      </c>
      <c r="G103" t="s">
        <v>197</v>
      </c>
      <c r="H103" t="s">
        <v>197</v>
      </c>
      <c r="I103" t="s">
        <v>197</v>
      </c>
      <c r="J103" t="s">
        <v>197</v>
      </c>
      <c r="K103" t="s">
        <v>565</v>
      </c>
    </row>
    <row r="104" spans="1:24">
      <c r="B104" t="s">
        <v>197</v>
      </c>
      <c r="C104" t="s">
        <v>197</v>
      </c>
      <c r="D104" t="s">
        <v>197</v>
      </c>
      <c r="E104" t="s">
        <v>197</v>
      </c>
      <c r="F104" t="s">
        <v>197</v>
      </c>
      <c r="G104" t="s">
        <v>197</v>
      </c>
      <c r="H104" t="s">
        <v>197</v>
      </c>
      <c r="I104" t="s">
        <v>197</v>
      </c>
      <c r="J104" t="s">
        <v>197</v>
      </c>
      <c r="K104" t="s">
        <v>566</v>
      </c>
    </row>
    <row r="105" spans="1:24">
      <c r="B105" t="s">
        <v>197</v>
      </c>
      <c r="C105" t="s">
        <v>197</v>
      </c>
      <c r="D105" t="s">
        <v>197</v>
      </c>
      <c r="E105" t="s">
        <v>197</v>
      </c>
      <c r="F105" t="s">
        <v>197</v>
      </c>
      <c r="G105" t="s">
        <v>197</v>
      </c>
      <c r="H105" t="s">
        <v>197</v>
      </c>
      <c r="I105" t="s">
        <v>197</v>
      </c>
      <c r="J105" t="s">
        <v>197</v>
      </c>
      <c r="K105" t="s">
        <v>567</v>
      </c>
    </row>
    <row r="106" spans="1:24">
      <c r="A106" t="s">
        <v>568</v>
      </c>
      <c r="K106" t="s">
        <v>569</v>
      </c>
      <c r="W106" s="1" t="str">
        <f>HYPERLINK("#2026042011hbase0!AB2","NO 源备存在差异，共4个")</f>
        <v>NO 源备存在差异，共4个</v>
      </c>
      <c r="X106" t="str">
        <f>A106</f>
        <v>info_xml_dml_single_pk_urp</v>
      </c>
    </row>
    <row r="107" spans="1:24">
      <c r="B107" t="s">
        <v>196</v>
      </c>
      <c r="C107" t="s">
        <v>197</v>
      </c>
      <c r="D107" t="s">
        <v>197</v>
      </c>
      <c r="E107" t="s">
        <v>197</v>
      </c>
      <c r="F107" t="s">
        <v>197</v>
      </c>
      <c r="G107" t="s">
        <v>197</v>
      </c>
      <c r="H107" t="s">
        <v>197</v>
      </c>
      <c r="I107" t="s">
        <v>570</v>
      </c>
      <c r="J107" t="s">
        <v>199</v>
      </c>
      <c r="K107" t="s">
        <v>200</v>
      </c>
    </row>
    <row r="108" spans="1:24">
      <c r="B108" t="s">
        <v>197</v>
      </c>
      <c r="C108" t="s">
        <v>197</v>
      </c>
      <c r="D108" t="s">
        <v>197</v>
      </c>
      <c r="E108" t="s">
        <v>197</v>
      </c>
      <c r="F108" t="s">
        <v>197</v>
      </c>
      <c r="G108" t="s">
        <v>197</v>
      </c>
      <c r="H108" t="s">
        <v>197</v>
      </c>
      <c r="I108" t="s">
        <v>197</v>
      </c>
      <c r="J108" t="s">
        <v>197</v>
      </c>
      <c r="K108" t="s">
        <v>472</v>
      </c>
    </row>
    <row r="109" spans="1:24">
      <c r="A109" t="s">
        <v>571</v>
      </c>
      <c r="K109" t="s">
        <v>572</v>
      </c>
      <c r="W109" t="s">
        <v>171</v>
      </c>
      <c r="X109" t="str">
        <f>A109</f>
        <v>info_datetime_dml_batch1_pk_irp1</v>
      </c>
    </row>
    <row r="110" spans="1:24">
      <c r="B110" t="s">
        <v>196</v>
      </c>
      <c r="C110" t="s">
        <v>197</v>
      </c>
      <c r="D110" t="s">
        <v>197</v>
      </c>
      <c r="E110" t="s">
        <v>197</v>
      </c>
      <c r="F110" t="s">
        <v>197</v>
      </c>
      <c r="G110" t="s">
        <v>197</v>
      </c>
      <c r="H110" t="s">
        <v>197</v>
      </c>
      <c r="I110" t="s">
        <v>573</v>
      </c>
      <c r="J110" t="s">
        <v>199</v>
      </c>
      <c r="K110" t="s">
        <v>200</v>
      </c>
    </row>
    <row r="111" spans="1:24">
      <c r="B111" t="s">
        <v>197</v>
      </c>
      <c r="C111" t="s">
        <v>197</v>
      </c>
      <c r="D111" t="s">
        <v>197</v>
      </c>
      <c r="E111" t="s">
        <v>197</v>
      </c>
      <c r="F111" t="s">
        <v>197</v>
      </c>
      <c r="G111" t="s">
        <v>197</v>
      </c>
      <c r="H111" t="s">
        <v>197</v>
      </c>
      <c r="I111" t="s">
        <v>197</v>
      </c>
      <c r="J111" t="s">
        <v>197</v>
      </c>
      <c r="K111" t="s">
        <v>574</v>
      </c>
    </row>
    <row r="112" spans="1:24">
      <c r="A112" t="s">
        <v>540</v>
      </c>
      <c r="K112" t="s">
        <v>541</v>
      </c>
      <c r="W112" t="s">
        <v>171</v>
      </c>
      <c r="X112" t="str">
        <f>A112</f>
        <v>info_varchar_dml_batch1_pk_drp2</v>
      </c>
    </row>
    <row r="113" spans="1:24">
      <c r="B113" t="s">
        <v>196</v>
      </c>
      <c r="C113" t="s">
        <v>197</v>
      </c>
      <c r="D113" t="s">
        <v>197</v>
      </c>
      <c r="E113" t="s">
        <v>197</v>
      </c>
      <c r="F113" t="s">
        <v>197</v>
      </c>
      <c r="G113" t="s">
        <v>197</v>
      </c>
      <c r="H113" t="s">
        <v>197</v>
      </c>
      <c r="I113" t="s">
        <v>542</v>
      </c>
      <c r="J113" t="s">
        <v>199</v>
      </c>
      <c r="K113" t="s">
        <v>200</v>
      </c>
    </row>
    <row r="114" spans="1:24">
      <c r="B114" t="s">
        <v>197</v>
      </c>
      <c r="C114" t="s">
        <v>197</v>
      </c>
      <c r="D114" t="s">
        <v>197</v>
      </c>
      <c r="E114" t="s">
        <v>197</v>
      </c>
      <c r="F114" t="s">
        <v>197</v>
      </c>
      <c r="G114" t="s">
        <v>197</v>
      </c>
      <c r="H114" t="s">
        <v>197</v>
      </c>
      <c r="I114" t="s">
        <v>197</v>
      </c>
      <c r="J114" t="s">
        <v>197</v>
      </c>
      <c r="K114" t="s">
        <v>431</v>
      </c>
    </row>
    <row r="115" spans="1:24">
      <c r="B115" t="s">
        <v>197</v>
      </c>
      <c r="C115" t="s">
        <v>197</v>
      </c>
      <c r="D115" t="s">
        <v>197</v>
      </c>
      <c r="E115" t="s">
        <v>197</v>
      </c>
      <c r="F115" t="s">
        <v>197</v>
      </c>
      <c r="G115" t="s">
        <v>197</v>
      </c>
      <c r="H115" t="s">
        <v>197</v>
      </c>
      <c r="I115" t="s">
        <v>197</v>
      </c>
      <c r="J115" t="s">
        <v>197</v>
      </c>
      <c r="K115" t="s">
        <v>434</v>
      </c>
    </row>
    <row r="116" spans="1:24">
      <c r="B116" t="s">
        <v>197</v>
      </c>
      <c r="C116" t="s">
        <v>197</v>
      </c>
      <c r="D116" t="s">
        <v>197</v>
      </c>
      <c r="E116" t="s">
        <v>197</v>
      </c>
      <c r="F116" t="s">
        <v>197</v>
      </c>
      <c r="G116" t="s">
        <v>197</v>
      </c>
      <c r="H116" t="s">
        <v>197</v>
      </c>
      <c r="I116" t="s">
        <v>197</v>
      </c>
      <c r="J116" t="s">
        <v>197</v>
      </c>
      <c r="K116" t="s">
        <v>439</v>
      </c>
    </row>
    <row r="117" spans="1:24">
      <c r="A117" t="s">
        <v>575</v>
      </c>
      <c r="K117" t="s">
        <v>576</v>
      </c>
      <c r="W117" s="1" t="str">
        <f>HYPERLINK("#2026042011hbase0!AC2","NO 源备存在差异，共14个")</f>
        <v>NO 源备存在差异，共14个</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593</v>
      </c>
      <c r="K148" t="s">
        <v>594</v>
      </c>
      <c r="W148" s="1" t="str">
        <f>HYPERLINK("#2026042011hbase0!AD2","NO 源备存在差异，共40个")</f>
        <v>NO 源备存在差异，共40个</v>
      </c>
      <c r="X148" t="str">
        <f>A148</f>
        <v>info_int_dml_batch1_pk_urp2</v>
      </c>
    </row>
    <row r="149" spans="1:24">
      <c r="B149" t="s">
        <v>196</v>
      </c>
      <c r="C149" t="s">
        <v>197</v>
      </c>
      <c r="D149" t="s">
        <v>197</v>
      </c>
      <c r="E149" t="s">
        <v>197</v>
      </c>
      <c r="F149" t="s">
        <v>197</v>
      </c>
      <c r="G149" t="s">
        <v>197</v>
      </c>
      <c r="H149" t="s">
        <v>197</v>
      </c>
      <c r="I149" t="s">
        <v>595</v>
      </c>
      <c r="J149" t="s">
        <v>199</v>
      </c>
      <c r="K149" t="s">
        <v>200</v>
      </c>
    </row>
    <row r="150" spans="1:24">
      <c r="B150" t="s">
        <v>197</v>
      </c>
      <c r="C150" t="s">
        <v>197</v>
      </c>
      <c r="D150" t="s">
        <v>197</v>
      </c>
      <c r="E150" t="s">
        <v>197</v>
      </c>
      <c r="F150" t="s">
        <v>197</v>
      </c>
      <c r="G150" t="s">
        <v>197</v>
      </c>
      <c r="H150" t="s">
        <v>197</v>
      </c>
      <c r="I150" t="s">
        <v>197</v>
      </c>
      <c r="J150" t="s">
        <v>197</v>
      </c>
      <c r="K150" t="s">
        <v>549</v>
      </c>
    </row>
    <row r="151" spans="1:24">
      <c r="B151" t="s">
        <v>197</v>
      </c>
      <c r="C151" t="s">
        <v>197</v>
      </c>
      <c r="D151" t="s">
        <v>197</v>
      </c>
      <c r="E151" t="s">
        <v>197</v>
      </c>
      <c r="F151" t="s">
        <v>197</v>
      </c>
      <c r="G151" t="s">
        <v>197</v>
      </c>
      <c r="H151" t="s">
        <v>197</v>
      </c>
      <c r="I151" t="s">
        <v>197</v>
      </c>
      <c r="J151" t="s">
        <v>197</v>
      </c>
      <c r="K151" t="s">
        <v>550</v>
      </c>
    </row>
    <row r="152" spans="1:24">
      <c r="B152" t="s">
        <v>197</v>
      </c>
      <c r="C152" t="s">
        <v>197</v>
      </c>
      <c r="D152" t="s">
        <v>197</v>
      </c>
      <c r="E152" t="s">
        <v>197</v>
      </c>
      <c r="F152" t="s">
        <v>197</v>
      </c>
      <c r="G152" t="s">
        <v>197</v>
      </c>
      <c r="H152" t="s">
        <v>197</v>
      </c>
      <c r="I152" t="s">
        <v>197</v>
      </c>
      <c r="J152" t="s">
        <v>197</v>
      </c>
      <c r="K152" t="s">
        <v>551</v>
      </c>
    </row>
    <row r="153" spans="1:24">
      <c r="B153" t="s">
        <v>197</v>
      </c>
      <c r="C153" t="s">
        <v>197</v>
      </c>
      <c r="D153" t="s">
        <v>197</v>
      </c>
      <c r="E153" t="s">
        <v>197</v>
      </c>
      <c r="F153" t="s">
        <v>197</v>
      </c>
      <c r="G153" t="s">
        <v>197</v>
      </c>
      <c r="H153" t="s">
        <v>197</v>
      </c>
      <c r="I153" t="s">
        <v>197</v>
      </c>
      <c r="J153" t="s">
        <v>197</v>
      </c>
      <c r="K153" t="s">
        <v>552</v>
      </c>
    </row>
    <row r="154" spans="1:24">
      <c r="B154" t="s">
        <v>197</v>
      </c>
      <c r="C154" t="s">
        <v>197</v>
      </c>
      <c r="D154" t="s">
        <v>197</v>
      </c>
      <c r="E154" t="s">
        <v>197</v>
      </c>
      <c r="F154" t="s">
        <v>197</v>
      </c>
      <c r="G154" t="s">
        <v>197</v>
      </c>
      <c r="H154" t="s">
        <v>197</v>
      </c>
      <c r="I154" t="s">
        <v>197</v>
      </c>
      <c r="J154" t="s">
        <v>197</v>
      </c>
      <c r="K154" t="s">
        <v>553</v>
      </c>
    </row>
    <row r="155" spans="1:24">
      <c r="B155" t="s">
        <v>197</v>
      </c>
      <c r="C155" t="s">
        <v>197</v>
      </c>
      <c r="D155" t="s">
        <v>197</v>
      </c>
      <c r="E155" t="s">
        <v>197</v>
      </c>
      <c r="F155" t="s">
        <v>197</v>
      </c>
      <c r="G155" t="s">
        <v>197</v>
      </c>
      <c r="H155" t="s">
        <v>197</v>
      </c>
      <c r="I155" t="s">
        <v>197</v>
      </c>
      <c r="J155" t="s">
        <v>197</v>
      </c>
      <c r="K155" t="s">
        <v>554</v>
      </c>
    </row>
    <row r="156" spans="1:24">
      <c r="B156" t="s">
        <v>197</v>
      </c>
      <c r="C156" t="s">
        <v>197</v>
      </c>
      <c r="D156" t="s">
        <v>197</v>
      </c>
      <c r="E156" t="s">
        <v>197</v>
      </c>
      <c r="F156" t="s">
        <v>197</v>
      </c>
      <c r="G156" t="s">
        <v>197</v>
      </c>
      <c r="H156" t="s">
        <v>197</v>
      </c>
      <c r="I156" t="s">
        <v>197</v>
      </c>
      <c r="J156" t="s">
        <v>197</v>
      </c>
      <c r="K156" t="s">
        <v>555</v>
      </c>
    </row>
    <row r="157" spans="1:24">
      <c r="B157" t="s">
        <v>197</v>
      </c>
      <c r="C157" t="s">
        <v>197</v>
      </c>
      <c r="D157" t="s">
        <v>197</v>
      </c>
      <c r="E157" t="s">
        <v>197</v>
      </c>
      <c r="F157" t="s">
        <v>197</v>
      </c>
      <c r="G157" t="s">
        <v>197</v>
      </c>
      <c r="H157" t="s">
        <v>197</v>
      </c>
      <c r="I157" t="s">
        <v>197</v>
      </c>
      <c r="J157" t="s">
        <v>197</v>
      </c>
      <c r="K157" t="s">
        <v>556</v>
      </c>
    </row>
    <row r="158" spans="1:24">
      <c r="B158" t="s">
        <v>197</v>
      </c>
      <c r="C158" t="s">
        <v>197</v>
      </c>
      <c r="D158" t="s">
        <v>197</v>
      </c>
      <c r="E158" t="s">
        <v>197</v>
      </c>
      <c r="F158" t="s">
        <v>197</v>
      </c>
      <c r="G158" t="s">
        <v>197</v>
      </c>
      <c r="H158" t="s">
        <v>197</v>
      </c>
      <c r="I158" t="s">
        <v>197</v>
      </c>
      <c r="J158" t="s">
        <v>197</v>
      </c>
      <c r="K158" t="s">
        <v>557</v>
      </c>
    </row>
    <row r="159" spans="1:24">
      <c r="B159" t="s">
        <v>197</v>
      </c>
      <c r="C159" t="s">
        <v>197</v>
      </c>
      <c r="D159" t="s">
        <v>197</v>
      </c>
      <c r="E159" t="s">
        <v>197</v>
      </c>
      <c r="F159" t="s">
        <v>197</v>
      </c>
      <c r="G159" t="s">
        <v>197</v>
      </c>
      <c r="H159" t="s">
        <v>197</v>
      </c>
      <c r="I159" t="s">
        <v>197</v>
      </c>
      <c r="J159" t="s">
        <v>197</v>
      </c>
      <c r="K159" t="s">
        <v>558</v>
      </c>
    </row>
    <row r="160" spans="1:24">
      <c r="B160" t="s">
        <v>197</v>
      </c>
      <c r="C160" t="s">
        <v>197</v>
      </c>
      <c r="D160" t="s">
        <v>197</v>
      </c>
      <c r="E160" t="s">
        <v>197</v>
      </c>
      <c r="F160" t="s">
        <v>197</v>
      </c>
      <c r="G160" t="s">
        <v>197</v>
      </c>
      <c r="H160" t="s">
        <v>197</v>
      </c>
      <c r="I160" t="s">
        <v>197</v>
      </c>
      <c r="J160" t="s">
        <v>197</v>
      </c>
      <c r="K160" t="s">
        <v>559</v>
      </c>
    </row>
    <row r="161" spans="1:24">
      <c r="B161" t="s">
        <v>197</v>
      </c>
      <c r="C161" t="s">
        <v>197</v>
      </c>
      <c r="D161" t="s">
        <v>197</v>
      </c>
      <c r="E161" t="s">
        <v>197</v>
      </c>
      <c r="F161" t="s">
        <v>197</v>
      </c>
      <c r="G161" t="s">
        <v>197</v>
      </c>
      <c r="H161" t="s">
        <v>197</v>
      </c>
      <c r="I161" t="s">
        <v>197</v>
      </c>
      <c r="J161" t="s">
        <v>197</v>
      </c>
      <c r="K161" t="s">
        <v>560</v>
      </c>
    </row>
    <row r="162" spans="1:24">
      <c r="B162" t="s">
        <v>197</v>
      </c>
      <c r="C162" t="s">
        <v>197</v>
      </c>
      <c r="D162" t="s">
        <v>197</v>
      </c>
      <c r="E162" t="s">
        <v>197</v>
      </c>
      <c r="F162" t="s">
        <v>197</v>
      </c>
      <c r="G162" t="s">
        <v>197</v>
      </c>
      <c r="H162" t="s">
        <v>197</v>
      </c>
      <c r="I162" t="s">
        <v>197</v>
      </c>
      <c r="J162" t="s">
        <v>197</v>
      </c>
      <c r="K162" t="s">
        <v>561</v>
      </c>
    </row>
    <row r="163" spans="1:24">
      <c r="B163" t="s">
        <v>197</v>
      </c>
      <c r="C163" t="s">
        <v>197</v>
      </c>
      <c r="D163" t="s">
        <v>197</v>
      </c>
      <c r="E163" t="s">
        <v>197</v>
      </c>
      <c r="F163" t="s">
        <v>197</v>
      </c>
      <c r="G163" t="s">
        <v>197</v>
      </c>
      <c r="H163" t="s">
        <v>197</v>
      </c>
      <c r="I163" t="s">
        <v>197</v>
      </c>
      <c r="J163" t="s">
        <v>197</v>
      </c>
      <c r="K163" t="s">
        <v>562</v>
      </c>
    </row>
    <row r="164" spans="1:24">
      <c r="B164" t="s">
        <v>197</v>
      </c>
      <c r="C164" t="s">
        <v>197</v>
      </c>
      <c r="D164" t="s">
        <v>197</v>
      </c>
      <c r="E164" t="s">
        <v>197</v>
      </c>
      <c r="F164" t="s">
        <v>197</v>
      </c>
      <c r="G164" t="s">
        <v>197</v>
      </c>
      <c r="H164" t="s">
        <v>197</v>
      </c>
      <c r="I164" t="s">
        <v>197</v>
      </c>
      <c r="J164" t="s">
        <v>197</v>
      </c>
      <c r="K164" t="s">
        <v>563</v>
      </c>
    </row>
    <row r="165" spans="1:24">
      <c r="B165" t="s">
        <v>197</v>
      </c>
      <c r="C165" t="s">
        <v>197</v>
      </c>
      <c r="D165" t="s">
        <v>197</v>
      </c>
      <c r="E165" t="s">
        <v>197</v>
      </c>
      <c r="F165" t="s">
        <v>197</v>
      </c>
      <c r="G165" t="s">
        <v>197</v>
      </c>
      <c r="H165" t="s">
        <v>197</v>
      </c>
      <c r="I165" t="s">
        <v>197</v>
      </c>
      <c r="J165" t="s">
        <v>197</v>
      </c>
      <c r="K165" t="s">
        <v>564</v>
      </c>
    </row>
    <row r="166" spans="1:24">
      <c r="B166" t="s">
        <v>197</v>
      </c>
      <c r="C166" t="s">
        <v>197</v>
      </c>
      <c r="D166" t="s">
        <v>197</v>
      </c>
      <c r="E166" t="s">
        <v>197</v>
      </c>
      <c r="F166" t="s">
        <v>197</v>
      </c>
      <c r="G166" t="s">
        <v>197</v>
      </c>
      <c r="H166" t="s">
        <v>197</v>
      </c>
      <c r="I166" t="s">
        <v>197</v>
      </c>
      <c r="J166" t="s">
        <v>197</v>
      </c>
      <c r="K166" t="s">
        <v>565</v>
      </c>
    </row>
    <row r="167" spans="1:24">
      <c r="B167" t="s">
        <v>197</v>
      </c>
      <c r="C167" t="s">
        <v>197</v>
      </c>
      <c r="D167" t="s">
        <v>197</v>
      </c>
      <c r="E167" t="s">
        <v>197</v>
      </c>
      <c r="F167" t="s">
        <v>197</v>
      </c>
      <c r="G167" t="s">
        <v>197</v>
      </c>
      <c r="H167" t="s">
        <v>197</v>
      </c>
      <c r="I167" t="s">
        <v>197</v>
      </c>
      <c r="J167" t="s">
        <v>197</v>
      </c>
      <c r="K167" t="s">
        <v>566</v>
      </c>
    </row>
    <row r="168" spans="1:24">
      <c r="B168" t="s">
        <v>197</v>
      </c>
      <c r="C168" t="s">
        <v>197</v>
      </c>
      <c r="D168" t="s">
        <v>197</v>
      </c>
      <c r="E168" t="s">
        <v>197</v>
      </c>
      <c r="F168" t="s">
        <v>197</v>
      </c>
      <c r="G168" t="s">
        <v>197</v>
      </c>
      <c r="H168" t="s">
        <v>197</v>
      </c>
      <c r="I168" t="s">
        <v>197</v>
      </c>
      <c r="J168" t="s">
        <v>197</v>
      </c>
      <c r="K168" t="s">
        <v>567</v>
      </c>
    </row>
    <row r="169" spans="1:24">
      <c r="A169" t="s">
        <v>596</v>
      </c>
      <c r="K169" t="s">
        <v>597</v>
      </c>
      <c r="W169" t="s">
        <v>171</v>
      </c>
      <c r="X169" t="str">
        <f>A169</f>
        <v>info_text_dml_single_pk</v>
      </c>
    </row>
    <row r="170" spans="1:24">
      <c r="B170" t="s">
        <v>196</v>
      </c>
      <c r="C170" t="s">
        <v>197</v>
      </c>
      <c r="D170" t="s">
        <v>197</v>
      </c>
      <c r="E170" t="s">
        <v>197</v>
      </c>
      <c r="F170" t="s">
        <v>197</v>
      </c>
      <c r="G170" t="s">
        <v>197</v>
      </c>
      <c r="H170" t="s">
        <v>197</v>
      </c>
      <c r="I170" t="s">
        <v>598</v>
      </c>
      <c r="J170" t="s">
        <v>199</v>
      </c>
      <c r="K170" t="s">
        <v>200</v>
      </c>
    </row>
    <row r="171" spans="1:24">
      <c r="B171" t="s">
        <v>197</v>
      </c>
      <c r="C171" t="s">
        <v>197</v>
      </c>
      <c r="D171" t="s">
        <v>197</v>
      </c>
      <c r="E171" t="s">
        <v>197</v>
      </c>
      <c r="F171" t="s">
        <v>197</v>
      </c>
      <c r="G171" t="s">
        <v>197</v>
      </c>
      <c r="H171" t="s">
        <v>197</v>
      </c>
      <c r="I171" t="s">
        <v>197</v>
      </c>
      <c r="J171" t="s">
        <v>197</v>
      </c>
      <c r="K171" t="s">
        <v>229</v>
      </c>
    </row>
    <row r="172" spans="1:24">
      <c r="B172" t="s">
        <v>197</v>
      </c>
      <c r="C172" t="s">
        <v>197</v>
      </c>
      <c r="D172" t="s">
        <v>197</v>
      </c>
      <c r="E172" t="s">
        <v>197</v>
      </c>
      <c r="F172" t="s">
        <v>197</v>
      </c>
      <c r="G172" t="s">
        <v>197</v>
      </c>
      <c r="H172" t="s">
        <v>197</v>
      </c>
      <c r="I172" t="s">
        <v>197</v>
      </c>
      <c r="J172" t="s">
        <v>197</v>
      </c>
      <c r="K172" t="s">
        <v>251</v>
      </c>
    </row>
    <row r="173" spans="1:24">
      <c r="K173" t="s">
        <v>443</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606</v>
      </c>
      <c r="K182" t="s">
        <v>607</v>
      </c>
      <c r="W182" t="s">
        <v>171</v>
      </c>
      <c r="X182" t="str">
        <f>A182</f>
        <v>info_xml_dml_single_pk_drp</v>
      </c>
    </row>
    <row r="183" spans="1:24">
      <c r="B183" t="s">
        <v>196</v>
      </c>
      <c r="C183" t="s">
        <v>197</v>
      </c>
      <c r="D183" t="s">
        <v>197</v>
      </c>
      <c r="E183" t="s">
        <v>197</v>
      </c>
      <c r="F183" t="s">
        <v>197</v>
      </c>
      <c r="G183" t="s">
        <v>197</v>
      </c>
      <c r="H183" t="s">
        <v>197</v>
      </c>
      <c r="I183" t="s">
        <v>608</v>
      </c>
      <c r="J183" t="s">
        <v>199</v>
      </c>
      <c r="K183" t="s">
        <v>200</v>
      </c>
    </row>
    <row r="184" spans="1:24">
      <c r="B184" t="s">
        <v>197</v>
      </c>
      <c r="C184" t="s">
        <v>197</v>
      </c>
      <c r="D184" t="s">
        <v>197</v>
      </c>
      <c r="E184" t="s">
        <v>197</v>
      </c>
      <c r="F184" t="s">
        <v>197</v>
      </c>
      <c r="G184" t="s">
        <v>197</v>
      </c>
      <c r="H184" t="s">
        <v>197</v>
      </c>
      <c r="I184" t="s">
        <v>197</v>
      </c>
      <c r="J184" t="s">
        <v>197</v>
      </c>
      <c r="K184" t="s">
        <v>472</v>
      </c>
    </row>
    <row r="185" spans="1:24">
      <c r="A185" t="s">
        <v>609</v>
      </c>
      <c r="K185" t="s">
        <v>610</v>
      </c>
      <c r="W185" t="s">
        <v>171</v>
      </c>
      <c r="X185" t="str">
        <f>A185</f>
        <v>info_nchar_dml_single_pk_urp</v>
      </c>
    </row>
    <row r="186" spans="1:24">
      <c r="B186" t="s">
        <v>196</v>
      </c>
      <c r="C186" t="s">
        <v>197</v>
      </c>
      <c r="D186" t="s">
        <v>197</v>
      </c>
      <c r="E186" t="s">
        <v>197</v>
      </c>
      <c r="F186" t="s">
        <v>197</v>
      </c>
      <c r="G186" t="s">
        <v>197</v>
      </c>
      <c r="H186" t="s">
        <v>197</v>
      </c>
      <c r="I186" t="s">
        <v>611</v>
      </c>
      <c r="J186" t="s">
        <v>199</v>
      </c>
      <c r="K186" t="s">
        <v>200</v>
      </c>
    </row>
    <row r="187" spans="1:24">
      <c r="B187" t="s">
        <v>197</v>
      </c>
      <c r="C187" t="s">
        <v>197</v>
      </c>
      <c r="D187" t="s">
        <v>197</v>
      </c>
      <c r="E187" t="s">
        <v>197</v>
      </c>
      <c r="F187" t="s">
        <v>197</v>
      </c>
      <c r="G187" t="s">
        <v>197</v>
      </c>
      <c r="H187" t="s">
        <v>197</v>
      </c>
      <c r="I187" t="s">
        <v>197</v>
      </c>
      <c r="J187" t="s">
        <v>197</v>
      </c>
      <c r="K187" t="s">
        <v>514</v>
      </c>
    </row>
    <row r="188" spans="1:24">
      <c r="B188" t="s">
        <v>197</v>
      </c>
      <c r="C188" t="s">
        <v>197</v>
      </c>
      <c r="D188" t="s">
        <v>197</v>
      </c>
      <c r="E188" t="s">
        <v>197</v>
      </c>
      <c r="F188" t="s">
        <v>197</v>
      </c>
      <c r="G188" t="s">
        <v>197</v>
      </c>
      <c r="H188" t="s">
        <v>197</v>
      </c>
      <c r="I188" t="s">
        <v>197</v>
      </c>
      <c r="J188" t="s">
        <v>197</v>
      </c>
      <c r="K188" t="s">
        <v>516</v>
      </c>
    </row>
    <row r="189" spans="1:24">
      <c r="B189" t="s">
        <v>197</v>
      </c>
      <c r="C189" t="s">
        <v>197</v>
      </c>
      <c r="D189" t="s">
        <v>197</v>
      </c>
      <c r="E189" t="s">
        <v>197</v>
      </c>
      <c r="F189" t="s">
        <v>197</v>
      </c>
      <c r="G189" t="s">
        <v>197</v>
      </c>
      <c r="H189" t="s">
        <v>197</v>
      </c>
      <c r="I189" t="s">
        <v>197</v>
      </c>
      <c r="J189" t="s">
        <v>197</v>
      </c>
      <c r="K189" t="s">
        <v>612</v>
      </c>
    </row>
    <row r="190" spans="1:24">
      <c r="A190" t="s">
        <v>613</v>
      </c>
      <c r="K190" t="s">
        <v>614</v>
      </c>
      <c r="W190" t="s">
        <v>171</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1" t="str">
        <f>HYPERLINK("#2026042011hbase0!AE2","NO 源备存在差异，共2个")</f>
        <v>NO 源备存在差异，共2个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652</v>
      </c>
      <c r="K250" t="s">
        <v>653</v>
      </c>
      <c r="W250" t="s">
        <v>171</v>
      </c>
      <c r="X250" t="str">
        <f>A250</f>
        <v>info_nvarchar_dml_batch1_pk</v>
      </c>
    </row>
    <row r="251" spans="1:24">
      <c r="B251" t="s">
        <v>196</v>
      </c>
      <c r="C251" t="s">
        <v>197</v>
      </c>
      <c r="D251" t="s">
        <v>197</v>
      </c>
      <c r="E251" t="s">
        <v>197</v>
      </c>
      <c r="F251" t="s">
        <v>197</v>
      </c>
      <c r="G251" t="s">
        <v>197</v>
      </c>
      <c r="H251" t="s">
        <v>197</v>
      </c>
      <c r="I251" t="s">
        <v>654</v>
      </c>
      <c r="J251" t="s">
        <v>199</v>
      </c>
      <c r="K251" t="s">
        <v>200</v>
      </c>
    </row>
    <row r="252" spans="1:24">
      <c r="B252" t="s">
        <v>197</v>
      </c>
      <c r="C252" t="s">
        <v>197</v>
      </c>
      <c r="D252" t="s">
        <v>197</v>
      </c>
      <c r="E252" t="s">
        <v>197</v>
      </c>
      <c r="F252" t="s">
        <v>197</v>
      </c>
      <c r="G252" t="s">
        <v>197</v>
      </c>
      <c r="H252" t="s">
        <v>197</v>
      </c>
      <c r="I252" t="s">
        <v>197</v>
      </c>
      <c r="J252" t="s">
        <v>197</v>
      </c>
      <c r="K252" t="s">
        <v>408</v>
      </c>
    </row>
    <row r="253" spans="1:24">
      <c r="B253" t="s">
        <v>197</v>
      </c>
      <c r="C253" t="s">
        <v>197</v>
      </c>
      <c r="D253" t="s">
        <v>197</v>
      </c>
      <c r="E253" t="s">
        <v>197</v>
      </c>
      <c r="F253" t="s">
        <v>197</v>
      </c>
      <c r="G253" t="s">
        <v>197</v>
      </c>
      <c r="H253" t="s">
        <v>197</v>
      </c>
      <c r="I253" t="s">
        <v>197</v>
      </c>
      <c r="J253" t="s">
        <v>197</v>
      </c>
      <c r="K253" t="s">
        <v>412</v>
      </c>
    </row>
    <row r="254" spans="1:24">
      <c r="B254" t="s">
        <v>197</v>
      </c>
      <c r="C254" t="s">
        <v>197</v>
      </c>
      <c r="D254" t="s">
        <v>197</v>
      </c>
      <c r="E254" t="s">
        <v>197</v>
      </c>
      <c r="F254" t="s">
        <v>197</v>
      </c>
      <c r="G254" t="s">
        <v>197</v>
      </c>
      <c r="H254" t="s">
        <v>197</v>
      </c>
      <c r="I254" t="s">
        <v>197</v>
      </c>
      <c r="J254" t="s">
        <v>197</v>
      </c>
      <c r="K254" t="s">
        <v>605</v>
      </c>
    </row>
    <row r="255" spans="1:24">
      <c r="A255" t="s">
        <v>655</v>
      </c>
      <c r="K255" t="s">
        <v>656</v>
      </c>
      <c r="W255" t="s">
        <v>171</v>
      </c>
      <c r="X255" t="str">
        <f>A255</f>
        <v>info_datetime_dml_batch1_pk</v>
      </c>
    </row>
    <row r="256" spans="1:24">
      <c r="B256" t="s">
        <v>196</v>
      </c>
      <c r="C256" t="s">
        <v>197</v>
      </c>
      <c r="D256" t="s">
        <v>197</v>
      </c>
      <c r="E256" t="s">
        <v>197</v>
      </c>
      <c r="F256" t="s">
        <v>197</v>
      </c>
      <c r="G256" t="s">
        <v>197</v>
      </c>
      <c r="H256" t="s">
        <v>197</v>
      </c>
      <c r="I256" t="s">
        <v>657</v>
      </c>
      <c r="J256" t="s">
        <v>199</v>
      </c>
      <c r="K256" t="s">
        <v>200</v>
      </c>
    </row>
    <row r="257" spans="1:24">
      <c r="B257" t="s">
        <v>197</v>
      </c>
      <c r="C257" t="s">
        <v>197</v>
      </c>
      <c r="D257" t="s">
        <v>197</v>
      </c>
      <c r="E257" t="s">
        <v>197</v>
      </c>
      <c r="F257" t="s">
        <v>197</v>
      </c>
      <c r="G257" t="s">
        <v>197</v>
      </c>
      <c r="H257" t="s">
        <v>197</v>
      </c>
      <c r="I257" t="s">
        <v>197</v>
      </c>
      <c r="J257" t="s">
        <v>197</v>
      </c>
      <c r="K257" t="s">
        <v>574</v>
      </c>
    </row>
    <row r="258" spans="1:24">
      <c r="A258" t="s">
        <v>646</v>
      </c>
      <c r="K258" t="s">
        <v>647</v>
      </c>
      <c r="W258" t="s">
        <v>171</v>
      </c>
      <c r="X258" t="str">
        <f>A258</f>
        <v>info_nchar_dml_batch1_pk_irp1</v>
      </c>
    </row>
    <row r="259" spans="1:24">
      <c r="B259" t="s">
        <v>196</v>
      </c>
      <c r="C259" t="s">
        <v>197</v>
      </c>
      <c r="D259" t="s">
        <v>197</v>
      </c>
      <c r="E259" t="s">
        <v>197</v>
      </c>
      <c r="F259" t="s">
        <v>197</v>
      </c>
      <c r="G259" t="s">
        <v>197</v>
      </c>
      <c r="H259" t="s">
        <v>197</v>
      </c>
      <c r="I259" t="s">
        <v>648</v>
      </c>
      <c r="J259" t="s">
        <v>199</v>
      </c>
      <c r="K259" t="s">
        <v>200</v>
      </c>
    </row>
    <row r="260" spans="1:24">
      <c r="B260" t="s">
        <v>197</v>
      </c>
      <c r="C260" t="s">
        <v>197</v>
      </c>
      <c r="D260" t="s">
        <v>197</v>
      </c>
      <c r="E260" t="s">
        <v>197</v>
      </c>
      <c r="F260" t="s">
        <v>197</v>
      </c>
      <c r="G260" t="s">
        <v>197</v>
      </c>
      <c r="H260" t="s">
        <v>197</v>
      </c>
      <c r="I260" t="s">
        <v>197</v>
      </c>
      <c r="J260" t="s">
        <v>197</v>
      </c>
      <c r="K260" t="s">
        <v>514</v>
      </c>
    </row>
    <row r="261" spans="1:24">
      <c r="B261" t="s">
        <v>197</v>
      </c>
      <c r="C261" t="s">
        <v>197</v>
      </c>
      <c r="D261" t="s">
        <v>197</v>
      </c>
      <c r="E261" t="s">
        <v>197</v>
      </c>
      <c r="F261" t="s">
        <v>197</v>
      </c>
      <c r="G261" t="s">
        <v>197</v>
      </c>
      <c r="H261" t="s">
        <v>197</v>
      </c>
      <c r="I261" t="s">
        <v>197</v>
      </c>
      <c r="J261" t="s">
        <v>197</v>
      </c>
      <c r="K261" t="s">
        <v>516</v>
      </c>
    </row>
    <row r="262" spans="1:24">
      <c r="B262" t="s">
        <v>197</v>
      </c>
      <c r="C262" t="s">
        <v>197</v>
      </c>
      <c r="D262" t="s">
        <v>197</v>
      </c>
      <c r="E262" t="s">
        <v>197</v>
      </c>
      <c r="F262" t="s">
        <v>197</v>
      </c>
      <c r="G262" t="s">
        <v>197</v>
      </c>
      <c r="H262" t="s">
        <v>197</v>
      </c>
      <c r="I262" t="s">
        <v>197</v>
      </c>
      <c r="J262" t="s">
        <v>197</v>
      </c>
      <c r="K262" t="s">
        <v>517</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685</v>
      </c>
      <c r="K307" t="s">
        <v>686</v>
      </c>
      <c r="W307" s="1" t="str">
        <f>HYPERLINK("#2026042011hbase0!AF2","NO 源备存在差异，共10个")</f>
        <v>NO 源备存在差异，共10个</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s="1" t="str">
        <f>HYPERLINK("#2026042011hbase0!AG2","NO 源备存在差异，共16个")</f>
        <v>NO 源备存在差异，共16个</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700</v>
      </c>
      <c r="K343" t="s">
        <v>701</v>
      </c>
      <c r="W343" t="s">
        <v>171</v>
      </c>
      <c r="X343" t="str">
        <f>A343</f>
        <v>info_char_dml_batch2_pk_irp1</v>
      </c>
    </row>
    <row r="344" spans="1:24">
      <c r="B344" t="s">
        <v>196</v>
      </c>
      <c r="C344" t="s">
        <v>197</v>
      </c>
      <c r="D344" t="s">
        <v>197</v>
      </c>
      <c r="E344" t="s">
        <v>197</v>
      </c>
      <c r="F344" t="s">
        <v>197</v>
      </c>
      <c r="G344" t="s">
        <v>197</v>
      </c>
      <c r="H344" t="s">
        <v>197</v>
      </c>
      <c r="I344" t="s">
        <v>702</v>
      </c>
      <c r="J344" t="s">
        <v>199</v>
      </c>
      <c r="K344" t="s">
        <v>200</v>
      </c>
    </row>
    <row r="345" spans="1:24">
      <c r="B345" t="s">
        <v>197</v>
      </c>
      <c r="C345" t="s">
        <v>197</v>
      </c>
      <c r="D345" t="s">
        <v>197</v>
      </c>
      <c r="E345" t="s">
        <v>197</v>
      </c>
      <c r="F345" t="s">
        <v>197</v>
      </c>
      <c r="G345" t="s">
        <v>197</v>
      </c>
      <c r="H345" t="s">
        <v>197</v>
      </c>
      <c r="I345" t="s">
        <v>197</v>
      </c>
      <c r="J345" t="s">
        <v>197</v>
      </c>
      <c r="K345" t="s">
        <v>622</v>
      </c>
    </row>
    <row r="346" spans="1:24">
      <c r="B346" t="s">
        <v>197</v>
      </c>
      <c r="C346" t="s">
        <v>197</v>
      </c>
      <c r="D346" t="s">
        <v>197</v>
      </c>
      <c r="E346" t="s">
        <v>197</v>
      </c>
      <c r="F346" t="s">
        <v>197</v>
      </c>
      <c r="G346" t="s">
        <v>197</v>
      </c>
      <c r="H346" t="s">
        <v>197</v>
      </c>
      <c r="I346" t="s">
        <v>197</v>
      </c>
      <c r="J346" t="s">
        <v>197</v>
      </c>
      <c r="K346" t="s">
        <v>623</v>
      </c>
    </row>
    <row r="347" spans="1:24">
      <c r="B347" t="s">
        <v>197</v>
      </c>
      <c r="C347" t="s">
        <v>197</v>
      </c>
      <c r="D347" t="s">
        <v>197</v>
      </c>
      <c r="E347" t="s">
        <v>197</v>
      </c>
      <c r="F347" t="s">
        <v>197</v>
      </c>
      <c r="G347" t="s">
        <v>197</v>
      </c>
      <c r="H347" t="s">
        <v>197</v>
      </c>
      <c r="I347" t="s">
        <v>197</v>
      </c>
      <c r="J347" t="s">
        <v>197</v>
      </c>
      <c r="K347" t="s">
        <v>624</v>
      </c>
    </row>
    <row r="348" spans="1:24">
      <c r="K348" t="s">
        <v>443</v>
      </c>
    </row>
    <row r="349" spans="1:24">
      <c r="A349" t="s">
        <v>703</v>
      </c>
      <c r="K349" t="s">
        <v>704</v>
      </c>
      <c r="W349" s="1" t="str">
        <f>HYPERLINK("#2026042011hbase0!AH2","NO 源备存在差异，共4个")</f>
        <v>NO 源备存在差异，共4个</v>
      </c>
      <c r="X349" t="str">
        <f>A349</f>
        <v>info_hierarchyid_dml_single_pk_irp</v>
      </c>
    </row>
    <row r="350" spans="1:24">
      <c r="B350" t="s">
        <v>196</v>
      </c>
      <c r="C350" t="s">
        <v>197</v>
      </c>
      <c r="D350" t="s">
        <v>197</v>
      </c>
      <c r="E350" t="s">
        <v>197</v>
      </c>
      <c r="F350" t="s">
        <v>197</v>
      </c>
      <c r="G350" t="s">
        <v>197</v>
      </c>
      <c r="H350" t="s">
        <v>197</v>
      </c>
      <c r="I350" t="s">
        <v>705</v>
      </c>
      <c r="J350" t="s">
        <v>199</v>
      </c>
      <c r="K350" t="s">
        <v>200</v>
      </c>
    </row>
    <row r="351" spans="1:24">
      <c r="B351" t="s">
        <v>197</v>
      </c>
      <c r="C351" t="s">
        <v>197</v>
      </c>
      <c r="D351" t="s">
        <v>197</v>
      </c>
      <c r="E351" t="s">
        <v>197</v>
      </c>
      <c r="F351" t="s">
        <v>197</v>
      </c>
      <c r="G351" t="s">
        <v>197</v>
      </c>
      <c r="H351" t="s">
        <v>197</v>
      </c>
      <c r="I351" t="s">
        <v>197</v>
      </c>
      <c r="J351" t="s">
        <v>197</v>
      </c>
      <c r="K351" t="s">
        <v>706</v>
      </c>
    </row>
    <row r="352" spans="1:24">
      <c r="A352" t="s">
        <v>707</v>
      </c>
      <c r="K352" t="s">
        <v>708</v>
      </c>
      <c r="W352" t="s">
        <v>171</v>
      </c>
      <c r="X352" t="str">
        <f>A352</f>
        <v>info_datetime2_dml_batch1_pk_urp1</v>
      </c>
    </row>
    <row r="353" spans="1:24">
      <c r="B353" t="s">
        <v>196</v>
      </c>
      <c r="C353" t="s">
        <v>197</v>
      </c>
      <c r="D353" t="s">
        <v>197</v>
      </c>
      <c r="E353" t="s">
        <v>197</v>
      </c>
      <c r="F353" t="s">
        <v>197</v>
      </c>
      <c r="G353" t="s">
        <v>197</v>
      </c>
      <c r="H353" t="s">
        <v>197</v>
      </c>
      <c r="I353" t="s">
        <v>709</v>
      </c>
      <c r="J353" t="s">
        <v>199</v>
      </c>
      <c r="K353" t="s">
        <v>200</v>
      </c>
    </row>
    <row r="354" spans="1:24">
      <c r="B354" t="s">
        <v>197</v>
      </c>
      <c r="C354" t="s">
        <v>197</v>
      </c>
      <c r="D354" t="s">
        <v>197</v>
      </c>
      <c r="E354" t="s">
        <v>197</v>
      </c>
      <c r="F354" t="s">
        <v>197</v>
      </c>
      <c r="G354" t="s">
        <v>197</v>
      </c>
      <c r="H354" t="s">
        <v>197</v>
      </c>
      <c r="I354" t="s">
        <v>197</v>
      </c>
      <c r="J354" t="s">
        <v>197</v>
      </c>
      <c r="K354" t="s">
        <v>667</v>
      </c>
    </row>
    <row r="355" spans="1:24">
      <c r="B355" t="s">
        <v>197</v>
      </c>
      <c r="C355" t="s">
        <v>197</v>
      </c>
      <c r="D355" t="s">
        <v>197</v>
      </c>
      <c r="E355" t="s">
        <v>197</v>
      </c>
      <c r="F355" t="s">
        <v>197</v>
      </c>
      <c r="G355" t="s">
        <v>197</v>
      </c>
      <c r="H355" t="s">
        <v>197</v>
      </c>
      <c r="I355" t="s">
        <v>197</v>
      </c>
      <c r="J355" t="s">
        <v>197</v>
      </c>
      <c r="K355" t="s">
        <v>668</v>
      </c>
    </row>
    <row r="356" spans="1:24">
      <c r="B356" t="s">
        <v>197</v>
      </c>
      <c r="C356" t="s">
        <v>197</v>
      </c>
      <c r="D356" t="s">
        <v>197</v>
      </c>
      <c r="E356" t="s">
        <v>197</v>
      </c>
      <c r="F356" t="s">
        <v>197</v>
      </c>
      <c r="G356" t="s">
        <v>197</v>
      </c>
      <c r="H356" t="s">
        <v>197</v>
      </c>
      <c r="I356" t="s">
        <v>197</v>
      </c>
      <c r="J356" t="s">
        <v>197</v>
      </c>
      <c r="K356" t="s">
        <v>669</v>
      </c>
    </row>
    <row r="357" spans="1:24">
      <c r="B357" t="s">
        <v>197</v>
      </c>
      <c r="C357" t="s">
        <v>197</v>
      </c>
      <c r="D357" t="s">
        <v>197</v>
      </c>
      <c r="E357" t="s">
        <v>197</v>
      </c>
      <c r="F357" t="s">
        <v>197</v>
      </c>
      <c r="G357" t="s">
        <v>197</v>
      </c>
      <c r="H357" t="s">
        <v>197</v>
      </c>
      <c r="I357" t="s">
        <v>197</v>
      </c>
      <c r="J357" t="s">
        <v>197</v>
      </c>
      <c r="K357" t="s">
        <v>670</v>
      </c>
    </row>
    <row r="358" spans="1:24">
      <c r="B358" t="s">
        <v>197</v>
      </c>
      <c r="C358" t="s">
        <v>197</v>
      </c>
      <c r="D358" t="s">
        <v>197</v>
      </c>
      <c r="E358" t="s">
        <v>197</v>
      </c>
      <c r="F358" t="s">
        <v>197</v>
      </c>
      <c r="G358" t="s">
        <v>197</v>
      </c>
      <c r="H358" t="s">
        <v>197</v>
      </c>
      <c r="I358" t="s">
        <v>197</v>
      </c>
      <c r="J358" t="s">
        <v>197</v>
      </c>
      <c r="K358" t="s">
        <v>671</v>
      </c>
    </row>
    <row r="359" spans="1:24">
      <c r="B359" t="s">
        <v>197</v>
      </c>
      <c r="C359" t="s">
        <v>197</v>
      </c>
      <c r="D359" t="s">
        <v>197</v>
      </c>
      <c r="E359" t="s">
        <v>197</v>
      </c>
      <c r="F359" t="s">
        <v>197</v>
      </c>
      <c r="G359" t="s">
        <v>197</v>
      </c>
      <c r="H359" t="s">
        <v>197</v>
      </c>
      <c r="I359" t="s">
        <v>197</v>
      </c>
      <c r="J359" t="s">
        <v>197</v>
      </c>
      <c r="K359" t="s">
        <v>672</v>
      </c>
    </row>
    <row r="360" spans="1:24">
      <c r="B360" t="s">
        <v>197</v>
      </c>
      <c r="C360" t="s">
        <v>197</v>
      </c>
      <c r="D360" t="s">
        <v>197</v>
      </c>
      <c r="E360" t="s">
        <v>197</v>
      </c>
      <c r="F360" t="s">
        <v>197</v>
      </c>
      <c r="G360" t="s">
        <v>197</v>
      </c>
      <c r="H360" t="s">
        <v>197</v>
      </c>
      <c r="I360" t="s">
        <v>197</v>
      </c>
      <c r="J360" t="s">
        <v>197</v>
      </c>
      <c r="K360" t="s">
        <v>673</v>
      </c>
    </row>
    <row r="361" spans="1:24">
      <c r="B361" t="s">
        <v>197</v>
      </c>
      <c r="C361" t="s">
        <v>197</v>
      </c>
      <c r="D361" t="s">
        <v>197</v>
      </c>
      <c r="E361" t="s">
        <v>197</v>
      </c>
      <c r="F361" t="s">
        <v>197</v>
      </c>
      <c r="G361" t="s">
        <v>197</v>
      </c>
      <c r="H361" t="s">
        <v>197</v>
      </c>
      <c r="I361" t="s">
        <v>197</v>
      </c>
      <c r="J361" t="s">
        <v>197</v>
      </c>
      <c r="K361" t="s">
        <v>674</v>
      </c>
    </row>
    <row r="362" spans="1:24">
      <c r="A362" t="s">
        <v>710</v>
      </c>
      <c r="K362" t="s">
        <v>711</v>
      </c>
      <c r="W362" t="s">
        <v>171</v>
      </c>
      <c r="X362" t="str">
        <f>A362</f>
        <v>info_char_dml_batch2_pk_irp2</v>
      </c>
    </row>
    <row r="363" spans="1:24">
      <c r="B363" t="s">
        <v>196</v>
      </c>
      <c r="C363" t="s">
        <v>197</v>
      </c>
      <c r="D363" t="s">
        <v>197</v>
      </c>
      <c r="E363" t="s">
        <v>197</v>
      </c>
      <c r="F363" t="s">
        <v>197</v>
      </c>
      <c r="G363" t="s">
        <v>197</v>
      </c>
      <c r="H363" t="s">
        <v>197</v>
      </c>
      <c r="I363" t="s">
        <v>712</v>
      </c>
      <c r="J363" t="s">
        <v>199</v>
      </c>
      <c r="K363" t="s">
        <v>200</v>
      </c>
    </row>
    <row r="364" spans="1:24">
      <c r="B364" t="s">
        <v>197</v>
      </c>
      <c r="C364" t="s">
        <v>197</v>
      </c>
      <c r="D364" t="s">
        <v>197</v>
      </c>
      <c r="E364" t="s">
        <v>197</v>
      </c>
      <c r="F364" t="s">
        <v>197</v>
      </c>
      <c r="G364" t="s">
        <v>197</v>
      </c>
      <c r="H364" t="s">
        <v>197</v>
      </c>
      <c r="I364" t="s">
        <v>197</v>
      </c>
      <c r="J364" t="s">
        <v>197</v>
      </c>
      <c r="K364" t="s">
        <v>622</v>
      </c>
    </row>
    <row r="365" spans="1:24">
      <c r="B365" t="s">
        <v>197</v>
      </c>
      <c r="C365" t="s">
        <v>197</v>
      </c>
      <c r="D365" t="s">
        <v>197</v>
      </c>
      <c r="E365" t="s">
        <v>197</v>
      </c>
      <c r="F365" t="s">
        <v>197</v>
      </c>
      <c r="G365" t="s">
        <v>197</v>
      </c>
      <c r="H365" t="s">
        <v>197</v>
      </c>
      <c r="I365" t="s">
        <v>197</v>
      </c>
      <c r="J365" t="s">
        <v>197</v>
      </c>
      <c r="K365" t="s">
        <v>623</v>
      </c>
    </row>
    <row r="366" spans="1:24">
      <c r="B366" t="s">
        <v>197</v>
      </c>
      <c r="C366" t="s">
        <v>197</v>
      </c>
      <c r="D366" t="s">
        <v>197</v>
      </c>
      <c r="E366" t="s">
        <v>197</v>
      </c>
      <c r="F366" t="s">
        <v>197</v>
      </c>
      <c r="G366" t="s">
        <v>197</v>
      </c>
      <c r="H366" t="s">
        <v>197</v>
      </c>
      <c r="I366" t="s">
        <v>197</v>
      </c>
      <c r="J366" t="s">
        <v>197</v>
      </c>
      <c r="K366" t="s">
        <v>624</v>
      </c>
    </row>
    <row r="367" spans="1:24">
      <c r="K367" t="s">
        <v>443</v>
      </c>
    </row>
    <row r="368" spans="1:24">
      <c r="A368" t="s">
        <v>716</v>
      </c>
      <c r="K368" t="s">
        <v>717</v>
      </c>
      <c r="W368" t="s">
        <v>171</v>
      </c>
      <c r="X368" t="str">
        <f>A368</f>
        <v>info_date_dml_single_pk_urp</v>
      </c>
    </row>
    <row r="369" spans="1:24">
      <c r="B369" t="s">
        <v>196</v>
      </c>
      <c r="C369" t="s">
        <v>197</v>
      </c>
      <c r="D369" t="s">
        <v>197</v>
      </c>
      <c r="E369" t="s">
        <v>197</v>
      </c>
      <c r="F369" t="s">
        <v>197</v>
      </c>
      <c r="G369" t="s">
        <v>197</v>
      </c>
      <c r="H369" t="s">
        <v>197</v>
      </c>
      <c r="I369" t="s">
        <v>718</v>
      </c>
      <c r="J369" t="s">
        <v>199</v>
      </c>
      <c r="K369" t="s">
        <v>200</v>
      </c>
    </row>
    <row r="370" spans="1:24">
      <c r="B370" t="s">
        <v>197</v>
      </c>
      <c r="C370" t="s">
        <v>197</v>
      </c>
      <c r="D370" t="s">
        <v>197</v>
      </c>
      <c r="E370" t="s">
        <v>197</v>
      </c>
      <c r="F370" t="s">
        <v>197</v>
      </c>
      <c r="G370" t="s">
        <v>197</v>
      </c>
      <c r="H370" t="s">
        <v>197</v>
      </c>
      <c r="I370" t="s">
        <v>197</v>
      </c>
      <c r="J370" t="s">
        <v>197</v>
      </c>
      <c r="K370" t="s">
        <v>678</v>
      </c>
    </row>
    <row r="371" spans="1:24">
      <c r="A371" t="s">
        <v>713</v>
      </c>
      <c r="K371" t="s">
        <v>714</v>
      </c>
      <c r="W371" t="s">
        <v>171</v>
      </c>
      <c r="X371" t="str">
        <f>A371</f>
        <v>info_nchar_dml_batch1_pk_irp2</v>
      </c>
    </row>
    <row r="372" spans="1:24">
      <c r="B372" t="s">
        <v>196</v>
      </c>
      <c r="C372" t="s">
        <v>197</v>
      </c>
      <c r="D372" t="s">
        <v>197</v>
      </c>
      <c r="E372" t="s">
        <v>197</v>
      </c>
      <c r="F372" t="s">
        <v>197</v>
      </c>
      <c r="G372" t="s">
        <v>197</v>
      </c>
      <c r="H372" t="s">
        <v>197</v>
      </c>
      <c r="I372" t="s">
        <v>715</v>
      </c>
      <c r="J372" t="s">
        <v>199</v>
      </c>
      <c r="K372" t="s">
        <v>200</v>
      </c>
    </row>
    <row r="373" spans="1:24">
      <c r="B373" t="s">
        <v>197</v>
      </c>
      <c r="C373" t="s">
        <v>197</v>
      </c>
      <c r="D373" t="s">
        <v>197</v>
      </c>
      <c r="E373" t="s">
        <v>197</v>
      </c>
      <c r="F373" t="s">
        <v>197</v>
      </c>
      <c r="G373" t="s">
        <v>197</v>
      </c>
      <c r="H373" t="s">
        <v>197</v>
      </c>
      <c r="I373" t="s">
        <v>197</v>
      </c>
      <c r="J373" t="s">
        <v>197</v>
      </c>
      <c r="K373" t="s">
        <v>514</v>
      </c>
    </row>
    <row r="374" spans="1:24">
      <c r="B374" t="s">
        <v>197</v>
      </c>
      <c r="C374" t="s">
        <v>197</v>
      </c>
      <c r="D374" t="s">
        <v>197</v>
      </c>
      <c r="E374" t="s">
        <v>197</v>
      </c>
      <c r="F374" t="s">
        <v>197</v>
      </c>
      <c r="G374" t="s">
        <v>197</v>
      </c>
      <c r="H374" t="s">
        <v>197</v>
      </c>
      <c r="I374" t="s">
        <v>197</v>
      </c>
      <c r="J374" t="s">
        <v>197</v>
      </c>
      <c r="K374" t="s">
        <v>516</v>
      </c>
    </row>
    <row r="375" spans="1:24">
      <c r="B375" t="s">
        <v>197</v>
      </c>
      <c r="C375" t="s">
        <v>197</v>
      </c>
      <c r="D375" t="s">
        <v>197</v>
      </c>
      <c r="E375" t="s">
        <v>197</v>
      </c>
      <c r="F375" t="s">
        <v>197</v>
      </c>
      <c r="G375" t="s">
        <v>197</v>
      </c>
      <c r="H375" t="s">
        <v>197</v>
      </c>
      <c r="I375" t="s">
        <v>197</v>
      </c>
      <c r="J375" t="s">
        <v>197</v>
      </c>
      <c r="K375" t="s">
        <v>612</v>
      </c>
    </row>
    <row r="376" spans="1:24">
      <c r="A376" t="s">
        <v>722</v>
      </c>
      <c r="K376" t="s">
        <v>723</v>
      </c>
      <c r="W376" t="s">
        <v>171</v>
      </c>
      <c r="X376" t="str">
        <f>A376</f>
        <v>info_varcharmax_dml_batch1_pk_irp1</v>
      </c>
    </row>
    <row r="377" spans="1:24">
      <c r="B377" t="s">
        <v>196</v>
      </c>
      <c r="C377" t="s">
        <v>197</v>
      </c>
      <c r="D377" t="s">
        <v>197</v>
      </c>
      <c r="E377" t="s">
        <v>197</v>
      </c>
      <c r="F377" t="s">
        <v>197</v>
      </c>
      <c r="G377" t="s">
        <v>197</v>
      </c>
      <c r="H377" t="s">
        <v>197</v>
      </c>
      <c r="I377" t="s">
        <v>724</v>
      </c>
      <c r="J377" t="s">
        <v>199</v>
      </c>
      <c r="K377" t="s">
        <v>200</v>
      </c>
    </row>
    <row r="378" spans="1:24">
      <c r="B378" t="s">
        <v>197</v>
      </c>
      <c r="C378" t="s">
        <v>197</v>
      </c>
      <c r="D378" t="s">
        <v>197</v>
      </c>
      <c r="E378" t="s">
        <v>197</v>
      </c>
      <c r="F378" t="s">
        <v>197</v>
      </c>
      <c r="G378" t="s">
        <v>197</v>
      </c>
      <c r="H378" t="s">
        <v>197</v>
      </c>
      <c r="I378" t="s">
        <v>197</v>
      </c>
      <c r="J378" t="s">
        <v>197</v>
      </c>
      <c r="K378" t="s">
        <v>725</v>
      </c>
    </row>
    <row r="379" spans="1:24">
      <c r="B379" t="s">
        <v>197</v>
      </c>
      <c r="C379" t="s">
        <v>197</v>
      </c>
      <c r="D379" t="s">
        <v>197</v>
      </c>
      <c r="E379" t="s">
        <v>197</v>
      </c>
      <c r="F379" t="s">
        <v>197</v>
      </c>
      <c r="G379" t="s">
        <v>197</v>
      </c>
      <c r="H379" t="s">
        <v>197</v>
      </c>
      <c r="I379" t="s">
        <v>197</v>
      </c>
      <c r="J379" t="s">
        <v>197</v>
      </c>
      <c r="K379" t="s">
        <v>726</v>
      </c>
    </row>
    <row r="380" spans="1:24">
      <c r="K380" t="s">
        <v>443</v>
      </c>
    </row>
    <row r="381" spans="1:24">
      <c r="A381" t="s">
        <v>719</v>
      </c>
      <c r="K381" t="s">
        <v>720</v>
      </c>
      <c r="W381" t="s">
        <v>171</v>
      </c>
      <c r="X381" t="str">
        <f>A381</f>
        <v>info_datetime2_dml_batch1_pk_urp2</v>
      </c>
    </row>
    <row r="382" spans="1:24">
      <c r="B382" t="s">
        <v>196</v>
      </c>
      <c r="C382" t="s">
        <v>197</v>
      </c>
      <c r="D382" t="s">
        <v>197</v>
      </c>
      <c r="E382" t="s">
        <v>197</v>
      </c>
      <c r="F382" t="s">
        <v>197</v>
      </c>
      <c r="G382" t="s">
        <v>197</v>
      </c>
      <c r="H382" t="s">
        <v>197</v>
      </c>
      <c r="I382" t="s">
        <v>721</v>
      </c>
      <c r="J382" t="s">
        <v>199</v>
      </c>
      <c r="K382" t="s">
        <v>200</v>
      </c>
    </row>
    <row r="383" spans="1:24">
      <c r="B383" t="s">
        <v>197</v>
      </c>
      <c r="C383" t="s">
        <v>197</v>
      </c>
      <c r="D383" t="s">
        <v>197</v>
      </c>
      <c r="E383" t="s">
        <v>197</v>
      </c>
      <c r="F383" t="s">
        <v>197</v>
      </c>
      <c r="G383" t="s">
        <v>197</v>
      </c>
      <c r="H383" t="s">
        <v>197</v>
      </c>
      <c r="I383" t="s">
        <v>197</v>
      </c>
      <c r="J383" t="s">
        <v>197</v>
      </c>
      <c r="K383" t="s">
        <v>667</v>
      </c>
    </row>
    <row r="384" spans="1:24">
      <c r="B384" t="s">
        <v>197</v>
      </c>
      <c r="C384" t="s">
        <v>197</v>
      </c>
      <c r="D384" t="s">
        <v>197</v>
      </c>
      <c r="E384" t="s">
        <v>197</v>
      </c>
      <c r="F384" t="s">
        <v>197</v>
      </c>
      <c r="G384" t="s">
        <v>197</v>
      </c>
      <c r="H384" t="s">
        <v>197</v>
      </c>
      <c r="I384" t="s">
        <v>197</v>
      </c>
      <c r="J384" t="s">
        <v>197</v>
      </c>
      <c r="K384" t="s">
        <v>668</v>
      </c>
    </row>
    <row r="385" spans="1:24">
      <c r="B385" t="s">
        <v>197</v>
      </c>
      <c r="C385" t="s">
        <v>197</v>
      </c>
      <c r="D385" t="s">
        <v>197</v>
      </c>
      <c r="E385" t="s">
        <v>197</v>
      </c>
      <c r="F385" t="s">
        <v>197</v>
      </c>
      <c r="G385" t="s">
        <v>197</v>
      </c>
      <c r="H385" t="s">
        <v>197</v>
      </c>
      <c r="I385" t="s">
        <v>197</v>
      </c>
      <c r="J385" t="s">
        <v>197</v>
      </c>
      <c r="K385" t="s">
        <v>669</v>
      </c>
    </row>
    <row r="386" spans="1:24">
      <c r="B386" t="s">
        <v>197</v>
      </c>
      <c r="C386" t="s">
        <v>197</v>
      </c>
      <c r="D386" t="s">
        <v>197</v>
      </c>
      <c r="E386" t="s">
        <v>197</v>
      </c>
      <c r="F386" t="s">
        <v>197</v>
      </c>
      <c r="G386" t="s">
        <v>197</v>
      </c>
      <c r="H386" t="s">
        <v>197</v>
      </c>
      <c r="I386" t="s">
        <v>197</v>
      </c>
      <c r="J386" t="s">
        <v>197</v>
      </c>
      <c r="K386" t="s">
        <v>670</v>
      </c>
    </row>
    <row r="387" spans="1:24">
      <c r="B387" t="s">
        <v>197</v>
      </c>
      <c r="C387" t="s">
        <v>197</v>
      </c>
      <c r="D387" t="s">
        <v>197</v>
      </c>
      <c r="E387" t="s">
        <v>197</v>
      </c>
      <c r="F387" t="s">
        <v>197</v>
      </c>
      <c r="G387" t="s">
        <v>197</v>
      </c>
      <c r="H387" t="s">
        <v>197</v>
      </c>
      <c r="I387" t="s">
        <v>197</v>
      </c>
      <c r="J387" t="s">
        <v>197</v>
      </c>
      <c r="K387" t="s">
        <v>671</v>
      </c>
    </row>
    <row r="388" spans="1:24">
      <c r="B388" t="s">
        <v>197</v>
      </c>
      <c r="C388" t="s">
        <v>197</v>
      </c>
      <c r="D388" t="s">
        <v>197</v>
      </c>
      <c r="E388" t="s">
        <v>197</v>
      </c>
      <c r="F388" t="s">
        <v>197</v>
      </c>
      <c r="G388" t="s">
        <v>197</v>
      </c>
      <c r="H388" t="s">
        <v>197</v>
      </c>
      <c r="I388" t="s">
        <v>197</v>
      </c>
      <c r="J388" t="s">
        <v>197</v>
      </c>
      <c r="K388" t="s">
        <v>672</v>
      </c>
    </row>
    <row r="389" spans="1:24">
      <c r="B389" t="s">
        <v>197</v>
      </c>
      <c r="C389" t="s">
        <v>197</v>
      </c>
      <c r="D389" t="s">
        <v>197</v>
      </c>
      <c r="E389" t="s">
        <v>197</v>
      </c>
      <c r="F389" t="s">
        <v>197</v>
      </c>
      <c r="G389" t="s">
        <v>197</v>
      </c>
      <c r="H389" t="s">
        <v>197</v>
      </c>
      <c r="I389" t="s">
        <v>197</v>
      </c>
      <c r="J389" t="s">
        <v>197</v>
      </c>
      <c r="K389" t="s">
        <v>673</v>
      </c>
    </row>
    <row r="390" spans="1:24">
      <c r="B390" t="s">
        <v>197</v>
      </c>
      <c r="C390" t="s">
        <v>197</v>
      </c>
      <c r="D390" t="s">
        <v>197</v>
      </c>
      <c r="E390" t="s">
        <v>197</v>
      </c>
      <c r="F390" t="s">
        <v>197</v>
      </c>
      <c r="G390" t="s">
        <v>197</v>
      </c>
      <c r="H390" t="s">
        <v>197</v>
      </c>
      <c r="I390" t="s">
        <v>197</v>
      </c>
      <c r="J390" t="s">
        <v>197</v>
      </c>
      <c r="K390" t="s">
        <v>674</v>
      </c>
    </row>
    <row r="391" spans="1:24">
      <c r="A391" t="s">
        <v>731</v>
      </c>
      <c r="K391" t="s">
        <v>732</v>
      </c>
      <c r="W391" t="s">
        <v>171</v>
      </c>
      <c r="X391" t="str">
        <f>A391</f>
        <v>info_datetime2_dml_batch1_pk_drp1</v>
      </c>
    </row>
    <row r="392" spans="1:24">
      <c r="B392" t="s">
        <v>196</v>
      </c>
      <c r="C392" t="s">
        <v>197</v>
      </c>
      <c r="D392" t="s">
        <v>197</v>
      </c>
      <c r="E392" t="s">
        <v>197</v>
      </c>
      <c r="F392" t="s">
        <v>197</v>
      </c>
      <c r="G392" t="s">
        <v>197</v>
      </c>
      <c r="H392" t="s">
        <v>197</v>
      </c>
      <c r="I392" t="s">
        <v>733</v>
      </c>
      <c r="J392" t="s">
        <v>199</v>
      </c>
      <c r="K392" t="s">
        <v>200</v>
      </c>
    </row>
    <row r="393" spans="1:24">
      <c r="B393" t="s">
        <v>197</v>
      </c>
      <c r="C393" t="s">
        <v>197</v>
      </c>
      <c r="D393" t="s">
        <v>197</v>
      </c>
      <c r="E393" t="s">
        <v>197</v>
      </c>
      <c r="F393" t="s">
        <v>197</v>
      </c>
      <c r="G393" t="s">
        <v>197</v>
      </c>
      <c r="H393" t="s">
        <v>197</v>
      </c>
      <c r="I393" t="s">
        <v>197</v>
      </c>
      <c r="J393" t="s">
        <v>197</v>
      </c>
      <c r="K393" t="s">
        <v>667</v>
      </c>
    </row>
    <row r="394" spans="1:24">
      <c r="B394" t="s">
        <v>197</v>
      </c>
      <c r="C394" t="s">
        <v>197</v>
      </c>
      <c r="D394" t="s">
        <v>197</v>
      </c>
      <c r="E394" t="s">
        <v>197</v>
      </c>
      <c r="F394" t="s">
        <v>197</v>
      </c>
      <c r="G394" t="s">
        <v>197</v>
      </c>
      <c r="H394" t="s">
        <v>197</v>
      </c>
      <c r="I394" t="s">
        <v>197</v>
      </c>
      <c r="J394" t="s">
        <v>197</v>
      </c>
      <c r="K394" t="s">
        <v>668</v>
      </c>
    </row>
    <row r="395" spans="1:24">
      <c r="B395" t="s">
        <v>197</v>
      </c>
      <c r="C395" t="s">
        <v>197</v>
      </c>
      <c r="D395" t="s">
        <v>197</v>
      </c>
      <c r="E395" t="s">
        <v>197</v>
      </c>
      <c r="F395" t="s">
        <v>197</v>
      </c>
      <c r="G395" t="s">
        <v>197</v>
      </c>
      <c r="H395" t="s">
        <v>197</v>
      </c>
      <c r="I395" t="s">
        <v>197</v>
      </c>
      <c r="J395" t="s">
        <v>197</v>
      </c>
      <c r="K395" t="s">
        <v>669</v>
      </c>
    </row>
    <row r="396" spans="1:24">
      <c r="B396" t="s">
        <v>197</v>
      </c>
      <c r="C396" t="s">
        <v>197</v>
      </c>
      <c r="D396" t="s">
        <v>197</v>
      </c>
      <c r="E396" t="s">
        <v>197</v>
      </c>
      <c r="F396" t="s">
        <v>197</v>
      </c>
      <c r="G396" t="s">
        <v>197</v>
      </c>
      <c r="H396" t="s">
        <v>197</v>
      </c>
      <c r="I396" t="s">
        <v>197</v>
      </c>
      <c r="J396" t="s">
        <v>197</v>
      </c>
      <c r="K396" t="s">
        <v>670</v>
      </c>
    </row>
    <row r="397" spans="1:24">
      <c r="B397" t="s">
        <v>197</v>
      </c>
      <c r="C397" t="s">
        <v>197</v>
      </c>
      <c r="D397" t="s">
        <v>197</v>
      </c>
      <c r="E397" t="s">
        <v>197</v>
      </c>
      <c r="F397" t="s">
        <v>197</v>
      </c>
      <c r="G397" t="s">
        <v>197</v>
      </c>
      <c r="H397" t="s">
        <v>197</v>
      </c>
      <c r="I397" t="s">
        <v>197</v>
      </c>
      <c r="J397" t="s">
        <v>197</v>
      </c>
      <c r="K397" t="s">
        <v>671</v>
      </c>
    </row>
    <row r="398" spans="1:24">
      <c r="B398" t="s">
        <v>197</v>
      </c>
      <c r="C398" t="s">
        <v>197</v>
      </c>
      <c r="D398" t="s">
        <v>197</v>
      </c>
      <c r="E398" t="s">
        <v>197</v>
      </c>
      <c r="F398" t="s">
        <v>197</v>
      </c>
      <c r="G398" t="s">
        <v>197</v>
      </c>
      <c r="H398" t="s">
        <v>197</v>
      </c>
      <c r="I398" t="s">
        <v>197</v>
      </c>
      <c r="J398" t="s">
        <v>197</v>
      </c>
      <c r="K398" t="s">
        <v>672</v>
      </c>
    </row>
    <row r="399" spans="1:24">
      <c r="B399" t="s">
        <v>197</v>
      </c>
      <c r="C399" t="s">
        <v>197</v>
      </c>
      <c r="D399" t="s">
        <v>197</v>
      </c>
      <c r="E399" t="s">
        <v>197</v>
      </c>
      <c r="F399" t="s">
        <v>197</v>
      </c>
      <c r="G399" t="s">
        <v>197</v>
      </c>
      <c r="H399" t="s">
        <v>197</v>
      </c>
      <c r="I399" t="s">
        <v>197</v>
      </c>
      <c r="J399" t="s">
        <v>197</v>
      </c>
      <c r="K399" t="s">
        <v>673</v>
      </c>
    </row>
    <row r="400" spans="1:24">
      <c r="B400" t="s">
        <v>197</v>
      </c>
      <c r="C400" t="s">
        <v>197</v>
      </c>
      <c r="D400" t="s">
        <v>197</v>
      </c>
      <c r="E400" t="s">
        <v>197</v>
      </c>
      <c r="F400" t="s">
        <v>197</v>
      </c>
      <c r="G400" t="s">
        <v>197</v>
      </c>
      <c r="H400" t="s">
        <v>197</v>
      </c>
      <c r="I400" t="s">
        <v>197</v>
      </c>
      <c r="J400" t="s">
        <v>197</v>
      </c>
      <c r="K400" t="s">
        <v>674</v>
      </c>
    </row>
    <row r="401" spans="1:24">
      <c r="K401" t="s">
        <v>443</v>
      </c>
    </row>
    <row r="402" spans="1:24">
      <c r="A402" t="s">
        <v>734</v>
      </c>
      <c r="K402" t="s">
        <v>735</v>
      </c>
      <c r="W402" t="s">
        <v>171</v>
      </c>
      <c r="X402" t="str">
        <f>A402</f>
        <v>info_varcharmax_dml_batch1_pk_irp2</v>
      </c>
    </row>
    <row r="403" spans="1:24">
      <c r="B403" t="s">
        <v>196</v>
      </c>
      <c r="C403" t="s">
        <v>197</v>
      </c>
      <c r="D403" t="s">
        <v>197</v>
      </c>
      <c r="E403" t="s">
        <v>197</v>
      </c>
      <c r="F403" t="s">
        <v>197</v>
      </c>
      <c r="G403" t="s">
        <v>197</v>
      </c>
      <c r="H403" t="s">
        <v>197</v>
      </c>
      <c r="I403" t="s">
        <v>736</v>
      </c>
      <c r="J403" t="s">
        <v>199</v>
      </c>
      <c r="K403" t="s">
        <v>200</v>
      </c>
    </row>
    <row r="404" spans="1:24">
      <c r="B404" t="s">
        <v>197</v>
      </c>
      <c r="C404" t="s">
        <v>197</v>
      </c>
      <c r="D404" t="s">
        <v>197</v>
      </c>
      <c r="E404" t="s">
        <v>197</v>
      </c>
      <c r="F404" t="s">
        <v>197</v>
      </c>
      <c r="G404" t="s">
        <v>197</v>
      </c>
      <c r="H404" t="s">
        <v>197</v>
      </c>
      <c r="I404" t="s">
        <v>197</v>
      </c>
      <c r="J404" t="s">
        <v>197</v>
      </c>
      <c r="K404" t="s">
        <v>725</v>
      </c>
    </row>
    <row r="405" spans="1:24">
      <c r="B405" t="s">
        <v>197</v>
      </c>
      <c r="C405" t="s">
        <v>197</v>
      </c>
      <c r="D405" t="s">
        <v>197</v>
      </c>
      <c r="E405" t="s">
        <v>197</v>
      </c>
      <c r="F405" t="s">
        <v>197</v>
      </c>
      <c r="G405" t="s">
        <v>197</v>
      </c>
      <c r="H405" t="s">
        <v>197</v>
      </c>
      <c r="I405" t="s">
        <v>197</v>
      </c>
      <c r="J405" t="s">
        <v>197</v>
      </c>
      <c r="K405" t="s">
        <v>726</v>
      </c>
    </row>
    <row r="406" spans="1:24">
      <c r="K406" t="s">
        <v>443</v>
      </c>
    </row>
    <row r="407" spans="1:24">
      <c r="A407" t="s">
        <v>727</v>
      </c>
      <c r="K407" t="s">
        <v>728</v>
      </c>
      <c r="W407" t="s">
        <v>171</v>
      </c>
      <c r="X407" t="str">
        <f>A407</f>
        <v>info_nvarchar_dml_single_pk_irp</v>
      </c>
    </row>
    <row r="408" spans="1:24">
      <c r="B408" t="s">
        <v>196</v>
      </c>
      <c r="C408" t="s">
        <v>197</v>
      </c>
      <c r="D408" t="s">
        <v>197</v>
      </c>
      <c r="E408" t="s">
        <v>197</v>
      </c>
      <c r="F408" t="s">
        <v>197</v>
      </c>
      <c r="G408" t="s">
        <v>197</v>
      </c>
      <c r="H408" t="s">
        <v>197</v>
      </c>
      <c r="I408" t="s">
        <v>729</v>
      </c>
      <c r="J408" t="s">
        <v>199</v>
      </c>
      <c r="K408" t="s">
        <v>200</v>
      </c>
    </row>
    <row r="409" spans="1:24">
      <c r="B409" t="s">
        <v>197</v>
      </c>
      <c r="C409" t="s">
        <v>197</v>
      </c>
      <c r="D409" t="s">
        <v>197</v>
      </c>
      <c r="E409" t="s">
        <v>197</v>
      </c>
      <c r="F409" t="s">
        <v>197</v>
      </c>
      <c r="G409" t="s">
        <v>197</v>
      </c>
      <c r="H409" t="s">
        <v>197</v>
      </c>
      <c r="I409" t="s">
        <v>197</v>
      </c>
      <c r="J409" t="s">
        <v>197</v>
      </c>
      <c r="K409" t="s">
        <v>408</v>
      </c>
    </row>
    <row r="410" spans="1:24">
      <c r="B410" t="s">
        <v>197</v>
      </c>
      <c r="C410" t="s">
        <v>197</v>
      </c>
      <c r="D410" t="s">
        <v>197</v>
      </c>
      <c r="E410" t="s">
        <v>197</v>
      </c>
      <c r="F410" t="s">
        <v>197</v>
      </c>
      <c r="G410" t="s">
        <v>197</v>
      </c>
      <c r="H410" t="s">
        <v>197</v>
      </c>
      <c r="I410" t="s">
        <v>197</v>
      </c>
      <c r="J410" t="s">
        <v>197</v>
      </c>
      <c r="K410" t="s">
        <v>412</v>
      </c>
    </row>
    <row r="411" spans="1:24">
      <c r="B411" t="s">
        <v>197</v>
      </c>
      <c r="C411" t="s">
        <v>197</v>
      </c>
      <c r="D411" t="s">
        <v>197</v>
      </c>
      <c r="E411" t="s">
        <v>197</v>
      </c>
      <c r="F411" t="s">
        <v>197</v>
      </c>
      <c r="G411" t="s">
        <v>197</v>
      </c>
      <c r="H411" t="s">
        <v>197</v>
      </c>
      <c r="I411" t="s">
        <v>197</v>
      </c>
      <c r="J411" t="s">
        <v>197</v>
      </c>
      <c r="K411" t="s">
        <v>730</v>
      </c>
    </row>
    <row r="412" spans="1:24">
      <c r="A412" t="s">
        <v>737</v>
      </c>
      <c r="K412" t="s">
        <v>738</v>
      </c>
      <c r="W412" s="1" t="str">
        <f>HYPERLINK("#2026042011hbase0!AI2","NO 源备存在差异，共64个")</f>
        <v>NO 源备存在差异，共64个</v>
      </c>
      <c r="X412" t="str">
        <f>A412</f>
        <v>info_binary_dml_batch1_pk_irp2</v>
      </c>
    </row>
    <row r="413" spans="1:24">
      <c r="B413" t="s">
        <v>196</v>
      </c>
      <c r="C413" t="s">
        <v>197</v>
      </c>
      <c r="D413" t="s">
        <v>197</v>
      </c>
      <c r="E413" t="s">
        <v>197</v>
      </c>
      <c r="F413" t="s">
        <v>197</v>
      </c>
      <c r="G413" t="s">
        <v>197</v>
      </c>
      <c r="H413" t="s">
        <v>197</v>
      </c>
      <c r="I413" t="s">
        <v>739</v>
      </c>
      <c r="J413" t="s">
        <v>199</v>
      </c>
      <c r="K413" t="s">
        <v>200</v>
      </c>
    </row>
    <row r="414" spans="1:24">
      <c r="B414" t="s">
        <v>197</v>
      </c>
      <c r="C414" t="s">
        <v>197</v>
      </c>
      <c r="D414" t="s">
        <v>197</v>
      </c>
      <c r="E414" t="s">
        <v>197</v>
      </c>
      <c r="F414" t="s">
        <v>197</v>
      </c>
      <c r="G414" t="s">
        <v>197</v>
      </c>
      <c r="H414" t="s">
        <v>197</v>
      </c>
      <c r="I414" t="s">
        <v>197</v>
      </c>
      <c r="J414" t="s">
        <v>197</v>
      </c>
      <c r="K414" t="s">
        <v>691</v>
      </c>
    </row>
    <row r="415" spans="1:24">
      <c r="B415" t="s">
        <v>197</v>
      </c>
      <c r="C415" t="s">
        <v>197</v>
      </c>
      <c r="D415" t="s">
        <v>197</v>
      </c>
      <c r="E415" t="s">
        <v>197</v>
      </c>
      <c r="F415" t="s">
        <v>197</v>
      </c>
      <c r="G415" t="s">
        <v>197</v>
      </c>
      <c r="H415" t="s">
        <v>197</v>
      </c>
      <c r="I415" t="s">
        <v>197</v>
      </c>
      <c r="J415" t="s">
        <v>197</v>
      </c>
      <c r="K415" t="s">
        <v>692</v>
      </c>
    </row>
    <row r="416" spans="1:24">
      <c r="B416" t="s">
        <v>197</v>
      </c>
      <c r="C416" t="s">
        <v>197</v>
      </c>
      <c r="D416" t="s">
        <v>197</v>
      </c>
      <c r="E416" t="s">
        <v>197</v>
      </c>
      <c r="F416" t="s">
        <v>197</v>
      </c>
      <c r="G416" t="s">
        <v>197</v>
      </c>
      <c r="H416" t="s">
        <v>197</v>
      </c>
      <c r="I416" t="s">
        <v>197</v>
      </c>
      <c r="J416" t="s">
        <v>197</v>
      </c>
      <c r="K416" t="s">
        <v>693</v>
      </c>
    </row>
    <row r="417" spans="1:24">
      <c r="A417" t="s">
        <v>740</v>
      </c>
      <c r="K417" t="s">
        <v>741</v>
      </c>
      <c r="W417" t="s">
        <v>171</v>
      </c>
      <c r="X417" t="str">
        <f>A417</f>
        <v>info_datetime2_dml_batch1_pk_drp2</v>
      </c>
    </row>
    <row r="418" spans="1:24">
      <c r="B418" t="s">
        <v>196</v>
      </c>
      <c r="C418" t="s">
        <v>197</v>
      </c>
      <c r="D418" t="s">
        <v>197</v>
      </c>
      <c r="E418" t="s">
        <v>197</v>
      </c>
      <c r="F418" t="s">
        <v>197</v>
      </c>
      <c r="G418" t="s">
        <v>197</v>
      </c>
      <c r="H418" t="s">
        <v>197</v>
      </c>
      <c r="I418" t="s">
        <v>742</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749</v>
      </c>
      <c r="K435" t="s">
        <v>750</v>
      </c>
      <c r="W435" t="s">
        <v>171</v>
      </c>
      <c r="X435" t="str">
        <f>A435</f>
        <v>info_datetime2_dml_batch1_pk</v>
      </c>
    </row>
    <row r="436" spans="1:24">
      <c r="B436" t="s">
        <v>196</v>
      </c>
      <c r="C436" t="s">
        <v>197</v>
      </c>
      <c r="D436" t="s">
        <v>197</v>
      </c>
      <c r="E436" t="s">
        <v>197</v>
      </c>
      <c r="F436" t="s">
        <v>197</v>
      </c>
      <c r="G436" t="s">
        <v>197</v>
      </c>
      <c r="H436" t="s">
        <v>197</v>
      </c>
      <c r="I436" t="s">
        <v>751</v>
      </c>
      <c r="J436" t="s">
        <v>199</v>
      </c>
      <c r="K436" t="s">
        <v>200</v>
      </c>
    </row>
    <row r="437" spans="1:24">
      <c r="B437" t="s">
        <v>197</v>
      </c>
      <c r="C437" t="s">
        <v>197</v>
      </c>
      <c r="D437" t="s">
        <v>197</v>
      </c>
      <c r="E437" t="s">
        <v>197</v>
      </c>
      <c r="F437" t="s">
        <v>197</v>
      </c>
      <c r="G437" t="s">
        <v>197</v>
      </c>
      <c r="H437" t="s">
        <v>197</v>
      </c>
      <c r="I437" t="s">
        <v>197</v>
      </c>
      <c r="J437" t="s">
        <v>197</v>
      </c>
      <c r="K437" t="s">
        <v>667</v>
      </c>
    </row>
    <row r="438" spans="1:24">
      <c r="B438" t="s">
        <v>197</v>
      </c>
      <c r="C438" t="s">
        <v>197</v>
      </c>
      <c r="D438" t="s">
        <v>197</v>
      </c>
      <c r="E438" t="s">
        <v>197</v>
      </c>
      <c r="F438" t="s">
        <v>197</v>
      </c>
      <c r="G438" t="s">
        <v>197</v>
      </c>
      <c r="H438" t="s">
        <v>197</v>
      </c>
      <c r="I438" t="s">
        <v>197</v>
      </c>
      <c r="J438" t="s">
        <v>197</v>
      </c>
      <c r="K438" t="s">
        <v>668</v>
      </c>
    </row>
    <row r="439" spans="1:24">
      <c r="B439" t="s">
        <v>197</v>
      </c>
      <c r="C439" t="s">
        <v>197</v>
      </c>
      <c r="D439" t="s">
        <v>197</v>
      </c>
      <c r="E439" t="s">
        <v>197</v>
      </c>
      <c r="F439" t="s">
        <v>197</v>
      </c>
      <c r="G439" t="s">
        <v>197</v>
      </c>
      <c r="H439" t="s">
        <v>197</v>
      </c>
      <c r="I439" t="s">
        <v>197</v>
      </c>
      <c r="J439" t="s">
        <v>197</v>
      </c>
      <c r="K439" t="s">
        <v>669</v>
      </c>
    </row>
    <row r="440" spans="1:24">
      <c r="B440" t="s">
        <v>197</v>
      </c>
      <c r="C440" t="s">
        <v>197</v>
      </c>
      <c r="D440" t="s">
        <v>197</v>
      </c>
      <c r="E440" t="s">
        <v>197</v>
      </c>
      <c r="F440" t="s">
        <v>197</v>
      </c>
      <c r="G440" t="s">
        <v>197</v>
      </c>
      <c r="H440" t="s">
        <v>197</v>
      </c>
      <c r="I440" t="s">
        <v>197</v>
      </c>
      <c r="J440" t="s">
        <v>197</v>
      </c>
      <c r="K440" t="s">
        <v>670</v>
      </c>
    </row>
    <row r="441" spans="1:24">
      <c r="B441" t="s">
        <v>197</v>
      </c>
      <c r="C441" t="s">
        <v>197</v>
      </c>
      <c r="D441" t="s">
        <v>197</v>
      </c>
      <c r="E441" t="s">
        <v>197</v>
      </c>
      <c r="F441" t="s">
        <v>197</v>
      </c>
      <c r="G441" t="s">
        <v>197</v>
      </c>
      <c r="H441" t="s">
        <v>197</v>
      </c>
      <c r="I441" t="s">
        <v>197</v>
      </c>
      <c r="J441" t="s">
        <v>197</v>
      </c>
      <c r="K441" t="s">
        <v>671</v>
      </c>
    </row>
    <row r="442" spans="1:24">
      <c r="B442" t="s">
        <v>197</v>
      </c>
      <c r="C442" t="s">
        <v>197</v>
      </c>
      <c r="D442" t="s">
        <v>197</v>
      </c>
      <c r="E442" t="s">
        <v>197</v>
      </c>
      <c r="F442" t="s">
        <v>197</v>
      </c>
      <c r="G442" t="s">
        <v>197</v>
      </c>
      <c r="H442" t="s">
        <v>197</v>
      </c>
      <c r="I442" t="s">
        <v>197</v>
      </c>
      <c r="J442" t="s">
        <v>197</v>
      </c>
      <c r="K442" t="s">
        <v>672</v>
      </c>
    </row>
    <row r="443" spans="1:24">
      <c r="B443" t="s">
        <v>197</v>
      </c>
      <c r="C443" t="s">
        <v>197</v>
      </c>
      <c r="D443" t="s">
        <v>197</v>
      </c>
      <c r="E443" t="s">
        <v>197</v>
      </c>
      <c r="F443" t="s">
        <v>197</v>
      </c>
      <c r="G443" t="s">
        <v>197</v>
      </c>
      <c r="H443" t="s">
        <v>197</v>
      </c>
      <c r="I443" t="s">
        <v>197</v>
      </c>
      <c r="J443" t="s">
        <v>197</v>
      </c>
      <c r="K443" t="s">
        <v>673</v>
      </c>
    </row>
    <row r="444" spans="1:24">
      <c r="B444" t="s">
        <v>197</v>
      </c>
      <c r="C444" t="s">
        <v>197</v>
      </c>
      <c r="D444" t="s">
        <v>197</v>
      </c>
      <c r="E444" t="s">
        <v>197</v>
      </c>
      <c r="F444" t="s">
        <v>197</v>
      </c>
      <c r="G444" t="s">
        <v>197</v>
      </c>
      <c r="H444" t="s">
        <v>197</v>
      </c>
      <c r="I444" t="s">
        <v>197</v>
      </c>
      <c r="J444" t="s">
        <v>197</v>
      </c>
      <c r="K444" t="s">
        <v>674</v>
      </c>
    </row>
    <row r="445" spans="1:24">
      <c r="A445" t="s">
        <v>752</v>
      </c>
      <c r="K445" t="s">
        <v>753</v>
      </c>
      <c r="W445" t="s">
        <v>171</v>
      </c>
      <c r="X445" t="str">
        <f>A445</f>
        <v>info_nchar_dml_batch2_pk_irp1</v>
      </c>
    </row>
    <row r="446" spans="1:24">
      <c r="B446" t="s">
        <v>196</v>
      </c>
      <c r="C446" t="s">
        <v>197</v>
      </c>
      <c r="D446" t="s">
        <v>197</v>
      </c>
      <c r="E446" t="s">
        <v>197</v>
      </c>
      <c r="F446" t="s">
        <v>197</v>
      </c>
      <c r="G446" t="s">
        <v>197</v>
      </c>
      <c r="H446" t="s">
        <v>197</v>
      </c>
      <c r="I446" t="s">
        <v>754</v>
      </c>
      <c r="J446" t="s">
        <v>199</v>
      </c>
      <c r="K446" t="s">
        <v>200</v>
      </c>
    </row>
    <row r="447" spans="1:24">
      <c r="B447" t="s">
        <v>197</v>
      </c>
      <c r="C447" t="s">
        <v>197</v>
      </c>
      <c r="D447" t="s">
        <v>197</v>
      </c>
      <c r="E447" t="s">
        <v>197</v>
      </c>
      <c r="F447" t="s">
        <v>197</v>
      </c>
      <c r="G447" t="s">
        <v>197</v>
      </c>
      <c r="H447" t="s">
        <v>197</v>
      </c>
      <c r="I447" t="s">
        <v>197</v>
      </c>
      <c r="J447" t="s">
        <v>197</v>
      </c>
      <c r="K447" t="s">
        <v>514</v>
      </c>
    </row>
    <row r="448" spans="1:24">
      <c r="B448" t="s">
        <v>197</v>
      </c>
      <c r="C448" t="s">
        <v>197</v>
      </c>
      <c r="D448" t="s">
        <v>197</v>
      </c>
      <c r="E448" t="s">
        <v>197</v>
      </c>
      <c r="F448" t="s">
        <v>197</v>
      </c>
      <c r="G448" t="s">
        <v>197</v>
      </c>
      <c r="H448" t="s">
        <v>197</v>
      </c>
      <c r="I448" t="s">
        <v>197</v>
      </c>
      <c r="J448" t="s">
        <v>197</v>
      </c>
      <c r="K448" t="s">
        <v>516</v>
      </c>
    </row>
    <row r="449" spans="1:24">
      <c r="B449" t="s">
        <v>197</v>
      </c>
      <c r="C449" t="s">
        <v>197</v>
      </c>
      <c r="D449" t="s">
        <v>197</v>
      </c>
      <c r="E449" t="s">
        <v>197</v>
      </c>
      <c r="F449" t="s">
        <v>197</v>
      </c>
      <c r="G449" t="s">
        <v>197</v>
      </c>
      <c r="H449" t="s">
        <v>197</v>
      </c>
      <c r="I449" t="s">
        <v>197</v>
      </c>
      <c r="J449" t="s">
        <v>197</v>
      </c>
      <c r="K449" t="s">
        <v>612</v>
      </c>
    </row>
    <row r="450" spans="1:24">
      <c r="A450" t="s">
        <v>755</v>
      </c>
      <c r="K450" t="s">
        <v>756</v>
      </c>
      <c r="W450" s="1" t="str">
        <f>HYPERLINK("#2026042011hbase0!AJ2","NO 源备存在差异，共16个")</f>
        <v>NO 源备存在差异，共16个</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t="s">
        <v>171</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764</v>
      </c>
      <c r="K461" t="s">
        <v>765</v>
      </c>
      <c r="W461" t="s">
        <v>171</v>
      </c>
      <c r="X461" t="str">
        <f>A461</f>
        <v>info_datetimeoffset_dml_batch1_pk_irp1</v>
      </c>
    </row>
    <row r="462" spans="1:24">
      <c r="B462" t="s">
        <v>196</v>
      </c>
      <c r="C462" t="s">
        <v>197</v>
      </c>
      <c r="D462" t="s">
        <v>197</v>
      </c>
      <c r="E462" t="s">
        <v>197</v>
      </c>
      <c r="F462" t="s">
        <v>197</v>
      </c>
      <c r="G462" t="s">
        <v>197</v>
      </c>
      <c r="H462" t="s">
        <v>197</v>
      </c>
      <c r="I462" t="s">
        <v>766</v>
      </c>
      <c r="J462" t="s">
        <v>199</v>
      </c>
      <c r="K462" t="s">
        <v>200</v>
      </c>
    </row>
    <row r="463" spans="1:24">
      <c r="B463" t="s">
        <v>197</v>
      </c>
      <c r="C463" t="s">
        <v>197</v>
      </c>
      <c r="D463" t="s">
        <v>197</v>
      </c>
      <c r="E463" t="s">
        <v>197</v>
      </c>
      <c r="F463" t="s">
        <v>197</v>
      </c>
      <c r="G463" t="s">
        <v>197</v>
      </c>
      <c r="H463" t="s">
        <v>197</v>
      </c>
      <c r="I463" t="s">
        <v>197</v>
      </c>
      <c r="J463" t="s">
        <v>197</v>
      </c>
      <c r="K463" t="s">
        <v>301</v>
      </c>
    </row>
    <row r="464" spans="1:24">
      <c r="B464" t="s">
        <v>197</v>
      </c>
      <c r="C464" t="s">
        <v>197</v>
      </c>
      <c r="D464" t="s">
        <v>197</v>
      </c>
      <c r="E464" t="s">
        <v>197</v>
      </c>
      <c r="F464" t="s">
        <v>197</v>
      </c>
      <c r="G464" t="s">
        <v>197</v>
      </c>
      <c r="H464" t="s">
        <v>197</v>
      </c>
      <c r="I464" t="s">
        <v>197</v>
      </c>
      <c r="J464" t="s">
        <v>197</v>
      </c>
      <c r="K464" t="s">
        <v>314</v>
      </c>
    </row>
    <row r="465" spans="1:24">
      <c r="B465" t="s">
        <v>197</v>
      </c>
      <c r="C465" t="s">
        <v>197</v>
      </c>
      <c r="D465" t="s">
        <v>197</v>
      </c>
      <c r="E465" t="s">
        <v>197</v>
      </c>
      <c r="F465" t="s">
        <v>197</v>
      </c>
      <c r="G465" t="s">
        <v>197</v>
      </c>
      <c r="H465" t="s">
        <v>197</v>
      </c>
      <c r="I465" t="s">
        <v>197</v>
      </c>
      <c r="J465" t="s">
        <v>197</v>
      </c>
      <c r="K465" t="s">
        <v>324</v>
      </c>
    </row>
    <row r="466" spans="1:24">
      <c r="B466" t="s">
        <v>197</v>
      </c>
      <c r="C466" t="s">
        <v>197</v>
      </c>
      <c r="D466" t="s">
        <v>197</v>
      </c>
      <c r="E466" t="s">
        <v>197</v>
      </c>
      <c r="F466" t="s">
        <v>197</v>
      </c>
      <c r="G466" t="s">
        <v>197</v>
      </c>
      <c r="H466" t="s">
        <v>197</v>
      </c>
      <c r="I466" t="s">
        <v>197</v>
      </c>
      <c r="J466" t="s">
        <v>197</v>
      </c>
      <c r="K466" t="s">
        <v>335</v>
      </c>
    </row>
    <row r="467" spans="1:24">
      <c r="B467" t="s">
        <v>197</v>
      </c>
      <c r="C467" t="s">
        <v>197</v>
      </c>
      <c r="D467" t="s">
        <v>197</v>
      </c>
      <c r="E467" t="s">
        <v>197</v>
      </c>
      <c r="F467" t="s">
        <v>197</v>
      </c>
      <c r="G467" t="s">
        <v>197</v>
      </c>
      <c r="H467" t="s">
        <v>197</v>
      </c>
      <c r="I467" t="s">
        <v>197</v>
      </c>
      <c r="J467" t="s">
        <v>197</v>
      </c>
      <c r="K467" t="s">
        <v>350</v>
      </c>
    </row>
    <row r="468" spans="1:24">
      <c r="B468" t="s">
        <v>197</v>
      </c>
      <c r="C468" t="s">
        <v>197</v>
      </c>
      <c r="D468" t="s">
        <v>197</v>
      </c>
      <c r="E468" t="s">
        <v>197</v>
      </c>
      <c r="F468" t="s">
        <v>197</v>
      </c>
      <c r="G468" t="s">
        <v>197</v>
      </c>
      <c r="H468" t="s">
        <v>197</v>
      </c>
      <c r="I468" t="s">
        <v>197</v>
      </c>
      <c r="J468" t="s">
        <v>197</v>
      </c>
      <c r="K468" t="s">
        <v>360</v>
      </c>
    </row>
    <row r="469" spans="1:24">
      <c r="B469" t="s">
        <v>197</v>
      </c>
      <c r="C469" t="s">
        <v>197</v>
      </c>
      <c r="D469" t="s">
        <v>197</v>
      </c>
      <c r="E469" t="s">
        <v>197</v>
      </c>
      <c r="F469" t="s">
        <v>197</v>
      </c>
      <c r="G469" t="s">
        <v>197</v>
      </c>
      <c r="H469" t="s">
        <v>197</v>
      </c>
      <c r="I469" t="s">
        <v>197</v>
      </c>
      <c r="J469" t="s">
        <v>197</v>
      </c>
      <c r="K469" t="s">
        <v>367</v>
      </c>
    </row>
    <row r="470" spans="1:24">
      <c r="B470" t="s">
        <v>197</v>
      </c>
      <c r="C470" t="s">
        <v>197</v>
      </c>
      <c r="D470" t="s">
        <v>197</v>
      </c>
      <c r="E470" t="s">
        <v>197</v>
      </c>
      <c r="F470" t="s">
        <v>197</v>
      </c>
      <c r="G470" t="s">
        <v>197</v>
      </c>
      <c r="H470" t="s">
        <v>197</v>
      </c>
      <c r="I470" t="s">
        <v>197</v>
      </c>
      <c r="J470" t="s">
        <v>197</v>
      </c>
      <c r="K470" t="s">
        <v>373</v>
      </c>
    </row>
    <row r="471" spans="1:24">
      <c r="A471" t="s">
        <v>770</v>
      </c>
      <c r="K471" t="s">
        <v>771</v>
      </c>
      <c r="W471" t="s">
        <v>171</v>
      </c>
      <c r="X471" t="str">
        <f>A471</f>
        <v>info_date_dml_single_pk</v>
      </c>
    </row>
    <row r="472" spans="1:24">
      <c r="B472" t="s">
        <v>196</v>
      </c>
      <c r="C472" t="s">
        <v>197</v>
      </c>
      <c r="D472" t="s">
        <v>197</v>
      </c>
      <c r="E472" t="s">
        <v>197</v>
      </c>
      <c r="F472" t="s">
        <v>197</v>
      </c>
      <c r="G472" t="s">
        <v>197</v>
      </c>
      <c r="H472" t="s">
        <v>197</v>
      </c>
      <c r="I472" t="s">
        <v>772</v>
      </c>
      <c r="J472" t="s">
        <v>199</v>
      </c>
      <c r="K472" t="s">
        <v>200</v>
      </c>
    </row>
    <row r="473" spans="1:24">
      <c r="B473" t="s">
        <v>197</v>
      </c>
      <c r="C473" t="s">
        <v>197</v>
      </c>
      <c r="D473" t="s">
        <v>197</v>
      </c>
      <c r="E473" t="s">
        <v>197</v>
      </c>
      <c r="F473" t="s">
        <v>197</v>
      </c>
      <c r="G473" t="s">
        <v>197</v>
      </c>
      <c r="H473" t="s">
        <v>197</v>
      </c>
      <c r="I473" t="s">
        <v>197</v>
      </c>
      <c r="J473" t="s">
        <v>197</v>
      </c>
      <c r="K473" t="s">
        <v>678</v>
      </c>
    </row>
    <row r="474" spans="1:24">
      <c r="A474" t="s">
        <v>767</v>
      </c>
      <c r="K474" t="s">
        <v>768</v>
      </c>
      <c r="W474" t="s">
        <v>171</v>
      </c>
      <c r="X474" t="str">
        <f>A474</f>
        <v>info_nchar_dml_batch2_pk_irp2</v>
      </c>
    </row>
    <row r="475" spans="1:24">
      <c r="B475" t="s">
        <v>196</v>
      </c>
      <c r="C475" t="s">
        <v>197</v>
      </c>
      <c r="D475" t="s">
        <v>197</v>
      </c>
      <c r="E475" t="s">
        <v>197</v>
      </c>
      <c r="F475" t="s">
        <v>197</v>
      </c>
      <c r="G475" t="s">
        <v>197</v>
      </c>
      <c r="H475" t="s">
        <v>197</v>
      </c>
      <c r="I475" t="s">
        <v>769</v>
      </c>
      <c r="J475" t="s">
        <v>199</v>
      </c>
      <c r="K475" t="s">
        <v>200</v>
      </c>
    </row>
    <row r="476" spans="1:24">
      <c r="B476" t="s">
        <v>197</v>
      </c>
      <c r="C476" t="s">
        <v>197</v>
      </c>
      <c r="D476" t="s">
        <v>197</v>
      </c>
      <c r="E476" t="s">
        <v>197</v>
      </c>
      <c r="F476" t="s">
        <v>197</v>
      </c>
      <c r="G476" t="s">
        <v>197</v>
      </c>
      <c r="H476" t="s">
        <v>197</v>
      </c>
      <c r="I476" t="s">
        <v>197</v>
      </c>
      <c r="J476" t="s">
        <v>197</v>
      </c>
      <c r="K476" t="s">
        <v>514</v>
      </c>
    </row>
    <row r="477" spans="1:24">
      <c r="B477" t="s">
        <v>197</v>
      </c>
      <c r="C477" t="s">
        <v>197</v>
      </c>
      <c r="D477" t="s">
        <v>197</v>
      </c>
      <c r="E477" t="s">
        <v>197</v>
      </c>
      <c r="F477" t="s">
        <v>197</v>
      </c>
      <c r="G477" t="s">
        <v>197</v>
      </c>
      <c r="H477" t="s">
        <v>197</v>
      </c>
      <c r="I477" t="s">
        <v>197</v>
      </c>
      <c r="J477" t="s">
        <v>197</v>
      </c>
      <c r="K477" t="s">
        <v>516</v>
      </c>
    </row>
    <row r="478" spans="1:24">
      <c r="B478" t="s">
        <v>197</v>
      </c>
      <c r="C478" t="s">
        <v>197</v>
      </c>
      <c r="D478" t="s">
        <v>197</v>
      </c>
      <c r="E478" t="s">
        <v>197</v>
      </c>
      <c r="F478" t="s">
        <v>197</v>
      </c>
      <c r="G478" t="s">
        <v>197</v>
      </c>
      <c r="H478" t="s">
        <v>197</v>
      </c>
      <c r="I478" t="s">
        <v>197</v>
      </c>
      <c r="J478" t="s">
        <v>197</v>
      </c>
      <c r="K478" t="s">
        <v>612</v>
      </c>
    </row>
    <row r="479" spans="1:24">
      <c r="A479" t="s">
        <v>773</v>
      </c>
      <c r="K479" t="s">
        <v>774</v>
      </c>
      <c r="W479" t="s">
        <v>171</v>
      </c>
      <c r="X479" t="str">
        <f>A479</f>
        <v>info_date_dml_batch1_pk_irp1</v>
      </c>
    </row>
    <row r="480" spans="1:24">
      <c r="B480" t="s">
        <v>196</v>
      </c>
      <c r="C480" t="s">
        <v>197</v>
      </c>
      <c r="D480" t="s">
        <v>197</v>
      </c>
      <c r="E480" t="s">
        <v>197</v>
      </c>
      <c r="F480" t="s">
        <v>197</v>
      </c>
      <c r="G480" t="s">
        <v>197</v>
      </c>
      <c r="H480" t="s">
        <v>197</v>
      </c>
      <c r="I480" t="s">
        <v>775</v>
      </c>
      <c r="J480" t="s">
        <v>199</v>
      </c>
      <c r="K480" t="s">
        <v>200</v>
      </c>
    </row>
    <row r="481" spans="1:24">
      <c r="B481" t="s">
        <v>197</v>
      </c>
      <c r="C481" t="s">
        <v>197</v>
      </c>
      <c r="D481" t="s">
        <v>197</v>
      </c>
      <c r="E481" t="s">
        <v>197</v>
      </c>
      <c r="F481" t="s">
        <v>197</v>
      </c>
      <c r="G481" t="s">
        <v>197</v>
      </c>
      <c r="H481" t="s">
        <v>197</v>
      </c>
      <c r="I481" t="s">
        <v>197</v>
      </c>
      <c r="J481" t="s">
        <v>197</v>
      </c>
      <c r="K481" t="s">
        <v>678</v>
      </c>
    </row>
    <row r="482" spans="1:24">
      <c r="K482" t="s">
        <v>443</v>
      </c>
    </row>
    <row r="483" spans="1:24">
      <c r="A483" t="s">
        <v>776</v>
      </c>
      <c r="K483" t="s">
        <v>777</v>
      </c>
      <c r="W483" t="s">
        <v>171</v>
      </c>
      <c r="X483" t="str">
        <f>A483</f>
        <v>info_datetimeoffset_dml_batch1_pk_irp2</v>
      </c>
    </row>
    <row r="484" spans="1:24">
      <c r="B484" t="s">
        <v>196</v>
      </c>
      <c r="C484" t="s">
        <v>197</v>
      </c>
      <c r="D484" t="s">
        <v>197</v>
      </c>
      <c r="E484" t="s">
        <v>197</v>
      </c>
      <c r="F484" t="s">
        <v>197</v>
      </c>
      <c r="G484" t="s">
        <v>197</v>
      </c>
      <c r="H484" t="s">
        <v>197</v>
      </c>
      <c r="I484" t="s">
        <v>778</v>
      </c>
      <c r="J484" t="s">
        <v>199</v>
      </c>
      <c r="K484" t="s">
        <v>200</v>
      </c>
    </row>
    <row r="485" spans="1:24">
      <c r="B485" t="s">
        <v>197</v>
      </c>
      <c r="C485" t="s">
        <v>197</v>
      </c>
      <c r="D485" t="s">
        <v>197</v>
      </c>
      <c r="E485" t="s">
        <v>197</v>
      </c>
      <c r="F485" t="s">
        <v>197</v>
      </c>
      <c r="G485" t="s">
        <v>197</v>
      </c>
      <c r="H485" t="s">
        <v>197</v>
      </c>
      <c r="I485" t="s">
        <v>197</v>
      </c>
      <c r="J485" t="s">
        <v>197</v>
      </c>
      <c r="K485" t="s">
        <v>301</v>
      </c>
    </row>
    <row r="486" spans="1:24">
      <c r="B486" t="s">
        <v>197</v>
      </c>
      <c r="C486" t="s">
        <v>197</v>
      </c>
      <c r="D486" t="s">
        <v>197</v>
      </c>
      <c r="E486" t="s">
        <v>197</v>
      </c>
      <c r="F486" t="s">
        <v>197</v>
      </c>
      <c r="G486" t="s">
        <v>197</v>
      </c>
      <c r="H486" t="s">
        <v>197</v>
      </c>
      <c r="I486" t="s">
        <v>197</v>
      </c>
      <c r="J486" t="s">
        <v>197</v>
      </c>
      <c r="K486" t="s">
        <v>314</v>
      </c>
    </row>
    <row r="487" spans="1:24">
      <c r="B487" t="s">
        <v>197</v>
      </c>
      <c r="C487" t="s">
        <v>197</v>
      </c>
      <c r="D487" t="s">
        <v>197</v>
      </c>
      <c r="E487" t="s">
        <v>197</v>
      </c>
      <c r="F487" t="s">
        <v>197</v>
      </c>
      <c r="G487" t="s">
        <v>197</v>
      </c>
      <c r="H487" t="s">
        <v>197</v>
      </c>
      <c r="I487" t="s">
        <v>197</v>
      </c>
      <c r="J487" t="s">
        <v>197</v>
      </c>
      <c r="K487" t="s">
        <v>324</v>
      </c>
    </row>
    <row r="488" spans="1:24">
      <c r="B488" t="s">
        <v>197</v>
      </c>
      <c r="C488" t="s">
        <v>197</v>
      </c>
      <c r="D488" t="s">
        <v>197</v>
      </c>
      <c r="E488" t="s">
        <v>197</v>
      </c>
      <c r="F488" t="s">
        <v>197</v>
      </c>
      <c r="G488" t="s">
        <v>197</v>
      </c>
      <c r="H488" t="s">
        <v>197</v>
      </c>
      <c r="I488" t="s">
        <v>197</v>
      </c>
      <c r="J488" t="s">
        <v>197</v>
      </c>
      <c r="K488" t="s">
        <v>335</v>
      </c>
    </row>
    <row r="489" spans="1:24">
      <c r="B489" t="s">
        <v>197</v>
      </c>
      <c r="C489" t="s">
        <v>197</v>
      </c>
      <c r="D489" t="s">
        <v>197</v>
      </c>
      <c r="E489" t="s">
        <v>197</v>
      </c>
      <c r="F489" t="s">
        <v>197</v>
      </c>
      <c r="G489" t="s">
        <v>197</v>
      </c>
      <c r="H489" t="s">
        <v>197</v>
      </c>
      <c r="I489" t="s">
        <v>197</v>
      </c>
      <c r="J489" t="s">
        <v>197</v>
      </c>
      <c r="K489" t="s">
        <v>350</v>
      </c>
    </row>
    <row r="490" spans="1:24">
      <c r="B490" t="s">
        <v>197</v>
      </c>
      <c r="C490" t="s">
        <v>197</v>
      </c>
      <c r="D490" t="s">
        <v>197</v>
      </c>
      <c r="E490" t="s">
        <v>197</v>
      </c>
      <c r="F490" t="s">
        <v>197</v>
      </c>
      <c r="G490" t="s">
        <v>197</v>
      </c>
      <c r="H490" t="s">
        <v>197</v>
      </c>
      <c r="I490" t="s">
        <v>197</v>
      </c>
      <c r="J490" t="s">
        <v>197</v>
      </c>
      <c r="K490" t="s">
        <v>360</v>
      </c>
    </row>
    <row r="491" spans="1:24">
      <c r="B491" t="s">
        <v>197</v>
      </c>
      <c r="C491" t="s">
        <v>197</v>
      </c>
      <c r="D491" t="s">
        <v>197</v>
      </c>
      <c r="E491" t="s">
        <v>197</v>
      </c>
      <c r="F491" t="s">
        <v>197</v>
      </c>
      <c r="G491" t="s">
        <v>197</v>
      </c>
      <c r="H491" t="s">
        <v>197</v>
      </c>
      <c r="I491" t="s">
        <v>197</v>
      </c>
      <c r="J491" t="s">
        <v>197</v>
      </c>
      <c r="K491" t="s">
        <v>367</v>
      </c>
    </row>
    <row r="492" spans="1:24">
      <c r="B492" t="s">
        <v>197</v>
      </c>
      <c r="C492" t="s">
        <v>197</v>
      </c>
      <c r="D492" t="s">
        <v>197</v>
      </c>
      <c r="E492" t="s">
        <v>197</v>
      </c>
      <c r="F492" t="s">
        <v>197</v>
      </c>
      <c r="G492" t="s">
        <v>197</v>
      </c>
      <c r="H492" t="s">
        <v>197</v>
      </c>
      <c r="I492" t="s">
        <v>197</v>
      </c>
      <c r="J492" t="s">
        <v>197</v>
      </c>
      <c r="K492" t="s">
        <v>373</v>
      </c>
    </row>
    <row r="493" spans="1:24">
      <c r="A493" t="s">
        <v>779</v>
      </c>
      <c r="K493" t="s">
        <v>780</v>
      </c>
      <c r="W493" s="1" t="str">
        <f>HYPERLINK("#2026042011hbase0!AK2","NO 源备存在差异，共44个")</f>
        <v>NO 源备存在差异，共44个</v>
      </c>
      <c r="X493" t="str">
        <f>A493</f>
        <v>info_binary_dml_batch2_pk_irp2</v>
      </c>
    </row>
    <row r="494" spans="1:24">
      <c r="B494" t="s">
        <v>196</v>
      </c>
      <c r="C494" t="s">
        <v>197</v>
      </c>
      <c r="D494" t="s">
        <v>197</v>
      </c>
      <c r="E494" t="s">
        <v>197</v>
      </c>
      <c r="F494" t="s">
        <v>197</v>
      </c>
      <c r="G494" t="s">
        <v>197</v>
      </c>
      <c r="H494" t="s">
        <v>197</v>
      </c>
      <c r="I494" t="s">
        <v>781</v>
      </c>
      <c r="J494" t="s">
        <v>199</v>
      </c>
      <c r="K494" t="s">
        <v>200</v>
      </c>
    </row>
    <row r="495" spans="1:24">
      <c r="B495" t="s">
        <v>197</v>
      </c>
      <c r="C495" t="s">
        <v>197</v>
      </c>
      <c r="D495" t="s">
        <v>197</v>
      </c>
      <c r="E495" t="s">
        <v>197</v>
      </c>
      <c r="F495" t="s">
        <v>197</v>
      </c>
      <c r="G495" t="s">
        <v>197</v>
      </c>
      <c r="H495" t="s">
        <v>197</v>
      </c>
      <c r="I495" t="s">
        <v>197</v>
      </c>
      <c r="J495" t="s">
        <v>197</v>
      </c>
      <c r="K495" t="s">
        <v>691</v>
      </c>
    </row>
    <row r="496" spans="1:24">
      <c r="B496" t="s">
        <v>197</v>
      </c>
      <c r="C496" t="s">
        <v>197</v>
      </c>
      <c r="D496" t="s">
        <v>197</v>
      </c>
      <c r="E496" t="s">
        <v>197</v>
      </c>
      <c r="F496" t="s">
        <v>197</v>
      </c>
      <c r="G496" t="s">
        <v>197</v>
      </c>
      <c r="H496" t="s">
        <v>197</v>
      </c>
      <c r="I496" t="s">
        <v>197</v>
      </c>
      <c r="J496" t="s">
        <v>197</v>
      </c>
      <c r="K496" t="s">
        <v>692</v>
      </c>
    </row>
    <row r="497" spans="1:24">
      <c r="B497" t="s">
        <v>197</v>
      </c>
      <c r="C497" t="s">
        <v>197</v>
      </c>
      <c r="D497" t="s">
        <v>197</v>
      </c>
      <c r="E497" t="s">
        <v>197</v>
      </c>
      <c r="F497" t="s">
        <v>197</v>
      </c>
      <c r="G497" t="s">
        <v>197</v>
      </c>
      <c r="H497" t="s">
        <v>197</v>
      </c>
      <c r="I497" t="s">
        <v>197</v>
      </c>
      <c r="J497" t="s">
        <v>197</v>
      </c>
      <c r="K497" t="s">
        <v>693</v>
      </c>
    </row>
    <row r="498" spans="1:24">
      <c r="A498" t="s">
        <v>782</v>
      </c>
      <c r="K498" t="s">
        <v>783</v>
      </c>
      <c r="W498" t="s">
        <v>171</v>
      </c>
      <c r="X498" t="str">
        <f>A498</f>
        <v>info_datetimeoffset_dml_batch2_pk_irp1</v>
      </c>
    </row>
    <row r="499" spans="1:24">
      <c r="B499" t="s">
        <v>196</v>
      </c>
      <c r="C499" t="s">
        <v>197</v>
      </c>
      <c r="D499" t="s">
        <v>197</v>
      </c>
      <c r="E499" t="s">
        <v>197</v>
      </c>
      <c r="F499" t="s">
        <v>197</v>
      </c>
      <c r="G499" t="s">
        <v>197</v>
      </c>
      <c r="H499" t="s">
        <v>197</v>
      </c>
      <c r="I499" t="s">
        <v>784</v>
      </c>
      <c r="J499" t="s">
        <v>199</v>
      </c>
      <c r="K499" t="s">
        <v>200</v>
      </c>
    </row>
    <row r="500" spans="1:24">
      <c r="B500" t="s">
        <v>197</v>
      </c>
      <c r="C500" t="s">
        <v>197</v>
      </c>
      <c r="D500" t="s">
        <v>197</v>
      </c>
      <c r="E500" t="s">
        <v>197</v>
      </c>
      <c r="F500" t="s">
        <v>197</v>
      </c>
      <c r="G500" t="s">
        <v>197</v>
      </c>
      <c r="H500" t="s">
        <v>197</v>
      </c>
      <c r="I500" t="s">
        <v>197</v>
      </c>
      <c r="J500" t="s">
        <v>197</v>
      </c>
      <c r="K500" t="s">
        <v>301</v>
      </c>
    </row>
    <row r="501" spans="1:24">
      <c r="B501" t="s">
        <v>197</v>
      </c>
      <c r="C501" t="s">
        <v>197</v>
      </c>
      <c r="D501" t="s">
        <v>197</v>
      </c>
      <c r="E501" t="s">
        <v>197</v>
      </c>
      <c r="F501" t="s">
        <v>197</v>
      </c>
      <c r="G501" t="s">
        <v>197</v>
      </c>
      <c r="H501" t="s">
        <v>197</v>
      </c>
      <c r="I501" t="s">
        <v>197</v>
      </c>
      <c r="J501" t="s">
        <v>197</v>
      </c>
      <c r="K501" t="s">
        <v>314</v>
      </c>
    </row>
    <row r="502" spans="1:24">
      <c r="B502" t="s">
        <v>197</v>
      </c>
      <c r="C502" t="s">
        <v>197</v>
      </c>
      <c r="D502" t="s">
        <v>197</v>
      </c>
      <c r="E502" t="s">
        <v>197</v>
      </c>
      <c r="F502" t="s">
        <v>197</v>
      </c>
      <c r="G502" t="s">
        <v>197</v>
      </c>
      <c r="H502" t="s">
        <v>197</v>
      </c>
      <c r="I502" t="s">
        <v>197</v>
      </c>
      <c r="J502" t="s">
        <v>197</v>
      </c>
      <c r="K502" t="s">
        <v>324</v>
      </c>
    </row>
    <row r="503" spans="1:24">
      <c r="B503" t="s">
        <v>197</v>
      </c>
      <c r="C503" t="s">
        <v>197</v>
      </c>
      <c r="D503" t="s">
        <v>197</v>
      </c>
      <c r="E503" t="s">
        <v>197</v>
      </c>
      <c r="F503" t="s">
        <v>197</v>
      </c>
      <c r="G503" t="s">
        <v>197</v>
      </c>
      <c r="H503" t="s">
        <v>197</v>
      </c>
      <c r="I503" t="s">
        <v>197</v>
      </c>
      <c r="J503" t="s">
        <v>197</v>
      </c>
      <c r="K503" t="s">
        <v>335</v>
      </c>
    </row>
    <row r="504" spans="1:24">
      <c r="B504" t="s">
        <v>197</v>
      </c>
      <c r="C504" t="s">
        <v>197</v>
      </c>
      <c r="D504" t="s">
        <v>197</v>
      </c>
      <c r="E504" t="s">
        <v>197</v>
      </c>
      <c r="F504" t="s">
        <v>197</v>
      </c>
      <c r="G504" t="s">
        <v>197</v>
      </c>
      <c r="H504" t="s">
        <v>197</v>
      </c>
      <c r="I504" t="s">
        <v>197</v>
      </c>
      <c r="J504" t="s">
        <v>197</v>
      </c>
      <c r="K504" t="s">
        <v>350</v>
      </c>
    </row>
    <row r="505" spans="1:24">
      <c r="B505" t="s">
        <v>197</v>
      </c>
      <c r="C505" t="s">
        <v>197</v>
      </c>
      <c r="D505" t="s">
        <v>197</v>
      </c>
      <c r="E505" t="s">
        <v>197</v>
      </c>
      <c r="F505" t="s">
        <v>197</v>
      </c>
      <c r="G505" t="s">
        <v>197</v>
      </c>
      <c r="H505" t="s">
        <v>197</v>
      </c>
      <c r="I505" t="s">
        <v>197</v>
      </c>
      <c r="J505" t="s">
        <v>197</v>
      </c>
      <c r="K505" t="s">
        <v>360</v>
      </c>
    </row>
    <row r="506" spans="1:24">
      <c r="B506" t="s">
        <v>197</v>
      </c>
      <c r="C506" t="s">
        <v>197</v>
      </c>
      <c r="D506" t="s">
        <v>197</v>
      </c>
      <c r="E506" t="s">
        <v>197</v>
      </c>
      <c r="F506" t="s">
        <v>197</v>
      </c>
      <c r="G506" t="s">
        <v>197</v>
      </c>
      <c r="H506" t="s">
        <v>197</v>
      </c>
      <c r="I506" t="s">
        <v>197</v>
      </c>
      <c r="J506" t="s">
        <v>197</v>
      </c>
      <c r="K506" t="s">
        <v>367</v>
      </c>
    </row>
    <row r="507" spans="1:24">
      <c r="B507" t="s">
        <v>197</v>
      </c>
      <c r="C507" t="s">
        <v>197</v>
      </c>
      <c r="D507" t="s">
        <v>197</v>
      </c>
      <c r="E507" t="s">
        <v>197</v>
      </c>
      <c r="F507" t="s">
        <v>197</v>
      </c>
      <c r="G507" t="s">
        <v>197</v>
      </c>
      <c r="H507" t="s">
        <v>197</v>
      </c>
      <c r="I507" t="s">
        <v>197</v>
      </c>
      <c r="J507" t="s">
        <v>197</v>
      </c>
      <c r="K507" t="s">
        <v>373</v>
      </c>
    </row>
    <row r="508" spans="1:24">
      <c r="A508" t="s">
        <v>785</v>
      </c>
      <c r="K508" t="s">
        <v>786</v>
      </c>
      <c r="W508" t="s">
        <v>171</v>
      </c>
      <c r="X508" t="str">
        <f>A508</f>
        <v>info_nvarchar_dml_single_pk_drp</v>
      </c>
    </row>
    <row r="509" spans="1:24">
      <c r="B509" t="s">
        <v>196</v>
      </c>
      <c r="C509" t="s">
        <v>197</v>
      </c>
      <c r="D509" t="s">
        <v>197</v>
      </c>
      <c r="E509" t="s">
        <v>197</v>
      </c>
      <c r="F509" t="s">
        <v>197</v>
      </c>
      <c r="G509" t="s">
        <v>197</v>
      </c>
      <c r="H509" t="s">
        <v>197</v>
      </c>
      <c r="I509" t="s">
        <v>787</v>
      </c>
      <c r="J509" t="s">
        <v>199</v>
      </c>
      <c r="K509" t="s">
        <v>200</v>
      </c>
    </row>
    <row r="510" spans="1:24">
      <c r="B510" t="s">
        <v>197</v>
      </c>
      <c r="C510" t="s">
        <v>197</v>
      </c>
      <c r="D510" t="s">
        <v>197</v>
      </c>
      <c r="E510" t="s">
        <v>197</v>
      </c>
      <c r="F510" t="s">
        <v>197</v>
      </c>
      <c r="G510" t="s">
        <v>197</v>
      </c>
      <c r="H510" t="s">
        <v>197</v>
      </c>
      <c r="I510" t="s">
        <v>197</v>
      </c>
      <c r="J510" t="s">
        <v>197</v>
      </c>
      <c r="K510" t="s">
        <v>408</v>
      </c>
    </row>
    <row r="511" spans="1:24">
      <c r="B511" t="s">
        <v>197</v>
      </c>
      <c r="C511" t="s">
        <v>197</v>
      </c>
      <c r="D511" t="s">
        <v>197</v>
      </c>
      <c r="E511" t="s">
        <v>197</v>
      </c>
      <c r="F511" t="s">
        <v>197</v>
      </c>
      <c r="G511" t="s">
        <v>197</v>
      </c>
      <c r="H511" t="s">
        <v>197</v>
      </c>
      <c r="I511" t="s">
        <v>197</v>
      </c>
      <c r="J511" t="s">
        <v>197</v>
      </c>
      <c r="K511" t="s">
        <v>412</v>
      </c>
    </row>
    <row r="512" spans="1:24">
      <c r="B512" t="s">
        <v>197</v>
      </c>
      <c r="C512" t="s">
        <v>197</v>
      </c>
      <c r="D512" t="s">
        <v>197</v>
      </c>
      <c r="E512" t="s">
        <v>197</v>
      </c>
      <c r="F512" t="s">
        <v>197</v>
      </c>
      <c r="G512" t="s">
        <v>197</v>
      </c>
      <c r="H512" t="s">
        <v>197</v>
      </c>
      <c r="I512" t="s">
        <v>197</v>
      </c>
      <c r="J512" t="s">
        <v>197</v>
      </c>
      <c r="K512" t="s">
        <v>730</v>
      </c>
    </row>
    <row r="513" spans="1:24">
      <c r="A513" t="s">
        <v>788</v>
      </c>
      <c r="K513" t="s">
        <v>789</v>
      </c>
      <c r="W513" t="s">
        <v>171</v>
      </c>
      <c r="X513" t="str">
        <f>A513</f>
        <v>info_datetimeoffset_dml_batch2_pk_irp2</v>
      </c>
    </row>
    <row r="514" spans="1:24">
      <c r="B514" t="s">
        <v>196</v>
      </c>
      <c r="C514" t="s">
        <v>197</v>
      </c>
      <c r="D514" t="s">
        <v>197</v>
      </c>
      <c r="E514" t="s">
        <v>197</v>
      </c>
      <c r="F514" t="s">
        <v>197</v>
      </c>
      <c r="G514" t="s">
        <v>197</v>
      </c>
      <c r="H514" t="s">
        <v>197</v>
      </c>
      <c r="I514" t="s">
        <v>790</v>
      </c>
      <c r="J514" t="s">
        <v>199</v>
      </c>
      <c r="K514" t="s">
        <v>200</v>
      </c>
    </row>
    <row r="515" spans="1:24">
      <c r="B515" t="s">
        <v>197</v>
      </c>
      <c r="C515" t="s">
        <v>197</v>
      </c>
      <c r="D515" t="s">
        <v>197</v>
      </c>
      <c r="E515" t="s">
        <v>197</v>
      </c>
      <c r="F515" t="s">
        <v>197</v>
      </c>
      <c r="G515" t="s">
        <v>197</v>
      </c>
      <c r="H515" t="s">
        <v>197</v>
      </c>
      <c r="I515" t="s">
        <v>197</v>
      </c>
      <c r="J515" t="s">
        <v>197</v>
      </c>
      <c r="K515" t="s">
        <v>301</v>
      </c>
    </row>
    <row r="516" spans="1:24">
      <c r="B516" t="s">
        <v>197</v>
      </c>
      <c r="C516" t="s">
        <v>197</v>
      </c>
      <c r="D516" t="s">
        <v>197</v>
      </c>
      <c r="E516" t="s">
        <v>197</v>
      </c>
      <c r="F516" t="s">
        <v>197</v>
      </c>
      <c r="G516" t="s">
        <v>197</v>
      </c>
      <c r="H516" t="s">
        <v>197</v>
      </c>
      <c r="I516" t="s">
        <v>197</v>
      </c>
      <c r="J516" t="s">
        <v>197</v>
      </c>
      <c r="K516" t="s">
        <v>314</v>
      </c>
    </row>
    <row r="517" spans="1:24">
      <c r="B517" t="s">
        <v>197</v>
      </c>
      <c r="C517" t="s">
        <v>197</v>
      </c>
      <c r="D517" t="s">
        <v>197</v>
      </c>
      <c r="E517" t="s">
        <v>197</v>
      </c>
      <c r="F517" t="s">
        <v>197</v>
      </c>
      <c r="G517" t="s">
        <v>197</v>
      </c>
      <c r="H517" t="s">
        <v>197</v>
      </c>
      <c r="I517" t="s">
        <v>197</v>
      </c>
      <c r="J517" t="s">
        <v>197</v>
      </c>
      <c r="K517" t="s">
        <v>324</v>
      </c>
    </row>
    <row r="518" spans="1:24">
      <c r="B518" t="s">
        <v>197</v>
      </c>
      <c r="C518" t="s">
        <v>197</v>
      </c>
      <c r="D518" t="s">
        <v>197</v>
      </c>
      <c r="E518" t="s">
        <v>197</v>
      </c>
      <c r="F518" t="s">
        <v>197</v>
      </c>
      <c r="G518" t="s">
        <v>197</v>
      </c>
      <c r="H518" t="s">
        <v>197</v>
      </c>
      <c r="I518" t="s">
        <v>197</v>
      </c>
      <c r="J518" t="s">
        <v>197</v>
      </c>
      <c r="K518" t="s">
        <v>335</v>
      </c>
    </row>
    <row r="519" spans="1:24">
      <c r="B519" t="s">
        <v>197</v>
      </c>
      <c r="C519" t="s">
        <v>197</v>
      </c>
      <c r="D519" t="s">
        <v>197</v>
      </c>
      <c r="E519" t="s">
        <v>197</v>
      </c>
      <c r="F519" t="s">
        <v>197</v>
      </c>
      <c r="G519" t="s">
        <v>197</v>
      </c>
      <c r="H519" t="s">
        <v>197</v>
      </c>
      <c r="I519" t="s">
        <v>197</v>
      </c>
      <c r="J519" t="s">
        <v>197</v>
      </c>
      <c r="K519" t="s">
        <v>350</v>
      </c>
    </row>
    <row r="520" spans="1:24">
      <c r="B520" t="s">
        <v>197</v>
      </c>
      <c r="C520" t="s">
        <v>197</v>
      </c>
      <c r="D520" t="s">
        <v>197</v>
      </c>
      <c r="E520" t="s">
        <v>197</v>
      </c>
      <c r="F520" t="s">
        <v>197</v>
      </c>
      <c r="G520" t="s">
        <v>197</v>
      </c>
      <c r="H520" t="s">
        <v>197</v>
      </c>
      <c r="I520" t="s">
        <v>197</v>
      </c>
      <c r="J520" t="s">
        <v>197</v>
      </c>
      <c r="K520" t="s">
        <v>360</v>
      </c>
    </row>
    <row r="521" spans="1:24">
      <c r="B521" t="s">
        <v>197</v>
      </c>
      <c r="C521" t="s">
        <v>197</v>
      </c>
      <c r="D521" t="s">
        <v>197</v>
      </c>
      <c r="E521" t="s">
        <v>197</v>
      </c>
      <c r="F521" t="s">
        <v>197</v>
      </c>
      <c r="G521" t="s">
        <v>197</v>
      </c>
      <c r="H521" t="s">
        <v>197</v>
      </c>
      <c r="I521" t="s">
        <v>197</v>
      </c>
      <c r="J521" t="s">
        <v>197</v>
      </c>
      <c r="K521" t="s">
        <v>367</v>
      </c>
    </row>
    <row r="522" spans="1:24">
      <c r="B522" t="s">
        <v>197</v>
      </c>
      <c r="C522" t="s">
        <v>197</v>
      </c>
      <c r="D522" t="s">
        <v>197</v>
      </c>
      <c r="E522" t="s">
        <v>197</v>
      </c>
      <c r="F522" t="s">
        <v>197</v>
      </c>
      <c r="G522" t="s">
        <v>197</v>
      </c>
      <c r="H522" t="s">
        <v>197</v>
      </c>
      <c r="I522" t="s">
        <v>197</v>
      </c>
      <c r="J522" t="s">
        <v>197</v>
      </c>
      <c r="K522" t="s">
        <v>373</v>
      </c>
    </row>
    <row r="523" spans="1:24">
      <c r="A523" t="s">
        <v>794</v>
      </c>
      <c r="K523" t="s">
        <v>795</v>
      </c>
      <c r="W523" t="s">
        <v>171</v>
      </c>
      <c r="X523" t="str">
        <f>A523</f>
        <v>info_datetimeoffset_dml_batch1_pk_urp1</v>
      </c>
    </row>
    <row r="524" spans="1:24">
      <c r="B524" t="s">
        <v>196</v>
      </c>
      <c r="C524" t="s">
        <v>197</v>
      </c>
      <c r="D524" t="s">
        <v>197</v>
      </c>
      <c r="E524" t="s">
        <v>197</v>
      </c>
      <c r="F524" t="s">
        <v>197</v>
      </c>
      <c r="G524" t="s">
        <v>197</v>
      </c>
      <c r="H524" t="s">
        <v>197</v>
      </c>
      <c r="I524" t="s">
        <v>796</v>
      </c>
      <c r="J524" t="s">
        <v>199</v>
      </c>
      <c r="K524" t="s">
        <v>200</v>
      </c>
    </row>
    <row r="525" spans="1:24">
      <c r="B525" t="s">
        <v>197</v>
      </c>
      <c r="C525" t="s">
        <v>197</v>
      </c>
      <c r="D525" t="s">
        <v>197</v>
      </c>
      <c r="E525" t="s">
        <v>197</v>
      </c>
      <c r="F525" t="s">
        <v>197</v>
      </c>
      <c r="G525" t="s">
        <v>197</v>
      </c>
      <c r="H525" t="s">
        <v>197</v>
      </c>
      <c r="I525" t="s">
        <v>197</v>
      </c>
      <c r="J525" t="s">
        <v>197</v>
      </c>
      <c r="K525" t="s">
        <v>301</v>
      </c>
    </row>
    <row r="526" spans="1:24">
      <c r="B526" t="s">
        <v>197</v>
      </c>
      <c r="C526" t="s">
        <v>197</v>
      </c>
      <c r="D526" t="s">
        <v>197</v>
      </c>
      <c r="E526" t="s">
        <v>197</v>
      </c>
      <c r="F526" t="s">
        <v>197</v>
      </c>
      <c r="G526" t="s">
        <v>197</v>
      </c>
      <c r="H526" t="s">
        <v>197</v>
      </c>
      <c r="I526" t="s">
        <v>197</v>
      </c>
      <c r="J526" t="s">
        <v>197</v>
      </c>
      <c r="K526" t="s">
        <v>314</v>
      </c>
    </row>
    <row r="527" spans="1:24">
      <c r="B527" t="s">
        <v>197</v>
      </c>
      <c r="C527" t="s">
        <v>197</v>
      </c>
      <c r="D527" t="s">
        <v>197</v>
      </c>
      <c r="E527" t="s">
        <v>197</v>
      </c>
      <c r="F527" t="s">
        <v>197</v>
      </c>
      <c r="G527" t="s">
        <v>197</v>
      </c>
      <c r="H527" t="s">
        <v>197</v>
      </c>
      <c r="I527" t="s">
        <v>197</v>
      </c>
      <c r="J527" t="s">
        <v>197</v>
      </c>
      <c r="K527" t="s">
        <v>324</v>
      </c>
    </row>
    <row r="528" spans="1:24">
      <c r="B528" t="s">
        <v>197</v>
      </c>
      <c r="C528" t="s">
        <v>197</v>
      </c>
      <c r="D528" t="s">
        <v>197</v>
      </c>
      <c r="E528" t="s">
        <v>197</v>
      </c>
      <c r="F528" t="s">
        <v>197</v>
      </c>
      <c r="G528" t="s">
        <v>197</v>
      </c>
      <c r="H528" t="s">
        <v>197</v>
      </c>
      <c r="I528" t="s">
        <v>197</v>
      </c>
      <c r="J528" t="s">
        <v>197</v>
      </c>
      <c r="K528" t="s">
        <v>335</v>
      </c>
    </row>
    <row r="529" spans="1:24">
      <c r="B529" t="s">
        <v>197</v>
      </c>
      <c r="C529" t="s">
        <v>197</v>
      </c>
      <c r="D529" t="s">
        <v>197</v>
      </c>
      <c r="E529" t="s">
        <v>197</v>
      </c>
      <c r="F529" t="s">
        <v>197</v>
      </c>
      <c r="G529" t="s">
        <v>197</v>
      </c>
      <c r="H529" t="s">
        <v>197</v>
      </c>
      <c r="I529" t="s">
        <v>197</v>
      </c>
      <c r="J529" t="s">
        <v>197</v>
      </c>
      <c r="K529" t="s">
        <v>350</v>
      </c>
    </row>
    <row r="530" spans="1:24">
      <c r="B530" t="s">
        <v>197</v>
      </c>
      <c r="C530" t="s">
        <v>197</v>
      </c>
      <c r="D530" t="s">
        <v>197</v>
      </c>
      <c r="E530" t="s">
        <v>197</v>
      </c>
      <c r="F530" t="s">
        <v>197</v>
      </c>
      <c r="G530" t="s">
        <v>197</v>
      </c>
      <c r="H530" t="s">
        <v>197</v>
      </c>
      <c r="I530" t="s">
        <v>197</v>
      </c>
      <c r="J530" t="s">
        <v>197</v>
      </c>
      <c r="K530" t="s">
        <v>360</v>
      </c>
    </row>
    <row r="531" spans="1:24">
      <c r="B531" t="s">
        <v>197</v>
      </c>
      <c r="C531" t="s">
        <v>197</v>
      </c>
      <c r="D531" t="s">
        <v>197</v>
      </c>
      <c r="E531" t="s">
        <v>197</v>
      </c>
      <c r="F531" t="s">
        <v>197</v>
      </c>
      <c r="G531" t="s">
        <v>197</v>
      </c>
      <c r="H531" t="s">
        <v>197</v>
      </c>
      <c r="I531" t="s">
        <v>197</v>
      </c>
      <c r="J531" t="s">
        <v>197</v>
      </c>
      <c r="K531" t="s">
        <v>367</v>
      </c>
    </row>
    <row r="532" spans="1:24">
      <c r="B532" t="s">
        <v>197</v>
      </c>
      <c r="C532" t="s">
        <v>197</v>
      </c>
      <c r="D532" t="s">
        <v>197</v>
      </c>
      <c r="E532" t="s">
        <v>197</v>
      </c>
      <c r="F532" t="s">
        <v>197</v>
      </c>
      <c r="G532" t="s">
        <v>197</v>
      </c>
      <c r="H532" t="s">
        <v>197</v>
      </c>
      <c r="I532" t="s">
        <v>197</v>
      </c>
      <c r="J532" t="s">
        <v>197</v>
      </c>
      <c r="K532" t="s">
        <v>373</v>
      </c>
    </row>
    <row r="533" spans="1:24">
      <c r="A533" t="s">
        <v>791</v>
      </c>
      <c r="K533" t="s">
        <v>792</v>
      </c>
      <c r="W533" t="s">
        <v>171</v>
      </c>
      <c r="X533" t="str">
        <f>A533</f>
        <v>info_varcharmax_dml_batch2_pk_irp1</v>
      </c>
    </row>
    <row r="534" spans="1:24">
      <c r="B534" t="s">
        <v>196</v>
      </c>
      <c r="C534" t="s">
        <v>197</v>
      </c>
      <c r="D534" t="s">
        <v>197</v>
      </c>
      <c r="E534" t="s">
        <v>197</v>
      </c>
      <c r="F534" t="s">
        <v>197</v>
      </c>
      <c r="G534" t="s">
        <v>197</v>
      </c>
      <c r="H534" t="s">
        <v>197</v>
      </c>
      <c r="I534" t="s">
        <v>793</v>
      </c>
      <c r="J534" t="s">
        <v>199</v>
      </c>
      <c r="K534" t="s">
        <v>200</v>
      </c>
    </row>
    <row r="535" spans="1:24">
      <c r="B535" t="s">
        <v>197</v>
      </c>
      <c r="C535" t="s">
        <v>197</v>
      </c>
      <c r="D535" t="s">
        <v>197</v>
      </c>
      <c r="E535" t="s">
        <v>197</v>
      </c>
      <c r="F535" t="s">
        <v>197</v>
      </c>
      <c r="G535" t="s">
        <v>197</v>
      </c>
      <c r="H535" t="s">
        <v>197</v>
      </c>
      <c r="I535" t="s">
        <v>197</v>
      </c>
      <c r="J535" t="s">
        <v>197</v>
      </c>
      <c r="K535" t="s">
        <v>725</v>
      </c>
    </row>
    <row r="536" spans="1:24">
      <c r="B536" t="s">
        <v>197</v>
      </c>
      <c r="C536" t="s">
        <v>197</v>
      </c>
      <c r="D536" t="s">
        <v>197</v>
      </c>
      <c r="E536" t="s">
        <v>197</v>
      </c>
      <c r="F536" t="s">
        <v>197</v>
      </c>
      <c r="G536" t="s">
        <v>197</v>
      </c>
      <c r="H536" t="s">
        <v>197</v>
      </c>
      <c r="I536" t="s">
        <v>197</v>
      </c>
      <c r="J536" t="s">
        <v>197</v>
      </c>
      <c r="K536" t="s">
        <v>726</v>
      </c>
    </row>
    <row r="537" spans="1:24">
      <c r="K537" t="s">
        <v>443</v>
      </c>
    </row>
    <row r="538" spans="1:24">
      <c r="A538" t="s">
        <v>797</v>
      </c>
      <c r="K538" t="s">
        <v>798</v>
      </c>
      <c r="W538" t="s">
        <v>171</v>
      </c>
      <c r="X538" t="str">
        <f>A538</f>
        <v>info_time_dml_single_pk_irp</v>
      </c>
    </row>
    <row r="539" spans="1:24">
      <c r="B539" t="s">
        <v>196</v>
      </c>
      <c r="C539" t="s">
        <v>197</v>
      </c>
      <c r="D539" t="s">
        <v>197</v>
      </c>
      <c r="E539" t="s">
        <v>197</v>
      </c>
      <c r="F539" t="s">
        <v>197</v>
      </c>
      <c r="G539" t="s">
        <v>197</v>
      </c>
      <c r="H539" t="s">
        <v>197</v>
      </c>
      <c r="I539" t="s">
        <v>799</v>
      </c>
      <c r="J539" t="s">
        <v>199</v>
      </c>
      <c r="K539" t="s">
        <v>200</v>
      </c>
    </row>
    <row r="540" spans="1:24">
      <c r="B540" t="s">
        <v>197</v>
      </c>
      <c r="C540" t="s">
        <v>197</v>
      </c>
      <c r="D540" t="s">
        <v>197</v>
      </c>
      <c r="E540" t="s">
        <v>197</v>
      </c>
      <c r="F540" t="s">
        <v>197</v>
      </c>
      <c r="G540" t="s">
        <v>197</v>
      </c>
      <c r="H540" t="s">
        <v>197</v>
      </c>
      <c r="I540" t="s">
        <v>197</v>
      </c>
      <c r="J540" t="s">
        <v>197</v>
      </c>
      <c r="K540" t="s">
        <v>800</v>
      </c>
    </row>
    <row r="541" spans="1:24">
      <c r="B541" t="s">
        <v>197</v>
      </c>
      <c r="C541" t="s">
        <v>197</v>
      </c>
      <c r="D541" t="s">
        <v>197</v>
      </c>
      <c r="E541" t="s">
        <v>197</v>
      </c>
      <c r="F541" t="s">
        <v>197</v>
      </c>
      <c r="G541" t="s">
        <v>197</v>
      </c>
      <c r="H541" t="s">
        <v>197</v>
      </c>
      <c r="I541" t="s">
        <v>197</v>
      </c>
      <c r="J541" t="s">
        <v>197</v>
      </c>
      <c r="K541" t="s">
        <v>801</v>
      </c>
    </row>
    <row r="542" spans="1:24">
      <c r="B542" t="s">
        <v>197</v>
      </c>
      <c r="C542" t="s">
        <v>197</v>
      </c>
      <c r="D542" t="s">
        <v>197</v>
      </c>
      <c r="E542" t="s">
        <v>197</v>
      </c>
      <c r="F542" t="s">
        <v>197</v>
      </c>
      <c r="G542" t="s">
        <v>197</v>
      </c>
      <c r="H542" t="s">
        <v>197</v>
      </c>
      <c r="I542" t="s">
        <v>197</v>
      </c>
      <c r="J542" t="s">
        <v>197</v>
      </c>
      <c r="K542" t="s">
        <v>802</v>
      </c>
    </row>
    <row r="543" spans="1:24">
      <c r="B543" t="s">
        <v>197</v>
      </c>
      <c r="C543" t="s">
        <v>197</v>
      </c>
      <c r="D543" t="s">
        <v>197</v>
      </c>
      <c r="E543" t="s">
        <v>197</v>
      </c>
      <c r="F543" t="s">
        <v>197</v>
      </c>
      <c r="G543" t="s">
        <v>197</v>
      </c>
      <c r="H543" t="s">
        <v>197</v>
      </c>
      <c r="I543" t="s">
        <v>197</v>
      </c>
      <c r="J543" t="s">
        <v>197</v>
      </c>
      <c r="K543" t="s">
        <v>803</v>
      </c>
    </row>
    <row r="544" spans="1:24">
      <c r="B544" t="s">
        <v>197</v>
      </c>
      <c r="C544" t="s">
        <v>197</v>
      </c>
      <c r="D544" t="s">
        <v>197</v>
      </c>
      <c r="E544" t="s">
        <v>197</v>
      </c>
      <c r="F544" t="s">
        <v>197</v>
      </c>
      <c r="G544" t="s">
        <v>197</v>
      </c>
      <c r="H544" t="s">
        <v>197</v>
      </c>
      <c r="I544" t="s">
        <v>197</v>
      </c>
      <c r="J544" t="s">
        <v>197</v>
      </c>
      <c r="K544" t="s">
        <v>804</v>
      </c>
    </row>
    <row r="545" spans="1:24">
      <c r="B545" t="s">
        <v>197</v>
      </c>
      <c r="C545" t="s">
        <v>197</v>
      </c>
      <c r="D545" t="s">
        <v>197</v>
      </c>
      <c r="E545" t="s">
        <v>197</v>
      </c>
      <c r="F545" t="s">
        <v>197</v>
      </c>
      <c r="G545" t="s">
        <v>197</v>
      </c>
      <c r="H545" t="s">
        <v>197</v>
      </c>
      <c r="I545" t="s">
        <v>197</v>
      </c>
      <c r="J545" t="s">
        <v>197</v>
      </c>
      <c r="K545" t="s">
        <v>805</v>
      </c>
    </row>
    <row r="546" spans="1:24">
      <c r="B546" t="s">
        <v>197</v>
      </c>
      <c r="C546" t="s">
        <v>197</v>
      </c>
      <c r="D546" t="s">
        <v>197</v>
      </c>
      <c r="E546" t="s">
        <v>197</v>
      </c>
      <c r="F546" t="s">
        <v>197</v>
      </c>
      <c r="G546" t="s">
        <v>197</v>
      </c>
      <c r="H546" t="s">
        <v>197</v>
      </c>
      <c r="I546" t="s">
        <v>197</v>
      </c>
      <c r="J546" t="s">
        <v>197</v>
      </c>
      <c r="K546" t="s">
        <v>806</v>
      </c>
    </row>
    <row r="547" spans="1:24">
      <c r="B547" t="s">
        <v>197</v>
      </c>
      <c r="C547" t="s">
        <v>197</v>
      </c>
      <c r="D547" t="s">
        <v>197</v>
      </c>
      <c r="E547" t="s">
        <v>197</v>
      </c>
      <c r="F547" t="s">
        <v>197</v>
      </c>
      <c r="G547" t="s">
        <v>197</v>
      </c>
      <c r="H547" t="s">
        <v>197</v>
      </c>
      <c r="I547" t="s">
        <v>197</v>
      </c>
      <c r="J547" t="s">
        <v>197</v>
      </c>
      <c r="K547" t="s">
        <v>807</v>
      </c>
    </row>
    <row r="548" spans="1:24">
      <c r="A548" t="s">
        <v>811</v>
      </c>
      <c r="K548" t="s">
        <v>812</v>
      </c>
      <c r="W548" t="s">
        <v>171</v>
      </c>
      <c r="X548" t="str">
        <f>A548</f>
        <v>info_datetimeoffset_dml_batch1_pk_urp2</v>
      </c>
    </row>
    <row r="549" spans="1:24">
      <c r="B549" t="s">
        <v>196</v>
      </c>
      <c r="C549" t="s">
        <v>197</v>
      </c>
      <c r="D549" t="s">
        <v>197</v>
      </c>
      <c r="E549" t="s">
        <v>197</v>
      </c>
      <c r="F549" t="s">
        <v>197</v>
      </c>
      <c r="G549" t="s">
        <v>197</v>
      </c>
      <c r="H549" t="s">
        <v>197</v>
      </c>
      <c r="I549" t="s">
        <v>813</v>
      </c>
      <c r="J549" t="s">
        <v>199</v>
      </c>
      <c r="K549" t="s">
        <v>200</v>
      </c>
    </row>
    <row r="550" spans="1:24">
      <c r="B550" t="s">
        <v>197</v>
      </c>
      <c r="C550" t="s">
        <v>197</v>
      </c>
      <c r="D550" t="s">
        <v>197</v>
      </c>
      <c r="E550" t="s">
        <v>197</v>
      </c>
      <c r="F550" t="s">
        <v>197</v>
      </c>
      <c r="G550" t="s">
        <v>197</v>
      </c>
      <c r="H550" t="s">
        <v>197</v>
      </c>
      <c r="I550" t="s">
        <v>197</v>
      </c>
      <c r="J550" t="s">
        <v>197</v>
      </c>
      <c r="K550" t="s">
        <v>301</v>
      </c>
    </row>
    <row r="551" spans="1:24">
      <c r="B551" t="s">
        <v>197</v>
      </c>
      <c r="C551" t="s">
        <v>197</v>
      </c>
      <c r="D551" t="s">
        <v>197</v>
      </c>
      <c r="E551" t="s">
        <v>197</v>
      </c>
      <c r="F551" t="s">
        <v>197</v>
      </c>
      <c r="G551" t="s">
        <v>197</v>
      </c>
      <c r="H551" t="s">
        <v>197</v>
      </c>
      <c r="I551" t="s">
        <v>197</v>
      </c>
      <c r="J551" t="s">
        <v>197</v>
      </c>
      <c r="K551" t="s">
        <v>314</v>
      </c>
    </row>
    <row r="552" spans="1:24">
      <c r="B552" t="s">
        <v>197</v>
      </c>
      <c r="C552" t="s">
        <v>197</v>
      </c>
      <c r="D552" t="s">
        <v>197</v>
      </c>
      <c r="E552" t="s">
        <v>197</v>
      </c>
      <c r="F552" t="s">
        <v>197</v>
      </c>
      <c r="G552" t="s">
        <v>197</v>
      </c>
      <c r="H552" t="s">
        <v>197</v>
      </c>
      <c r="I552" t="s">
        <v>197</v>
      </c>
      <c r="J552" t="s">
        <v>197</v>
      </c>
      <c r="K552" t="s">
        <v>324</v>
      </c>
    </row>
    <row r="553" spans="1:24">
      <c r="B553" t="s">
        <v>197</v>
      </c>
      <c r="C553" t="s">
        <v>197</v>
      </c>
      <c r="D553" t="s">
        <v>197</v>
      </c>
      <c r="E553" t="s">
        <v>197</v>
      </c>
      <c r="F553" t="s">
        <v>197</v>
      </c>
      <c r="G553" t="s">
        <v>197</v>
      </c>
      <c r="H553" t="s">
        <v>197</v>
      </c>
      <c r="I553" t="s">
        <v>197</v>
      </c>
      <c r="J553" t="s">
        <v>197</v>
      </c>
      <c r="K553" t="s">
        <v>335</v>
      </c>
    </row>
    <row r="554" spans="1:24">
      <c r="B554" t="s">
        <v>197</v>
      </c>
      <c r="C554" t="s">
        <v>197</v>
      </c>
      <c r="D554" t="s">
        <v>197</v>
      </c>
      <c r="E554" t="s">
        <v>197</v>
      </c>
      <c r="F554" t="s">
        <v>197</v>
      </c>
      <c r="G554" t="s">
        <v>197</v>
      </c>
      <c r="H554" t="s">
        <v>197</v>
      </c>
      <c r="I554" t="s">
        <v>197</v>
      </c>
      <c r="J554" t="s">
        <v>197</v>
      </c>
      <c r="K554" t="s">
        <v>350</v>
      </c>
    </row>
    <row r="555" spans="1:24">
      <c r="B555" t="s">
        <v>197</v>
      </c>
      <c r="C555" t="s">
        <v>197</v>
      </c>
      <c r="D555" t="s">
        <v>197</v>
      </c>
      <c r="E555" t="s">
        <v>197</v>
      </c>
      <c r="F555" t="s">
        <v>197</v>
      </c>
      <c r="G555" t="s">
        <v>197</v>
      </c>
      <c r="H555" t="s">
        <v>197</v>
      </c>
      <c r="I555" t="s">
        <v>197</v>
      </c>
      <c r="J555" t="s">
        <v>197</v>
      </c>
      <c r="K555" t="s">
        <v>360</v>
      </c>
    </row>
    <row r="556" spans="1:24">
      <c r="B556" t="s">
        <v>197</v>
      </c>
      <c r="C556" t="s">
        <v>197</v>
      </c>
      <c r="D556" t="s">
        <v>197</v>
      </c>
      <c r="E556" t="s">
        <v>197</v>
      </c>
      <c r="F556" t="s">
        <v>197</v>
      </c>
      <c r="G556" t="s">
        <v>197</v>
      </c>
      <c r="H556" t="s">
        <v>197</v>
      </c>
      <c r="I556" t="s">
        <v>197</v>
      </c>
      <c r="J556" t="s">
        <v>197</v>
      </c>
      <c r="K556" t="s">
        <v>367</v>
      </c>
    </row>
    <row r="557" spans="1:24">
      <c r="B557" t="s">
        <v>197</v>
      </c>
      <c r="C557" t="s">
        <v>197</v>
      </c>
      <c r="D557" t="s">
        <v>197</v>
      </c>
      <c r="E557" t="s">
        <v>197</v>
      </c>
      <c r="F557" t="s">
        <v>197</v>
      </c>
      <c r="G557" t="s">
        <v>197</v>
      </c>
      <c r="H557" t="s">
        <v>197</v>
      </c>
      <c r="I557" t="s">
        <v>197</v>
      </c>
      <c r="J557" t="s">
        <v>197</v>
      </c>
      <c r="K557" t="s">
        <v>373</v>
      </c>
    </row>
    <row r="558" spans="1:24">
      <c r="A558" t="s">
        <v>808</v>
      </c>
      <c r="K558" t="s">
        <v>809</v>
      </c>
      <c r="W558" t="s">
        <v>171</v>
      </c>
      <c r="X558" t="str">
        <f>A558</f>
        <v>info_date_dml_batch1_pk_irp2</v>
      </c>
    </row>
    <row r="559" spans="1:24">
      <c r="B559" t="s">
        <v>196</v>
      </c>
      <c r="C559" t="s">
        <v>197</v>
      </c>
      <c r="D559" t="s">
        <v>197</v>
      </c>
      <c r="E559" t="s">
        <v>197</v>
      </c>
      <c r="F559" t="s">
        <v>197</v>
      </c>
      <c r="G559" t="s">
        <v>197</v>
      </c>
      <c r="H559" t="s">
        <v>197</v>
      </c>
      <c r="I559" t="s">
        <v>810</v>
      </c>
      <c r="J559" t="s">
        <v>199</v>
      </c>
      <c r="K559" t="s">
        <v>200</v>
      </c>
    </row>
    <row r="560" spans="1:24">
      <c r="B560" t="s">
        <v>197</v>
      </c>
      <c r="C560" t="s">
        <v>197</v>
      </c>
      <c r="D560" t="s">
        <v>197</v>
      </c>
      <c r="E560" t="s">
        <v>197</v>
      </c>
      <c r="F560" t="s">
        <v>197</v>
      </c>
      <c r="G560" t="s">
        <v>197</v>
      </c>
      <c r="H560" t="s">
        <v>197</v>
      </c>
      <c r="I560" t="s">
        <v>197</v>
      </c>
      <c r="J560" t="s">
        <v>197</v>
      </c>
      <c r="K560" t="s">
        <v>678</v>
      </c>
    </row>
    <row r="561" spans="1:24">
      <c r="A561" t="s">
        <v>814</v>
      </c>
      <c r="K561" t="s">
        <v>815</v>
      </c>
      <c r="W561" t="s">
        <v>171</v>
      </c>
      <c r="X561" t="str">
        <f>A561</f>
        <v>info_varcharmax_dml_batch2_pk_irp2</v>
      </c>
    </row>
    <row r="562" spans="1:24">
      <c r="B562" t="s">
        <v>196</v>
      </c>
      <c r="C562" t="s">
        <v>197</v>
      </c>
      <c r="D562" t="s">
        <v>197</v>
      </c>
      <c r="E562" t="s">
        <v>197</v>
      </c>
      <c r="F562" t="s">
        <v>197</v>
      </c>
      <c r="G562" t="s">
        <v>197</v>
      </c>
      <c r="H562" t="s">
        <v>197</v>
      </c>
      <c r="I562" t="s">
        <v>816</v>
      </c>
      <c r="J562" t="s">
        <v>199</v>
      </c>
      <c r="K562" t="s">
        <v>200</v>
      </c>
    </row>
    <row r="563" spans="1:24">
      <c r="B563" t="s">
        <v>197</v>
      </c>
      <c r="C563" t="s">
        <v>197</v>
      </c>
      <c r="D563" t="s">
        <v>197</v>
      </c>
      <c r="E563" t="s">
        <v>197</v>
      </c>
      <c r="F563" t="s">
        <v>197</v>
      </c>
      <c r="G563" t="s">
        <v>197</v>
      </c>
      <c r="H563" t="s">
        <v>197</v>
      </c>
      <c r="I563" t="s">
        <v>197</v>
      </c>
      <c r="J563" t="s">
        <v>197</v>
      </c>
      <c r="K563" t="s">
        <v>725</v>
      </c>
    </row>
    <row r="564" spans="1:24">
      <c r="B564" t="s">
        <v>197</v>
      </c>
      <c r="C564" t="s">
        <v>197</v>
      </c>
      <c r="D564" t="s">
        <v>197</v>
      </c>
      <c r="E564" t="s">
        <v>197</v>
      </c>
      <c r="F564" t="s">
        <v>197</v>
      </c>
      <c r="G564" t="s">
        <v>197</v>
      </c>
      <c r="H564" t="s">
        <v>197</v>
      </c>
      <c r="I564" t="s">
        <v>197</v>
      </c>
      <c r="J564" t="s">
        <v>197</v>
      </c>
      <c r="K564" t="s">
        <v>726</v>
      </c>
    </row>
    <row r="565" spans="1:24">
      <c r="K565" t="s">
        <v>443</v>
      </c>
    </row>
    <row r="566" spans="1:24">
      <c r="A566" t="s">
        <v>817</v>
      </c>
      <c r="K566" t="s">
        <v>818</v>
      </c>
      <c r="W566" t="s">
        <v>171</v>
      </c>
      <c r="X566" t="str">
        <f>A566</f>
        <v>info_datetimeoffset_dml_batch1_pk_drp1</v>
      </c>
    </row>
    <row r="567" spans="1:24">
      <c r="B567" t="s">
        <v>196</v>
      </c>
      <c r="C567" t="s">
        <v>197</v>
      </c>
      <c r="D567" t="s">
        <v>197</v>
      </c>
      <c r="E567" t="s">
        <v>197</v>
      </c>
      <c r="F567" t="s">
        <v>197</v>
      </c>
      <c r="G567" t="s">
        <v>197</v>
      </c>
      <c r="H567" t="s">
        <v>197</v>
      </c>
      <c r="I567" t="s">
        <v>819</v>
      </c>
      <c r="J567" t="s">
        <v>199</v>
      </c>
      <c r="K567" t="s">
        <v>200</v>
      </c>
    </row>
    <row r="568" spans="1:24">
      <c r="B568" t="s">
        <v>197</v>
      </c>
      <c r="C568" t="s">
        <v>197</v>
      </c>
      <c r="D568" t="s">
        <v>197</v>
      </c>
      <c r="E568" t="s">
        <v>197</v>
      </c>
      <c r="F568" t="s">
        <v>197</v>
      </c>
      <c r="G568" t="s">
        <v>197</v>
      </c>
      <c r="H568" t="s">
        <v>197</v>
      </c>
      <c r="I568" t="s">
        <v>197</v>
      </c>
      <c r="J568" t="s">
        <v>197</v>
      </c>
      <c r="K568" t="s">
        <v>301</v>
      </c>
    </row>
    <row r="569" spans="1:24">
      <c r="B569" t="s">
        <v>197</v>
      </c>
      <c r="C569" t="s">
        <v>197</v>
      </c>
      <c r="D569" t="s">
        <v>197</v>
      </c>
      <c r="E569" t="s">
        <v>197</v>
      </c>
      <c r="F569" t="s">
        <v>197</v>
      </c>
      <c r="G569" t="s">
        <v>197</v>
      </c>
      <c r="H569" t="s">
        <v>197</v>
      </c>
      <c r="I569" t="s">
        <v>197</v>
      </c>
      <c r="J569" t="s">
        <v>197</v>
      </c>
      <c r="K569" t="s">
        <v>314</v>
      </c>
    </row>
    <row r="570" spans="1:24">
      <c r="B570" t="s">
        <v>197</v>
      </c>
      <c r="C570" t="s">
        <v>197</v>
      </c>
      <c r="D570" t="s">
        <v>197</v>
      </c>
      <c r="E570" t="s">
        <v>197</v>
      </c>
      <c r="F570" t="s">
        <v>197</v>
      </c>
      <c r="G570" t="s">
        <v>197</v>
      </c>
      <c r="H570" t="s">
        <v>197</v>
      </c>
      <c r="I570" t="s">
        <v>197</v>
      </c>
      <c r="J570" t="s">
        <v>197</v>
      </c>
      <c r="K570" t="s">
        <v>324</v>
      </c>
    </row>
    <row r="571" spans="1:24">
      <c r="B571" t="s">
        <v>197</v>
      </c>
      <c r="C571" t="s">
        <v>197</v>
      </c>
      <c r="D571" t="s">
        <v>197</v>
      </c>
      <c r="E571" t="s">
        <v>197</v>
      </c>
      <c r="F571" t="s">
        <v>197</v>
      </c>
      <c r="G571" t="s">
        <v>197</v>
      </c>
      <c r="H571" t="s">
        <v>197</v>
      </c>
      <c r="I571" t="s">
        <v>197</v>
      </c>
      <c r="J571" t="s">
        <v>197</v>
      </c>
      <c r="K571" t="s">
        <v>335</v>
      </c>
    </row>
    <row r="572" spans="1:24">
      <c r="B572" t="s">
        <v>197</v>
      </c>
      <c r="C572" t="s">
        <v>197</v>
      </c>
      <c r="D572" t="s">
        <v>197</v>
      </c>
      <c r="E572" t="s">
        <v>197</v>
      </c>
      <c r="F572" t="s">
        <v>197</v>
      </c>
      <c r="G572" t="s">
        <v>197</v>
      </c>
      <c r="H572" t="s">
        <v>197</v>
      </c>
      <c r="I572" t="s">
        <v>197</v>
      </c>
      <c r="J572" t="s">
        <v>197</v>
      </c>
      <c r="K572" t="s">
        <v>350</v>
      </c>
    </row>
    <row r="573" spans="1:24">
      <c r="B573" t="s">
        <v>197</v>
      </c>
      <c r="C573" t="s">
        <v>197</v>
      </c>
      <c r="D573" t="s">
        <v>197</v>
      </c>
      <c r="E573" t="s">
        <v>197</v>
      </c>
      <c r="F573" t="s">
        <v>197</v>
      </c>
      <c r="G573" t="s">
        <v>197</v>
      </c>
      <c r="H573" t="s">
        <v>197</v>
      </c>
      <c r="I573" t="s">
        <v>197</v>
      </c>
      <c r="J573" t="s">
        <v>197</v>
      </c>
      <c r="K573" t="s">
        <v>360</v>
      </c>
    </row>
    <row r="574" spans="1:24">
      <c r="B574" t="s">
        <v>197</v>
      </c>
      <c r="C574" t="s">
        <v>197</v>
      </c>
      <c r="D574" t="s">
        <v>197</v>
      </c>
      <c r="E574" t="s">
        <v>197</v>
      </c>
      <c r="F574" t="s">
        <v>197</v>
      </c>
      <c r="G574" t="s">
        <v>197</v>
      </c>
      <c r="H574" t="s">
        <v>197</v>
      </c>
      <c r="I574" t="s">
        <v>197</v>
      </c>
      <c r="J574" t="s">
        <v>197</v>
      </c>
      <c r="K574" t="s">
        <v>367</v>
      </c>
    </row>
    <row r="575" spans="1:24">
      <c r="B575" t="s">
        <v>197</v>
      </c>
      <c r="C575" t="s">
        <v>197</v>
      </c>
      <c r="D575" t="s">
        <v>197</v>
      </c>
      <c r="E575" t="s">
        <v>197</v>
      </c>
      <c r="F575" t="s">
        <v>197</v>
      </c>
      <c r="G575" t="s">
        <v>197</v>
      </c>
      <c r="H575" t="s">
        <v>197</v>
      </c>
      <c r="I575" t="s">
        <v>197</v>
      </c>
      <c r="J575" t="s">
        <v>197</v>
      </c>
      <c r="K575" t="s">
        <v>373</v>
      </c>
    </row>
    <row r="576" spans="1:24">
      <c r="K576" t="s">
        <v>443</v>
      </c>
    </row>
    <row r="577" spans="1:24">
      <c r="A577" t="s">
        <v>820</v>
      </c>
      <c r="K577" t="s">
        <v>821</v>
      </c>
      <c r="W577" t="s">
        <v>171</v>
      </c>
      <c r="X577" t="str">
        <f>A577</f>
        <v>info_nchar_dml_batch1_pk_urp1</v>
      </c>
    </row>
    <row r="578" spans="1:24">
      <c r="B578" t="s">
        <v>196</v>
      </c>
      <c r="C578" t="s">
        <v>197</v>
      </c>
      <c r="D578" t="s">
        <v>197</v>
      </c>
      <c r="E578" t="s">
        <v>197</v>
      </c>
      <c r="F578" t="s">
        <v>197</v>
      </c>
      <c r="G578" t="s">
        <v>197</v>
      </c>
      <c r="H578" t="s">
        <v>197</v>
      </c>
      <c r="I578" t="s">
        <v>822</v>
      </c>
      <c r="J578" t="s">
        <v>199</v>
      </c>
      <c r="K578" t="s">
        <v>200</v>
      </c>
    </row>
    <row r="579" spans="1:24">
      <c r="B579" t="s">
        <v>197</v>
      </c>
      <c r="C579" t="s">
        <v>197</v>
      </c>
      <c r="D579" t="s">
        <v>197</v>
      </c>
      <c r="E579" t="s">
        <v>197</v>
      </c>
      <c r="F579" t="s">
        <v>197</v>
      </c>
      <c r="G579" t="s">
        <v>197</v>
      </c>
      <c r="H579" t="s">
        <v>197</v>
      </c>
      <c r="I579" t="s">
        <v>197</v>
      </c>
      <c r="J579" t="s">
        <v>197</v>
      </c>
      <c r="K579" t="s">
        <v>514</v>
      </c>
    </row>
    <row r="580" spans="1:24">
      <c r="B580" t="s">
        <v>197</v>
      </c>
      <c r="C580" t="s">
        <v>197</v>
      </c>
      <c r="D580" t="s">
        <v>197</v>
      </c>
      <c r="E580" t="s">
        <v>197</v>
      </c>
      <c r="F580" t="s">
        <v>197</v>
      </c>
      <c r="G580" t="s">
        <v>197</v>
      </c>
      <c r="H580" t="s">
        <v>197</v>
      </c>
      <c r="I580" t="s">
        <v>197</v>
      </c>
      <c r="J580" t="s">
        <v>197</v>
      </c>
      <c r="K580" t="s">
        <v>516</v>
      </c>
    </row>
    <row r="581" spans="1:24">
      <c r="B581" t="s">
        <v>197</v>
      </c>
      <c r="C581" t="s">
        <v>197</v>
      </c>
      <c r="D581" t="s">
        <v>197</v>
      </c>
      <c r="E581" t="s">
        <v>197</v>
      </c>
      <c r="F581" t="s">
        <v>197</v>
      </c>
      <c r="G581" t="s">
        <v>197</v>
      </c>
      <c r="H581" t="s">
        <v>197</v>
      </c>
      <c r="I581" t="s">
        <v>197</v>
      </c>
      <c r="J581" t="s">
        <v>197</v>
      </c>
      <c r="K581" t="s">
        <v>612</v>
      </c>
    </row>
    <row r="582" spans="1:24">
      <c r="A582" t="s">
        <v>823</v>
      </c>
      <c r="K582" t="s">
        <v>824</v>
      </c>
      <c r="W582" t="s">
        <v>171</v>
      </c>
      <c r="X582" t="str">
        <f>A582</f>
        <v>info_hierarchyid_dml_single_pk</v>
      </c>
    </row>
    <row r="583" spans="1:24">
      <c r="B583" t="s">
        <v>196</v>
      </c>
      <c r="C583" t="s">
        <v>197</v>
      </c>
      <c r="D583" t="s">
        <v>197</v>
      </c>
      <c r="E583" t="s">
        <v>197</v>
      </c>
      <c r="F583" t="s">
        <v>197</v>
      </c>
      <c r="G583" t="s">
        <v>197</v>
      </c>
      <c r="H583" t="s">
        <v>197</v>
      </c>
      <c r="I583" t="s">
        <v>825</v>
      </c>
      <c r="J583" t="s">
        <v>199</v>
      </c>
      <c r="K583" t="s">
        <v>200</v>
      </c>
    </row>
    <row r="584" spans="1:24">
      <c r="B584" t="s">
        <v>197</v>
      </c>
      <c r="C584" t="s">
        <v>197</v>
      </c>
      <c r="D584" t="s">
        <v>197</v>
      </c>
      <c r="E584" t="s">
        <v>197</v>
      </c>
      <c r="F584" t="s">
        <v>197</v>
      </c>
      <c r="G584" t="s">
        <v>197</v>
      </c>
      <c r="H584" t="s">
        <v>197</v>
      </c>
      <c r="I584" t="s">
        <v>197</v>
      </c>
      <c r="J584" t="s">
        <v>197</v>
      </c>
      <c r="K584" t="s">
        <v>706</v>
      </c>
    </row>
    <row r="585" spans="1:24">
      <c r="A585" t="s">
        <v>826</v>
      </c>
      <c r="K585" t="s">
        <v>827</v>
      </c>
      <c r="W585" t="s">
        <v>171</v>
      </c>
      <c r="X585" t="str">
        <f>A585</f>
        <v>info_datetimeoffset_dml_batch1_pk_drp2</v>
      </c>
    </row>
    <row r="586" spans="1:24">
      <c r="B586" t="s">
        <v>196</v>
      </c>
      <c r="C586" t="s">
        <v>197</v>
      </c>
      <c r="D586" t="s">
        <v>197</v>
      </c>
      <c r="E586" t="s">
        <v>197</v>
      </c>
      <c r="F586" t="s">
        <v>197</v>
      </c>
      <c r="G586" t="s">
        <v>197</v>
      </c>
      <c r="H586" t="s">
        <v>197</v>
      </c>
      <c r="I586" t="s">
        <v>828</v>
      </c>
      <c r="J586" t="s">
        <v>199</v>
      </c>
      <c r="K586" t="s">
        <v>200</v>
      </c>
    </row>
    <row r="587" spans="1:24">
      <c r="B587" t="s">
        <v>197</v>
      </c>
      <c r="C587" t="s">
        <v>197</v>
      </c>
      <c r="D587" t="s">
        <v>197</v>
      </c>
      <c r="E587" t="s">
        <v>197</v>
      </c>
      <c r="F587" t="s">
        <v>197</v>
      </c>
      <c r="G587" t="s">
        <v>197</v>
      </c>
      <c r="H587" t="s">
        <v>197</v>
      </c>
      <c r="I587" t="s">
        <v>197</v>
      </c>
      <c r="J587" t="s">
        <v>197</v>
      </c>
      <c r="K587" t="s">
        <v>301</v>
      </c>
    </row>
    <row r="588" spans="1:24">
      <c r="B588" t="s">
        <v>197</v>
      </c>
      <c r="C588" t="s">
        <v>197</v>
      </c>
      <c r="D588" t="s">
        <v>197</v>
      </c>
      <c r="E588" t="s">
        <v>197</v>
      </c>
      <c r="F588" t="s">
        <v>197</v>
      </c>
      <c r="G588" t="s">
        <v>197</v>
      </c>
      <c r="H588" t="s">
        <v>197</v>
      </c>
      <c r="I588" t="s">
        <v>197</v>
      </c>
      <c r="J588" t="s">
        <v>197</v>
      </c>
      <c r="K588" t="s">
        <v>314</v>
      </c>
    </row>
    <row r="589" spans="1:24">
      <c r="B589" t="s">
        <v>197</v>
      </c>
      <c r="C589" t="s">
        <v>197</v>
      </c>
      <c r="D589" t="s">
        <v>197</v>
      </c>
      <c r="E589" t="s">
        <v>197</v>
      </c>
      <c r="F589" t="s">
        <v>197</v>
      </c>
      <c r="G589" t="s">
        <v>197</v>
      </c>
      <c r="H589" t="s">
        <v>197</v>
      </c>
      <c r="I589" t="s">
        <v>197</v>
      </c>
      <c r="J589" t="s">
        <v>197</v>
      </c>
      <c r="K589" t="s">
        <v>324</v>
      </c>
    </row>
    <row r="590" spans="1:24">
      <c r="B590" t="s">
        <v>197</v>
      </c>
      <c r="C590" t="s">
        <v>197</v>
      </c>
      <c r="D590" t="s">
        <v>197</v>
      </c>
      <c r="E590" t="s">
        <v>197</v>
      </c>
      <c r="F590" t="s">
        <v>197</v>
      </c>
      <c r="G590" t="s">
        <v>197</v>
      </c>
      <c r="H590" t="s">
        <v>197</v>
      </c>
      <c r="I590" t="s">
        <v>197</v>
      </c>
      <c r="J590" t="s">
        <v>197</v>
      </c>
      <c r="K590" t="s">
        <v>335</v>
      </c>
    </row>
    <row r="591" spans="1:24">
      <c r="B591" t="s">
        <v>197</v>
      </c>
      <c r="C591" t="s">
        <v>197</v>
      </c>
      <c r="D591" t="s">
        <v>197</v>
      </c>
      <c r="E591" t="s">
        <v>197</v>
      </c>
      <c r="F591" t="s">
        <v>197</v>
      </c>
      <c r="G591" t="s">
        <v>197</v>
      </c>
      <c r="H591" t="s">
        <v>197</v>
      </c>
      <c r="I591" t="s">
        <v>197</v>
      </c>
      <c r="J591" t="s">
        <v>197</v>
      </c>
      <c r="K591" t="s">
        <v>350</v>
      </c>
    </row>
    <row r="592" spans="1:24">
      <c r="B592" t="s">
        <v>197</v>
      </c>
      <c r="C592" t="s">
        <v>197</v>
      </c>
      <c r="D592" t="s">
        <v>197</v>
      </c>
      <c r="E592" t="s">
        <v>197</v>
      </c>
      <c r="F592" t="s">
        <v>197</v>
      </c>
      <c r="G592" t="s">
        <v>197</v>
      </c>
      <c r="H592" t="s">
        <v>197</v>
      </c>
      <c r="I592" t="s">
        <v>197</v>
      </c>
      <c r="J592" t="s">
        <v>197</v>
      </c>
      <c r="K592" t="s">
        <v>360</v>
      </c>
    </row>
    <row r="593" spans="1:24">
      <c r="B593" t="s">
        <v>197</v>
      </c>
      <c r="C593" t="s">
        <v>197</v>
      </c>
      <c r="D593" t="s">
        <v>197</v>
      </c>
      <c r="E593" t="s">
        <v>197</v>
      </c>
      <c r="F593" t="s">
        <v>197</v>
      </c>
      <c r="G593" t="s">
        <v>197</v>
      </c>
      <c r="H593" t="s">
        <v>197</v>
      </c>
      <c r="I593" t="s">
        <v>197</v>
      </c>
      <c r="J593" t="s">
        <v>197</v>
      </c>
      <c r="K593" t="s">
        <v>367</v>
      </c>
    </row>
    <row r="594" spans="1:24">
      <c r="B594" t="s">
        <v>197</v>
      </c>
      <c r="C594" t="s">
        <v>197</v>
      </c>
      <c r="D594" t="s">
        <v>197</v>
      </c>
      <c r="E594" t="s">
        <v>197</v>
      </c>
      <c r="F594" t="s">
        <v>197</v>
      </c>
      <c r="G594" t="s">
        <v>197</v>
      </c>
      <c r="H594" t="s">
        <v>197</v>
      </c>
      <c r="I594" t="s">
        <v>197</v>
      </c>
      <c r="J594" t="s">
        <v>197</v>
      </c>
      <c r="K594" t="s">
        <v>373</v>
      </c>
    </row>
    <row r="595" spans="1:24">
      <c r="A595" t="s">
        <v>829</v>
      </c>
      <c r="K595" t="s">
        <v>830</v>
      </c>
      <c r="W595" t="s">
        <v>171</v>
      </c>
      <c r="X595" t="str">
        <f>A595</f>
        <v>info_char_dml_batch1_pk_drp1</v>
      </c>
    </row>
    <row r="596" spans="1:24">
      <c r="B596" t="s">
        <v>196</v>
      </c>
      <c r="C596" t="s">
        <v>197</v>
      </c>
      <c r="D596" t="s">
        <v>197</v>
      </c>
      <c r="E596" t="s">
        <v>197</v>
      </c>
      <c r="F596" t="s">
        <v>197</v>
      </c>
      <c r="G596" t="s">
        <v>197</v>
      </c>
      <c r="H596" t="s">
        <v>197</v>
      </c>
      <c r="I596" t="s">
        <v>831</v>
      </c>
      <c r="J596" t="s">
        <v>199</v>
      </c>
      <c r="K596" t="s">
        <v>200</v>
      </c>
    </row>
    <row r="597" spans="1:24">
      <c r="B597" t="s">
        <v>197</v>
      </c>
      <c r="C597" t="s">
        <v>197</v>
      </c>
      <c r="D597" t="s">
        <v>197</v>
      </c>
      <c r="E597" t="s">
        <v>197</v>
      </c>
      <c r="F597" t="s">
        <v>197</v>
      </c>
      <c r="G597" t="s">
        <v>197</v>
      </c>
      <c r="H597" t="s">
        <v>197</v>
      </c>
      <c r="I597" t="s">
        <v>197</v>
      </c>
      <c r="J597" t="s">
        <v>197</v>
      </c>
      <c r="K597" t="s">
        <v>622</v>
      </c>
    </row>
    <row r="598" spans="1:24">
      <c r="B598" t="s">
        <v>197</v>
      </c>
      <c r="C598" t="s">
        <v>197</v>
      </c>
      <c r="D598" t="s">
        <v>197</v>
      </c>
      <c r="E598" t="s">
        <v>197</v>
      </c>
      <c r="F598" t="s">
        <v>197</v>
      </c>
      <c r="G598" t="s">
        <v>197</v>
      </c>
      <c r="H598" t="s">
        <v>197</v>
      </c>
      <c r="I598" t="s">
        <v>197</v>
      </c>
      <c r="J598" t="s">
        <v>197</v>
      </c>
      <c r="K598" t="s">
        <v>623</v>
      </c>
    </row>
    <row r="599" spans="1:24">
      <c r="B599" t="s">
        <v>197</v>
      </c>
      <c r="C599" t="s">
        <v>197</v>
      </c>
      <c r="D599" t="s">
        <v>197</v>
      </c>
      <c r="E599" t="s">
        <v>197</v>
      </c>
      <c r="F599" t="s">
        <v>197</v>
      </c>
      <c r="G599" t="s">
        <v>197</v>
      </c>
      <c r="H599" t="s">
        <v>197</v>
      </c>
      <c r="I599" t="s">
        <v>197</v>
      </c>
      <c r="J599" t="s">
        <v>197</v>
      </c>
      <c r="K599" t="s">
        <v>832</v>
      </c>
    </row>
    <row r="600" spans="1:24">
      <c r="K600" t="s">
        <v>443</v>
      </c>
    </row>
    <row r="601" spans="1:24">
      <c r="A601" t="s">
        <v>833</v>
      </c>
      <c r="K601" t="s">
        <v>834</v>
      </c>
      <c r="W601" t="s">
        <v>171</v>
      </c>
      <c r="X601" t="str">
        <f>A601</f>
        <v>info_datetimeoffset_dml_batch1_pk</v>
      </c>
    </row>
    <row r="602" spans="1:24">
      <c r="B602" t="s">
        <v>196</v>
      </c>
      <c r="C602" t="s">
        <v>197</v>
      </c>
      <c r="D602" t="s">
        <v>197</v>
      </c>
      <c r="E602" t="s">
        <v>197</v>
      </c>
      <c r="F602" t="s">
        <v>197</v>
      </c>
      <c r="G602" t="s">
        <v>197</v>
      </c>
      <c r="H602" t="s">
        <v>197</v>
      </c>
      <c r="I602" t="s">
        <v>835</v>
      </c>
      <c r="J602" t="s">
        <v>199</v>
      </c>
      <c r="K602" t="s">
        <v>200</v>
      </c>
    </row>
    <row r="603" spans="1:24">
      <c r="B603" t="s">
        <v>197</v>
      </c>
      <c r="C603" t="s">
        <v>197</v>
      </c>
      <c r="D603" t="s">
        <v>197</v>
      </c>
      <c r="E603" t="s">
        <v>197</v>
      </c>
      <c r="F603" t="s">
        <v>197</v>
      </c>
      <c r="G603" t="s">
        <v>197</v>
      </c>
      <c r="H603" t="s">
        <v>197</v>
      </c>
      <c r="I603" t="s">
        <v>197</v>
      </c>
      <c r="J603" t="s">
        <v>197</v>
      </c>
      <c r="K603" t="s">
        <v>301</v>
      </c>
    </row>
    <row r="604" spans="1:24">
      <c r="B604" t="s">
        <v>197</v>
      </c>
      <c r="C604" t="s">
        <v>197</v>
      </c>
      <c r="D604" t="s">
        <v>197</v>
      </c>
      <c r="E604" t="s">
        <v>197</v>
      </c>
      <c r="F604" t="s">
        <v>197</v>
      </c>
      <c r="G604" t="s">
        <v>197</v>
      </c>
      <c r="H604" t="s">
        <v>197</v>
      </c>
      <c r="I604" t="s">
        <v>197</v>
      </c>
      <c r="J604" t="s">
        <v>197</v>
      </c>
      <c r="K604" t="s">
        <v>314</v>
      </c>
    </row>
    <row r="605" spans="1:24">
      <c r="B605" t="s">
        <v>197</v>
      </c>
      <c r="C605" t="s">
        <v>197</v>
      </c>
      <c r="D605" t="s">
        <v>197</v>
      </c>
      <c r="E605" t="s">
        <v>197</v>
      </c>
      <c r="F605" t="s">
        <v>197</v>
      </c>
      <c r="G605" t="s">
        <v>197</v>
      </c>
      <c r="H605" t="s">
        <v>197</v>
      </c>
      <c r="I605" t="s">
        <v>197</v>
      </c>
      <c r="J605" t="s">
        <v>197</v>
      </c>
      <c r="K605" t="s">
        <v>324</v>
      </c>
    </row>
    <row r="606" spans="1:24">
      <c r="B606" t="s">
        <v>197</v>
      </c>
      <c r="C606" t="s">
        <v>197</v>
      </c>
      <c r="D606" t="s">
        <v>197</v>
      </c>
      <c r="E606" t="s">
        <v>197</v>
      </c>
      <c r="F606" t="s">
        <v>197</v>
      </c>
      <c r="G606" t="s">
        <v>197</v>
      </c>
      <c r="H606" t="s">
        <v>197</v>
      </c>
      <c r="I606" t="s">
        <v>197</v>
      </c>
      <c r="J606" t="s">
        <v>197</v>
      </c>
      <c r="K606" t="s">
        <v>335</v>
      </c>
    </row>
    <row r="607" spans="1:24">
      <c r="B607" t="s">
        <v>197</v>
      </c>
      <c r="C607" t="s">
        <v>197</v>
      </c>
      <c r="D607" t="s">
        <v>197</v>
      </c>
      <c r="E607" t="s">
        <v>197</v>
      </c>
      <c r="F607" t="s">
        <v>197</v>
      </c>
      <c r="G607" t="s">
        <v>197</v>
      </c>
      <c r="H607" t="s">
        <v>197</v>
      </c>
      <c r="I607" t="s">
        <v>197</v>
      </c>
      <c r="J607" t="s">
        <v>197</v>
      </c>
      <c r="K607" t="s">
        <v>350</v>
      </c>
    </row>
    <row r="608" spans="1:24">
      <c r="B608" t="s">
        <v>197</v>
      </c>
      <c r="C608" t="s">
        <v>197</v>
      </c>
      <c r="D608" t="s">
        <v>197</v>
      </c>
      <c r="E608" t="s">
        <v>197</v>
      </c>
      <c r="F608" t="s">
        <v>197</v>
      </c>
      <c r="G608" t="s">
        <v>197</v>
      </c>
      <c r="H608" t="s">
        <v>197</v>
      </c>
      <c r="I608" t="s">
        <v>197</v>
      </c>
      <c r="J608" t="s">
        <v>197</v>
      </c>
      <c r="K608" t="s">
        <v>360</v>
      </c>
    </row>
    <row r="609" spans="1:24">
      <c r="B609" t="s">
        <v>197</v>
      </c>
      <c r="C609" t="s">
        <v>197</v>
      </c>
      <c r="D609" t="s">
        <v>197</v>
      </c>
      <c r="E609" t="s">
        <v>197</v>
      </c>
      <c r="F609" t="s">
        <v>197</v>
      </c>
      <c r="G609" t="s">
        <v>197</v>
      </c>
      <c r="H609" t="s">
        <v>197</v>
      </c>
      <c r="I609" t="s">
        <v>197</v>
      </c>
      <c r="J609" t="s">
        <v>197</v>
      </c>
      <c r="K609" t="s">
        <v>367</v>
      </c>
    </row>
    <row r="610" spans="1:24">
      <c r="B610" t="s">
        <v>197</v>
      </c>
      <c r="C610" t="s">
        <v>197</v>
      </c>
      <c r="D610" t="s">
        <v>197</v>
      </c>
      <c r="E610" t="s">
        <v>197</v>
      </c>
      <c r="F610" t="s">
        <v>197</v>
      </c>
      <c r="G610" t="s">
        <v>197</v>
      </c>
      <c r="H610" t="s">
        <v>197</v>
      </c>
      <c r="I610" t="s">
        <v>197</v>
      </c>
      <c r="J610" t="s">
        <v>197</v>
      </c>
      <c r="K610" t="s">
        <v>373</v>
      </c>
    </row>
    <row r="611" spans="1:24">
      <c r="A611" t="s">
        <v>836</v>
      </c>
      <c r="K611" t="s">
        <v>837</v>
      </c>
      <c r="W611" t="s">
        <v>171</v>
      </c>
      <c r="X611" t="str">
        <f>A611</f>
        <v>info_nchar_dml_batch2_pk_urp2</v>
      </c>
    </row>
    <row r="612" spans="1:24">
      <c r="B612" t="s">
        <v>196</v>
      </c>
      <c r="C612" t="s">
        <v>197</v>
      </c>
      <c r="D612" t="s">
        <v>197</v>
      </c>
      <c r="E612" t="s">
        <v>197</v>
      </c>
      <c r="F612" t="s">
        <v>197</v>
      </c>
      <c r="G612" t="s">
        <v>197</v>
      </c>
      <c r="H612" t="s">
        <v>197</v>
      </c>
      <c r="I612" t="s">
        <v>838</v>
      </c>
      <c r="J612" t="s">
        <v>199</v>
      </c>
      <c r="K612" t="s">
        <v>200</v>
      </c>
    </row>
    <row r="613" spans="1:24">
      <c r="B613" t="s">
        <v>197</v>
      </c>
      <c r="C613" t="s">
        <v>197</v>
      </c>
      <c r="D613" t="s">
        <v>197</v>
      </c>
      <c r="E613" t="s">
        <v>197</v>
      </c>
      <c r="F613" t="s">
        <v>197</v>
      </c>
      <c r="G613" t="s">
        <v>197</v>
      </c>
      <c r="H613" t="s">
        <v>197</v>
      </c>
      <c r="I613" t="s">
        <v>197</v>
      </c>
      <c r="J613" t="s">
        <v>197</v>
      </c>
      <c r="K613" t="s">
        <v>514</v>
      </c>
    </row>
    <row r="614" spans="1:24">
      <c r="B614" t="s">
        <v>197</v>
      </c>
      <c r="C614" t="s">
        <v>197</v>
      </c>
      <c r="D614" t="s">
        <v>197</v>
      </c>
      <c r="E614" t="s">
        <v>197</v>
      </c>
      <c r="F614" t="s">
        <v>197</v>
      </c>
      <c r="G614" t="s">
        <v>197</v>
      </c>
      <c r="H614" t="s">
        <v>197</v>
      </c>
      <c r="I614" t="s">
        <v>197</v>
      </c>
      <c r="J614" t="s">
        <v>197</v>
      </c>
      <c r="K614" t="s">
        <v>516</v>
      </c>
    </row>
    <row r="615" spans="1:24">
      <c r="B615" t="s">
        <v>197</v>
      </c>
      <c r="C615" t="s">
        <v>197</v>
      </c>
      <c r="D615" t="s">
        <v>197</v>
      </c>
      <c r="E615" t="s">
        <v>197</v>
      </c>
      <c r="F615" t="s">
        <v>197</v>
      </c>
      <c r="G615" t="s">
        <v>197</v>
      </c>
      <c r="H615" t="s">
        <v>197</v>
      </c>
      <c r="I615" t="s">
        <v>197</v>
      </c>
      <c r="J615" t="s">
        <v>197</v>
      </c>
      <c r="K615" t="s">
        <v>612</v>
      </c>
    </row>
    <row r="616" spans="1:24">
      <c r="A616" t="s">
        <v>839</v>
      </c>
      <c r="K616" t="s">
        <v>840</v>
      </c>
      <c r="W616" t="s">
        <v>171</v>
      </c>
      <c r="X616" t="str">
        <f>A616</f>
        <v>info_date_dml_batch2_pk_irp1</v>
      </c>
    </row>
    <row r="617" spans="1:24">
      <c r="B617" t="s">
        <v>196</v>
      </c>
      <c r="C617" t="s">
        <v>197</v>
      </c>
      <c r="D617" t="s">
        <v>197</v>
      </c>
      <c r="E617" t="s">
        <v>197</v>
      </c>
      <c r="F617" t="s">
        <v>197</v>
      </c>
      <c r="G617" t="s">
        <v>197</v>
      </c>
      <c r="H617" t="s">
        <v>197</v>
      </c>
      <c r="I617" t="s">
        <v>841</v>
      </c>
      <c r="J617" t="s">
        <v>199</v>
      </c>
      <c r="K617" t="s">
        <v>200</v>
      </c>
    </row>
    <row r="618" spans="1:24">
      <c r="B618" t="s">
        <v>197</v>
      </c>
      <c r="C618" t="s">
        <v>197</v>
      </c>
      <c r="D618" t="s">
        <v>197</v>
      </c>
      <c r="E618" t="s">
        <v>197</v>
      </c>
      <c r="F618" t="s">
        <v>197</v>
      </c>
      <c r="G618" t="s">
        <v>197</v>
      </c>
      <c r="H618" t="s">
        <v>197</v>
      </c>
      <c r="I618" t="s">
        <v>197</v>
      </c>
      <c r="J618" t="s">
        <v>197</v>
      </c>
      <c r="K618" t="s">
        <v>678</v>
      </c>
    </row>
    <row r="619" spans="1:24">
      <c r="A619" t="s">
        <v>842</v>
      </c>
      <c r="K619" t="s">
        <v>843</v>
      </c>
      <c r="W619" t="s">
        <v>171</v>
      </c>
      <c r="X619" t="str">
        <f>A619</f>
        <v>info_time_dml_single_pk_urp</v>
      </c>
    </row>
    <row r="620" spans="1:24">
      <c r="B620" t="s">
        <v>196</v>
      </c>
      <c r="C620" t="s">
        <v>197</v>
      </c>
      <c r="D620" t="s">
        <v>197</v>
      </c>
      <c r="E620" t="s">
        <v>197</v>
      </c>
      <c r="F620" t="s">
        <v>197</v>
      </c>
      <c r="G620" t="s">
        <v>197</v>
      </c>
      <c r="H620" t="s">
        <v>197</v>
      </c>
      <c r="I620" t="s">
        <v>844</v>
      </c>
      <c r="J620" t="s">
        <v>199</v>
      </c>
      <c r="K620" t="s">
        <v>200</v>
      </c>
    </row>
    <row r="621" spans="1:24">
      <c r="B621" t="s">
        <v>197</v>
      </c>
      <c r="C621" t="s">
        <v>197</v>
      </c>
      <c r="D621" t="s">
        <v>197</v>
      </c>
      <c r="E621" t="s">
        <v>197</v>
      </c>
      <c r="F621" t="s">
        <v>197</v>
      </c>
      <c r="G621" t="s">
        <v>197</v>
      </c>
      <c r="H621" t="s">
        <v>197</v>
      </c>
      <c r="I621" t="s">
        <v>197</v>
      </c>
      <c r="J621" t="s">
        <v>197</v>
      </c>
      <c r="K621" t="s">
        <v>800</v>
      </c>
    </row>
    <row r="622" spans="1:24">
      <c r="B622" t="s">
        <v>197</v>
      </c>
      <c r="C622" t="s">
        <v>197</v>
      </c>
      <c r="D622" t="s">
        <v>197</v>
      </c>
      <c r="E622" t="s">
        <v>197</v>
      </c>
      <c r="F622" t="s">
        <v>197</v>
      </c>
      <c r="G622" t="s">
        <v>197</v>
      </c>
      <c r="H622" t="s">
        <v>197</v>
      </c>
      <c r="I622" t="s">
        <v>197</v>
      </c>
      <c r="J622" t="s">
        <v>197</v>
      </c>
      <c r="K622" t="s">
        <v>801</v>
      </c>
    </row>
    <row r="623" spans="1:24">
      <c r="B623" t="s">
        <v>197</v>
      </c>
      <c r="C623" t="s">
        <v>197</v>
      </c>
      <c r="D623" t="s">
        <v>197</v>
      </c>
      <c r="E623" t="s">
        <v>197</v>
      </c>
      <c r="F623" t="s">
        <v>197</v>
      </c>
      <c r="G623" t="s">
        <v>197</v>
      </c>
      <c r="H623" t="s">
        <v>197</v>
      </c>
      <c r="I623" t="s">
        <v>197</v>
      </c>
      <c r="J623" t="s">
        <v>197</v>
      </c>
      <c r="K623" t="s">
        <v>802</v>
      </c>
    </row>
    <row r="624" spans="1:24">
      <c r="B624" t="s">
        <v>197</v>
      </c>
      <c r="C624" t="s">
        <v>197</v>
      </c>
      <c r="D624" t="s">
        <v>197</v>
      </c>
      <c r="E624" t="s">
        <v>197</v>
      </c>
      <c r="F624" t="s">
        <v>197</v>
      </c>
      <c r="G624" t="s">
        <v>197</v>
      </c>
      <c r="H624" t="s">
        <v>197</v>
      </c>
      <c r="I624" t="s">
        <v>197</v>
      </c>
      <c r="J624" t="s">
        <v>197</v>
      </c>
      <c r="K624" t="s">
        <v>803</v>
      </c>
    </row>
    <row r="625" spans="1:24">
      <c r="B625" t="s">
        <v>197</v>
      </c>
      <c r="C625" t="s">
        <v>197</v>
      </c>
      <c r="D625" t="s">
        <v>197</v>
      </c>
      <c r="E625" t="s">
        <v>197</v>
      </c>
      <c r="F625" t="s">
        <v>197</v>
      </c>
      <c r="G625" t="s">
        <v>197</v>
      </c>
      <c r="H625" t="s">
        <v>197</v>
      </c>
      <c r="I625" t="s">
        <v>197</v>
      </c>
      <c r="J625" t="s">
        <v>197</v>
      </c>
      <c r="K625" t="s">
        <v>804</v>
      </c>
    </row>
    <row r="626" spans="1:24">
      <c r="B626" t="s">
        <v>197</v>
      </c>
      <c r="C626" t="s">
        <v>197</v>
      </c>
      <c r="D626" t="s">
        <v>197</v>
      </c>
      <c r="E626" t="s">
        <v>197</v>
      </c>
      <c r="F626" t="s">
        <v>197</v>
      </c>
      <c r="G626" t="s">
        <v>197</v>
      </c>
      <c r="H626" t="s">
        <v>197</v>
      </c>
      <c r="I626" t="s">
        <v>197</v>
      </c>
      <c r="J626" t="s">
        <v>197</v>
      </c>
      <c r="K626" t="s">
        <v>805</v>
      </c>
    </row>
    <row r="627" spans="1:24">
      <c r="B627" t="s">
        <v>197</v>
      </c>
      <c r="C627" t="s">
        <v>197</v>
      </c>
      <c r="D627" t="s">
        <v>197</v>
      </c>
      <c r="E627" t="s">
        <v>197</v>
      </c>
      <c r="F627" t="s">
        <v>197</v>
      </c>
      <c r="G627" t="s">
        <v>197</v>
      </c>
      <c r="H627" t="s">
        <v>197</v>
      </c>
      <c r="I627" t="s">
        <v>197</v>
      </c>
      <c r="J627" t="s">
        <v>197</v>
      </c>
      <c r="K627" t="s">
        <v>806</v>
      </c>
    </row>
    <row r="628" spans="1:24">
      <c r="B628" t="s">
        <v>197</v>
      </c>
      <c r="C628" t="s">
        <v>197</v>
      </c>
      <c r="D628" t="s">
        <v>197</v>
      </c>
      <c r="E628" t="s">
        <v>197</v>
      </c>
      <c r="F628" t="s">
        <v>197</v>
      </c>
      <c r="G628" t="s">
        <v>197</v>
      </c>
      <c r="H628" t="s">
        <v>197</v>
      </c>
      <c r="I628" t="s">
        <v>197</v>
      </c>
      <c r="J628" t="s">
        <v>197</v>
      </c>
      <c r="K628" t="s">
        <v>807</v>
      </c>
    </row>
    <row r="629" spans="1:24">
      <c r="A629" t="s">
        <v>845</v>
      </c>
      <c r="K629" t="s">
        <v>846</v>
      </c>
      <c r="W629" s="1" t="str">
        <f>HYPERLINK("#2026042011hbase0!AL2","NO 源备存在差异，共20个")</f>
        <v>NO 源备存在差异，共20个</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848</v>
      </c>
      <c r="K634" t="s">
        <v>849</v>
      </c>
      <c r="W634" t="s">
        <v>171</v>
      </c>
      <c r="X634" t="str">
        <f>A634</f>
        <v>info_time_dml_single_pk_drp</v>
      </c>
    </row>
    <row r="635" spans="1:24">
      <c r="B635" t="s">
        <v>196</v>
      </c>
      <c r="C635" t="s">
        <v>197</v>
      </c>
      <c r="D635" t="s">
        <v>197</v>
      </c>
      <c r="E635" t="s">
        <v>197</v>
      </c>
      <c r="F635" t="s">
        <v>197</v>
      </c>
      <c r="G635" t="s">
        <v>197</v>
      </c>
      <c r="H635" t="s">
        <v>197</v>
      </c>
      <c r="I635" t="s">
        <v>850</v>
      </c>
      <c r="J635" t="s">
        <v>199</v>
      </c>
      <c r="K635" t="s">
        <v>200</v>
      </c>
    </row>
    <row r="636" spans="1:24">
      <c r="B636" t="s">
        <v>197</v>
      </c>
      <c r="C636" t="s">
        <v>197</v>
      </c>
      <c r="D636" t="s">
        <v>197</v>
      </c>
      <c r="E636" t="s">
        <v>197</v>
      </c>
      <c r="F636" t="s">
        <v>197</v>
      </c>
      <c r="G636" t="s">
        <v>197</v>
      </c>
      <c r="H636" t="s">
        <v>197</v>
      </c>
      <c r="I636" t="s">
        <v>197</v>
      </c>
      <c r="J636" t="s">
        <v>197</v>
      </c>
      <c r="K636" t="s">
        <v>800</v>
      </c>
    </row>
    <row r="637" spans="1:24">
      <c r="B637" t="s">
        <v>197</v>
      </c>
      <c r="C637" t="s">
        <v>197</v>
      </c>
      <c r="D637" t="s">
        <v>197</v>
      </c>
      <c r="E637" t="s">
        <v>197</v>
      </c>
      <c r="F637" t="s">
        <v>197</v>
      </c>
      <c r="G637" t="s">
        <v>197</v>
      </c>
      <c r="H637" t="s">
        <v>197</v>
      </c>
      <c r="I637" t="s">
        <v>197</v>
      </c>
      <c r="J637" t="s">
        <v>197</v>
      </c>
      <c r="K637" t="s">
        <v>801</v>
      </c>
    </row>
    <row r="638" spans="1:24">
      <c r="B638" t="s">
        <v>197</v>
      </c>
      <c r="C638" t="s">
        <v>197</v>
      </c>
      <c r="D638" t="s">
        <v>197</v>
      </c>
      <c r="E638" t="s">
        <v>197</v>
      </c>
      <c r="F638" t="s">
        <v>197</v>
      </c>
      <c r="G638" t="s">
        <v>197</v>
      </c>
      <c r="H638" t="s">
        <v>197</v>
      </c>
      <c r="I638" t="s">
        <v>197</v>
      </c>
      <c r="J638" t="s">
        <v>197</v>
      </c>
      <c r="K638" t="s">
        <v>802</v>
      </c>
    </row>
    <row r="639" spans="1:24">
      <c r="B639" t="s">
        <v>197</v>
      </c>
      <c r="C639" t="s">
        <v>197</v>
      </c>
      <c r="D639" t="s">
        <v>197</v>
      </c>
      <c r="E639" t="s">
        <v>197</v>
      </c>
      <c r="F639" t="s">
        <v>197</v>
      </c>
      <c r="G639" t="s">
        <v>197</v>
      </c>
      <c r="H639" t="s">
        <v>197</v>
      </c>
      <c r="I639" t="s">
        <v>197</v>
      </c>
      <c r="J639" t="s">
        <v>197</v>
      </c>
      <c r="K639" t="s">
        <v>803</v>
      </c>
    </row>
    <row r="640" spans="1:24">
      <c r="B640" t="s">
        <v>197</v>
      </c>
      <c r="C640" t="s">
        <v>197</v>
      </c>
      <c r="D640" t="s">
        <v>197</v>
      </c>
      <c r="E640" t="s">
        <v>197</v>
      </c>
      <c r="F640" t="s">
        <v>197</v>
      </c>
      <c r="G640" t="s">
        <v>197</v>
      </c>
      <c r="H640" t="s">
        <v>197</v>
      </c>
      <c r="I640" t="s">
        <v>197</v>
      </c>
      <c r="J640" t="s">
        <v>197</v>
      </c>
      <c r="K640" t="s">
        <v>804</v>
      </c>
    </row>
    <row r="641" spans="1:24">
      <c r="B641" t="s">
        <v>197</v>
      </c>
      <c r="C641" t="s">
        <v>197</v>
      </c>
      <c r="D641" t="s">
        <v>197</v>
      </c>
      <c r="E641" t="s">
        <v>197</v>
      </c>
      <c r="F641" t="s">
        <v>197</v>
      </c>
      <c r="G641" t="s">
        <v>197</v>
      </c>
      <c r="H641" t="s">
        <v>197</v>
      </c>
      <c r="I641" t="s">
        <v>197</v>
      </c>
      <c r="J641" t="s">
        <v>197</v>
      </c>
      <c r="K641" t="s">
        <v>805</v>
      </c>
    </row>
    <row r="642" spans="1:24">
      <c r="B642" t="s">
        <v>197</v>
      </c>
      <c r="C642" t="s">
        <v>197</v>
      </c>
      <c r="D642" t="s">
        <v>197</v>
      </c>
      <c r="E642" t="s">
        <v>197</v>
      </c>
      <c r="F642" t="s">
        <v>197</v>
      </c>
      <c r="G642" t="s">
        <v>197</v>
      </c>
      <c r="H642" t="s">
        <v>197</v>
      </c>
      <c r="I642" t="s">
        <v>197</v>
      </c>
      <c r="J642" t="s">
        <v>197</v>
      </c>
      <c r="K642" t="s">
        <v>806</v>
      </c>
    </row>
    <row r="643" spans="1:24">
      <c r="B643" t="s">
        <v>197</v>
      </c>
      <c r="C643" t="s">
        <v>197</v>
      </c>
      <c r="D643" t="s">
        <v>197</v>
      </c>
      <c r="E643" t="s">
        <v>197</v>
      </c>
      <c r="F643" t="s">
        <v>197</v>
      </c>
      <c r="G643" t="s">
        <v>197</v>
      </c>
      <c r="H643" t="s">
        <v>197</v>
      </c>
      <c r="I643" t="s">
        <v>197</v>
      </c>
      <c r="J643" t="s">
        <v>197</v>
      </c>
      <c r="K643" t="s">
        <v>807</v>
      </c>
    </row>
    <row r="644" spans="1:24">
      <c r="A644" t="s">
        <v>851</v>
      </c>
      <c r="K644" t="s">
        <v>852</v>
      </c>
      <c r="W644" t="s">
        <v>171</v>
      </c>
      <c r="X644" t="str">
        <f>A644</f>
        <v>info_nvarchar_dml_single_pk</v>
      </c>
    </row>
    <row r="645" spans="1:24">
      <c r="B645" t="s">
        <v>196</v>
      </c>
      <c r="C645" t="s">
        <v>197</v>
      </c>
      <c r="D645" t="s">
        <v>197</v>
      </c>
      <c r="E645" t="s">
        <v>197</v>
      </c>
      <c r="F645" t="s">
        <v>197</v>
      </c>
      <c r="G645" t="s">
        <v>197</v>
      </c>
      <c r="H645" t="s">
        <v>197</v>
      </c>
      <c r="I645" t="s">
        <v>853</v>
      </c>
      <c r="J645" t="s">
        <v>199</v>
      </c>
      <c r="K645" t="s">
        <v>200</v>
      </c>
    </row>
    <row r="646" spans="1:24">
      <c r="B646" t="s">
        <v>197</v>
      </c>
      <c r="C646" t="s">
        <v>197</v>
      </c>
      <c r="D646" t="s">
        <v>197</v>
      </c>
      <c r="E646" t="s">
        <v>197</v>
      </c>
      <c r="F646" t="s">
        <v>197</v>
      </c>
      <c r="G646" t="s">
        <v>197</v>
      </c>
      <c r="H646" t="s">
        <v>197</v>
      </c>
      <c r="I646" t="s">
        <v>197</v>
      </c>
      <c r="J646" t="s">
        <v>197</v>
      </c>
      <c r="K646" t="s">
        <v>408</v>
      </c>
    </row>
    <row r="647" spans="1:24">
      <c r="B647" t="s">
        <v>197</v>
      </c>
      <c r="C647" t="s">
        <v>197</v>
      </c>
      <c r="D647" t="s">
        <v>197</v>
      </c>
      <c r="E647" t="s">
        <v>197</v>
      </c>
      <c r="F647" t="s">
        <v>197</v>
      </c>
      <c r="G647" t="s">
        <v>197</v>
      </c>
      <c r="H647" t="s">
        <v>197</v>
      </c>
      <c r="I647" t="s">
        <v>197</v>
      </c>
      <c r="J647" t="s">
        <v>197</v>
      </c>
      <c r="K647" t="s">
        <v>412</v>
      </c>
    </row>
    <row r="648" spans="1:24">
      <c r="B648" t="s">
        <v>197</v>
      </c>
      <c r="C648" t="s">
        <v>197</v>
      </c>
      <c r="D648" t="s">
        <v>197</v>
      </c>
      <c r="E648" t="s">
        <v>197</v>
      </c>
      <c r="F648" t="s">
        <v>197</v>
      </c>
      <c r="G648" t="s">
        <v>197</v>
      </c>
      <c r="H648" t="s">
        <v>197</v>
      </c>
      <c r="I648" t="s">
        <v>197</v>
      </c>
      <c r="J648" t="s">
        <v>197</v>
      </c>
      <c r="K648" t="s">
        <v>730</v>
      </c>
    </row>
    <row r="649" spans="1:24">
      <c r="A649" t="s">
        <v>854</v>
      </c>
      <c r="K649" t="s">
        <v>855</v>
      </c>
      <c r="W649" t="s">
        <v>171</v>
      </c>
      <c r="X649" t="str">
        <f>A649</f>
        <v>info_date_dml_batch2_pk_irp2</v>
      </c>
    </row>
    <row r="650" spans="1:24">
      <c r="B650" t="s">
        <v>196</v>
      </c>
      <c r="C650" t="s">
        <v>197</v>
      </c>
      <c r="D650" t="s">
        <v>197</v>
      </c>
      <c r="E650" t="s">
        <v>197</v>
      </c>
      <c r="F650" t="s">
        <v>197</v>
      </c>
      <c r="G650" t="s">
        <v>197</v>
      </c>
      <c r="H650" t="s">
        <v>197</v>
      </c>
      <c r="I650" t="s">
        <v>856</v>
      </c>
      <c r="J650" t="s">
        <v>199</v>
      </c>
      <c r="K650" t="s">
        <v>200</v>
      </c>
    </row>
    <row r="651" spans="1:24">
      <c r="B651" t="s">
        <v>197</v>
      </c>
      <c r="C651" t="s">
        <v>197</v>
      </c>
      <c r="D651" t="s">
        <v>197</v>
      </c>
      <c r="E651" t="s">
        <v>197</v>
      </c>
      <c r="F651" t="s">
        <v>197</v>
      </c>
      <c r="G651" t="s">
        <v>197</v>
      </c>
      <c r="H651" t="s">
        <v>197</v>
      </c>
      <c r="I651" t="s">
        <v>197</v>
      </c>
      <c r="J651" t="s">
        <v>197</v>
      </c>
      <c r="K651" t="s">
        <v>678</v>
      </c>
    </row>
    <row r="652" spans="1:24">
      <c r="A652" t="s">
        <v>857</v>
      </c>
      <c r="K652" t="s">
        <v>858</v>
      </c>
      <c r="W652" s="1" t="str">
        <f>HYPERLINK("#2026042011hbase0!AM2","NO 源备存在差异，共20个")</f>
        <v>NO 源备存在差异，共20个</v>
      </c>
      <c r="X652" t="str">
        <f>A652</f>
        <v>info_binary_dml_batch1_pk_urp2</v>
      </c>
    </row>
    <row r="653" spans="1:24">
      <c r="B653" t="s">
        <v>196</v>
      </c>
      <c r="C653" t="s">
        <v>197</v>
      </c>
      <c r="D653" t="s">
        <v>197</v>
      </c>
      <c r="E653" t="s">
        <v>197</v>
      </c>
      <c r="F653" t="s">
        <v>197</v>
      </c>
      <c r="G653" t="s">
        <v>197</v>
      </c>
      <c r="H653" t="s">
        <v>197</v>
      </c>
      <c r="I653" t="s">
        <v>859</v>
      </c>
      <c r="J653" t="s">
        <v>199</v>
      </c>
      <c r="K653" t="s">
        <v>200</v>
      </c>
    </row>
    <row r="654" spans="1:24">
      <c r="B654" t="s">
        <v>197</v>
      </c>
      <c r="C654" t="s">
        <v>197</v>
      </c>
      <c r="D654" t="s">
        <v>197</v>
      </c>
      <c r="E654" t="s">
        <v>197</v>
      </c>
      <c r="F654" t="s">
        <v>197</v>
      </c>
      <c r="G654" t="s">
        <v>197</v>
      </c>
      <c r="H654" t="s">
        <v>197</v>
      </c>
      <c r="I654" t="s">
        <v>197</v>
      </c>
      <c r="J654" t="s">
        <v>197</v>
      </c>
      <c r="K654" t="s">
        <v>691</v>
      </c>
    </row>
    <row r="655" spans="1:24">
      <c r="B655" t="s">
        <v>197</v>
      </c>
      <c r="C655" t="s">
        <v>197</v>
      </c>
      <c r="D655" t="s">
        <v>197</v>
      </c>
      <c r="E655" t="s">
        <v>197</v>
      </c>
      <c r="F655" t="s">
        <v>197</v>
      </c>
      <c r="G655" t="s">
        <v>197</v>
      </c>
      <c r="H655" t="s">
        <v>197</v>
      </c>
      <c r="I655" t="s">
        <v>197</v>
      </c>
      <c r="J655" t="s">
        <v>197</v>
      </c>
      <c r="K655" t="s">
        <v>692</v>
      </c>
    </row>
    <row r="656" spans="1:24">
      <c r="B656" t="s">
        <v>197</v>
      </c>
      <c r="C656" t="s">
        <v>197</v>
      </c>
      <c r="D656" t="s">
        <v>197</v>
      </c>
      <c r="E656" t="s">
        <v>197</v>
      </c>
      <c r="F656" t="s">
        <v>197</v>
      </c>
      <c r="G656" t="s">
        <v>197</v>
      </c>
      <c r="H656" t="s">
        <v>197</v>
      </c>
      <c r="I656" t="s">
        <v>197</v>
      </c>
      <c r="J656" t="s">
        <v>197</v>
      </c>
      <c r="K656" t="s">
        <v>693</v>
      </c>
    </row>
    <row r="657" spans="1:24">
      <c r="A657" t="s">
        <v>860</v>
      </c>
      <c r="K657" t="s">
        <v>861</v>
      </c>
      <c r="W657" t="s">
        <v>171</v>
      </c>
      <c r="X657" t="str">
        <f>A657</f>
        <v>info_time_dml_single_pk</v>
      </c>
    </row>
    <row r="658" spans="1:24">
      <c r="B658" t="s">
        <v>196</v>
      </c>
      <c r="C658" t="s">
        <v>197</v>
      </c>
      <c r="D658" t="s">
        <v>197</v>
      </c>
      <c r="E658" t="s">
        <v>197</v>
      </c>
      <c r="F658" t="s">
        <v>197</v>
      </c>
      <c r="G658" t="s">
        <v>197</v>
      </c>
      <c r="H658" t="s">
        <v>197</v>
      </c>
      <c r="I658" t="s">
        <v>862</v>
      </c>
      <c r="J658" t="s">
        <v>199</v>
      </c>
      <c r="K658" t="s">
        <v>200</v>
      </c>
    </row>
    <row r="659" spans="1:24">
      <c r="B659" t="s">
        <v>197</v>
      </c>
      <c r="C659" t="s">
        <v>197</v>
      </c>
      <c r="D659" t="s">
        <v>197</v>
      </c>
      <c r="E659" t="s">
        <v>197</v>
      </c>
      <c r="F659" t="s">
        <v>197</v>
      </c>
      <c r="G659" t="s">
        <v>197</v>
      </c>
      <c r="H659" t="s">
        <v>197</v>
      </c>
      <c r="I659" t="s">
        <v>197</v>
      </c>
      <c r="J659" t="s">
        <v>197</v>
      </c>
      <c r="K659" t="s">
        <v>800</v>
      </c>
    </row>
    <row r="660" spans="1:24">
      <c r="B660" t="s">
        <v>197</v>
      </c>
      <c r="C660" t="s">
        <v>197</v>
      </c>
      <c r="D660" t="s">
        <v>197</v>
      </c>
      <c r="E660" t="s">
        <v>197</v>
      </c>
      <c r="F660" t="s">
        <v>197</v>
      </c>
      <c r="G660" t="s">
        <v>197</v>
      </c>
      <c r="H660" t="s">
        <v>197</v>
      </c>
      <c r="I660" t="s">
        <v>197</v>
      </c>
      <c r="J660" t="s">
        <v>197</v>
      </c>
      <c r="K660" t="s">
        <v>801</v>
      </c>
    </row>
    <row r="661" spans="1:24">
      <c r="B661" t="s">
        <v>197</v>
      </c>
      <c r="C661" t="s">
        <v>197</v>
      </c>
      <c r="D661" t="s">
        <v>197</v>
      </c>
      <c r="E661" t="s">
        <v>197</v>
      </c>
      <c r="F661" t="s">
        <v>197</v>
      </c>
      <c r="G661" t="s">
        <v>197</v>
      </c>
      <c r="H661" t="s">
        <v>197</v>
      </c>
      <c r="I661" t="s">
        <v>197</v>
      </c>
      <c r="J661" t="s">
        <v>197</v>
      </c>
      <c r="K661" t="s">
        <v>802</v>
      </c>
    </row>
    <row r="662" spans="1:24">
      <c r="B662" t="s">
        <v>197</v>
      </c>
      <c r="C662" t="s">
        <v>197</v>
      </c>
      <c r="D662" t="s">
        <v>197</v>
      </c>
      <c r="E662" t="s">
        <v>197</v>
      </c>
      <c r="F662" t="s">
        <v>197</v>
      </c>
      <c r="G662" t="s">
        <v>197</v>
      </c>
      <c r="H662" t="s">
        <v>197</v>
      </c>
      <c r="I662" t="s">
        <v>197</v>
      </c>
      <c r="J662" t="s">
        <v>197</v>
      </c>
      <c r="K662" t="s">
        <v>803</v>
      </c>
    </row>
    <row r="663" spans="1:24">
      <c r="B663" t="s">
        <v>197</v>
      </c>
      <c r="C663" t="s">
        <v>197</v>
      </c>
      <c r="D663" t="s">
        <v>197</v>
      </c>
      <c r="E663" t="s">
        <v>197</v>
      </c>
      <c r="F663" t="s">
        <v>197</v>
      </c>
      <c r="G663" t="s">
        <v>197</v>
      </c>
      <c r="H663" t="s">
        <v>197</v>
      </c>
      <c r="I663" t="s">
        <v>197</v>
      </c>
      <c r="J663" t="s">
        <v>197</v>
      </c>
      <c r="K663" t="s">
        <v>804</v>
      </c>
    </row>
    <row r="664" spans="1:24">
      <c r="B664" t="s">
        <v>197</v>
      </c>
      <c r="C664" t="s">
        <v>197</v>
      </c>
      <c r="D664" t="s">
        <v>197</v>
      </c>
      <c r="E664" t="s">
        <v>197</v>
      </c>
      <c r="F664" t="s">
        <v>197</v>
      </c>
      <c r="G664" t="s">
        <v>197</v>
      </c>
      <c r="H664" t="s">
        <v>197</v>
      </c>
      <c r="I664" t="s">
        <v>197</v>
      </c>
      <c r="J664" t="s">
        <v>197</v>
      </c>
      <c r="K664" t="s">
        <v>805</v>
      </c>
    </row>
    <row r="665" spans="1:24">
      <c r="B665" t="s">
        <v>197</v>
      </c>
      <c r="C665" t="s">
        <v>197</v>
      </c>
      <c r="D665" t="s">
        <v>197</v>
      </c>
      <c r="E665" t="s">
        <v>197</v>
      </c>
      <c r="F665" t="s">
        <v>197</v>
      </c>
      <c r="G665" t="s">
        <v>197</v>
      </c>
      <c r="H665" t="s">
        <v>197</v>
      </c>
      <c r="I665" t="s">
        <v>197</v>
      </c>
      <c r="J665" t="s">
        <v>197</v>
      </c>
      <c r="K665" t="s">
        <v>806</v>
      </c>
    </row>
    <row r="666" spans="1:24">
      <c r="B666" t="s">
        <v>197</v>
      </c>
      <c r="C666" t="s">
        <v>197</v>
      </c>
      <c r="D666" t="s">
        <v>197</v>
      </c>
      <c r="E666" t="s">
        <v>197</v>
      </c>
      <c r="F666" t="s">
        <v>197</v>
      </c>
      <c r="G666" t="s">
        <v>197</v>
      </c>
      <c r="H666" t="s">
        <v>197</v>
      </c>
      <c r="I666" t="s">
        <v>197</v>
      </c>
      <c r="J666" t="s">
        <v>197</v>
      </c>
      <c r="K666" t="s">
        <v>807</v>
      </c>
    </row>
    <row r="667" spans="1:24">
      <c r="A667" t="s">
        <v>863</v>
      </c>
      <c r="K667" t="s">
        <v>864</v>
      </c>
      <c r="W667" s="1" t="str">
        <f>HYPERLINK("#2026042011hbase0!AN2","NO 源备存在差异，共8个")</f>
        <v>NO 源备存在差异，共8个</v>
      </c>
      <c r="X667" t="str">
        <f>A667</f>
        <v>info_int_dml_single_pk_irp</v>
      </c>
    </row>
    <row r="668" spans="1:24">
      <c r="B668" t="s">
        <v>196</v>
      </c>
      <c r="C668" t="s">
        <v>197</v>
      </c>
      <c r="D668" t="s">
        <v>197</v>
      </c>
      <c r="E668" t="s">
        <v>197</v>
      </c>
      <c r="F668" t="s">
        <v>197</v>
      </c>
      <c r="G668" t="s">
        <v>197</v>
      </c>
      <c r="H668" t="s">
        <v>197</v>
      </c>
      <c r="I668" t="s">
        <v>865</v>
      </c>
      <c r="J668" t="s">
        <v>199</v>
      </c>
      <c r="K668" t="s">
        <v>200</v>
      </c>
    </row>
    <row r="669" spans="1:24">
      <c r="B669" t="s">
        <v>197</v>
      </c>
      <c r="C669" t="s">
        <v>197</v>
      </c>
      <c r="D669" t="s">
        <v>197</v>
      </c>
      <c r="E669" t="s">
        <v>197</v>
      </c>
      <c r="F669" t="s">
        <v>197</v>
      </c>
      <c r="G669" t="s">
        <v>197</v>
      </c>
      <c r="H669" t="s">
        <v>197</v>
      </c>
      <c r="I669" t="s">
        <v>197</v>
      </c>
      <c r="J669" t="s">
        <v>197</v>
      </c>
      <c r="K669" t="s">
        <v>549</v>
      </c>
    </row>
    <row r="670" spans="1:24">
      <c r="B670" t="s">
        <v>197</v>
      </c>
      <c r="C670" t="s">
        <v>197</v>
      </c>
      <c r="D670" t="s">
        <v>197</v>
      </c>
      <c r="E670" t="s">
        <v>197</v>
      </c>
      <c r="F670" t="s">
        <v>197</v>
      </c>
      <c r="G670" t="s">
        <v>197</v>
      </c>
      <c r="H670" t="s">
        <v>197</v>
      </c>
      <c r="I670" t="s">
        <v>197</v>
      </c>
      <c r="J670" t="s">
        <v>197</v>
      </c>
      <c r="K670" t="s">
        <v>550</v>
      </c>
    </row>
    <row r="671" spans="1:24">
      <c r="B671" t="s">
        <v>197</v>
      </c>
      <c r="C671" t="s">
        <v>197</v>
      </c>
      <c r="D671" t="s">
        <v>197</v>
      </c>
      <c r="E671" t="s">
        <v>197</v>
      </c>
      <c r="F671" t="s">
        <v>197</v>
      </c>
      <c r="G671" t="s">
        <v>197</v>
      </c>
      <c r="H671" t="s">
        <v>197</v>
      </c>
      <c r="I671" t="s">
        <v>197</v>
      </c>
      <c r="J671" t="s">
        <v>197</v>
      </c>
      <c r="K671" t="s">
        <v>551</v>
      </c>
    </row>
    <row r="672" spans="1:24">
      <c r="B672" t="s">
        <v>197</v>
      </c>
      <c r="C672" t="s">
        <v>197</v>
      </c>
      <c r="D672" t="s">
        <v>197</v>
      </c>
      <c r="E672" t="s">
        <v>197</v>
      </c>
      <c r="F672" t="s">
        <v>197</v>
      </c>
      <c r="G672" t="s">
        <v>197</v>
      </c>
      <c r="H672" t="s">
        <v>197</v>
      </c>
      <c r="I672" t="s">
        <v>197</v>
      </c>
      <c r="J672" t="s">
        <v>197</v>
      </c>
      <c r="K672" t="s">
        <v>552</v>
      </c>
    </row>
    <row r="673" spans="1:24">
      <c r="B673" t="s">
        <v>197</v>
      </c>
      <c r="C673" t="s">
        <v>197</v>
      </c>
      <c r="D673" t="s">
        <v>197</v>
      </c>
      <c r="E673" t="s">
        <v>197</v>
      </c>
      <c r="F673" t="s">
        <v>197</v>
      </c>
      <c r="G673" t="s">
        <v>197</v>
      </c>
      <c r="H673" t="s">
        <v>197</v>
      </c>
      <c r="I673" t="s">
        <v>197</v>
      </c>
      <c r="J673" t="s">
        <v>197</v>
      </c>
      <c r="K673" t="s">
        <v>553</v>
      </c>
    </row>
    <row r="674" spans="1:24">
      <c r="B674" t="s">
        <v>197</v>
      </c>
      <c r="C674" t="s">
        <v>197</v>
      </c>
      <c r="D674" t="s">
        <v>197</v>
      </c>
      <c r="E674" t="s">
        <v>197</v>
      </c>
      <c r="F674" t="s">
        <v>197</v>
      </c>
      <c r="G674" t="s">
        <v>197</v>
      </c>
      <c r="H674" t="s">
        <v>197</v>
      </c>
      <c r="I674" t="s">
        <v>197</v>
      </c>
      <c r="J674" t="s">
        <v>197</v>
      </c>
      <c r="K674" t="s">
        <v>554</v>
      </c>
    </row>
    <row r="675" spans="1:24">
      <c r="B675" t="s">
        <v>197</v>
      </c>
      <c r="C675" t="s">
        <v>197</v>
      </c>
      <c r="D675" t="s">
        <v>197</v>
      </c>
      <c r="E675" t="s">
        <v>197</v>
      </c>
      <c r="F675" t="s">
        <v>197</v>
      </c>
      <c r="G675" t="s">
        <v>197</v>
      </c>
      <c r="H675" t="s">
        <v>197</v>
      </c>
      <c r="I675" t="s">
        <v>197</v>
      </c>
      <c r="J675" t="s">
        <v>197</v>
      </c>
      <c r="K675" t="s">
        <v>555</v>
      </c>
    </row>
    <row r="676" spans="1:24">
      <c r="B676" t="s">
        <v>197</v>
      </c>
      <c r="C676" t="s">
        <v>197</v>
      </c>
      <c r="D676" t="s">
        <v>197</v>
      </c>
      <c r="E676" t="s">
        <v>197</v>
      </c>
      <c r="F676" t="s">
        <v>197</v>
      </c>
      <c r="G676" t="s">
        <v>197</v>
      </c>
      <c r="H676" t="s">
        <v>197</v>
      </c>
      <c r="I676" t="s">
        <v>197</v>
      </c>
      <c r="J676" t="s">
        <v>197</v>
      </c>
      <c r="K676" t="s">
        <v>556</v>
      </c>
    </row>
    <row r="677" spans="1:24">
      <c r="B677" t="s">
        <v>197</v>
      </c>
      <c r="C677" t="s">
        <v>197</v>
      </c>
      <c r="D677" t="s">
        <v>197</v>
      </c>
      <c r="E677" t="s">
        <v>197</v>
      </c>
      <c r="F677" t="s">
        <v>197</v>
      </c>
      <c r="G677" t="s">
        <v>197</v>
      </c>
      <c r="H677" t="s">
        <v>197</v>
      </c>
      <c r="I677" t="s">
        <v>197</v>
      </c>
      <c r="J677" t="s">
        <v>197</v>
      </c>
      <c r="K677" t="s">
        <v>557</v>
      </c>
    </row>
    <row r="678" spans="1:24">
      <c r="B678" t="s">
        <v>197</v>
      </c>
      <c r="C678" t="s">
        <v>197</v>
      </c>
      <c r="D678" t="s">
        <v>197</v>
      </c>
      <c r="E678" t="s">
        <v>197</v>
      </c>
      <c r="F678" t="s">
        <v>197</v>
      </c>
      <c r="G678" t="s">
        <v>197</v>
      </c>
      <c r="H678" t="s">
        <v>197</v>
      </c>
      <c r="I678" t="s">
        <v>197</v>
      </c>
      <c r="J678" t="s">
        <v>197</v>
      </c>
      <c r="K678" t="s">
        <v>558</v>
      </c>
    </row>
    <row r="679" spans="1:24">
      <c r="B679" t="s">
        <v>197</v>
      </c>
      <c r="C679" t="s">
        <v>197</v>
      </c>
      <c r="D679" t="s">
        <v>197</v>
      </c>
      <c r="E679" t="s">
        <v>197</v>
      </c>
      <c r="F679" t="s">
        <v>197</v>
      </c>
      <c r="G679" t="s">
        <v>197</v>
      </c>
      <c r="H679" t="s">
        <v>197</v>
      </c>
      <c r="I679" t="s">
        <v>197</v>
      </c>
      <c r="J679" t="s">
        <v>197</v>
      </c>
      <c r="K679" t="s">
        <v>559</v>
      </c>
    </row>
    <row r="680" spans="1:24">
      <c r="B680" t="s">
        <v>197</v>
      </c>
      <c r="C680" t="s">
        <v>197</v>
      </c>
      <c r="D680" t="s">
        <v>197</v>
      </c>
      <c r="E680" t="s">
        <v>197</v>
      </c>
      <c r="F680" t="s">
        <v>197</v>
      </c>
      <c r="G680" t="s">
        <v>197</v>
      </c>
      <c r="H680" t="s">
        <v>197</v>
      </c>
      <c r="I680" t="s">
        <v>197</v>
      </c>
      <c r="J680" t="s">
        <v>197</v>
      </c>
      <c r="K680" t="s">
        <v>560</v>
      </c>
    </row>
    <row r="681" spans="1:24">
      <c r="B681" t="s">
        <v>197</v>
      </c>
      <c r="C681" t="s">
        <v>197</v>
      </c>
      <c r="D681" t="s">
        <v>197</v>
      </c>
      <c r="E681" t="s">
        <v>197</v>
      </c>
      <c r="F681" t="s">
        <v>197</v>
      </c>
      <c r="G681" t="s">
        <v>197</v>
      </c>
      <c r="H681" t="s">
        <v>197</v>
      </c>
      <c r="I681" t="s">
        <v>197</v>
      </c>
      <c r="J681" t="s">
        <v>197</v>
      </c>
      <c r="K681" t="s">
        <v>561</v>
      </c>
    </row>
    <row r="682" spans="1:24">
      <c r="B682" t="s">
        <v>197</v>
      </c>
      <c r="C682" t="s">
        <v>197</v>
      </c>
      <c r="D682" t="s">
        <v>197</v>
      </c>
      <c r="E682" t="s">
        <v>197</v>
      </c>
      <c r="F682" t="s">
        <v>197</v>
      </c>
      <c r="G682" t="s">
        <v>197</v>
      </c>
      <c r="H682" t="s">
        <v>197</v>
      </c>
      <c r="I682" t="s">
        <v>197</v>
      </c>
      <c r="J682" t="s">
        <v>197</v>
      </c>
      <c r="K682" t="s">
        <v>562</v>
      </c>
    </row>
    <row r="683" spans="1:24">
      <c r="B683" t="s">
        <v>197</v>
      </c>
      <c r="C683" t="s">
        <v>197</v>
      </c>
      <c r="D683" t="s">
        <v>197</v>
      </c>
      <c r="E683" t="s">
        <v>197</v>
      </c>
      <c r="F683" t="s">
        <v>197</v>
      </c>
      <c r="G683" t="s">
        <v>197</v>
      </c>
      <c r="H683" t="s">
        <v>197</v>
      </c>
      <c r="I683" t="s">
        <v>197</v>
      </c>
      <c r="J683" t="s">
        <v>197</v>
      </c>
      <c r="K683" t="s">
        <v>563</v>
      </c>
    </row>
    <row r="684" spans="1:24">
      <c r="B684" t="s">
        <v>197</v>
      </c>
      <c r="C684" t="s">
        <v>197</v>
      </c>
      <c r="D684" t="s">
        <v>197</v>
      </c>
      <c r="E684" t="s">
        <v>197</v>
      </c>
      <c r="F684" t="s">
        <v>197</v>
      </c>
      <c r="G684" t="s">
        <v>197</v>
      </c>
      <c r="H684" t="s">
        <v>197</v>
      </c>
      <c r="I684" t="s">
        <v>197</v>
      </c>
      <c r="J684" t="s">
        <v>197</v>
      </c>
      <c r="K684" t="s">
        <v>564</v>
      </c>
    </row>
    <row r="685" spans="1:24">
      <c r="B685" t="s">
        <v>197</v>
      </c>
      <c r="C685" t="s">
        <v>197</v>
      </c>
      <c r="D685" t="s">
        <v>197</v>
      </c>
      <c r="E685" t="s">
        <v>197</v>
      </c>
      <c r="F685" t="s">
        <v>197</v>
      </c>
      <c r="G685" t="s">
        <v>197</v>
      </c>
      <c r="H685" t="s">
        <v>197</v>
      </c>
      <c r="I685" t="s">
        <v>197</v>
      </c>
      <c r="J685" t="s">
        <v>197</v>
      </c>
      <c r="K685" t="s">
        <v>565</v>
      </c>
    </row>
    <row r="686" spans="1:24">
      <c r="B686" t="s">
        <v>197</v>
      </c>
      <c r="C686" t="s">
        <v>197</v>
      </c>
      <c r="D686" t="s">
        <v>197</v>
      </c>
      <c r="E686" t="s">
        <v>197</v>
      </c>
      <c r="F686" t="s">
        <v>197</v>
      </c>
      <c r="G686" t="s">
        <v>197</v>
      </c>
      <c r="H686" t="s">
        <v>197</v>
      </c>
      <c r="I686" t="s">
        <v>197</v>
      </c>
      <c r="J686" t="s">
        <v>197</v>
      </c>
      <c r="K686" t="s">
        <v>566</v>
      </c>
    </row>
    <row r="687" spans="1:24">
      <c r="B687" t="s">
        <v>197</v>
      </c>
      <c r="C687" t="s">
        <v>197</v>
      </c>
      <c r="D687" t="s">
        <v>197</v>
      </c>
      <c r="E687" t="s">
        <v>197</v>
      </c>
      <c r="F687" t="s">
        <v>197</v>
      </c>
      <c r="G687" t="s">
        <v>197</v>
      </c>
      <c r="H687" t="s">
        <v>197</v>
      </c>
      <c r="I687" t="s">
        <v>197</v>
      </c>
      <c r="J687" t="s">
        <v>197</v>
      </c>
      <c r="K687" t="s">
        <v>567</v>
      </c>
    </row>
    <row r="688" spans="1:24">
      <c r="A688" t="s">
        <v>866</v>
      </c>
      <c r="K688" t="s">
        <v>867</v>
      </c>
      <c r="W688" t="s">
        <v>171</v>
      </c>
      <c r="X688" t="str">
        <f>A688</f>
        <v>info_sdt_dml_single_pk_irp</v>
      </c>
    </row>
    <row r="689" spans="1:24">
      <c r="B689" t="s">
        <v>196</v>
      </c>
      <c r="C689" t="s">
        <v>197</v>
      </c>
      <c r="D689" t="s">
        <v>197</v>
      </c>
      <c r="E689" t="s">
        <v>197</v>
      </c>
      <c r="F689" t="s">
        <v>197</v>
      </c>
      <c r="G689" t="s">
        <v>197</v>
      </c>
      <c r="H689" t="s">
        <v>197</v>
      </c>
      <c r="I689" t="s">
        <v>868</v>
      </c>
      <c r="J689" t="s">
        <v>199</v>
      </c>
      <c r="K689" t="s">
        <v>200</v>
      </c>
    </row>
    <row r="690" spans="1:24">
      <c r="B690" t="s">
        <v>197</v>
      </c>
      <c r="C690" t="s">
        <v>197</v>
      </c>
      <c r="D690" t="s">
        <v>197</v>
      </c>
      <c r="E690" t="s">
        <v>197</v>
      </c>
      <c r="F690" t="s">
        <v>197</v>
      </c>
      <c r="G690" t="s">
        <v>197</v>
      </c>
      <c r="H690" t="s">
        <v>197</v>
      </c>
      <c r="I690" t="s">
        <v>197</v>
      </c>
      <c r="J690" t="s">
        <v>197</v>
      </c>
      <c r="K690" t="s">
        <v>422</v>
      </c>
    </row>
    <row r="691" spans="1:24">
      <c r="A691" t="s">
        <v>869</v>
      </c>
      <c r="K691" t="s">
        <v>870</v>
      </c>
      <c r="W691" t="s">
        <v>171</v>
      </c>
      <c r="X691" t="str">
        <f>A691</f>
        <v>info_varcharmax_dml_batch1_pk_urp1</v>
      </c>
    </row>
    <row r="692" spans="1:24">
      <c r="B692" t="s">
        <v>196</v>
      </c>
      <c r="C692" t="s">
        <v>197</v>
      </c>
      <c r="D692" t="s">
        <v>197</v>
      </c>
      <c r="E692" t="s">
        <v>197</v>
      </c>
      <c r="F692" t="s">
        <v>197</v>
      </c>
      <c r="G692" t="s">
        <v>197</v>
      </c>
      <c r="H692" t="s">
        <v>197</v>
      </c>
      <c r="I692" t="s">
        <v>871</v>
      </c>
      <c r="J692" t="s">
        <v>199</v>
      </c>
      <c r="K692" t="s">
        <v>200</v>
      </c>
    </row>
    <row r="693" spans="1:24">
      <c r="B693" t="s">
        <v>197</v>
      </c>
      <c r="C693" t="s">
        <v>197</v>
      </c>
      <c r="D693" t="s">
        <v>197</v>
      </c>
      <c r="E693" t="s">
        <v>197</v>
      </c>
      <c r="F693" t="s">
        <v>197</v>
      </c>
      <c r="G693" t="s">
        <v>197</v>
      </c>
      <c r="H693" t="s">
        <v>197</v>
      </c>
      <c r="I693" t="s">
        <v>197</v>
      </c>
      <c r="J693" t="s">
        <v>197</v>
      </c>
      <c r="K693" t="s">
        <v>725</v>
      </c>
    </row>
    <row r="694" spans="1:24">
      <c r="B694" t="s">
        <v>197</v>
      </c>
      <c r="C694" t="s">
        <v>197</v>
      </c>
      <c r="D694" t="s">
        <v>197</v>
      </c>
      <c r="E694" t="s">
        <v>197</v>
      </c>
      <c r="F694" t="s">
        <v>197</v>
      </c>
      <c r="G694" t="s">
        <v>197</v>
      </c>
      <c r="H694" t="s">
        <v>197</v>
      </c>
      <c r="I694" t="s">
        <v>197</v>
      </c>
      <c r="J694" t="s">
        <v>197</v>
      </c>
      <c r="K694" t="s">
        <v>726</v>
      </c>
    </row>
    <row r="695" spans="1:24">
      <c r="K695" t="s">
        <v>443</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881</v>
      </c>
      <c r="K710" t="s">
        <v>882</v>
      </c>
      <c r="W710" t="s">
        <v>171</v>
      </c>
      <c r="X710" t="str">
        <f>A710</f>
        <v>info_varcharmax_dml_single_pk_irp</v>
      </c>
    </row>
    <row r="711" spans="1:24">
      <c r="B711" t="s">
        <v>196</v>
      </c>
      <c r="C711" t="s">
        <v>197</v>
      </c>
      <c r="D711" t="s">
        <v>197</v>
      </c>
      <c r="E711" t="s">
        <v>197</v>
      </c>
      <c r="F711" t="s">
        <v>197</v>
      </c>
      <c r="G711" t="s">
        <v>197</v>
      </c>
      <c r="H711" t="s">
        <v>197</v>
      </c>
      <c r="I711" t="s">
        <v>883</v>
      </c>
      <c r="J711" t="s">
        <v>199</v>
      </c>
      <c r="K711" t="s">
        <v>200</v>
      </c>
    </row>
    <row r="712" spans="1:24">
      <c r="B712" t="s">
        <v>197</v>
      </c>
      <c r="C712" t="s">
        <v>197</v>
      </c>
      <c r="D712" t="s">
        <v>197</v>
      </c>
      <c r="E712" t="s">
        <v>197</v>
      </c>
      <c r="F712" t="s">
        <v>197</v>
      </c>
      <c r="G712" t="s">
        <v>197</v>
      </c>
      <c r="H712" t="s">
        <v>197</v>
      </c>
      <c r="I712" t="s">
        <v>197</v>
      </c>
      <c r="J712" t="s">
        <v>197</v>
      </c>
      <c r="K712" t="s">
        <v>725</v>
      </c>
    </row>
    <row r="713" spans="1:24">
      <c r="B713" t="s">
        <v>197</v>
      </c>
      <c r="C713" t="s">
        <v>197</v>
      </c>
      <c r="D713" t="s">
        <v>197</v>
      </c>
      <c r="E713" t="s">
        <v>197</v>
      </c>
      <c r="F713" t="s">
        <v>197</v>
      </c>
      <c r="G713" t="s">
        <v>197</v>
      </c>
      <c r="H713" t="s">
        <v>197</v>
      </c>
      <c r="I713" t="s">
        <v>197</v>
      </c>
      <c r="J713" t="s">
        <v>197</v>
      </c>
      <c r="K713" t="s">
        <v>726</v>
      </c>
    </row>
    <row r="714" spans="1:24">
      <c r="A714" t="s">
        <v>884</v>
      </c>
      <c r="K714" t="s">
        <v>885</v>
      </c>
      <c r="W714" t="s">
        <v>171</v>
      </c>
      <c r="X714" t="str">
        <f>A714</f>
        <v>info_sdt_dml_single_pk_drp</v>
      </c>
    </row>
    <row r="715" spans="1:24">
      <c r="B715" t="s">
        <v>196</v>
      </c>
      <c r="C715" t="s">
        <v>197</v>
      </c>
      <c r="D715" t="s">
        <v>197</v>
      </c>
      <c r="E715" t="s">
        <v>197</v>
      </c>
      <c r="F715" t="s">
        <v>197</v>
      </c>
      <c r="G715" t="s">
        <v>197</v>
      </c>
      <c r="H715" t="s">
        <v>197</v>
      </c>
      <c r="I715" t="s">
        <v>886</v>
      </c>
      <c r="J715" t="s">
        <v>199</v>
      </c>
      <c r="K715" t="s">
        <v>200</v>
      </c>
    </row>
    <row r="716" spans="1:24">
      <c r="B716" t="s">
        <v>197</v>
      </c>
      <c r="C716" t="s">
        <v>197</v>
      </c>
      <c r="D716" t="s">
        <v>197</v>
      </c>
      <c r="E716" t="s">
        <v>197</v>
      </c>
      <c r="F716" t="s">
        <v>197</v>
      </c>
      <c r="G716" t="s">
        <v>197</v>
      </c>
      <c r="H716" t="s">
        <v>197</v>
      </c>
      <c r="I716" t="s">
        <v>197</v>
      </c>
      <c r="J716" t="s">
        <v>197</v>
      </c>
      <c r="K716" t="s">
        <v>422</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890</v>
      </c>
      <c r="K722" t="s">
        <v>891</v>
      </c>
      <c r="W722" t="s">
        <v>171</v>
      </c>
      <c r="X722" t="str">
        <f>A722</f>
        <v>info_sdt_dml_single_pk</v>
      </c>
    </row>
    <row r="723" spans="1:24">
      <c r="B723" t="s">
        <v>196</v>
      </c>
      <c r="C723" t="s">
        <v>197</v>
      </c>
      <c r="D723" t="s">
        <v>197</v>
      </c>
      <c r="E723" t="s">
        <v>197</v>
      </c>
      <c r="F723" t="s">
        <v>197</v>
      </c>
      <c r="G723" t="s">
        <v>197</v>
      </c>
      <c r="H723" t="s">
        <v>197</v>
      </c>
      <c r="I723" t="s">
        <v>892</v>
      </c>
      <c r="J723" t="s">
        <v>199</v>
      </c>
      <c r="K723" t="s">
        <v>200</v>
      </c>
    </row>
    <row r="724" spans="1:24">
      <c r="B724" t="s">
        <v>197</v>
      </c>
      <c r="C724" t="s">
        <v>197</v>
      </c>
      <c r="D724" t="s">
        <v>197</v>
      </c>
      <c r="E724" t="s">
        <v>197</v>
      </c>
      <c r="F724" t="s">
        <v>197</v>
      </c>
      <c r="G724" t="s">
        <v>197</v>
      </c>
      <c r="H724" t="s">
        <v>197</v>
      </c>
      <c r="I724" t="s">
        <v>197</v>
      </c>
      <c r="J724" t="s">
        <v>197</v>
      </c>
      <c r="K724" t="s">
        <v>422</v>
      </c>
    </row>
    <row r="725" spans="1:24">
      <c r="A725" t="s">
        <v>893</v>
      </c>
      <c r="K725" t="s">
        <v>894</v>
      </c>
      <c r="W725" s="1" t="str">
        <f>HYPERLINK("#2026042011hbase0!AO2","NO 源备存在差异，共4个")</f>
        <v>NO 源备存在差异，共4个</v>
      </c>
      <c r="X725" t="str">
        <f>A725</f>
        <v>info_int_dml_single_pk_urp</v>
      </c>
    </row>
    <row r="726" spans="1:24">
      <c r="B726" t="s">
        <v>196</v>
      </c>
      <c r="C726" t="s">
        <v>197</v>
      </c>
      <c r="D726" t="s">
        <v>197</v>
      </c>
      <c r="E726" t="s">
        <v>197</v>
      </c>
      <c r="F726" t="s">
        <v>197</v>
      </c>
      <c r="G726" t="s">
        <v>197</v>
      </c>
      <c r="H726" t="s">
        <v>197</v>
      </c>
      <c r="I726" t="s">
        <v>895</v>
      </c>
      <c r="J726" t="s">
        <v>199</v>
      </c>
      <c r="K726" t="s">
        <v>200</v>
      </c>
    </row>
    <row r="727" spans="1:24">
      <c r="B727" t="s">
        <v>197</v>
      </c>
      <c r="C727" t="s">
        <v>197</v>
      </c>
      <c r="D727" t="s">
        <v>197</v>
      </c>
      <c r="E727" t="s">
        <v>197</v>
      </c>
      <c r="F727" t="s">
        <v>197</v>
      </c>
      <c r="G727" t="s">
        <v>197</v>
      </c>
      <c r="H727" t="s">
        <v>197</v>
      </c>
      <c r="I727" t="s">
        <v>197</v>
      </c>
      <c r="J727" t="s">
        <v>197</v>
      </c>
      <c r="K727" t="s">
        <v>549</v>
      </c>
    </row>
    <row r="728" spans="1:24">
      <c r="B728" t="s">
        <v>197</v>
      </c>
      <c r="C728" t="s">
        <v>197</v>
      </c>
      <c r="D728" t="s">
        <v>197</v>
      </c>
      <c r="E728" t="s">
        <v>197</v>
      </c>
      <c r="F728" t="s">
        <v>197</v>
      </c>
      <c r="G728" t="s">
        <v>197</v>
      </c>
      <c r="H728" t="s">
        <v>197</v>
      </c>
      <c r="I728" t="s">
        <v>197</v>
      </c>
      <c r="J728" t="s">
        <v>197</v>
      </c>
      <c r="K728" t="s">
        <v>550</v>
      </c>
    </row>
    <row r="729" spans="1:24">
      <c r="B729" t="s">
        <v>197</v>
      </c>
      <c r="C729" t="s">
        <v>197</v>
      </c>
      <c r="D729" t="s">
        <v>197</v>
      </c>
      <c r="E729" t="s">
        <v>197</v>
      </c>
      <c r="F729" t="s">
        <v>197</v>
      </c>
      <c r="G729" t="s">
        <v>197</v>
      </c>
      <c r="H729" t="s">
        <v>197</v>
      </c>
      <c r="I729" t="s">
        <v>197</v>
      </c>
      <c r="J729" t="s">
        <v>197</v>
      </c>
      <c r="K729" t="s">
        <v>551</v>
      </c>
    </row>
    <row r="730" spans="1:24">
      <c r="B730" t="s">
        <v>197</v>
      </c>
      <c r="C730" t="s">
        <v>197</v>
      </c>
      <c r="D730" t="s">
        <v>197</v>
      </c>
      <c r="E730" t="s">
        <v>197</v>
      </c>
      <c r="F730" t="s">
        <v>197</v>
      </c>
      <c r="G730" t="s">
        <v>197</v>
      </c>
      <c r="H730" t="s">
        <v>197</v>
      </c>
      <c r="I730" t="s">
        <v>197</v>
      </c>
      <c r="J730" t="s">
        <v>197</v>
      </c>
      <c r="K730" t="s">
        <v>552</v>
      </c>
    </row>
    <row r="731" spans="1:24">
      <c r="B731" t="s">
        <v>197</v>
      </c>
      <c r="C731" t="s">
        <v>197</v>
      </c>
      <c r="D731" t="s">
        <v>197</v>
      </c>
      <c r="E731" t="s">
        <v>197</v>
      </c>
      <c r="F731" t="s">
        <v>197</v>
      </c>
      <c r="G731" t="s">
        <v>197</v>
      </c>
      <c r="H731" t="s">
        <v>197</v>
      </c>
      <c r="I731" t="s">
        <v>197</v>
      </c>
      <c r="J731" t="s">
        <v>197</v>
      </c>
      <c r="K731" t="s">
        <v>553</v>
      </c>
    </row>
    <row r="732" spans="1:24">
      <c r="B732" t="s">
        <v>197</v>
      </c>
      <c r="C732" t="s">
        <v>197</v>
      </c>
      <c r="D732" t="s">
        <v>197</v>
      </c>
      <c r="E732" t="s">
        <v>197</v>
      </c>
      <c r="F732" t="s">
        <v>197</v>
      </c>
      <c r="G732" t="s">
        <v>197</v>
      </c>
      <c r="H732" t="s">
        <v>197</v>
      </c>
      <c r="I732" t="s">
        <v>197</v>
      </c>
      <c r="J732" t="s">
        <v>197</v>
      </c>
      <c r="K732" t="s">
        <v>554</v>
      </c>
    </row>
    <row r="733" spans="1:24">
      <c r="B733" t="s">
        <v>197</v>
      </c>
      <c r="C733" t="s">
        <v>197</v>
      </c>
      <c r="D733" t="s">
        <v>197</v>
      </c>
      <c r="E733" t="s">
        <v>197</v>
      </c>
      <c r="F733" t="s">
        <v>197</v>
      </c>
      <c r="G733" t="s">
        <v>197</v>
      </c>
      <c r="H733" t="s">
        <v>197</v>
      </c>
      <c r="I733" t="s">
        <v>197</v>
      </c>
      <c r="J733" t="s">
        <v>197</v>
      </c>
      <c r="K733" t="s">
        <v>555</v>
      </c>
    </row>
    <row r="734" spans="1:24">
      <c r="B734" t="s">
        <v>197</v>
      </c>
      <c r="C734" t="s">
        <v>197</v>
      </c>
      <c r="D734" t="s">
        <v>197</v>
      </c>
      <c r="E734" t="s">
        <v>197</v>
      </c>
      <c r="F734" t="s">
        <v>197</v>
      </c>
      <c r="G734" t="s">
        <v>197</v>
      </c>
      <c r="H734" t="s">
        <v>197</v>
      </c>
      <c r="I734" t="s">
        <v>197</v>
      </c>
      <c r="J734" t="s">
        <v>197</v>
      </c>
      <c r="K734" t="s">
        <v>556</v>
      </c>
    </row>
    <row r="735" spans="1:24">
      <c r="B735" t="s">
        <v>197</v>
      </c>
      <c r="C735" t="s">
        <v>197</v>
      </c>
      <c r="D735" t="s">
        <v>197</v>
      </c>
      <c r="E735" t="s">
        <v>197</v>
      </c>
      <c r="F735" t="s">
        <v>197</v>
      </c>
      <c r="G735" t="s">
        <v>197</v>
      </c>
      <c r="H735" t="s">
        <v>197</v>
      </c>
      <c r="I735" t="s">
        <v>197</v>
      </c>
      <c r="J735" t="s">
        <v>197</v>
      </c>
      <c r="K735" t="s">
        <v>557</v>
      </c>
    </row>
    <row r="736" spans="1:24">
      <c r="B736" t="s">
        <v>197</v>
      </c>
      <c r="C736" t="s">
        <v>197</v>
      </c>
      <c r="D736" t="s">
        <v>197</v>
      </c>
      <c r="E736" t="s">
        <v>197</v>
      </c>
      <c r="F736" t="s">
        <v>197</v>
      </c>
      <c r="G736" t="s">
        <v>197</v>
      </c>
      <c r="H736" t="s">
        <v>197</v>
      </c>
      <c r="I736" t="s">
        <v>197</v>
      </c>
      <c r="J736" t="s">
        <v>197</v>
      </c>
      <c r="K736" t="s">
        <v>558</v>
      </c>
    </row>
    <row r="737" spans="1:24">
      <c r="B737" t="s">
        <v>197</v>
      </c>
      <c r="C737" t="s">
        <v>197</v>
      </c>
      <c r="D737" t="s">
        <v>197</v>
      </c>
      <c r="E737" t="s">
        <v>197</v>
      </c>
      <c r="F737" t="s">
        <v>197</v>
      </c>
      <c r="G737" t="s">
        <v>197</v>
      </c>
      <c r="H737" t="s">
        <v>197</v>
      </c>
      <c r="I737" t="s">
        <v>197</v>
      </c>
      <c r="J737" t="s">
        <v>197</v>
      </c>
      <c r="K737" t="s">
        <v>559</v>
      </c>
    </row>
    <row r="738" spans="1:24">
      <c r="B738" t="s">
        <v>197</v>
      </c>
      <c r="C738" t="s">
        <v>197</v>
      </c>
      <c r="D738" t="s">
        <v>197</v>
      </c>
      <c r="E738" t="s">
        <v>197</v>
      </c>
      <c r="F738" t="s">
        <v>197</v>
      </c>
      <c r="G738" t="s">
        <v>197</v>
      </c>
      <c r="H738" t="s">
        <v>197</v>
      </c>
      <c r="I738" t="s">
        <v>197</v>
      </c>
      <c r="J738" t="s">
        <v>197</v>
      </c>
      <c r="K738" t="s">
        <v>560</v>
      </c>
    </row>
    <row r="739" spans="1:24">
      <c r="B739" t="s">
        <v>197</v>
      </c>
      <c r="C739" t="s">
        <v>197</v>
      </c>
      <c r="D739" t="s">
        <v>197</v>
      </c>
      <c r="E739" t="s">
        <v>197</v>
      </c>
      <c r="F739" t="s">
        <v>197</v>
      </c>
      <c r="G739" t="s">
        <v>197</v>
      </c>
      <c r="H739" t="s">
        <v>197</v>
      </c>
      <c r="I739" t="s">
        <v>197</v>
      </c>
      <c r="J739" t="s">
        <v>197</v>
      </c>
      <c r="K739" t="s">
        <v>561</v>
      </c>
    </row>
    <row r="740" spans="1:24">
      <c r="B740" t="s">
        <v>197</v>
      </c>
      <c r="C740" t="s">
        <v>197</v>
      </c>
      <c r="D740" t="s">
        <v>197</v>
      </c>
      <c r="E740" t="s">
        <v>197</v>
      </c>
      <c r="F740" t="s">
        <v>197</v>
      </c>
      <c r="G740" t="s">
        <v>197</v>
      </c>
      <c r="H740" t="s">
        <v>197</v>
      </c>
      <c r="I740" t="s">
        <v>197</v>
      </c>
      <c r="J740" t="s">
        <v>197</v>
      </c>
      <c r="K740" t="s">
        <v>562</v>
      </c>
    </row>
    <row r="741" spans="1:24">
      <c r="B741" t="s">
        <v>197</v>
      </c>
      <c r="C741" t="s">
        <v>197</v>
      </c>
      <c r="D741" t="s">
        <v>197</v>
      </c>
      <c r="E741" t="s">
        <v>197</v>
      </c>
      <c r="F741" t="s">
        <v>197</v>
      </c>
      <c r="G741" t="s">
        <v>197</v>
      </c>
      <c r="H741" t="s">
        <v>197</v>
      </c>
      <c r="I741" t="s">
        <v>197</v>
      </c>
      <c r="J741" t="s">
        <v>197</v>
      </c>
      <c r="K741" t="s">
        <v>563</v>
      </c>
    </row>
    <row r="742" spans="1:24">
      <c r="B742" t="s">
        <v>197</v>
      </c>
      <c r="C742" t="s">
        <v>197</v>
      </c>
      <c r="D742" t="s">
        <v>197</v>
      </c>
      <c r="E742" t="s">
        <v>197</v>
      </c>
      <c r="F742" t="s">
        <v>197</v>
      </c>
      <c r="G742" t="s">
        <v>197</v>
      </c>
      <c r="H742" t="s">
        <v>197</v>
      </c>
      <c r="I742" t="s">
        <v>197</v>
      </c>
      <c r="J742" t="s">
        <v>197</v>
      </c>
      <c r="K742" t="s">
        <v>564</v>
      </c>
    </row>
    <row r="743" spans="1:24">
      <c r="B743" t="s">
        <v>197</v>
      </c>
      <c r="C743" t="s">
        <v>197</v>
      </c>
      <c r="D743" t="s">
        <v>197</v>
      </c>
      <c r="E743" t="s">
        <v>197</v>
      </c>
      <c r="F743" t="s">
        <v>197</v>
      </c>
      <c r="G743" t="s">
        <v>197</v>
      </c>
      <c r="H743" t="s">
        <v>197</v>
      </c>
      <c r="I743" t="s">
        <v>197</v>
      </c>
      <c r="J743" t="s">
        <v>197</v>
      </c>
      <c r="K743" t="s">
        <v>565</v>
      </c>
    </row>
    <row r="744" spans="1:24">
      <c r="B744" t="s">
        <v>197</v>
      </c>
      <c r="C744" t="s">
        <v>197</v>
      </c>
      <c r="D744" t="s">
        <v>197</v>
      </c>
      <c r="E744" t="s">
        <v>197</v>
      </c>
      <c r="F744" t="s">
        <v>197</v>
      </c>
      <c r="G744" t="s">
        <v>197</v>
      </c>
      <c r="H744" t="s">
        <v>197</v>
      </c>
      <c r="I744" t="s">
        <v>197</v>
      </c>
      <c r="J744" t="s">
        <v>197</v>
      </c>
      <c r="K744" t="s">
        <v>566</v>
      </c>
    </row>
    <row r="745" spans="1:24">
      <c r="B745" t="s">
        <v>197</v>
      </c>
      <c r="C745" t="s">
        <v>197</v>
      </c>
      <c r="D745" t="s">
        <v>197</v>
      </c>
      <c r="E745" t="s">
        <v>197</v>
      </c>
      <c r="F745" t="s">
        <v>197</v>
      </c>
      <c r="G745" t="s">
        <v>197</v>
      </c>
      <c r="H745" t="s">
        <v>197</v>
      </c>
      <c r="I745" t="s">
        <v>197</v>
      </c>
      <c r="J745" t="s">
        <v>197</v>
      </c>
      <c r="K745" t="s">
        <v>567</v>
      </c>
    </row>
    <row r="746" spans="1:24">
      <c r="A746" t="s">
        <v>899</v>
      </c>
      <c r="K746" t="s">
        <v>900</v>
      </c>
      <c r="W746" t="s">
        <v>171</v>
      </c>
      <c r="X746" t="str">
        <f>A746</f>
        <v>info_varcharmax_dml_single_pk_urp</v>
      </c>
    </row>
    <row r="747" spans="1:24">
      <c r="B747" t="s">
        <v>196</v>
      </c>
      <c r="C747" t="s">
        <v>197</v>
      </c>
      <c r="D747" t="s">
        <v>197</v>
      </c>
      <c r="E747" t="s">
        <v>197</v>
      </c>
      <c r="F747" t="s">
        <v>197</v>
      </c>
      <c r="G747" t="s">
        <v>197</v>
      </c>
      <c r="H747" t="s">
        <v>197</v>
      </c>
      <c r="I747" t="s">
        <v>901</v>
      </c>
      <c r="J747" t="s">
        <v>199</v>
      </c>
      <c r="K747" t="s">
        <v>200</v>
      </c>
    </row>
    <row r="748" spans="1:24">
      <c r="B748" t="s">
        <v>197</v>
      </c>
      <c r="C748" t="s">
        <v>197</v>
      </c>
      <c r="D748" t="s">
        <v>197</v>
      </c>
      <c r="E748" t="s">
        <v>197</v>
      </c>
      <c r="F748" t="s">
        <v>197</v>
      </c>
      <c r="G748" t="s">
        <v>197</v>
      </c>
      <c r="H748" t="s">
        <v>197</v>
      </c>
      <c r="I748" t="s">
        <v>197</v>
      </c>
      <c r="J748" t="s">
        <v>197</v>
      </c>
      <c r="K748" t="s">
        <v>725</v>
      </c>
    </row>
    <row r="749" spans="1:24">
      <c r="B749" t="s">
        <v>197</v>
      </c>
      <c r="C749" t="s">
        <v>197</v>
      </c>
      <c r="D749" t="s">
        <v>197</v>
      </c>
      <c r="E749" t="s">
        <v>197</v>
      </c>
      <c r="F749" t="s">
        <v>197</v>
      </c>
      <c r="G749" t="s">
        <v>197</v>
      </c>
      <c r="H749" t="s">
        <v>197</v>
      </c>
      <c r="I749" t="s">
        <v>197</v>
      </c>
      <c r="J749" t="s">
        <v>197</v>
      </c>
      <c r="K749" t="s">
        <v>726</v>
      </c>
    </row>
    <row r="750" spans="1:24">
      <c r="A750" t="s">
        <v>896</v>
      </c>
      <c r="K750" t="s">
        <v>897</v>
      </c>
      <c r="W750" t="s">
        <v>171</v>
      </c>
      <c r="X750" t="str">
        <f>A750</f>
        <v>info_char_dml_batch1_pk</v>
      </c>
    </row>
    <row r="751" spans="1:24">
      <c r="B751" t="s">
        <v>196</v>
      </c>
      <c r="C751" t="s">
        <v>197</v>
      </c>
      <c r="D751" t="s">
        <v>197</v>
      </c>
      <c r="E751" t="s">
        <v>197</v>
      </c>
      <c r="F751" t="s">
        <v>197</v>
      </c>
      <c r="G751" t="s">
        <v>197</v>
      </c>
      <c r="H751" t="s">
        <v>197</v>
      </c>
      <c r="I751" t="s">
        <v>898</v>
      </c>
      <c r="J751" t="s">
        <v>199</v>
      </c>
      <c r="K751" t="s">
        <v>200</v>
      </c>
    </row>
    <row r="752" spans="1:24">
      <c r="B752" t="s">
        <v>197</v>
      </c>
      <c r="C752" t="s">
        <v>197</v>
      </c>
      <c r="D752" t="s">
        <v>197</v>
      </c>
      <c r="E752" t="s">
        <v>197</v>
      </c>
      <c r="F752" t="s">
        <v>197</v>
      </c>
      <c r="G752" t="s">
        <v>197</v>
      </c>
      <c r="H752" t="s">
        <v>197</v>
      </c>
      <c r="I752" t="s">
        <v>197</v>
      </c>
      <c r="J752" t="s">
        <v>197</v>
      </c>
      <c r="K752" t="s">
        <v>622</v>
      </c>
    </row>
    <row r="753" spans="1:24">
      <c r="B753" t="s">
        <v>197</v>
      </c>
      <c r="C753" t="s">
        <v>197</v>
      </c>
      <c r="D753" t="s">
        <v>197</v>
      </c>
      <c r="E753" t="s">
        <v>197</v>
      </c>
      <c r="F753" t="s">
        <v>197</v>
      </c>
      <c r="G753" t="s">
        <v>197</v>
      </c>
      <c r="H753" t="s">
        <v>197</v>
      </c>
      <c r="I753" t="s">
        <v>197</v>
      </c>
      <c r="J753" t="s">
        <v>197</v>
      </c>
      <c r="K753" t="s">
        <v>623</v>
      </c>
    </row>
    <row r="754" spans="1:24">
      <c r="B754" t="s">
        <v>197</v>
      </c>
      <c r="C754" t="s">
        <v>197</v>
      </c>
      <c r="D754" t="s">
        <v>197</v>
      </c>
      <c r="E754" t="s">
        <v>197</v>
      </c>
      <c r="F754" t="s">
        <v>197</v>
      </c>
      <c r="G754" t="s">
        <v>197</v>
      </c>
      <c r="H754" t="s">
        <v>197</v>
      </c>
      <c r="I754" t="s">
        <v>197</v>
      </c>
      <c r="J754" t="s">
        <v>197</v>
      </c>
      <c r="K754" t="s">
        <v>832</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s="1" t="str">
        <f>HYPERLINK("#2026042011hbase0!AP2","NO 源备存在差异，共4个")</f>
        <v>NO 源备存在差异，共4个</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t="s">
        <v>171</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s="1" t="str">
        <f>HYPERLINK("#2026042011hbase0!AQ2","NO 源备存在差异，共6个")</f>
        <v>NO 源备存在差异，共6个</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932</v>
      </c>
      <c r="K811" t="s">
        <v>933</v>
      </c>
      <c r="W811" t="s">
        <v>171</v>
      </c>
      <c r="X811" t="str">
        <f>A811</f>
        <v>info_char_dml_batch1_pk_urp1</v>
      </c>
    </row>
    <row r="812" spans="1:24">
      <c r="B812" t="s">
        <v>196</v>
      </c>
      <c r="C812" t="s">
        <v>197</v>
      </c>
      <c r="D812" t="s">
        <v>197</v>
      </c>
      <c r="E812" t="s">
        <v>197</v>
      </c>
      <c r="F812" t="s">
        <v>197</v>
      </c>
      <c r="G812" t="s">
        <v>197</v>
      </c>
      <c r="H812" t="s">
        <v>197</v>
      </c>
      <c r="I812" t="s">
        <v>934</v>
      </c>
      <c r="J812" t="s">
        <v>199</v>
      </c>
      <c r="K812" t="s">
        <v>200</v>
      </c>
    </row>
    <row r="813" spans="1:24">
      <c r="B813" t="s">
        <v>197</v>
      </c>
      <c r="C813" t="s">
        <v>197</v>
      </c>
      <c r="D813" t="s">
        <v>197</v>
      </c>
      <c r="E813" t="s">
        <v>197</v>
      </c>
      <c r="F813" t="s">
        <v>197</v>
      </c>
      <c r="G813" t="s">
        <v>197</v>
      </c>
      <c r="H813" t="s">
        <v>197</v>
      </c>
      <c r="I813" t="s">
        <v>197</v>
      </c>
      <c r="J813" t="s">
        <v>197</v>
      </c>
      <c r="K813" t="s">
        <v>622</v>
      </c>
    </row>
    <row r="814" spans="1:24">
      <c r="B814" t="s">
        <v>197</v>
      </c>
      <c r="C814" t="s">
        <v>197</v>
      </c>
      <c r="D814" t="s">
        <v>197</v>
      </c>
      <c r="E814" t="s">
        <v>197</v>
      </c>
      <c r="F814" t="s">
        <v>197</v>
      </c>
      <c r="G814" t="s">
        <v>197</v>
      </c>
      <c r="H814" t="s">
        <v>197</v>
      </c>
      <c r="I814" t="s">
        <v>197</v>
      </c>
      <c r="J814" t="s">
        <v>197</v>
      </c>
      <c r="K814" t="s">
        <v>623</v>
      </c>
    </row>
    <row r="815" spans="1:24">
      <c r="B815" t="s">
        <v>197</v>
      </c>
      <c r="C815" t="s">
        <v>197</v>
      </c>
      <c r="D815" t="s">
        <v>197</v>
      </c>
      <c r="E815" t="s">
        <v>197</v>
      </c>
      <c r="F815" t="s">
        <v>197</v>
      </c>
      <c r="G815" t="s">
        <v>197</v>
      </c>
      <c r="H815" t="s">
        <v>197</v>
      </c>
      <c r="I815" t="s">
        <v>197</v>
      </c>
      <c r="J815" t="s">
        <v>197</v>
      </c>
      <c r="K815" t="s">
        <v>832</v>
      </c>
    </row>
    <row r="816" spans="1:24">
      <c r="A816" t="s">
        <v>935</v>
      </c>
      <c r="K816" t="s">
        <v>936</v>
      </c>
      <c r="W816" t="s">
        <v>171</v>
      </c>
      <c r="X816" t="str">
        <f>A816</f>
        <v>info_int_dml_single_pk</v>
      </c>
    </row>
    <row r="817" spans="2:11">
      <c r="B817" t="s">
        <v>196</v>
      </c>
      <c r="C817" t="s">
        <v>197</v>
      </c>
      <c r="D817" t="s">
        <v>197</v>
      </c>
      <c r="E817" t="s">
        <v>197</v>
      </c>
      <c r="F817" t="s">
        <v>197</v>
      </c>
      <c r="G817" t="s">
        <v>197</v>
      </c>
      <c r="H817" t="s">
        <v>197</v>
      </c>
      <c r="I817" t="s">
        <v>937</v>
      </c>
      <c r="J817" t="s">
        <v>199</v>
      </c>
      <c r="K817" t="s">
        <v>200</v>
      </c>
    </row>
    <row r="818" spans="2:11">
      <c r="B818" t="s">
        <v>197</v>
      </c>
      <c r="C818" t="s">
        <v>197</v>
      </c>
      <c r="D818" t="s">
        <v>197</v>
      </c>
      <c r="E818" t="s">
        <v>197</v>
      </c>
      <c r="F818" t="s">
        <v>197</v>
      </c>
      <c r="G818" t="s">
        <v>197</v>
      </c>
      <c r="H818" t="s">
        <v>197</v>
      </c>
      <c r="I818" t="s">
        <v>197</v>
      </c>
      <c r="J818" t="s">
        <v>197</v>
      </c>
      <c r="K818" t="s">
        <v>549</v>
      </c>
    </row>
    <row r="819" spans="2:11">
      <c r="B819" t="s">
        <v>197</v>
      </c>
      <c r="C819" t="s">
        <v>197</v>
      </c>
      <c r="D819" t="s">
        <v>197</v>
      </c>
      <c r="E819" t="s">
        <v>197</v>
      </c>
      <c r="F819" t="s">
        <v>197</v>
      </c>
      <c r="G819" t="s">
        <v>197</v>
      </c>
      <c r="H819" t="s">
        <v>197</v>
      </c>
      <c r="I819" t="s">
        <v>197</v>
      </c>
      <c r="J819" t="s">
        <v>197</v>
      </c>
      <c r="K819" t="s">
        <v>550</v>
      </c>
    </row>
    <row r="820" spans="2:11">
      <c r="B820" t="s">
        <v>197</v>
      </c>
      <c r="C820" t="s">
        <v>197</v>
      </c>
      <c r="D820" t="s">
        <v>197</v>
      </c>
      <c r="E820" t="s">
        <v>197</v>
      </c>
      <c r="F820" t="s">
        <v>197</v>
      </c>
      <c r="G820" t="s">
        <v>197</v>
      </c>
      <c r="H820" t="s">
        <v>197</v>
      </c>
      <c r="I820" t="s">
        <v>197</v>
      </c>
      <c r="J820" t="s">
        <v>197</v>
      </c>
      <c r="K820" t="s">
        <v>551</v>
      </c>
    </row>
    <row r="821" spans="2:11">
      <c r="B821" t="s">
        <v>197</v>
      </c>
      <c r="C821" t="s">
        <v>197</v>
      </c>
      <c r="D821" t="s">
        <v>197</v>
      </c>
      <c r="E821" t="s">
        <v>197</v>
      </c>
      <c r="F821" t="s">
        <v>197</v>
      </c>
      <c r="G821" t="s">
        <v>197</v>
      </c>
      <c r="H821" t="s">
        <v>197</v>
      </c>
      <c r="I821" t="s">
        <v>197</v>
      </c>
      <c r="J821" t="s">
        <v>197</v>
      </c>
      <c r="K821" t="s">
        <v>552</v>
      </c>
    </row>
    <row r="822" spans="2:11">
      <c r="B822" t="s">
        <v>197</v>
      </c>
      <c r="C822" t="s">
        <v>197</v>
      </c>
      <c r="D822" t="s">
        <v>197</v>
      </c>
      <c r="E822" t="s">
        <v>197</v>
      </c>
      <c r="F822" t="s">
        <v>197</v>
      </c>
      <c r="G822" t="s">
        <v>197</v>
      </c>
      <c r="H822" t="s">
        <v>197</v>
      </c>
      <c r="I822" t="s">
        <v>197</v>
      </c>
      <c r="J822" t="s">
        <v>197</v>
      </c>
      <c r="K822" t="s">
        <v>553</v>
      </c>
    </row>
    <row r="823" spans="2:11">
      <c r="B823" t="s">
        <v>197</v>
      </c>
      <c r="C823" t="s">
        <v>197</v>
      </c>
      <c r="D823" t="s">
        <v>197</v>
      </c>
      <c r="E823" t="s">
        <v>197</v>
      </c>
      <c r="F823" t="s">
        <v>197</v>
      </c>
      <c r="G823" t="s">
        <v>197</v>
      </c>
      <c r="H823" t="s">
        <v>197</v>
      </c>
      <c r="I823" t="s">
        <v>197</v>
      </c>
      <c r="J823" t="s">
        <v>197</v>
      </c>
      <c r="K823" t="s">
        <v>554</v>
      </c>
    </row>
    <row r="824" spans="2:11">
      <c r="B824" t="s">
        <v>197</v>
      </c>
      <c r="C824" t="s">
        <v>197</v>
      </c>
      <c r="D824" t="s">
        <v>197</v>
      </c>
      <c r="E824" t="s">
        <v>197</v>
      </c>
      <c r="F824" t="s">
        <v>197</v>
      </c>
      <c r="G824" t="s">
        <v>197</v>
      </c>
      <c r="H824" t="s">
        <v>197</v>
      </c>
      <c r="I824" t="s">
        <v>197</v>
      </c>
      <c r="J824" t="s">
        <v>197</v>
      </c>
      <c r="K824" t="s">
        <v>555</v>
      </c>
    </row>
    <row r="825" spans="2:11">
      <c r="B825" t="s">
        <v>197</v>
      </c>
      <c r="C825" t="s">
        <v>197</v>
      </c>
      <c r="D825" t="s">
        <v>197</v>
      </c>
      <c r="E825" t="s">
        <v>197</v>
      </c>
      <c r="F825" t="s">
        <v>197</v>
      </c>
      <c r="G825" t="s">
        <v>197</v>
      </c>
      <c r="H825" t="s">
        <v>197</v>
      </c>
      <c r="I825" t="s">
        <v>197</v>
      </c>
      <c r="J825" t="s">
        <v>197</v>
      </c>
      <c r="K825" t="s">
        <v>556</v>
      </c>
    </row>
    <row r="826" spans="2:11">
      <c r="B826" t="s">
        <v>197</v>
      </c>
      <c r="C826" t="s">
        <v>197</v>
      </c>
      <c r="D826" t="s">
        <v>197</v>
      </c>
      <c r="E826" t="s">
        <v>197</v>
      </c>
      <c r="F826" t="s">
        <v>197</v>
      </c>
      <c r="G826" t="s">
        <v>197</v>
      </c>
      <c r="H826" t="s">
        <v>197</v>
      </c>
      <c r="I826" t="s">
        <v>197</v>
      </c>
      <c r="J826" t="s">
        <v>197</v>
      </c>
      <c r="K826" t="s">
        <v>557</v>
      </c>
    </row>
    <row r="827" spans="2:11">
      <c r="B827" t="s">
        <v>197</v>
      </c>
      <c r="C827" t="s">
        <v>197</v>
      </c>
      <c r="D827" t="s">
        <v>197</v>
      </c>
      <c r="E827" t="s">
        <v>197</v>
      </c>
      <c r="F827" t="s">
        <v>197</v>
      </c>
      <c r="G827" t="s">
        <v>197</v>
      </c>
      <c r="H827" t="s">
        <v>197</v>
      </c>
      <c r="I827" t="s">
        <v>197</v>
      </c>
      <c r="J827" t="s">
        <v>197</v>
      </c>
      <c r="K827" t="s">
        <v>558</v>
      </c>
    </row>
    <row r="828" spans="2:11">
      <c r="B828" t="s">
        <v>197</v>
      </c>
      <c r="C828" t="s">
        <v>197</v>
      </c>
      <c r="D828" t="s">
        <v>197</v>
      </c>
      <c r="E828" t="s">
        <v>197</v>
      </c>
      <c r="F828" t="s">
        <v>197</v>
      </c>
      <c r="G828" t="s">
        <v>197</v>
      </c>
      <c r="H828" t="s">
        <v>197</v>
      </c>
      <c r="I828" t="s">
        <v>197</v>
      </c>
      <c r="J828" t="s">
        <v>197</v>
      </c>
      <c r="K828" t="s">
        <v>559</v>
      </c>
    </row>
    <row r="829" spans="2:11">
      <c r="B829" t="s">
        <v>197</v>
      </c>
      <c r="C829" t="s">
        <v>197</v>
      </c>
      <c r="D829" t="s">
        <v>197</v>
      </c>
      <c r="E829" t="s">
        <v>197</v>
      </c>
      <c r="F829" t="s">
        <v>197</v>
      </c>
      <c r="G829" t="s">
        <v>197</v>
      </c>
      <c r="H829" t="s">
        <v>197</v>
      </c>
      <c r="I829" t="s">
        <v>197</v>
      </c>
      <c r="J829" t="s">
        <v>197</v>
      </c>
      <c r="K829" t="s">
        <v>560</v>
      </c>
    </row>
    <row r="830" spans="2:11">
      <c r="B830" t="s">
        <v>197</v>
      </c>
      <c r="C830" t="s">
        <v>197</v>
      </c>
      <c r="D830" t="s">
        <v>197</v>
      </c>
      <c r="E830" t="s">
        <v>197</v>
      </c>
      <c r="F830" t="s">
        <v>197</v>
      </c>
      <c r="G830" t="s">
        <v>197</v>
      </c>
      <c r="H830" t="s">
        <v>197</v>
      </c>
      <c r="I830" t="s">
        <v>197</v>
      </c>
      <c r="J830" t="s">
        <v>197</v>
      </c>
      <c r="K830" t="s">
        <v>561</v>
      </c>
    </row>
    <row r="831" spans="2:11">
      <c r="B831" t="s">
        <v>197</v>
      </c>
      <c r="C831" t="s">
        <v>197</v>
      </c>
      <c r="D831" t="s">
        <v>197</v>
      </c>
      <c r="E831" t="s">
        <v>197</v>
      </c>
      <c r="F831" t="s">
        <v>197</v>
      </c>
      <c r="G831" t="s">
        <v>197</v>
      </c>
      <c r="H831" t="s">
        <v>197</v>
      </c>
      <c r="I831" t="s">
        <v>197</v>
      </c>
      <c r="J831" t="s">
        <v>197</v>
      </c>
      <c r="K831" t="s">
        <v>562</v>
      </c>
    </row>
    <row r="832" spans="2:11">
      <c r="B832" t="s">
        <v>197</v>
      </c>
      <c r="C832" t="s">
        <v>197</v>
      </c>
      <c r="D832" t="s">
        <v>197</v>
      </c>
      <c r="E832" t="s">
        <v>197</v>
      </c>
      <c r="F832" t="s">
        <v>197</v>
      </c>
      <c r="G832" t="s">
        <v>197</v>
      </c>
      <c r="H832" t="s">
        <v>197</v>
      </c>
      <c r="I832" t="s">
        <v>197</v>
      </c>
      <c r="J832" t="s">
        <v>197</v>
      </c>
      <c r="K832" t="s">
        <v>563</v>
      </c>
    </row>
    <row r="833" spans="1:24">
      <c r="B833" t="s">
        <v>197</v>
      </c>
      <c r="C833" t="s">
        <v>197</v>
      </c>
      <c r="D833" t="s">
        <v>197</v>
      </c>
      <c r="E833" t="s">
        <v>197</v>
      </c>
      <c r="F833" t="s">
        <v>197</v>
      </c>
      <c r="G833" t="s">
        <v>197</v>
      </c>
      <c r="H833" t="s">
        <v>197</v>
      </c>
      <c r="I833" t="s">
        <v>197</v>
      </c>
      <c r="J833" t="s">
        <v>197</v>
      </c>
      <c r="K833" t="s">
        <v>564</v>
      </c>
    </row>
    <row r="834" spans="1:24">
      <c r="B834" t="s">
        <v>197</v>
      </c>
      <c r="C834" t="s">
        <v>197</v>
      </c>
      <c r="D834" t="s">
        <v>197</v>
      </c>
      <c r="E834" t="s">
        <v>197</v>
      </c>
      <c r="F834" t="s">
        <v>197</v>
      </c>
      <c r="G834" t="s">
        <v>197</v>
      </c>
      <c r="H834" t="s">
        <v>197</v>
      </c>
      <c r="I834" t="s">
        <v>197</v>
      </c>
      <c r="J834" t="s">
        <v>197</v>
      </c>
      <c r="K834" t="s">
        <v>565</v>
      </c>
    </row>
    <row r="835" spans="1:24">
      <c r="B835" t="s">
        <v>197</v>
      </c>
      <c r="C835" t="s">
        <v>197</v>
      </c>
      <c r="D835" t="s">
        <v>197</v>
      </c>
      <c r="E835" t="s">
        <v>197</v>
      </c>
      <c r="F835" t="s">
        <v>197</v>
      </c>
      <c r="G835" t="s">
        <v>197</v>
      </c>
      <c r="H835" t="s">
        <v>197</v>
      </c>
      <c r="I835" t="s">
        <v>197</v>
      </c>
      <c r="J835" t="s">
        <v>197</v>
      </c>
      <c r="K835" t="s">
        <v>566</v>
      </c>
    </row>
    <row r="836" spans="1:24">
      <c r="B836" t="s">
        <v>197</v>
      </c>
      <c r="C836" t="s">
        <v>197</v>
      </c>
      <c r="D836" t="s">
        <v>197</v>
      </c>
      <c r="E836" t="s">
        <v>197</v>
      </c>
      <c r="F836" t="s">
        <v>197</v>
      </c>
      <c r="G836" t="s">
        <v>197</v>
      </c>
      <c r="H836" t="s">
        <v>197</v>
      </c>
      <c r="I836" t="s">
        <v>197</v>
      </c>
      <c r="J836" t="s">
        <v>197</v>
      </c>
      <c r="K836" t="s">
        <v>567</v>
      </c>
    </row>
    <row r="837" spans="1:24">
      <c r="A837" t="s">
        <v>941</v>
      </c>
      <c r="K837" t="s">
        <v>942</v>
      </c>
      <c r="W837" s="1" t="str">
        <f>HYPERLINK("#2026042011hbase0!AR2","NO 源备存在差异，共4个")</f>
        <v>NO 源备存在差异，共4个</v>
      </c>
      <c r="X837" t="str">
        <f>A837</f>
        <v>info_timestamp_dml_single_pk_irp</v>
      </c>
    </row>
    <row r="838" spans="1:24">
      <c r="B838" t="s">
        <v>196</v>
      </c>
      <c r="C838" t="s">
        <v>197</v>
      </c>
      <c r="D838" t="s">
        <v>197</v>
      </c>
      <c r="E838" t="s">
        <v>197</v>
      </c>
      <c r="F838" t="s">
        <v>197</v>
      </c>
      <c r="G838" t="s">
        <v>197</v>
      </c>
      <c r="H838" t="s">
        <v>197</v>
      </c>
      <c r="I838" t="s">
        <v>943</v>
      </c>
      <c r="J838" t="s">
        <v>199</v>
      </c>
      <c r="K838" t="s">
        <v>200</v>
      </c>
    </row>
    <row r="839" spans="1:24">
      <c r="B839" t="s">
        <v>197</v>
      </c>
      <c r="C839" t="s">
        <v>197</v>
      </c>
      <c r="D839" t="s">
        <v>197</v>
      </c>
      <c r="E839" t="s">
        <v>197</v>
      </c>
      <c r="F839" t="s">
        <v>197</v>
      </c>
      <c r="G839" t="s">
        <v>197</v>
      </c>
      <c r="H839" t="s">
        <v>197</v>
      </c>
      <c r="I839" t="s">
        <v>197</v>
      </c>
      <c r="J839" t="s">
        <v>197</v>
      </c>
      <c r="K839" t="s">
        <v>944</v>
      </c>
    </row>
    <row r="840" spans="1:24">
      <c r="A840" t="s">
        <v>938</v>
      </c>
      <c r="K840" t="s">
        <v>939</v>
      </c>
      <c r="W840" t="s">
        <v>171</v>
      </c>
      <c r="X840" t="str">
        <f>A840</f>
        <v>info_varcharmax_dml_batch1_pk_drp1</v>
      </c>
    </row>
    <row r="841" spans="1:24">
      <c r="B841" t="s">
        <v>196</v>
      </c>
      <c r="C841" t="s">
        <v>197</v>
      </c>
      <c r="D841" t="s">
        <v>197</v>
      </c>
      <c r="E841" t="s">
        <v>197</v>
      </c>
      <c r="F841" t="s">
        <v>197</v>
      </c>
      <c r="G841" t="s">
        <v>197</v>
      </c>
      <c r="H841" t="s">
        <v>197</v>
      </c>
      <c r="I841" t="s">
        <v>940</v>
      </c>
      <c r="J841" t="s">
        <v>199</v>
      </c>
      <c r="K841" t="s">
        <v>200</v>
      </c>
    </row>
    <row r="842" spans="1:24">
      <c r="B842" t="s">
        <v>197</v>
      </c>
      <c r="C842" t="s">
        <v>197</v>
      </c>
      <c r="D842" t="s">
        <v>197</v>
      </c>
      <c r="E842" t="s">
        <v>197</v>
      </c>
      <c r="F842" t="s">
        <v>197</v>
      </c>
      <c r="G842" t="s">
        <v>197</v>
      </c>
      <c r="H842" t="s">
        <v>197</v>
      </c>
      <c r="I842" t="s">
        <v>197</v>
      </c>
      <c r="J842" t="s">
        <v>197</v>
      </c>
      <c r="K842" t="s">
        <v>725</v>
      </c>
    </row>
    <row r="843" spans="1:24">
      <c r="B843" t="s">
        <v>197</v>
      </c>
      <c r="C843" t="s">
        <v>197</v>
      </c>
      <c r="D843" t="s">
        <v>197</v>
      </c>
      <c r="E843" t="s">
        <v>197</v>
      </c>
      <c r="F843" t="s">
        <v>197</v>
      </c>
      <c r="G843" t="s">
        <v>197</v>
      </c>
      <c r="H843" t="s">
        <v>197</v>
      </c>
      <c r="I843" t="s">
        <v>197</v>
      </c>
      <c r="J843" t="s">
        <v>197</v>
      </c>
      <c r="K843" t="s">
        <v>726</v>
      </c>
    </row>
    <row r="844" spans="1:24">
      <c r="K844" t="s">
        <v>443</v>
      </c>
    </row>
    <row r="845" spans="1:24">
      <c r="A845" t="s">
        <v>945</v>
      </c>
      <c r="K845" t="s">
        <v>946</v>
      </c>
      <c r="W845" t="s">
        <v>171</v>
      </c>
      <c r="X845" t="str">
        <f>A845</f>
        <v>info_char_dml_batch1_pk_urp2</v>
      </c>
    </row>
    <row r="846" spans="1:24">
      <c r="B846" t="s">
        <v>196</v>
      </c>
      <c r="C846" t="s">
        <v>197</v>
      </c>
      <c r="D846" t="s">
        <v>197</v>
      </c>
      <c r="E846" t="s">
        <v>197</v>
      </c>
      <c r="F846" t="s">
        <v>197</v>
      </c>
      <c r="G846" t="s">
        <v>197</v>
      </c>
      <c r="H846" t="s">
        <v>197</v>
      </c>
      <c r="I846" t="s">
        <v>947</v>
      </c>
      <c r="J846" t="s">
        <v>199</v>
      </c>
      <c r="K846" t="s">
        <v>200</v>
      </c>
    </row>
    <row r="847" spans="1:24">
      <c r="B847" t="s">
        <v>197</v>
      </c>
      <c r="C847" t="s">
        <v>197</v>
      </c>
      <c r="D847" t="s">
        <v>197</v>
      </c>
      <c r="E847" t="s">
        <v>197</v>
      </c>
      <c r="F847" t="s">
        <v>197</v>
      </c>
      <c r="G847" t="s">
        <v>197</v>
      </c>
      <c r="H847" t="s">
        <v>197</v>
      </c>
      <c r="I847" t="s">
        <v>197</v>
      </c>
      <c r="J847" t="s">
        <v>197</v>
      </c>
      <c r="K847" t="s">
        <v>622</v>
      </c>
    </row>
    <row r="848" spans="1:24">
      <c r="B848" t="s">
        <v>197</v>
      </c>
      <c r="C848" t="s">
        <v>197</v>
      </c>
      <c r="D848" t="s">
        <v>197</v>
      </c>
      <c r="E848" t="s">
        <v>197</v>
      </c>
      <c r="F848" t="s">
        <v>197</v>
      </c>
      <c r="G848" t="s">
        <v>197</v>
      </c>
      <c r="H848" t="s">
        <v>197</v>
      </c>
      <c r="I848" t="s">
        <v>197</v>
      </c>
      <c r="J848" t="s">
        <v>197</v>
      </c>
      <c r="K848" t="s">
        <v>623</v>
      </c>
    </row>
    <row r="849" spans="1:24">
      <c r="B849" t="s">
        <v>197</v>
      </c>
      <c r="C849" t="s">
        <v>197</v>
      </c>
      <c r="D849" t="s">
        <v>197</v>
      </c>
      <c r="E849" t="s">
        <v>197</v>
      </c>
      <c r="F849" t="s">
        <v>197</v>
      </c>
      <c r="G849" t="s">
        <v>197</v>
      </c>
      <c r="H849" t="s">
        <v>197</v>
      </c>
      <c r="I849" t="s">
        <v>197</v>
      </c>
      <c r="J849" t="s">
        <v>197</v>
      </c>
      <c r="K849" t="s">
        <v>832</v>
      </c>
    </row>
    <row r="850" spans="1:24">
      <c r="A850" t="s">
        <v>951</v>
      </c>
      <c r="K850" t="s">
        <v>952</v>
      </c>
      <c r="W850" t="s">
        <v>171</v>
      </c>
      <c r="X850" t="str">
        <f>A850</f>
        <v>info_varcharmax_dml_batch1_pk_drp2</v>
      </c>
    </row>
    <row r="851" spans="1:24">
      <c r="B851" t="s">
        <v>196</v>
      </c>
      <c r="C851" t="s">
        <v>197</v>
      </c>
      <c r="D851" t="s">
        <v>197</v>
      </c>
      <c r="E851" t="s">
        <v>197</v>
      </c>
      <c r="F851" t="s">
        <v>197</v>
      </c>
      <c r="G851" t="s">
        <v>197</v>
      </c>
      <c r="H851" t="s">
        <v>197</v>
      </c>
      <c r="I851" t="s">
        <v>953</v>
      </c>
      <c r="J851" t="s">
        <v>199</v>
      </c>
      <c r="K851" t="s">
        <v>200</v>
      </c>
    </row>
    <row r="852" spans="1:24">
      <c r="B852" t="s">
        <v>197</v>
      </c>
      <c r="C852" t="s">
        <v>197</v>
      </c>
      <c r="D852" t="s">
        <v>197</v>
      </c>
      <c r="E852" t="s">
        <v>197</v>
      </c>
      <c r="F852" t="s">
        <v>197</v>
      </c>
      <c r="G852" t="s">
        <v>197</v>
      </c>
      <c r="H852" t="s">
        <v>197</v>
      </c>
      <c r="I852" t="s">
        <v>197</v>
      </c>
      <c r="J852" t="s">
        <v>197</v>
      </c>
      <c r="K852" t="s">
        <v>725</v>
      </c>
    </row>
    <row r="853" spans="1:24">
      <c r="B853" t="s">
        <v>197</v>
      </c>
      <c r="C853" t="s">
        <v>197</v>
      </c>
      <c r="D853" t="s">
        <v>197</v>
      </c>
      <c r="E853" t="s">
        <v>197</v>
      </c>
      <c r="F853" t="s">
        <v>197</v>
      </c>
      <c r="G853" t="s">
        <v>197</v>
      </c>
      <c r="H853" t="s">
        <v>197</v>
      </c>
      <c r="I853" t="s">
        <v>197</v>
      </c>
      <c r="J853" t="s">
        <v>197</v>
      </c>
      <c r="K853" t="s">
        <v>726</v>
      </c>
    </row>
    <row r="854" spans="1:24">
      <c r="K854" t="s">
        <v>443</v>
      </c>
    </row>
    <row r="855" spans="1:24">
      <c r="A855" t="s">
        <v>948</v>
      </c>
      <c r="K855" t="s">
        <v>949</v>
      </c>
      <c r="W855" t="s">
        <v>171</v>
      </c>
      <c r="X855" t="str">
        <f>A855</f>
        <v>info_char_dml_single_pk_urp</v>
      </c>
    </row>
    <row r="856" spans="1:24">
      <c r="B856" t="s">
        <v>196</v>
      </c>
      <c r="C856" t="s">
        <v>197</v>
      </c>
      <c r="D856" t="s">
        <v>197</v>
      </c>
      <c r="E856" t="s">
        <v>197</v>
      </c>
      <c r="F856" t="s">
        <v>197</v>
      </c>
      <c r="G856" t="s">
        <v>197</v>
      </c>
      <c r="H856" t="s">
        <v>197</v>
      </c>
      <c r="I856" t="s">
        <v>950</v>
      </c>
      <c r="J856" t="s">
        <v>199</v>
      </c>
      <c r="K856" t="s">
        <v>200</v>
      </c>
    </row>
    <row r="857" spans="1:24">
      <c r="B857" t="s">
        <v>197</v>
      </c>
      <c r="C857" t="s">
        <v>197</v>
      </c>
      <c r="D857" t="s">
        <v>197</v>
      </c>
      <c r="E857" t="s">
        <v>197</v>
      </c>
      <c r="F857" t="s">
        <v>197</v>
      </c>
      <c r="G857" t="s">
        <v>197</v>
      </c>
      <c r="H857" t="s">
        <v>197</v>
      </c>
      <c r="I857" t="s">
        <v>197</v>
      </c>
      <c r="J857" t="s">
        <v>197</v>
      </c>
      <c r="K857" t="s">
        <v>622</v>
      </c>
    </row>
    <row r="858" spans="1:24">
      <c r="B858" t="s">
        <v>197</v>
      </c>
      <c r="C858" t="s">
        <v>197</v>
      </c>
      <c r="D858" t="s">
        <v>197</v>
      </c>
      <c r="E858" t="s">
        <v>197</v>
      </c>
      <c r="F858" t="s">
        <v>197</v>
      </c>
      <c r="G858" t="s">
        <v>197</v>
      </c>
      <c r="H858" t="s">
        <v>197</v>
      </c>
      <c r="I858" t="s">
        <v>197</v>
      </c>
      <c r="J858" t="s">
        <v>197</v>
      </c>
      <c r="K858" t="s">
        <v>623</v>
      </c>
    </row>
    <row r="859" spans="1:24">
      <c r="B859" t="s">
        <v>197</v>
      </c>
      <c r="C859" t="s">
        <v>197</v>
      </c>
      <c r="D859" t="s">
        <v>197</v>
      </c>
      <c r="E859" t="s">
        <v>197</v>
      </c>
      <c r="F859" t="s">
        <v>197</v>
      </c>
      <c r="G859" t="s">
        <v>197</v>
      </c>
      <c r="H859" t="s">
        <v>197</v>
      </c>
      <c r="I859" t="s">
        <v>197</v>
      </c>
      <c r="J859" t="s">
        <v>197</v>
      </c>
      <c r="K859" t="s">
        <v>832</v>
      </c>
    </row>
    <row r="860" spans="1:24">
      <c r="A860" t="s">
        <v>957</v>
      </c>
      <c r="K860" t="s">
        <v>958</v>
      </c>
      <c r="W860" t="s">
        <v>171</v>
      </c>
      <c r="X860" t="str">
        <f>A860</f>
        <v>info_date_dml_batch1_pk_drp1</v>
      </c>
    </row>
    <row r="861" spans="1:24">
      <c r="B861" t="s">
        <v>196</v>
      </c>
      <c r="C861" t="s">
        <v>197</v>
      </c>
      <c r="D861" t="s">
        <v>197</v>
      </c>
      <c r="E861" t="s">
        <v>197</v>
      </c>
      <c r="F861" t="s">
        <v>197</v>
      </c>
      <c r="G861" t="s">
        <v>197</v>
      </c>
      <c r="H861" t="s">
        <v>197</v>
      </c>
      <c r="I861" t="s">
        <v>959</v>
      </c>
      <c r="J861" t="s">
        <v>199</v>
      </c>
      <c r="K861" t="s">
        <v>200</v>
      </c>
    </row>
    <row r="862" spans="1:24">
      <c r="B862" t="s">
        <v>197</v>
      </c>
      <c r="C862" t="s">
        <v>197</v>
      </c>
      <c r="D862" t="s">
        <v>197</v>
      </c>
      <c r="E862" t="s">
        <v>197</v>
      </c>
      <c r="F862" t="s">
        <v>197</v>
      </c>
      <c r="G862" t="s">
        <v>197</v>
      </c>
      <c r="H862" t="s">
        <v>197</v>
      </c>
      <c r="I862" t="s">
        <v>197</v>
      </c>
      <c r="J862" t="s">
        <v>197</v>
      </c>
      <c r="K862" t="s">
        <v>678</v>
      </c>
    </row>
    <row r="863" spans="1:24">
      <c r="K863" t="s">
        <v>443</v>
      </c>
    </row>
    <row r="864" spans="1:24">
      <c r="A864" t="s">
        <v>960</v>
      </c>
      <c r="K864" t="s">
        <v>961</v>
      </c>
      <c r="W864" t="s">
        <v>171</v>
      </c>
      <c r="X864" t="str">
        <f>A864</f>
        <v>info_varchar_dml_batch1_pk_irp1</v>
      </c>
    </row>
    <row r="865" spans="1:24">
      <c r="B865" t="s">
        <v>196</v>
      </c>
      <c r="C865" t="s">
        <v>197</v>
      </c>
      <c r="D865" t="s">
        <v>197</v>
      </c>
      <c r="E865" t="s">
        <v>197</v>
      </c>
      <c r="F865" t="s">
        <v>197</v>
      </c>
      <c r="G865" t="s">
        <v>197</v>
      </c>
      <c r="H865" t="s">
        <v>197</v>
      </c>
      <c r="I865" t="s">
        <v>962</v>
      </c>
      <c r="J865" t="s">
        <v>199</v>
      </c>
      <c r="K865" t="s">
        <v>200</v>
      </c>
    </row>
    <row r="866" spans="1:24">
      <c r="B866" t="s">
        <v>197</v>
      </c>
      <c r="C866" t="s">
        <v>197</v>
      </c>
      <c r="D866" t="s">
        <v>197</v>
      </c>
      <c r="E866" t="s">
        <v>197</v>
      </c>
      <c r="F866" t="s">
        <v>197</v>
      </c>
      <c r="G866" t="s">
        <v>197</v>
      </c>
      <c r="H866" t="s">
        <v>197</v>
      </c>
      <c r="I866" t="s">
        <v>197</v>
      </c>
      <c r="J866" t="s">
        <v>197</v>
      </c>
      <c r="K866" t="s">
        <v>431</v>
      </c>
    </row>
    <row r="867" spans="1:24">
      <c r="B867" t="s">
        <v>197</v>
      </c>
      <c r="C867" t="s">
        <v>197</v>
      </c>
      <c r="D867" t="s">
        <v>197</v>
      </c>
      <c r="E867" t="s">
        <v>197</v>
      </c>
      <c r="F867" t="s">
        <v>197</v>
      </c>
      <c r="G867" t="s">
        <v>197</v>
      </c>
      <c r="H867" t="s">
        <v>197</v>
      </c>
      <c r="I867" t="s">
        <v>197</v>
      </c>
      <c r="J867" t="s">
        <v>197</v>
      </c>
      <c r="K867" t="s">
        <v>434</v>
      </c>
    </row>
    <row r="868" spans="1:24">
      <c r="B868" t="s">
        <v>197</v>
      </c>
      <c r="C868" t="s">
        <v>197</v>
      </c>
      <c r="D868" t="s">
        <v>197</v>
      </c>
      <c r="E868" t="s">
        <v>197</v>
      </c>
      <c r="F868" t="s">
        <v>197</v>
      </c>
      <c r="G868" t="s">
        <v>197</v>
      </c>
      <c r="H868" t="s">
        <v>197</v>
      </c>
      <c r="I868" t="s">
        <v>197</v>
      </c>
      <c r="J868" t="s">
        <v>197</v>
      </c>
      <c r="K868" t="s">
        <v>963</v>
      </c>
    </row>
    <row r="869" spans="1:24">
      <c r="K869" t="s">
        <v>443</v>
      </c>
    </row>
    <row r="870" spans="1:24">
      <c r="A870" t="s">
        <v>964</v>
      </c>
      <c r="K870" t="s">
        <v>965</v>
      </c>
      <c r="W870" t="s">
        <v>171</v>
      </c>
      <c r="X870" t="str">
        <f>A870</f>
        <v>info_datetime_dml_single_pk_urp</v>
      </c>
    </row>
    <row r="871" spans="1:24">
      <c r="B871" t="s">
        <v>196</v>
      </c>
      <c r="C871" t="s">
        <v>197</v>
      </c>
      <c r="D871" t="s">
        <v>197</v>
      </c>
      <c r="E871" t="s">
        <v>197</v>
      </c>
      <c r="F871" t="s">
        <v>197</v>
      </c>
      <c r="G871" t="s">
        <v>197</v>
      </c>
      <c r="H871" t="s">
        <v>197</v>
      </c>
      <c r="I871" t="s">
        <v>966</v>
      </c>
      <c r="J871" t="s">
        <v>199</v>
      </c>
      <c r="K871" t="s">
        <v>200</v>
      </c>
    </row>
    <row r="872" spans="1:24">
      <c r="B872" t="s">
        <v>197</v>
      </c>
      <c r="C872" t="s">
        <v>197</v>
      </c>
      <c r="D872" t="s">
        <v>197</v>
      </c>
      <c r="E872" t="s">
        <v>197</v>
      </c>
      <c r="F872" t="s">
        <v>197</v>
      </c>
      <c r="G872" t="s">
        <v>197</v>
      </c>
      <c r="H872" t="s">
        <v>197</v>
      </c>
      <c r="I872" t="s">
        <v>197</v>
      </c>
      <c r="J872" t="s">
        <v>197</v>
      </c>
      <c r="K872" t="s">
        <v>574</v>
      </c>
    </row>
    <row r="873" spans="1:24">
      <c r="A873" t="s">
        <v>967</v>
      </c>
      <c r="K873" t="s">
        <v>968</v>
      </c>
      <c r="W873" t="s">
        <v>171</v>
      </c>
      <c r="X873" t="str">
        <f>A873</f>
        <v>info_nchar_dml_batch1_pk</v>
      </c>
    </row>
    <row r="874" spans="1:24">
      <c r="B874" t="s">
        <v>196</v>
      </c>
      <c r="C874" t="s">
        <v>197</v>
      </c>
      <c r="D874" t="s">
        <v>197</v>
      </c>
      <c r="E874" t="s">
        <v>197</v>
      </c>
      <c r="F874" t="s">
        <v>197</v>
      </c>
      <c r="G874" t="s">
        <v>197</v>
      </c>
      <c r="H874" t="s">
        <v>197</v>
      </c>
      <c r="I874" t="s">
        <v>969</v>
      </c>
      <c r="J874" t="s">
        <v>199</v>
      </c>
      <c r="K874" t="s">
        <v>200</v>
      </c>
    </row>
    <row r="875" spans="1:24">
      <c r="B875" t="s">
        <v>197</v>
      </c>
      <c r="C875" t="s">
        <v>197</v>
      </c>
      <c r="D875" t="s">
        <v>197</v>
      </c>
      <c r="E875" t="s">
        <v>197</v>
      </c>
      <c r="F875" t="s">
        <v>197</v>
      </c>
      <c r="G875" t="s">
        <v>197</v>
      </c>
      <c r="H875" t="s">
        <v>197</v>
      </c>
      <c r="I875" t="s">
        <v>197</v>
      </c>
      <c r="J875" t="s">
        <v>197</v>
      </c>
      <c r="K875" t="s">
        <v>514</v>
      </c>
    </row>
    <row r="876" spans="1:24">
      <c r="B876" t="s">
        <v>197</v>
      </c>
      <c r="C876" t="s">
        <v>197</v>
      </c>
      <c r="D876" t="s">
        <v>197</v>
      </c>
      <c r="E876" t="s">
        <v>197</v>
      </c>
      <c r="F876" t="s">
        <v>197</v>
      </c>
      <c r="G876" t="s">
        <v>197</v>
      </c>
      <c r="H876" t="s">
        <v>197</v>
      </c>
      <c r="I876" t="s">
        <v>197</v>
      </c>
      <c r="J876" t="s">
        <v>197</v>
      </c>
      <c r="K876" t="s">
        <v>516</v>
      </c>
    </row>
    <row r="877" spans="1:24">
      <c r="B877" t="s">
        <v>197</v>
      </c>
      <c r="C877" t="s">
        <v>197</v>
      </c>
      <c r="D877" t="s">
        <v>197</v>
      </c>
      <c r="E877" t="s">
        <v>197</v>
      </c>
      <c r="F877" t="s">
        <v>197</v>
      </c>
      <c r="G877" t="s">
        <v>197</v>
      </c>
      <c r="H877" t="s">
        <v>197</v>
      </c>
      <c r="I877" t="s">
        <v>197</v>
      </c>
      <c r="J877" t="s">
        <v>197</v>
      </c>
      <c r="K877" t="s">
        <v>612</v>
      </c>
    </row>
    <row r="878" spans="1:24">
      <c r="A878" t="s">
        <v>970</v>
      </c>
      <c r="K878" t="s">
        <v>971</v>
      </c>
      <c r="W878" t="s">
        <v>171</v>
      </c>
      <c r="X878" t="str">
        <f>A878</f>
        <v>info_varcharmax_dml_single_pk</v>
      </c>
    </row>
    <row r="879" spans="1:24">
      <c r="B879" t="s">
        <v>196</v>
      </c>
      <c r="C879" t="s">
        <v>197</v>
      </c>
      <c r="D879" t="s">
        <v>197</v>
      </c>
      <c r="E879" t="s">
        <v>197</v>
      </c>
      <c r="F879" t="s">
        <v>197</v>
      </c>
      <c r="G879" t="s">
        <v>197</v>
      </c>
      <c r="H879" t="s">
        <v>197</v>
      </c>
      <c r="I879" t="s">
        <v>972</v>
      </c>
      <c r="J879" t="s">
        <v>199</v>
      </c>
      <c r="K879" t="s">
        <v>200</v>
      </c>
    </row>
    <row r="880" spans="1:24">
      <c r="B880" t="s">
        <v>197</v>
      </c>
      <c r="C880" t="s">
        <v>197</v>
      </c>
      <c r="D880" t="s">
        <v>197</v>
      </c>
      <c r="E880" t="s">
        <v>197</v>
      </c>
      <c r="F880" t="s">
        <v>197</v>
      </c>
      <c r="G880" t="s">
        <v>197</v>
      </c>
      <c r="H880" t="s">
        <v>197</v>
      </c>
      <c r="I880" t="s">
        <v>197</v>
      </c>
      <c r="J880" t="s">
        <v>197</v>
      </c>
      <c r="K880" t="s">
        <v>725</v>
      </c>
    </row>
    <row r="881" spans="1:24">
      <c r="B881" t="s">
        <v>197</v>
      </c>
      <c r="C881" t="s">
        <v>197</v>
      </c>
      <c r="D881" t="s">
        <v>197</v>
      </c>
      <c r="E881" t="s">
        <v>197</v>
      </c>
      <c r="F881" t="s">
        <v>197</v>
      </c>
      <c r="G881" t="s">
        <v>197</v>
      </c>
      <c r="H881" t="s">
        <v>197</v>
      </c>
      <c r="I881" t="s">
        <v>197</v>
      </c>
      <c r="J881" t="s">
        <v>197</v>
      </c>
      <c r="K881" t="s">
        <v>726</v>
      </c>
    </row>
    <row r="882" spans="1:24">
      <c r="A882" t="s">
        <v>973</v>
      </c>
      <c r="K882" t="s">
        <v>974</v>
      </c>
      <c r="W882" t="s">
        <v>171</v>
      </c>
      <c r="X882" t="str">
        <f>A882</f>
        <v>info_date_dml_batch1_pk_drp2</v>
      </c>
    </row>
    <row r="883" spans="1:24">
      <c r="B883" t="s">
        <v>196</v>
      </c>
      <c r="C883" t="s">
        <v>197</v>
      </c>
      <c r="D883" t="s">
        <v>197</v>
      </c>
      <c r="E883" t="s">
        <v>197</v>
      </c>
      <c r="F883" t="s">
        <v>197</v>
      </c>
      <c r="G883" t="s">
        <v>197</v>
      </c>
      <c r="H883" t="s">
        <v>197</v>
      </c>
      <c r="I883" t="s">
        <v>975</v>
      </c>
      <c r="J883" t="s">
        <v>199</v>
      </c>
      <c r="K883" t="s">
        <v>200</v>
      </c>
    </row>
    <row r="884" spans="1:24">
      <c r="B884" t="s">
        <v>197</v>
      </c>
      <c r="C884" t="s">
        <v>197</v>
      </c>
      <c r="D884" t="s">
        <v>197</v>
      </c>
      <c r="E884" t="s">
        <v>197</v>
      </c>
      <c r="F884" t="s">
        <v>197</v>
      </c>
      <c r="G884" t="s">
        <v>197</v>
      </c>
      <c r="H884" t="s">
        <v>197</v>
      </c>
      <c r="I884" t="s">
        <v>197</v>
      </c>
      <c r="J884" t="s">
        <v>197</v>
      </c>
      <c r="K884" t="s">
        <v>678</v>
      </c>
    </row>
    <row r="885" spans="1:24">
      <c r="A885" t="s">
        <v>976</v>
      </c>
      <c r="K885" t="s">
        <v>977</v>
      </c>
      <c r="W885" t="s">
        <v>171</v>
      </c>
      <c r="X885" t="str">
        <f>A885</f>
        <v>info_datetime_dml_single_pk_drp</v>
      </c>
    </row>
    <row r="886" spans="1:24">
      <c r="B886" t="s">
        <v>196</v>
      </c>
      <c r="C886" t="s">
        <v>197</v>
      </c>
      <c r="D886" t="s">
        <v>197</v>
      </c>
      <c r="E886" t="s">
        <v>197</v>
      </c>
      <c r="F886" t="s">
        <v>197</v>
      </c>
      <c r="G886" t="s">
        <v>197</v>
      </c>
      <c r="H886" t="s">
        <v>197</v>
      </c>
      <c r="I886" t="s">
        <v>978</v>
      </c>
      <c r="J886" t="s">
        <v>199</v>
      </c>
      <c r="K886" t="s">
        <v>200</v>
      </c>
    </row>
    <row r="887" spans="1:24">
      <c r="B887" t="s">
        <v>197</v>
      </c>
      <c r="C887" t="s">
        <v>197</v>
      </c>
      <c r="D887" t="s">
        <v>197</v>
      </c>
      <c r="E887" t="s">
        <v>197</v>
      </c>
      <c r="F887" t="s">
        <v>197</v>
      </c>
      <c r="G887" t="s">
        <v>197</v>
      </c>
      <c r="H887" t="s">
        <v>197</v>
      </c>
      <c r="I887" t="s">
        <v>197</v>
      </c>
      <c r="J887" t="s">
        <v>197</v>
      </c>
      <c r="K887" t="s">
        <v>574</v>
      </c>
    </row>
    <row r="888" spans="1:24">
      <c r="A888" t="s">
        <v>954</v>
      </c>
      <c r="K888" t="s">
        <v>955</v>
      </c>
      <c r="W888" t="s">
        <v>171</v>
      </c>
      <c r="X888" t="str">
        <f>A888</f>
        <v>info_char_dml_single_pk_drp</v>
      </c>
    </row>
    <row r="889" spans="1:24">
      <c r="B889" t="s">
        <v>196</v>
      </c>
      <c r="C889" t="s">
        <v>197</v>
      </c>
      <c r="D889" t="s">
        <v>197</v>
      </c>
      <c r="E889" t="s">
        <v>197</v>
      </c>
      <c r="F889" t="s">
        <v>197</v>
      </c>
      <c r="G889" t="s">
        <v>197</v>
      </c>
      <c r="H889" t="s">
        <v>197</v>
      </c>
      <c r="I889" t="s">
        <v>956</v>
      </c>
      <c r="J889" t="s">
        <v>199</v>
      </c>
      <c r="K889" t="s">
        <v>200</v>
      </c>
    </row>
    <row r="890" spans="1:24">
      <c r="B890" t="s">
        <v>197</v>
      </c>
      <c r="C890" t="s">
        <v>197</v>
      </c>
      <c r="D890" t="s">
        <v>197</v>
      </c>
      <c r="E890" t="s">
        <v>197</v>
      </c>
      <c r="F890" t="s">
        <v>197</v>
      </c>
      <c r="G890" t="s">
        <v>197</v>
      </c>
      <c r="H890" t="s">
        <v>197</v>
      </c>
      <c r="I890" t="s">
        <v>197</v>
      </c>
      <c r="J890" t="s">
        <v>197</v>
      </c>
      <c r="K890" t="s">
        <v>622</v>
      </c>
    </row>
    <row r="891" spans="1:24">
      <c r="B891" t="s">
        <v>197</v>
      </c>
      <c r="C891" t="s">
        <v>197</v>
      </c>
      <c r="D891" t="s">
        <v>197</v>
      </c>
      <c r="E891" t="s">
        <v>197</v>
      </c>
      <c r="F891" t="s">
        <v>197</v>
      </c>
      <c r="G891" t="s">
        <v>197</v>
      </c>
      <c r="H891" t="s">
        <v>197</v>
      </c>
      <c r="I891" t="s">
        <v>197</v>
      </c>
      <c r="J891" t="s">
        <v>197</v>
      </c>
      <c r="K891" t="s">
        <v>623</v>
      </c>
    </row>
    <row r="892" spans="1:24">
      <c r="B892" t="s">
        <v>197</v>
      </c>
      <c r="C892" t="s">
        <v>197</v>
      </c>
      <c r="D892" t="s">
        <v>197</v>
      </c>
      <c r="E892" t="s">
        <v>197</v>
      </c>
      <c r="F892" t="s">
        <v>197</v>
      </c>
      <c r="G892" t="s">
        <v>197</v>
      </c>
      <c r="H892" t="s">
        <v>197</v>
      </c>
      <c r="I892" t="s">
        <v>197</v>
      </c>
      <c r="J892" t="s">
        <v>197</v>
      </c>
      <c r="K892" t="s">
        <v>832</v>
      </c>
    </row>
    <row r="893" spans="1:24">
      <c r="A893" t="s">
        <v>979</v>
      </c>
      <c r="K893" t="s">
        <v>980</v>
      </c>
      <c r="W893" t="s">
        <v>171</v>
      </c>
      <c r="X893" t="str">
        <f>A893</f>
        <v>info_date_dml_batch1_pk</v>
      </c>
    </row>
    <row r="894" spans="1:24">
      <c r="B894" t="s">
        <v>196</v>
      </c>
      <c r="C894" t="s">
        <v>197</v>
      </c>
      <c r="D894" t="s">
        <v>197</v>
      </c>
      <c r="E894" t="s">
        <v>197</v>
      </c>
      <c r="F894" t="s">
        <v>197</v>
      </c>
      <c r="G894" t="s">
        <v>197</v>
      </c>
      <c r="H894" t="s">
        <v>197</v>
      </c>
      <c r="I894" t="s">
        <v>981</v>
      </c>
      <c r="J894" t="s">
        <v>199</v>
      </c>
      <c r="K894" t="s">
        <v>200</v>
      </c>
    </row>
    <row r="895" spans="1:24">
      <c r="B895" t="s">
        <v>197</v>
      </c>
      <c r="C895" t="s">
        <v>197</v>
      </c>
      <c r="D895" t="s">
        <v>197</v>
      </c>
      <c r="E895" t="s">
        <v>197</v>
      </c>
      <c r="F895" t="s">
        <v>197</v>
      </c>
      <c r="G895" t="s">
        <v>197</v>
      </c>
      <c r="H895" t="s">
        <v>197</v>
      </c>
      <c r="I895" t="s">
        <v>197</v>
      </c>
      <c r="J895" t="s">
        <v>197</v>
      </c>
      <c r="K895" t="s">
        <v>678</v>
      </c>
    </row>
    <row r="896" spans="1:24">
      <c r="A896" t="s">
        <v>982</v>
      </c>
      <c r="K896" t="s">
        <v>983</v>
      </c>
      <c r="W896" t="s">
        <v>171</v>
      </c>
      <c r="X896" t="str">
        <f>A896</f>
        <v>info_nvarchar_dml_batch1_pk_irp1</v>
      </c>
    </row>
    <row r="897" spans="1:24">
      <c r="B897" t="s">
        <v>196</v>
      </c>
      <c r="C897" t="s">
        <v>197</v>
      </c>
      <c r="D897" t="s">
        <v>197</v>
      </c>
      <c r="E897" t="s">
        <v>197</v>
      </c>
      <c r="F897" t="s">
        <v>197</v>
      </c>
      <c r="G897" t="s">
        <v>197</v>
      </c>
      <c r="H897" t="s">
        <v>197</v>
      </c>
      <c r="I897" t="s">
        <v>984</v>
      </c>
      <c r="J897" t="s">
        <v>199</v>
      </c>
      <c r="K897" t="s">
        <v>200</v>
      </c>
    </row>
    <row r="898" spans="1:24">
      <c r="B898" t="s">
        <v>197</v>
      </c>
      <c r="C898" t="s">
        <v>197</v>
      </c>
      <c r="D898" t="s">
        <v>197</v>
      </c>
      <c r="E898" t="s">
        <v>197</v>
      </c>
      <c r="F898" t="s">
        <v>197</v>
      </c>
      <c r="G898" t="s">
        <v>197</v>
      </c>
      <c r="H898" t="s">
        <v>197</v>
      </c>
      <c r="I898" t="s">
        <v>197</v>
      </c>
      <c r="J898" t="s">
        <v>197</v>
      </c>
      <c r="K898" t="s">
        <v>408</v>
      </c>
    </row>
    <row r="899" spans="1:24">
      <c r="B899" t="s">
        <v>197</v>
      </c>
      <c r="C899" t="s">
        <v>197</v>
      </c>
      <c r="D899" t="s">
        <v>197</v>
      </c>
      <c r="E899" t="s">
        <v>197</v>
      </c>
      <c r="F899" t="s">
        <v>197</v>
      </c>
      <c r="G899" t="s">
        <v>197</v>
      </c>
      <c r="H899" t="s">
        <v>197</v>
      </c>
      <c r="I899" t="s">
        <v>197</v>
      </c>
      <c r="J899" t="s">
        <v>197</v>
      </c>
      <c r="K899" t="s">
        <v>412</v>
      </c>
    </row>
    <row r="900" spans="1:24">
      <c r="B900" t="s">
        <v>197</v>
      </c>
      <c r="C900" t="s">
        <v>197</v>
      </c>
      <c r="D900" t="s">
        <v>197</v>
      </c>
      <c r="E900" t="s">
        <v>197</v>
      </c>
      <c r="F900" t="s">
        <v>197</v>
      </c>
      <c r="G900" t="s">
        <v>197</v>
      </c>
      <c r="H900" t="s">
        <v>197</v>
      </c>
      <c r="I900" t="s">
        <v>197</v>
      </c>
      <c r="J900" t="s">
        <v>197</v>
      </c>
      <c r="K900" t="s">
        <v>730</v>
      </c>
    </row>
    <row r="901" spans="1:24">
      <c r="A901" t="s">
        <v>985</v>
      </c>
      <c r="K901" t="s">
        <v>986</v>
      </c>
      <c r="W901" s="1" t="str">
        <f>HYPERLINK("#2026042011hbase0!AS2","NO 源备存在差异，共2个")</f>
        <v>NO 源备存在差异，共2个</v>
      </c>
      <c r="X901" t="str">
        <f>A901</f>
        <v>info_timestamp_dml_single_pk_drp</v>
      </c>
    </row>
    <row r="902" spans="1:24">
      <c r="B902" t="s">
        <v>196</v>
      </c>
      <c r="C902" t="s">
        <v>197</v>
      </c>
      <c r="D902" t="s">
        <v>197</v>
      </c>
      <c r="E902" t="s">
        <v>197</v>
      </c>
      <c r="F902" t="s">
        <v>197</v>
      </c>
      <c r="G902" t="s">
        <v>197</v>
      </c>
      <c r="H902" t="s">
        <v>197</v>
      </c>
      <c r="I902" t="s">
        <v>987</v>
      </c>
      <c r="J902" t="s">
        <v>199</v>
      </c>
      <c r="K902" t="s">
        <v>200</v>
      </c>
    </row>
    <row r="903" spans="1:24">
      <c r="B903" t="s">
        <v>197</v>
      </c>
      <c r="C903" t="s">
        <v>197</v>
      </c>
      <c r="D903" t="s">
        <v>197</v>
      </c>
      <c r="E903" t="s">
        <v>197</v>
      </c>
      <c r="F903" t="s">
        <v>197</v>
      </c>
      <c r="G903" t="s">
        <v>197</v>
      </c>
      <c r="H903" t="s">
        <v>197</v>
      </c>
      <c r="I903" t="s">
        <v>197</v>
      </c>
      <c r="J903" t="s">
        <v>197</v>
      </c>
      <c r="K903" t="s">
        <v>944</v>
      </c>
    </row>
    <row r="904" spans="1:24">
      <c r="A904" t="s">
        <v>988</v>
      </c>
      <c r="K904" t="s">
        <v>989</v>
      </c>
      <c r="W904" t="s">
        <v>171</v>
      </c>
      <c r="X904" t="str">
        <f>A904</f>
        <v>info_time_dml_batch1_pk_irp1</v>
      </c>
    </row>
    <row r="905" spans="1:24">
      <c r="B905" t="s">
        <v>196</v>
      </c>
      <c r="C905" t="s">
        <v>197</v>
      </c>
      <c r="D905" t="s">
        <v>197</v>
      </c>
      <c r="E905" t="s">
        <v>197</v>
      </c>
      <c r="F905" t="s">
        <v>197</v>
      </c>
      <c r="G905" t="s">
        <v>197</v>
      </c>
      <c r="H905" t="s">
        <v>197</v>
      </c>
      <c r="I905" t="s">
        <v>990</v>
      </c>
      <c r="J905" t="s">
        <v>199</v>
      </c>
      <c r="K905" t="s">
        <v>200</v>
      </c>
    </row>
    <row r="906" spans="1:24">
      <c r="B906" t="s">
        <v>197</v>
      </c>
      <c r="C906" t="s">
        <v>197</v>
      </c>
      <c r="D906" t="s">
        <v>197</v>
      </c>
      <c r="E906" t="s">
        <v>197</v>
      </c>
      <c r="F906" t="s">
        <v>197</v>
      </c>
      <c r="G906" t="s">
        <v>197</v>
      </c>
      <c r="H906" t="s">
        <v>197</v>
      </c>
      <c r="I906" t="s">
        <v>197</v>
      </c>
      <c r="J906" t="s">
        <v>197</v>
      </c>
      <c r="K906" t="s">
        <v>800</v>
      </c>
    </row>
    <row r="907" spans="1:24">
      <c r="B907" t="s">
        <v>197</v>
      </c>
      <c r="C907" t="s">
        <v>197</v>
      </c>
      <c r="D907" t="s">
        <v>197</v>
      </c>
      <c r="E907" t="s">
        <v>197</v>
      </c>
      <c r="F907" t="s">
        <v>197</v>
      </c>
      <c r="G907" t="s">
        <v>197</v>
      </c>
      <c r="H907" t="s">
        <v>197</v>
      </c>
      <c r="I907" t="s">
        <v>197</v>
      </c>
      <c r="J907" t="s">
        <v>197</v>
      </c>
      <c r="K907" t="s">
        <v>801</v>
      </c>
    </row>
    <row r="908" spans="1:24">
      <c r="B908" t="s">
        <v>197</v>
      </c>
      <c r="C908" t="s">
        <v>197</v>
      </c>
      <c r="D908" t="s">
        <v>197</v>
      </c>
      <c r="E908" t="s">
        <v>197</v>
      </c>
      <c r="F908" t="s">
        <v>197</v>
      </c>
      <c r="G908" t="s">
        <v>197</v>
      </c>
      <c r="H908" t="s">
        <v>197</v>
      </c>
      <c r="I908" t="s">
        <v>197</v>
      </c>
      <c r="J908" t="s">
        <v>197</v>
      </c>
      <c r="K908" t="s">
        <v>802</v>
      </c>
    </row>
    <row r="909" spans="1:24">
      <c r="B909" t="s">
        <v>197</v>
      </c>
      <c r="C909" t="s">
        <v>197</v>
      </c>
      <c r="D909" t="s">
        <v>197</v>
      </c>
      <c r="E909" t="s">
        <v>197</v>
      </c>
      <c r="F909" t="s">
        <v>197</v>
      </c>
      <c r="G909" t="s">
        <v>197</v>
      </c>
      <c r="H909" t="s">
        <v>197</v>
      </c>
      <c r="I909" t="s">
        <v>197</v>
      </c>
      <c r="J909" t="s">
        <v>197</v>
      </c>
      <c r="K909" t="s">
        <v>803</v>
      </c>
    </row>
    <row r="910" spans="1:24">
      <c r="B910" t="s">
        <v>197</v>
      </c>
      <c r="C910" t="s">
        <v>197</v>
      </c>
      <c r="D910" t="s">
        <v>197</v>
      </c>
      <c r="E910" t="s">
        <v>197</v>
      </c>
      <c r="F910" t="s">
        <v>197</v>
      </c>
      <c r="G910" t="s">
        <v>197</v>
      </c>
      <c r="H910" t="s">
        <v>197</v>
      </c>
      <c r="I910" t="s">
        <v>197</v>
      </c>
      <c r="J910" t="s">
        <v>197</v>
      </c>
      <c r="K910" t="s">
        <v>804</v>
      </c>
    </row>
    <row r="911" spans="1:24">
      <c r="B911" t="s">
        <v>197</v>
      </c>
      <c r="C911" t="s">
        <v>197</v>
      </c>
      <c r="D911" t="s">
        <v>197</v>
      </c>
      <c r="E911" t="s">
        <v>197</v>
      </c>
      <c r="F911" t="s">
        <v>197</v>
      </c>
      <c r="G911" t="s">
        <v>197</v>
      </c>
      <c r="H911" t="s">
        <v>197</v>
      </c>
      <c r="I911" t="s">
        <v>197</v>
      </c>
      <c r="J911" t="s">
        <v>197</v>
      </c>
      <c r="K911" t="s">
        <v>805</v>
      </c>
    </row>
    <row r="912" spans="1:24">
      <c r="B912" t="s">
        <v>197</v>
      </c>
      <c r="C912" t="s">
        <v>197</v>
      </c>
      <c r="D912" t="s">
        <v>197</v>
      </c>
      <c r="E912" t="s">
        <v>197</v>
      </c>
      <c r="F912" t="s">
        <v>197</v>
      </c>
      <c r="G912" t="s">
        <v>197</v>
      </c>
      <c r="H912" t="s">
        <v>197</v>
      </c>
      <c r="I912" t="s">
        <v>197</v>
      </c>
      <c r="J912" t="s">
        <v>197</v>
      </c>
      <c r="K912" t="s">
        <v>806</v>
      </c>
    </row>
    <row r="913" spans="1:24">
      <c r="B913" t="s">
        <v>197</v>
      </c>
      <c r="C913" t="s">
        <v>197</v>
      </c>
      <c r="D913" t="s">
        <v>197</v>
      </c>
      <c r="E913" t="s">
        <v>197</v>
      </c>
      <c r="F913" t="s">
        <v>197</v>
      </c>
      <c r="G913" t="s">
        <v>197</v>
      </c>
      <c r="H913" t="s">
        <v>197</v>
      </c>
      <c r="I913" t="s">
        <v>197</v>
      </c>
      <c r="J913" t="s">
        <v>197</v>
      </c>
      <c r="K913" t="s">
        <v>807</v>
      </c>
    </row>
    <row r="914" spans="1:24">
      <c r="A914" t="s">
        <v>991</v>
      </c>
      <c r="K914" t="s">
        <v>992</v>
      </c>
      <c r="W914" s="1" t="str">
        <f>HYPERLINK("#2026042011hbase0!AT2","NO 源备存在差异，共4个")</f>
        <v>NO 源备存在差异，共4个</v>
      </c>
      <c r="X914" t="str">
        <f>A914</f>
        <v>info_binary_dml_batch1_pk</v>
      </c>
    </row>
    <row r="915" spans="1:24">
      <c r="B915" t="s">
        <v>196</v>
      </c>
      <c r="C915" t="s">
        <v>197</v>
      </c>
      <c r="D915" t="s">
        <v>197</v>
      </c>
      <c r="E915" t="s">
        <v>197</v>
      </c>
      <c r="F915" t="s">
        <v>197</v>
      </c>
      <c r="G915" t="s">
        <v>197</v>
      </c>
      <c r="H915" t="s">
        <v>197</v>
      </c>
      <c r="I915" t="s">
        <v>993</v>
      </c>
      <c r="J915" t="s">
        <v>199</v>
      </c>
      <c r="K915" t="s">
        <v>200</v>
      </c>
    </row>
    <row r="916" spans="1:24">
      <c r="B916" t="s">
        <v>197</v>
      </c>
      <c r="C916" t="s">
        <v>197</v>
      </c>
      <c r="D916" t="s">
        <v>197</v>
      </c>
      <c r="E916" t="s">
        <v>197</v>
      </c>
      <c r="F916" t="s">
        <v>197</v>
      </c>
      <c r="G916" t="s">
        <v>197</v>
      </c>
      <c r="H916" t="s">
        <v>197</v>
      </c>
      <c r="I916" t="s">
        <v>197</v>
      </c>
      <c r="J916" t="s">
        <v>197</v>
      </c>
      <c r="K916" t="s">
        <v>691</v>
      </c>
    </row>
    <row r="917" spans="1:24">
      <c r="B917" t="s">
        <v>197</v>
      </c>
      <c r="C917" t="s">
        <v>197</v>
      </c>
      <c r="D917" t="s">
        <v>197</v>
      </c>
      <c r="E917" t="s">
        <v>197</v>
      </c>
      <c r="F917" t="s">
        <v>197</v>
      </c>
      <c r="G917" t="s">
        <v>197</v>
      </c>
      <c r="H917" t="s">
        <v>197</v>
      </c>
      <c r="I917" t="s">
        <v>197</v>
      </c>
      <c r="J917" t="s">
        <v>197</v>
      </c>
      <c r="K917" t="s">
        <v>692</v>
      </c>
    </row>
    <row r="918" spans="1:24">
      <c r="B918" t="s">
        <v>197</v>
      </c>
      <c r="C918" t="s">
        <v>197</v>
      </c>
      <c r="D918" t="s">
        <v>197</v>
      </c>
      <c r="E918" t="s">
        <v>197</v>
      </c>
      <c r="F918" t="s">
        <v>197</v>
      </c>
      <c r="G918" t="s">
        <v>197</v>
      </c>
      <c r="H918" t="s">
        <v>197</v>
      </c>
      <c r="I918" t="s">
        <v>197</v>
      </c>
      <c r="J918" t="s">
        <v>197</v>
      </c>
      <c r="K918" t="s">
        <v>693</v>
      </c>
    </row>
    <row r="919" spans="1:24">
      <c r="A919" t="s">
        <v>994</v>
      </c>
      <c r="K919" t="s">
        <v>995</v>
      </c>
      <c r="W919" t="s">
        <v>171</v>
      </c>
      <c r="X919" t="str">
        <f>A919</f>
        <v>info_varchar_dml_batch1_pk_irp2</v>
      </c>
    </row>
    <row r="920" spans="1:24">
      <c r="B920" t="s">
        <v>196</v>
      </c>
      <c r="C920" t="s">
        <v>197</v>
      </c>
      <c r="D920" t="s">
        <v>197</v>
      </c>
      <c r="E920" t="s">
        <v>197</v>
      </c>
      <c r="F920" t="s">
        <v>197</v>
      </c>
      <c r="G920" t="s">
        <v>197</v>
      </c>
      <c r="H920" t="s">
        <v>197</v>
      </c>
      <c r="I920" t="s">
        <v>996</v>
      </c>
      <c r="J920" t="s">
        <v>199</v>
      </c>
      <c r="K920" t="s">
        <v>200</v>
      </c>
    </row>
    <row r="921" spans="1:24">
      <c r="B921" t="s">
        <v>197</v>
      </c>
      <c r="C921" t="s">
        <v>197</v>
      </c>
      <c r="D921" t="s">
        <v>197</v>
      </c>
      <c r="E921" t="s">
        <v>197</v>
      </c>
      <c r="F921" t="s">
        <v>197</v>
      </c>
      <c r="G921" t="s">
        <v>197</v>
      </c>
      <c r="H921" t="s">
        <v>197</v>
      </c>
      <c r="I921" t="s">
        <v>197</v>
      </c>
      <c r="J921" t="s">
        <v>197</v>
      </c>
      <c r="K921" t="s">
        <v>431</v>
      </c>
    </row>
    <row r="922" spans="1:24">
      <c r="B922" t="s">
        <v>197</v>
      </c>
      <c r="C922" t="s">
        <v>197</v>
      </c>
      <c r="D922" t="s">
        <v>197</v>
      </c>
      <c r="E922" t="s">
        <v>197</v>
      </c>
      <c r="F922" t="s">
        <v>197</v>
      </c>
      <c r="G922" t="s">
        <v>197</v>
      </c>
      <c r="H922" t="s">
        <v>197</v>
      </c>
      <c r="I922" t="s">
        <v>197</v>
      </c>
      <c r="J922" t="s">
        <v>197</v>
      </c>
      <c r="K922" t="s">
        <v>434</v>
      </c>
    </row>
    <row r="923" spans="1:24">
      <c r="B923" t="s">
        <v>197</v>
      </c>
      <c r="C923" t="s">
        <v>197</v>
      </c>
      <c r="D923" t="s">
        <v>197</v>
      </c>
      <c r="E923" t="s">
        <v>197</v>
      </c>
      <c r="F923" t="s">
        <v>197</v>
      </c>
      <c r="G923" t="s">
        <v>197</v>
      </c>
      <c r="H923" t="s">
        <v>197</v>
      </c>
      <c r="I923" t="s">
        <v>197</v>
      </c>
      <c r="J923" t="s">
        <v>197</v>
      </c>
      <c r="K923" t="s">
        <v>963</v>
      </c>
    </row>
    <row r="924" spans="1:24">
      <c r="K924" t="s">
        <v>443</v>
      </c>
    </row>
    <row r="925" spans="1:24">
      <c r="A925" t="s">
        <v>997</v>
      </c>
      <c r="K925" t="s">
        <v>998</v>
      </c>
      <c r="W925" t="s">
        <v>171</v>
      </c>
      <c r="X925" t="str">
        <f>A925</f>
        <v>info_time_dml_batch1_pk_irp2</v>
      </c>
    </row>
    <row r="926" spans="1:24">
      <c r="B926" t="s">
        <v>196</v>
      </c>
      <c r="C926" t="s">
        <v>197</v>
      </c>
      <c r="D926" t="s">
        <v>197</v>
      </c>
      <c r="E926" t="s">
        <v>197</v>
      </c>
      <c r="F926" t="s">
        <v>197</v>
      </c>
      <c r="G926" t="s">
        <v>197</v>
      </c>
      <c r="H926" t="s">
        <v>197</v>
      </c>
      <c r="I926" t="s">
        <v>999</v>
      </c>
      <c r="J926" t="s">
        <v>199</v>
      </c>
      <c r="K926" t="s">
        <v>200</v>
      </c>
    </row>
    <row r="927" spans="1:24">
      <c r="B927" t="s">
        <v>197</v>
      </c>
      <c r="C927" t="s">
        <v>197</v>
      </c>
      <c r="D927" t="s">
        <v>197</v>
      </c>
      <c r="E927" t="s">
        <v>197</v>
      </c>
      <c r="F927" t="s">
        <v>197</v>
      </c>
      <c r="G927" t="s">
        <v>197</v>
      </c>
      <c r="H927" t="s">
        <v>197</v>
      </c>
      <c r="I927" t="s">
        <v>197</v>
      </c>
      <c r="J927" t="s">
        <v>197</v>
      </c>
      <c r="K927" t="s">
        <v>800</v>
      </c>
    </row>
    <row r="928" spans="1:24">
      <c r="B928" t="s">
        <v>197</v>
      </c>
      <c r="C928" t="s">
        <v>197</v>
      </c>
      <c r="D928" t="s">
        <v>197</v>
      </c>
      <c r="E928" t="s">
        <v>197</v>
      </c>
      <c r="F928" t="s">
        <v>197</v>
      </c>
      <c r="G928" t="s">
        <v>197</v>
      </c>
      <c r="H928" t="s">
        <v>197</v>
      </c>
      <c r="I928" t="s">
        <v>197</v>
      </c>
      <c r="J928" t="s">
        <v>197</v>
      </c>
      <c r="K928" t="s">
        <v>801</v>
      </c>
    </row>
    <row r="929" spans="1:24">
      <c r="B929" t="s">
        <v>197</v>
      </c>
      <c r="C929" t="s">
        <v>197</v>
      </c>
      <c r="D929" t="s">
        <v>197</v>
      </c>
      <c r="E929" t="s">
        <v>197</v>
      </c>
      <c r="F929" t="s">
        <v>197</v>
      </c>
      <c r="G929" t="s">
        <v>197</v>
      </c>
      <c r="H929" t="s">
        <v>197</v>
      </c>
      <c r="I929" t="s">
        <v>197</v>
      </c>
      <c r="J929" t="s">
        <v>197</v>
      </c>
      <c r="K929" t="s">
        <v>802</v>
      </c>
    </row>
    <row r="930" spans="1:24">
      <c r="B930" t="s">
        <v>197</v>
      </c>
      <c r="C930" t="s">
        <v>197</v>
      </c>
      <c r="D930" t="s">
        <v>197</v>
      </c>
      <c r="E930" t="s">
        <v>197</v>
      </c>
      <c r="F930" t="s">
        <v>197</v>
      </c>
      <c r="G930" t="s">
        <v>197</v>
      </c>
      <c r="H930" t="s">
        <v>197</v>
      </c>
      <c r="I930" t="s">
        <v>197</v>
      </c>
      <c r="J930" t="s">
        <v>197</v>
      </c>
      <c r="K930" t="s">
        <v>803</v>
      </c>
    </row>
    <row r="931" spans="1:24">
      <c r="B931" t="s">
        <v>197</v>
      </c>
      <c r="C931" t="s">
        <v>197</v>
      </c>
      <c r="D931" t="s">
        <v>197</v>
      </c>
      <c r="E931" t="s">
        <v>197</v>
      </c>
      <c r="F931" t="s">
        <v>197</v>
      </c>
      <c r="G931" t="s">
        <v>197</v>
      </c>
      <c r="H931" t="s">
        <v>197</v>
      </c>
      <c r="I931" t="s">
        <v>197</v>
      </c>
      <c r="J931" t="s">
        <v>197</v>
      </c>
      <c r="K931" t="s">
        <v>804</v>
      </c>
    </row>
    <row r="932" spans="1:24">
      <c r="B932" t="s">
        <v>197</v>
      </c>
      <c r="C932" t="s">
        <v>197</v>
      </c>
      <c r="D932" t="s">
        <v>197</v>
      </c>
      <c r="E932" t="s">
        <v>197</v>
      </c>
      <c r="F932" t="s">
        <v>197</v>
      </c>
      <c r="G932" t="s">
        <v>197</v>
      </c>
      <c r="H932" t="s">
        <v>197</v>
      </c>
      <c r="I932" t="s">
        <v>197</v>
      </c>
      <c r="J932" t="s">
        <v>197</v>
      </c>
      <c r="K932" t="s">
        <v>805</v>
      </c>
    </row>
    <row r="933" spans="1:24">
      <c r="B933" t="s">
        <v>197</v>
      </c>
      <c r="C933" t="s">
        <v>197</v>
      </c>
      <c r="D933" t="s">
        <v>197</v>
      </c>
      <c r="E933" t="s">
        <v>197</v>
      </c>
      <c r="F933" t="s">
        <v>197</v>
      </c>
      <c r="G933" t="s">
        <v>197</v>
      </c>
      <c r="H933" t="s">
        <v>197</v>
      </c>
      <c r="I933" t="s">
        <v>197</v>
      </c>
      <c r="J933" t="s">
        <v>197</v>
      </c>
      <c r="K933" t="s">
        <v>806</v>
      </c>
    </row>
    <row r="934" spans="1:24">
      <c r="B934" t="s">
        <v>197</v>
      </c>
      <c r="C934" t="s">
        <v>197</v>
      </c>
      <c r="D934" t="s">
        <v>197</v>
      </c>
      <c r="E934" t="s">
        <v>197</v>
      </c>
      <c r="F934" t="s">
        <v>197</v>
      </c>
      <c r="G934" t="s">
        <v>197</v>
      </c>
      <c r="H934" t="s">
        <v>197</v>
      </c>
      <c r="I934" t="s">
        <v>197</v>
      </c>
      <c r="J934" t="s">
        <v>197</v>
      </c>
      <c r="K934" t="s">
        <v>807</v>
      </c>
    </row>
    <row r="935" spans="1:24">
      <c r="A935" t="s">
        <v>1000</v>
      </c>
      <c r="K935" t="s">
        <v>1001</v>
      </c>
      <c r="W935" t="s">
        <v>171</v>
      </c>
      <c r="X935" t="str">
        <f>A935</f>
        <v>info_datetime_dml_single_pk</v>
      </c>
    </row>
    <row r="936" spans="1:24">
      <c r="B936" t="s">
        <v>196</v>
      </c>
      <c r="C936" t="s">
        <v>197</v>
      </c>
      <c r="D936" t="s">
        <v>197</v>
      </c>
      <c r="E936" t="s">
        <v>197</v>
      </c>
      <c r="F936" t="s">
        <v>197</v>
      </c>
      <c r="G936" t="s">
        <v>197</v>
      </c>
      <c r="H936" t="s">
        <v>197</v>
      </c>
      <c r="I936" t="s">
        <v>1002</v>
      </c>
      <c r="J936" t="s">
        <v>199</v>
      </c>
      <c r="K936" t="s">
        <v>200</v>
      </c>
    </row>
    <row r="937" spans="1:24">
      <c r="B937" t="s">
        <v>197</v>
      </c>
      <c r="C937" t="s">
        <v>197</v>
      </c>
      <c r="D937" t="s">
        <v>197</v>
      </c>
      <c r="E937" t="s">
        <v>197</v>
      </c>
      <c r="F937" t="s">
        <v>197</v>
      </c>
      <c r="G937" t="s">
        <v>197</v>
      </c>
      <c r="H937" t="s">
        <v>197</v>
      </c>
      <c r="I937" t="s">
        <v>197</v>
      </c>
      <c r="J937" t="s">
        <v>197</v>
      </c>
      <c r="K937" t="s">
        <v>574</v>
      </c>
    </row>
    <row r="938" spans="1:24">
      <c r="A938" t="s">
        <v>1003</v>
      </c>
      <c r="K938" t="s">
        <v>1004</v>
      </c>
      <c r="W938" s="1" t="str">
        <f>HYPERLINK("#2026042011hbase0!AU2","NO 源备存在差异，共4个")</f>
        <v>NO 源备存在差异，共4个</v>
      </c>
      <c r="X938" t="str">
        <f>A938</f>
        <v>info_sql_variant_dml_single_pk_irp</v>
      </c>
    </row>
    <row r="939" spans="1:24">
      <c r="B939" t="s">
        <v>196</v>
      </c>
      <c r="C939" t="s">
        <v>197</v>
      </c>
      <c r="D939" t="s">
        <v>197</v>
      </c>
      <c r="E939" t="s">
        <v>197</v>
      </c>
      <c r="F939" t="s">
        <v>197</v>
      </c>
      <c r="G939" t="s">
        <v>197</v>
      </c>
      <c r="H939" t="s">
        <v>197</v>
      </c>
      <c r="I939" t="s">
        <v>1005</v>
      </c>
      <c r="J939" t="s">
        <v>199</v>
      </c>
      <c r="K939" t="s">
        <v>200</v>
      </c>
    </row>
    <row r="940" spans="1:24">
      <c r="B940" t="s">
        <v>197</v>
      </c>
      <c r="C940" t="s">
        <v>197</v>
      </c>
      <c r="D940" t="s">
        <v>197</v>
      </c>
      <c r="E940" t="s">
        <v>197</v>
      </c>
      <c r="F940" t="s">
        <v>197</v>
      </c>
      <c r="G940" t="s">
        <v>197</v>
      </c>
      <c r="H940" t="s">
        <v>197</v>
      </c>
      <c r="I940" t="s">
        <v>197</v>
      </c>
      <c r="J940" t="s">
        <v>197</v>
      </c>
      <c r="K940" t="s">
        <v>1006</v>
      </c>
    </row>
    <row r="941" spans="1:24">
      <c r="B941" t="s">
        <v>197</v>
      </c>
      <c r="C941" t="s">
        <v>197</v>
      </c>
      <c r="D941" t="s">
        <v>197</v>
      </c>
      <c r="E941" t="s">
        <v>197</v>
      </c>
      <c r="F941" t="s">
        <v>197</v>
      </c>
      <c r="G941" t="s">
        <v>197</v>
      </c>
      <c r="H941" t="s">
        <v>197</v>
      </c>
      <c r="I941" t="s">
        <v>197</v>
      </c>
      <c r="J941" t="s">
        <v>197</v>
      </c>
      <c r="K941" t="s">
        <v>1007</v>
      </c>
    </row>
    <row r="942" spans="1:24">
      <c r="B942" t="s">
        <v>197</v>
      </c>
      <c r="C942" t="s">
        <v>197</v>
      </c>
      <c r="D942" t="s">
        <v>197</v>
      </c>
      <c r="E942" t="s">
        <v>197</v>
      </c>
      <c r="F942" t="s">
        <v>197</v>
      </c>
      <c r="G942" t="s">
        <v>197</v>
      </c>
      <c r="H942" t="s">
        <v>197</v>
      </c>
      <c r="I942" t="s">
        <v>197</v>
      </c>
      <c r="J942" t="s">
        <v>197</v>
      </c>
      <c r="K942" t="s">
        <v>1008</v>
      </c>
    </row>
    <row r="943" spans="1:24">
      <c r="B943" t="s">
        <v>197</v>
      </c>
      <c r="C943" t="s">
        <v>197</v>
      </c>
      <c r="D943" t="s">
        <v>197</v>
      </c>
      <c r="E943" t="s">
        <v>197</v>
      </c>
      <c r="F943" t="s">
        <v>197</v>
      </c>
      <c r="G943" t="s">
        <v>197</v>
      </c>
      <c r="H943" t="s">
        <v>197</v>
      </c>
      <c r="I943" t="s">
        <v>197</v>
      </c>
      <c r="J943" t="s">
        <v>197</v>
      </c>
      <c r="K943" t="s">
        <v>1009</v>
      </c>
    </row>
    <row r="944" spans="1:24">
      <c r="B944" t="s">
        <v>197</v>
      </c>
      <c r="C944" t="s">
        <v>197</v>
      </c>
      <c r="D944" t="s">
        <v>197</v>
      </c>
      <c r="E944" t="s">
        <v>197</v>
      </c>
      <c r="F944" t="s">
        <v>197</v>
      </c>
      <c r="G944" t="s">
        <v>197</v>
      </c>
      <c r="H944" t="s">
        <v>197</v>
      </c>
      <c r="I944" t="s">
        <v>197</v>
      </c>
      <c r="J944" t="s">
        <v>197</v>
      </c>
      <c r="K944" t="s">
        <v>1010</v>
      </c>
    </row>
    <row r="945" spans="2:11">
      <c r="B945" t="s">
        <v>197</v>
      </c>
      <c r="C945" t="s">
        <v>197</v>
      </c>
      <c r="D945" t="s">
        <v>197</v>
      </c>
      <c r="E945" t="s">
        <v>197</v>
      </c>
      <c r="F945" t="s">
        <v>197</v>
      </c>
      <c r="G945" t="s">
        <v>197</v>
      </c>
      <c r="H945" t="s">
        <v>197</v>
      </c>
      <c r="I945" t="s">
        <v>197</v>
      </c>
      <c r="J945" t="s">
        <v>197</v>
      </c>
      <c r="K945" t="s">
        <v>1011</v>
      </c>
    </row>
    <row r="946" spans="2:11">
      <c r="B946" t="s">
        <v>197</v>
      </c>
      <c r="C946" t="s">
        <v>197</v>
      </c>
      <c r="D946" t="s">
        <v>197</v>
      </c>
      <c r="E946" t="s">
        <v>197</v>
      </c>
      <c r="F946" t="s">
        <v>197</v>
      </c>
      <c r="G946" t="s">
        <v>197</v>
      </c>
      <c r="H946" t="s">
        <v>197</v>
      </c>
      <c r="I946" t="s">
        <v>197</v>
      </c>
      <c r="J946" t="s">
        <v>197</v>
      </c>
      <c r="K946" t="s">
        <v>1012</v>
      </c>
    </row>
    <row r="947" spans="2:11">
      <c r="B947" t="s">
        <v>197</v>
      </c>
      <c r="C947" t="s">
        <v>197</v>
      </c>
      <c r="D947" t="s">
        <v>197</v>
      </c>
      <c r="E947" t="s">
        <v>197</v>
      </c>
      <c r="F947" t="s">
        <v>197</v>
      </c>
      <c r="G947" t="s">
        <v>197</v>
      </c>
      <c r="H947" t="s">
        <v>197</v>
      </c>
      <c r="I947" t="s">
        <v>197</v>
      </c>
      <c r="J947" t="s">
        <v>197</v>
      </c>
      <c r="K947" t="s">
        <v>1013</v>
      </c>
    </row>
    <row r="948" spans="2:11">
      <c r="B948" t="s">
        <v>197</v>
      </c>
      <c r="C948" t="s">
        <v>197</v>
      </c>
      <c r="D948" t="s">
        <v>197</v>
      </c>
      <c r="E948" t="s">
        <v>197</v>
      </c>
      <c r="F948" t="s">
        <v>197</v>
      </c>
      <c r="G948" t="s">
        <v>197</v>
      </c>
      <c r="H948" t="s">
        <v>197</v>
      </c>
      <c r="I948" t="s">
        <v>197</v>
      </c>
      <c r="J948" t="s">
        <v>197</v>
      </c>
      <c r="K948" t="s">
        <v>1014</v>
      </c>
    </row>
    <row r="949" spans="2:11">
      <c r="B949" t="s">
        <v>197</v>
      </c>
      <c r="C949" t="s">
        <v>197</v>
      </c>
      <c r="D949" t="s">
        <v>197</v>
      </c>
      <c r="E949" t="s">
        <v>197</v>
      </c>
      <c r="F949" t="s">
        <v>197</v>
      </c>
      <c r="G949" t="s">
        <v>197</v>
      </c>
      <c r="H949" t="s">
        <v>197</v>
      </c>
      <c r="I949" t="s">
        <v>197</v>
      </c>
      <c r="J949" t="s">
        <v>197</v>
      </c>
      <c r="K949" t="s">
        <v>1015</v>
      </c>
    </row>
    <row r="950" spans="2:11">
      <c r="B950" t="s">
        <v>197</v>
      </c>
      <c r="C950" t="s">
        <v>197</v>
      </c>
      <c r="D950" t="s">
        <v>197</v>
      </c>
      <c r="E950" t="s">
        <v>197</v>
      </c>
      <c r="F950" t="s">
        <v>197</v>
      </c>
      <c r="G950" t="s">
        <v>197</v>
      </c>
      <c r="H950" t="s">
        <v>197</v>
      </c>
      <c r="I950" t="s">
        <v>197</v>
      </c>
      <c r="J950" t="s">
        <v>197</v>
      </c>
      <c r="K950" t="s">
        <v>1016</v>
      </c>
    </row>
    <row r="951" spans="2:11">
      <c r="B951" t="s">
        <v>197</v>
      </c>
      <c r="C951" t="s">
        <v>197</v>
      </c>
      <c r="D951" t="s">
        <v>197</v>
      </c>
      <c r="E951" t="s">
        <v>197</v>
      </c>
      <c r="F951" t="s">
        <v>197</v>
      </c>
      <c r="G951" t="s">
        <v>197</v>
      </c>
      <c r="H951" t="s">
        <v>197</v>
      </c>
      <c r="I951" t="s">
        <v>197</v>
      </c>
      <c r="J951" t="s">
        <v>197</v>
      </c>
      <c r="K951" t="s">
        <v>1017</v>
      </c>
    </row>
    <row r="952" spans="2:11">
      <c r="B952" t="s">
        <v>197</v>
      </c>
      <c r="C952" t="s">
        <v>197</v>
      </c>
      <c r="D952" t="s">
        <v>197</v>
      </c>
      <c r="E952" t="s">
        <v>197</v>
      </c>
      <c r="F952" t="s">
        <v>197</v>
      </c>
      <c r="G952" t="s">
        <v>197</v>
      </c>
      <c r="H952" t="s">
        <v>197</v>
      </c>
      <c r="I952" t="s">
        <v>197</v>
      </c>
      <c r="J952" t="s">
        <v>197</v>
      </c>
      <c r="K952" t="s">
        <v>1018</v>
      </c>
    </row>
    <row r="953" spans="2:11">
      <c r="B953" t="s">
        <v>197</v>
      </c>
      <c r="C953" t="s">
        <v>197</v>
      </c>
      <c r="D953" t="s">
        <v>197</v>
      </c>
      <c r="E953" t="s">
        <v>197</v>
      </c>
      <c r="F953" t="s">
        <v>197</v>
      </c>
      <c r="G953" t="s">
        <v>197</v>
      </c>
      <c r="H953" t="s">
        <v>197</v>
      </c>
      <c r="I953" t="s">
        <v>197</v>
      </c>
      <c r="J953" t="s">
        <v>197</v>
      </c>
      <c r="K953" t="s">
        <v>1019</v>
      </c>
    </row>
    <row r="954" spans="2:11">
      <c r="B954" t="s">
        <v>197</v>
      </c>
      <c r="C954" t="s">
        <v>197</v>
      </c>
      <c r="D954" t="s">
        <v>197</v>
      </c>
      <c r="E954" t="s">
        <v>197</v>
      </c>
      <c r="F954" t="s">
        <v>197</v>
      </c>
      <c r="G954" t="s">
        <v>197</v>
      </c>
      <c r="H954" t="s">
        <v>197</v>
      </c>
      <c r="I954" t="s">
        <v>197</v>
      </c>
      <c r="J954" t="s">
        <v>197</v>
      </c>
      <c r="K954" t="s">
        <v>1020</v>
      </c>
    </row>
    <row r="955" spans="2:11">
      <c r="B955" t="s">
        <v>197</v>
      </c>
      <c r="C955" t="s">
        <v>197</v>
      </c>
      <c r="D955" t="s">
        <v>197</v>
      </c>
      <c r="E955" t="s">
        <v>197</v>
      </c>
      <c r="F955" t="s">
        <v>197</v>
      </c>
      <c r="G955" t="s">
        <v>197</v>
      </c>
      <c r="H955" t="s">
        <v>197</v>
      </c>
      <c r="I955" t="s">
        <v>197</v>
      </c>
      <c r="J955" t="s">
        <v>197</v>
      </c>
      <c r="K955" t="s">
        <v>1021</v>
      </c>
    </row>
    <row r="956" spans="2:11">
      <c r="B956" t="s">
        <v>197</v>
      </c>
      <c r="C956" t="s">
        <v>197</v>
      </c>
      <c r="D956" t="s">
        <v>197</v>
      </c>
      <c r="E956" t="s">
        <v>197</v>
      </c>
      <c r="F956" t="s">
        <v>197</v>
      </c>
      <c r="G956" t="s">
        <v>197</v>
      </c>
      <c r="H956" t="s">
        <v>197</v>
      </c>
      <c r="I956" t="s">
        <v>197</v>
      </c>
      <c r="J956" t="s">
        <v>197</v>
      </c>
      <c r="K956" t="s">
        <v>1022</v>
      </c>
    </row>
    <row r="957" spans="2:11">
      <c r="B957" t="s">
        <v>197</v>
      </c>
      <c r="C957" t="s">
        <v>197</v>
      </c>
      <c r="D957" t="s">
        <v>197</v>
      </c>
      <c r="E957" t="s">
        <v>197</v>
      </c>
      <c r="F957" t="s">
        <v>197</v>
      </c>
      <c r="G957" t="s">
        <v>197</v>
      </c>
      <c r="H957" t="s">
        <v>197</v>
      </c>
      <c r="I957" t="s">
        <v>197</v>
      </c>
      <c r="J957" t="s">
        <v>197</v>
      </c>
      <c r="K957" t="s">
        <v>1023</v>
      </c>
    </row>
    <row r="958" spans="2:11">
      <c r="B958" t="s">
        <v>197</v>
      </c>
      <c r="C958" t="s">
        <v>197</v>
      </c>
      <c r="D958" t="s">
        <v>197</v>
      </c>
      <c r="E958" t="s">
        <v>197</v>
      </c>
      <c r="F958" t="s">
        <v>197</v>
      </c>
      <c r="G958" t="s">
        <v>197</v>
      </c>
      <c r="H958" t="s">
        <v>197</v>
      </c>
      <c r="I958" t="s">
        <v>197</v>
      </c>
      <c r="J958" t="s">
        <v>197</v>
      </c>
      <c r="K958" t="s">
        <v>1024</v>
      </c>
    </row>
    <row r="959" spans="2:11">
      <c r="B959" t="s">
        <v>197</v>
      </c>
      <c r="C959" t="s">
        <v>197</v>
      </c>
      <c r="D959" t="s">
        <v>197</v>
      </c>
      <c r="E959" t="s">
        <v>197</v>
      </c>
      <c r="F959" t="s">
        <v>197</v>
      </c>
      <c r="G959" t="s">
        <v>197</v>
      </c>
      <c r="H959" t="s">
        <v>197</v>
      </c>
      <c r="I959" t="s">
        <v>197</v>
      </c>
      <c r="J959" t="s">
        <v>197</v>
      </c>
      <c r="K959" t="s">
        <v>1025</v>
      </c>
    </row>
    <row r="960" spans="2:11">
      <c r="B960" t="s">
        <v>197</v>
      </c>
      <c r="C960" t="s">
        <v>197</v>
      </c>
      <c r="D960" t="s">
        <v>197</v>
      </c>
      <c r="E960" t="s">
        <v>197</v>
      </c>
      <c r="F960" t="s">
        <v>197</v>
      </c>
      <c r="G960" t="s">
        <v>197</v>
      </c>
      <c r="H960" t="s">
        <v>197</v>
      </c>
      <c r="I960" t="s">
        <v>197</v>
      </c>
      <c r="J960" t="s">
        <v>197</v>
      </c>
      <c r="K960" t="s">
        <v>1026</v>
      </c>
    </row>
    <row r="961" spans="1:24">
      <c r="B961" t="s">
        <v>197</v>
      </c>
      <c r="C961" t="s">
        <v>197</v>
      </c>
      <c r="D961" t="s">
        <v>197</v>
      </c>
      <c r="E961" t="s">
        <v>197</v>
      </c>
      <c r="F961" t="s">
        <v>197</v>
      </c>
      <c r="G961" t="s">
        <v>197</v>
      </c>
      <c r="H961" t="s">
        <v>197</v>
      </c>
      <c r="I961" t="s">
        <v>197</v>
      </c>
      <c r="J961" t="s">
        <v>197</v>
      </c>
      <c r="K961" t="s">
        <v>1027</v>
      </c>
    </row>
    <row r="962" spans="1:24">
      <c r="B962" t="s">
        <v>197</v>
      </c>
      <c r="C962" t="s">
        <v>197</v>
      </c>
      <c r="D962" t="s">
        <v>197</v>
      </c>
      <c r="E962" t="s">
        <v>197</v>
      </c>
      <c r="F962" t="s">
        <v>197</v>
      </c>
      <c r="G962" t="s">
        <v>197</v>
      </c>
      <c r="H962" t="s">
        <v>197</v>
      </c>
      <c r="I962" t="s">
        <v>197</v>
      </c>
      <c r="J962" t="s">
        <v>197</v>
      </c>
      <c r="K962" t="s">
        <v>1028</v>
      </c>
    </row>
    <row r="963" spans="1:24">
      <c r="B963" t="s">
        <v>197</v>
      </c>
      <c r="C963" t="s">
        <v>197</v>
      </c>
      <c r="D963" t="s">
        <v>197</v>
      </c>
      <c r="E963" t="s">
        <v>197</v>
      </c>
      <c r="F963" t="s">
        <v>197</v>
      </c>
      <c r="G963" t="s">
        <v>197</v>
      </c>
      <c r="H963" t="s">
        <v>197</v>
      </c>
      <c r="I963" t="s">
        <v>197</v>
      </c>
      <c r="J963" t="s">
        <v>197</v>
      </c>
      <c r="K963" t="s">
        <v>1029</v>
      </c>
    </row>
    <row r="964" spans="1:24">
      <c r="A964" t="s">
        <v>1030</v>
      </c>
      <c r="K964" t="s">
        <v>1031</v>
      </c>
      <c r="W964" t="s">
        <v>171</v>
      </c>
      <c r="X964" t="str">
        <f>A964</f>
        <v>info_varcharmax_dml_batch1_pk</v>
      </c>
    </row>
    <row r="965" spans="1:24">
      <c r="B965" t="s">
        <v>196</v>
      </c>
      <c r="C965" t="s">
        <v>197</v>
      </c>
      <c r="D965" t="s">
        <v>197</v>
      </c>
      <c r="E965" t="s">
        <v>197</v>
      </c>
      <c r="F965" t="s">
        <v>197</v>
      </c>
      <c r="G965" t="s">
        <v>197</v>
      </c>
      <c r="H965" t="s">
        <v>197</v>
      </c>
      <c r="I965" t="s">
        <v>1032</v>
      </c>
      <c r="J965" t="s">
        <v>199</v>
      </c>
      <c r="K965" t="s">
        <v>200</v>
      </c>
    </row>
    <row r="966" spans="1:24">
      <c r="B966" t="s">
        <v>197</v>
      </c>
      <c r="C966" t="s">
        <v>197</v>
      </c>
      <c r="D966" t="s">
        <v>197</v>
      </c>
      <c r="E966" t="s">
        <v>197</v>
      </c>
      <c r="F966" t="s">
        <v>197</v>
      </c>
      <c r="G966" t="s">
        <v>197</v>
      </c>
      <c r="H966" t="s">
        <v>197</v>
      </c>
      <c r="I966" t="s">
        <v>197</v>
      </c>
      <c r="J966" t="s">
        <v>197</v>
      </c>
      <c r="K966" t="s">
        <v>725</v>
      </c>
    </row>
    <row r="967" spans="1:24">
      <c r="B967" t="s">
        <v>197</v>
      </c>
      <c r="C967" t="s">
        <v>197</v>
      </c>
      <c r="D967" t="s">
        <v>197</v>
      </c>
      <c r="E967" t="s">
        <v>197</v>
      </c>
      <c r="F967" t="s">
        <v>197</v>
      </c>
      <c r="G967" t="s">
        <v>197</v>
      </c>
      <c r="H967" t="s">
        <v>197</v>
      </c>
      <c r="I967" t="s">
        <v>197</v>
      </c>
      <c r="J967" t="s">
        <v>197</v>
      </c>
      <c r="K967" t="s">
        <v>726</v>
      </c>
    </row>
    <row r="968" spans="1:24">
      <c r="K968" t="s">
        <v>443</v>
      </c>
    </row>
    <row r="969" spans="1:24">
      <c r="A969" t="s">
        <v>1036</v>
      </c>
      <c r="K969" t="s">
        <v>1037</v>
      </c>
      <c r="W969" t="s">
        <v>171</v>
      </c>
      <c r="X969" t="str">
        <f>A969</f>
        <v>info_uniqueidentifier_dml_single_pk_irp</v>
      </c>
    </row>
    <row r="970" spans="1:24">
      <c r="B970" t="s">
        <v>196</v>
      </c>
      <c r="C970" t="s">
        <v>197</v>
      </c>
      <c r="D970" t="s">
        <v>197</v>
      </c>
      <c r="E970" t="s">
        <v>197</v>
      </c>
      <c r="F970" t="s">
        <v>197</v>
      </c>
      <c r="G970" t="s">
        <v>197</v>
      </c>
      <c r="H970" t="s">
        <v>197</v>
      </c>
      <c r="I970" t="s">
        <v>1038</v>
      </c>
      <c r="J970" t="s">
        <v>199</v>
      </c>
      <c r="K970" t="s">
        <v>200</v>
      </c>
    </row>
    <row r="971" spans="1:24">
      <c r="B971" t="s">
        <v>197</v>
      </c>
      <c r="C971" t="s">
        <v>197</v>
      </c>
      <c r="D971" t="s">
        <v>197</v>
      </c>
      <c r="E971" t="s">
        <v>197</v>
      </c>
      <c r="F971" t="s">
        <v>197</v>
      </c>
      <c r="G971" t="s">
        <v>197</v>
      </c>
      <c r="H971" t="s">
        <v>197</v>
      </c>
      <c r="I971" t="s">
        <v>197</v>
      </c>
      <c r="J971" t="s">
        <v>197</v>
      </c>
      <c r="K971" t="s">
        <v>1039</v>
      </c>
    </row>
    <row r="972" spans="1:24">
      <c r="A972" t="s">
        <v>1033</v>
      </c>
      <c r="K972" t="s">
        <v>1034</v>
      </c>
      <c r="W972" t="s">
        <v>171</v>
      </c>
      <c r="X972" t="str">
        <f>A972</f>
        <v>info_nvarchar_dml_batch1_pk_irp2</v>
      </c>
    </row>
    <row r="973" spans="1:24">
      <c r="B973" t="s">
        <v>196</v>
      </c>
      <c r="C973" t="s">
        <v>197</v>
      </c>
      <c r="D973" t="s">
        <v>197</v>
      </c>
      <c r="E973" t="s">
        <v>197</v>
      </c>
      <c r="F973" t="s">
        <v>197</v>
      </c>
      <c r="G973" t="s">
        <v>197</v>
      </c>
      <c r="H973" t="s">
        <v>197</v>
      </c>
      <c r="I973" t="s">
        <v>1035</v>
      </c>
      <c r="J973" t="s">
        <v>199</v>
      </c>
      <c r="K973" t="s">
        <v>200</v>
      </c>
    </row>
    <row r="974" spans="1:24">
      <c r="B974" t="s">
        <v>197</v>
      </c>
      <c r="C974" t="s">
        <v>197</v>
      </c>
      <c r="D974" t="s">
        <v>197</v>
      </c>
      <c r="E974" t="s">
        <v>197</v>
      </c>
      <c r="F974" t="s">
        <v>197</v>
      </c>
      <c r="G974" t="s">
        <v>197</v>
      </c>
      <c r="H974" t="s">
        <v>197</v>
      </c>
      <c r="I974" t="s">
        <v>197</v>
      </c>
      <c r="J974" t="s">
        <v>197</v>
      </c>
      <c r="K974" t="s">
        <v>408</v>
      </c>
    </row>
    <row r="975" spans="1:24">
      <c r="B975" t="s">
        <v>197</v>
      </c>
      <c r="C975" t="s">
        <v>197</v>
      </c>
      <c r="D975" t="s">
        <v>197</v>
      </c>
      <c r="E975" t="s">
        <v>197</v>
      </c>
      <c r="F975" t="s">
        <v>197</v>
      </c>
      <c r="G975" t="s">
        <v>197</v>
      </c>
      <c r="H975" t="s">
        <v>197</v>
      </c>
      <c r="I975" t="s">
        <v>197</v>
      </c>
      <c r="J975" t="s">
        <v>197</v>
      </c>
      <c r="K975" t="s">
        <v>412</v>
      </c>
    </row>
    <row r="976" spans="1:24">
      <c r="B976" t="s">
        <v>197</v>
      </c>
      <c r="C976" t="s">
        <v>197</v>
      </c>
      <c r="D976" t="s">
        <v>197</v>
      </c>
      <c r="E976" t="s">
        <v>197</v>
      </c>
      <c r="F976" t="s">
        <v>197</v>
      </c>
      <c r="G976" t="s">
        <v>197</v>
      </c>
      <c r="H976" t="s">
        <v>197</v>
      </c>
      <c r="I976" t="s">
        <v>197</v>
      </c>
      <c r="J976" t="s">
        <v>197</v>
      </c>
      <c r="K976" t="s">
        <v>416</v>
      </c>
    </row>
    <row r="977" spans="1:24">
      <c r="A977" t="s">
        <v>1040</v>
      </c>
      <c r="K977" t="s">
        <v>1041</v>
      </c>
      <c r="W977" t="s">
        <v>171</v>
      </c>
      <c r="X977" t="str">
        <f>A977</f>
        <v>info_datetime2_dml_single_pk_irp</v>
      </c>
    </row>
    <row r="978" spans="1:24">
      <c r="B978" t="s">
        <v>196</v>
      </c>
      <c r="C978" t="s">
        <v>197</v>
      </c>
      <c r="D978" t="s">
        <v>197</v>
      </c>
      <c r="E978" t="s">
        <v>197</v>
      </c>
      <c r="F978" t="s">
        <v>197</v>
      </c>
      <c r="G978" t="s">
        <v>197</v>
      </c>
      <c r="H978" t="s">
        <v>197</v>
      </c>
      <c r="I978" t="s">
        <v>1042</v>
      </c>
      <c r="J978" t="s">
        <v>199</v>
      </c>
      <c r="K978" t="s">
        <v>200</v>
      </c>
    </row>
    <row r="979" spans="1:24">
      <c r="B979" t="s">
        <v>197</v>
      </c>
      <c r="C979" t="s">
        <v>197</v>
      </c>
      <c r="D979" t="s">
        <v>197</v>
      </c>
      <c r="E979" t="s">
        <v>197</v>
      </c>
      <c r="F979" t="s">
        <v>197</v>
      </c>
      <c r="G979" t="s">
        <v>197</v>
      </c>
      <c r="H979" t="s">
        <v>197</v>
      </c>
      <c r="I979" t="s">
        <v>197</v>
      </c>
      <c r="J979" t="s">
        <v>197</v>
      </c>
      <c r="K979" t="s">
        <v>667</v>
      </c>
    </row>
    <row r="980" spans="1:24">
      <c r="B980" t="s">
        <v>197</v>
      </c>
      <c r="C980" t="s">
        <v>197</v>
      </c>
      <c r="D980" t="s">
        <v>197</v>
      </c>
      <c r="E980" t="s">
        <v>197</v>
      </c>
      <c r="F980" t="s">
        <v>197</v>
      </c>
      <c r="G980" t="s">
        <v>197</v>
      </c>
      <c r="H980" t="s">
        <v>197</v>
      </c>
      <c r="I980" t="s">
        <v>197</v>
      </c>
      <c r="J980" t="s">
        <v>197</v>
      </c>
      <c r="K980" t="s">
        <v>668</v>
      </c>
    </row>
    <row r="981" spans="1:24">
      <c r="B981" t="s">
        <v>197</v>
      </c>
      <c r="C981" t="s">
        <v>197</v>
      </c>
      <c r="D981" t="s">
        <v>197</v>
      </c>
      <c r="E981" t="s">
        <v>197</v>
      </c>
      <c r="F981" t="s">
        <v>197</v>
      </c>
      <c r="G981" t="s">
        <v>197</v>
      </c>
      <c r="H981" t="s">
        <v>197</v>
      </c>
      <c r="I981" t="s">
        <v>197</v>
      </c>
      <c r="J981" t="s">
        <v>197</v>
      </c>
      <c r="K981" t="s">
        <v>669</v>
      </c>
    </row>
    <row r="982" spans="1:24">
      <c r="B982" t="s">
        <v>197</v>
      </c>
      <c r="C982" t="s">
        <v>197</v>
      </c>
      <c r="D982" t="s">
        <v>197</v>
      </c>
      <c r="E982" t="s">
        <v>197</v>
      </c>
      <c r="F982" t="s">
        <v>197</v>
      </c>
      <c r="G982" t="s">
        <v>197</v>
      </c>
      <c r="H982" t="s">
        <v>197</v>
      </c>
      <c r="I982" t="s">
        <v>197</v>
      </c>
      <c r="J982" t="s">
        <v>197</v>
      </c>
      <c r="K982" t="s">
        <v>670</v>
      </c>
    </row>
    <row r="983" spans="1:24">
      <c r="B983" t="s">
        <v>197</v>
      </c>
      <c r="C983" t="s">
        <v>197</v>
      </c>
      <c r="D983" t="s">
        <v>197</v>
      </c>
      <c r="E983" t="s">
        <v>197</v>
      </c>
      <c r="F983" t="s">
        <v>197</v>
      </c>
      <c r="G983" t="s">
        <v>197</v>
      </c>
      <c r="H983" t="s">
        <v>197</v>
      </c>
      <c r="I983" t="s">
        <v>197</v>
      </c>
      <c r="J983" t="s">
        <v>197</v>
      </c>
      <c r="K983" t="s">
        <v>671</v>
      </c>
    </row>
    <row r="984" spans="1:24">
      <c r="B984" t="s">
        <v>197</v>
      </c>
      <c r="C984" t="s">
        <v>197</v>
      </c>
      <c r="D984" t="s">
        <v>197</v>
      </c>
      <c r="E984" t="s">
        <v>197</v>
      </c>
      <c r="F984" t="s">
        <v>197</v>
      </c>
      <c r="G984" t="s">
        <v>197</v>
      </c>
      <c r="H984" t="s">
        <v>197</v>
      </c>
      <c r="I984" t="s">
        <v>197</v>
      </c>
      <c r="J984" t="s">
        <v>197</v>
      </c>
      <c r="K984" t="s">
        <v>672</v>
      </c>
    </row>
    <row r="985" spans="1:24">
      <c r="B985" t="s">
        <v>197</v>
      </c>
      <c r="C985" t="s">
        <v>197</v>
      </c>
      <c r="D985" t="s">
        <v>197</v>
      </c>
      <c r="E985" t="s">
        <v>197</v>
      </c>
      <c r="F985" t="s">
        <v>197</v>
      </c>
      <c r="G985" t="s">
        <v>197</v>
      </c>
      <c r="H985" t="s">
        <v>197</v>
      </c>
      <c r="I985" t="s">
        <v>197</v>
      </c>
      <c r="J985" t="s">
        <v>197</v>
      </c>
      <c r="K985" t="s">
        <v>673</v>
      </c>
    </row>
    <row r="986" spans="1:24">
      <c r="B986" t="s">
        <v>197</v>
      </c>
      <c r="C986" t="s">
        <v>197</v>
      </c>
      <c r="D986" t="s">
        <v>197</v>
      </c>
      <c r="E986" t="s">
        <v>197</v>
      </c>
      <c r="F986" t="s">
        <v>197</v>
      </c>
      <c r="G986" t="s">
        <v>197</v>
      </c>
      <c r="H986" t="s">
        <v>197</v>
      </c>
      <c r="I986" t="s">
        <v>197</v>
      </c>
      <c r="J986" t="s">
        <v>197</v>
      </c>
      <c r="K986" t="s">
        <v>674</v>
      </c>
    </row>
    <row r="987" spans="1:24">
      <c r="A987" t="s">
        <v>1043</v>
      </c>
      <c r="K987" t="s">
        <v>1044</v>
      </c>
      <c r="W987" t="s">
        <v>171</v>
      </c>
      <c r="X987" t="str">
        <f>A987</f>
        <v>info_char_dml_single_pk</v>
      </c>
    </row>
    <row r="988" spans="1:24">
      <c r="B988" t="s">
        <v>196</v>
      </c>
      <c r="C988" t="s">
        <v>197</v>
      </c>
      <c r="D988" t="s">
        <v>197</v>
      </c>
      <c r="E988" t="s">
        <v>197</v>
      </c>
      <c r="F988" t="s">
        <v>197</v>
      </c>
      <c r="G988" t="s">
        <v>197</v>
      </c>
      <c r="H988" t="s">
        <v>197</v>
      </c>
      <c r="I988" t="s">
        <v>1045</v>
      </c>
      <c r="J988" t="s">
        <v>199</v>
      </c>
      <c r="K988" t="s">
        <v>200</v>
      </c>
    </row>
    <row r="989" spans="1:24">
      <c r="B989" t="s">
        <v>197</v>
      </c>
      <c r="C989" t="s">
        <v>197</v>
      </c>
      <c r="D989" t="s">
        <v>197</v>
      </c>
      <c r="E989" t="s">
        <v>197</v>
      </c>
      <c r="F989" t="s">
        <v>197</v>
      </c>
      <c r="G989" t="s">
        <v>197</v>
      </c>
      <c r="H989" t="s">
        <v>197</v>
      </c>
      <c r="I989" t="s">
        <v>197</v>
      </c>
      <c r="J989" t="s">
        <v>197</v>
      </c>
      <c r="K989" t="s">
        <v>622</v>
      </c>
    </row>
    <row r="990" spans="1:24">
      <c r="B990" t="s">
        <v>197</v>
      </c>
      <c r="C990" t="s">
        <v>197</v>
      </c>
      <c r="D990" t="s">
        <v>197</v>
      </c>
      <c r="E990" t="s">
        <v>197</v>
      </c>
      <c r="F990" t="s">
        <v>197</v>
      </c>
      <c r="G990" t="s">
        <v>197</v>
      </c>
      <c r="H990" t="s">
        <v>197</v>
      </c>
      <c r="I990" t="s">
        <v>197</v>
      </c>
      <c r="J990" t="s">
        <v>197</v>
      </c>
      <c r="K990" t="s">
        <v>623</v>
      </c>
    </row>
    <row r="991" spans="1:24">
      <c r="B991" t="s">
        <v>197</v>
      </c>
      <c r="C991" t="s">
        <v>197</v>
      </c>
      <c r="D991" t="s">
        <v>197</v>
      </c>
      <c r="E991" t="s">
        <v>197</v>
      </c>
      <c r="F991" t="s">
        <v>197</v>
      </c>
      <c r="G991" t="s">
        <v>197</v>
      </c>
      <c r="H991" t="s">
        <v>197</v>
      </c>
      <c r="I991" t="s">
        <v>197</v>
      </c>
      <c r="J991" t="s">
        <v>197</v>
      </c>
      <c r="K991" t="s">
        <v>832</v>
      </c>
    </row>
    <row r="992" spans="1:24">
      <c r="A992" t="s">
        <v>1046</v>
      </c>
      <c r="K992" t="s">
        <v>1047</v>
      </c>
      <c r="W992" s="1" t="str">
        <f>HYPERLINK("#2026042011hbase0!AV2","NO 源备存在差异，共12个")</f>
        <v>NO 源备存在差异，共12个</v>
      </c>
      <c r="X992" t="str">
        <f>A992</f>
        <v>info_varbinary_dml_batch1_pk_irp1</v>
      </c>
    </row>
    <row r="993" spans="1:24">
      <c r="B993" t="s">
        <v>196</v>
      </c>
      <c r="C993" t="s">
        <v>197</v>
      </c>
      <c r="D993" t="s">
        <v>197</v>
      </c>
      <c r="E993" t="s">
        <v>197</v>
      </c>
      <c r="F993" t="s">
        <v>197</v>
      </c>
      <c r="G993" t="s">
        <v>197</v>
      </c>
      <c r="H993" t="s">
        <v>197</v>
      </c>
      <c r="I993" t="s">
        <v>1048</v>
      </c>
      <c r="J993" t="s">
        <v>199</v>
      </c>
      <c r="K993" t="s">
        <v>200</v>
      </c>
    </row>
    <row r="994" spans="1:24">
      <c r="B994" t="s">
        <v>197</v>
      </c>
      <c r="C994" t="s">
        <v>197</v>
      </c>
      <c r="D994" t="s">
        <v>197</v>
      </c>
      <c r="E994" t="s">
        <v>197</v>
      </c>
      <c r="F994" t="s">
        <v>197</v>
      </c>
      <c r="G994" t="s">
        <v>197</v>
      </c>
      <c r="H994" t="s">
        <v>197</v>
      </c>
      <c r="I994" t="s">
        <v>197</v>
      </c>
      <c r="J994" t="s">
        <v>197</v>
      </c>
      <c r="K994" t="s">
        <v>495</v>
      </c>
    </row>
    <row r="995" spans="1:24">
      <c r="B995" t="s">
        <v>197</v>
      </c>
      <c r="C995" t="s">
        <v>197</v>
      </c>
      <c r="D995" t="s">
        <v>197</v>
      </c>
      <c r="E995" t="s">
        <v>197</v>
      </c>
      <c r="F995" t="s">
        <v>197</v>
      </c>
      <c r="G995" t="s">
        <v>197</v>
      </c>
      <c r="H995" t="s">
        <v>197</v>
      </c>
      <c r="I995" t="s">
        <v>197</v>
      </c>
      <c r="J995" t="s">
        <v>197</v>
      </c>
      <c r="K995" t="s">
        <v>499</v>
      </c>
    </row>
    <row r="996" spans="1:24">
      <c r="B996" t="s">
        <v>197</v>
      </c>
      <c r="C996" t="s">
        <v>197</v>
      </c>
      <c r="D996" t="s">
        <v>197</v>
      </c>
      <c r="E996" t="s">
        <v>197</v>
      </c>
      <c r="F996" t="s">
        <v>197</v>
      </c>
      <c r="G996" t="s">
        <v>197</v>
      </c>
      <c r="H996" t="s">
        <v>197</v>
      </c>
      <c r="I996" t="s">
        <v>197</v>
      </c>
      <c r="J996" t="s">
        <v>197</v>
      </c>
      <c r="K996" t="s">
        <v>503</v>
      </c>
    </row>
    <row r="997" spans="1:24">
      <c r="A997" t="s">
        <v>1049</v>
      </c>
      <c r="K997" t="s">
        <v>1050</v>
      </c>
      <c r="W997" s="1" t="str">
        <f>HYPERLINK("#2026042011hbase0!AW2","NO 源备存在差异，共8个")</f>
        <v>NO 源备存在差异，共8个</v>
      </c>
      <c r="X997" t="str">
        <f>A997</f>
        <v>info_geography_dml_single_pk_irp</v>
      </c>
    </row>
    <row r="998" spans="1:24">
      <c r="B998" t="s">
        <v>196</v>
      </c>
      <c r="C998" t="s">
        <v>197</v>
      </c>
      <c r="D998" t="s">
        <v>197</v>
      </c>
      <c r="E998" t="s">
        <v>197</v>
      </c>
      <c r="F998" t="s">
        <v>197</v>
      </c>
      <c r="G998" t="s">
        <v>197</v>
      </c>
      <c r="H998" t="s">
        <v>197</v>
      </c>
      <c r="I998" t="s">
        <v>1051</v>
      </c>
      <c r="J998" t="s">
        <v>199</v>
      </c>
      <c r="K998" t="s">
        <v>200</v>
      </c>
    </row>
    <row r="999" spans="1:24">
      <c r="B999" t="s">
        <v>197</v>
      </c>
      <c r="C999" t="s">
        <v>197</v>
      </c>
      <c r="D999" t="s">
        <v>197</v>
      </c>
      <c r="E999" t="s">
        <v>197</v>
      </c>
      <c r="F999" t="s">
        <v>197</v>
      </c>
      <c r="G999" t="s">
        <v>197</v>
      </c>
      <c r="H999" t="s">
        <v>197</v>
      </c>
      <c r="I999" t="s">
        <v>197</v>
      </c>
      <c r="J999" t="s">
        <v>197</v>
      </c>
      <c r="K999" t="s">
        <v>1052</v>
      </c>
    </row>
    <row r="1000" spans="1:24">
      <c r="A1000" t="s">
        <v>1053</v>
      </c>
      <c r="K1000" t="s">
        <v>1054</v>
      </c>
      <c r="W1000" t="s">
        <v>171</v>
      </c>
      <c r="X1000" t="str">
        <f>A1000</f>
        <v>info_varchar_dml_single_pk_irp</v>
      </c>
    </row>
    <row r="1001" spans="1:24">
      <c r="B1001" t="s">
        <v>196</v>
      </c>
      <c r="C1001" t="s">
        <v>197</v>
      </c>
      <c r="D1001" t="s">
        <v>197</v>
      </c>
      <c r="E1001" t="s">
        <v>197</v>
      </c>
      <c r="F1001" t="s">
        <v>197</v>
      </c>
      <c r="G1001" t="s">
        <v>197</v>
      </c>
      <c r="H1001" t="s">
        <v>197</v>
      </c>
      <c r="I1001" t="s">
        <v>1055</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1056</v>
      </c>
    </row>
    <row r="1004" spans="1:24">
      <c r="B1004" t="s">
        <v>197</v>
      </c>
      <c r="C1004" t="s">
        <v>197</v>
      </c>
      <c r="D1004" t="s">
        <v>197</v>
      </c>
      <c r="E1004" t="s">
        <v>197</v>
      </c>
      <c r="F1004" t="s">
        <v>197</v>
      </c>
      <c r="G1004" t="s">
        <v>197</v>
      </c>
      <c r="H1004" t="s">
        <v>197</v>
      </c>
      <c r="I1004" t="s">
        <v>197</v>
      </c>
      <c r="J1004" t="s">
        <v>197</v>
      </c>
      <c r="K1004" t="s">
        <v>963</v>
      </c>
    </row>
    <row r="1005" spans="1:24">
      <c r="A1005" t="s">
        <v>1057</v>
      </c>
      <c r="K1005" t="s">
        <v>1058</v>
      </c>
      <c r="W1005" t="s">
        <v>171</v>
      </c>
      <c r="X1005" t="str">
        <f>A1005</f>
        <v>info_time_dml_batch2_pk_irp1</v>
      </c>
    </row>
    <row r="1006" spans="1:24">
      <c r="B1006" t="s">
        <v>196</v>
      </c>
      <c r="C1006" t="s">
        <v>197</v>
      </c>
      <c r="D1006" t="s">
        <v>197</v>
      </c>
      <c r="E1006" t="s">
        <v>197</v>
      </c>
      <c r="F1006" t="s">
        <v>197</v>
      </c>
      <c r="G1006" t="s">
        <v>197</v>
      </c>
      <c r="H1006" t="s">
        <v>197</v>
      </c>
      <c r="I1006" t="s">
        <v>1059</v>
      </c>
      <c r="J1006" t="s">
        <v>199</v>
      </c>
      <c r="K1006" t="s">
        <v>200</v>
      </c>
    </row>
    <row r="1007" spans="1:24">
      <c r="B1007" t="s">
        <v>197</v>
      </c>
      <c r="C1007" t="s">
        <v>197</v>
      </c>
      <c r="D1007" t="s">
        <v>197</v>
      </c>
      <c r="E1007" t="s">
        <v>197</v>
      </c>
      <c r="F1007" t="s">
        <v>197</v>
      </c>
      <c r="G1007" t="s">
        <v>197</v>
      </c>
      <c r="H1007" t="s">
        <v>197</v>
      </c>
      <c r="I1007" t="s">
        <v>197</v>
      </c>
      <c r="J1007" t="s">
        <v>197</v>
      </c>
      <c r="K1007" t="s">
        <v>800</v>
      </c>
    </row>
    <row r="1008" spans="1:24">
      <c r="B1008" t="s">
        <v>197</v>
      </c>
      <c r="C1008" t="s">
        <v>197</v>
      </c>
      <c r="D1008" t="s">
        <v>197</v>
      </c>
      <c r="E1008" t="s">
        <v>197</v>
      </c>
      <c r="F1008" t="s">
        <v>197</v>
      </c>
      <c r="G1008" t="s">
        <v>197</v>
      </c>
      <c r="H1008" t="s">
        <v>197</v>
      </c>
      <c r="I1008" t="s">
        <v>197</v>
      </c>
      <c r="J1008" t="s">
        <v>197</v>
      </c>
      <c r="K1008" t="s">
        <v>801</v>
      </c>
    </row>
    <row r="1009" spans="1:24">
      <c r="B1009" t="s">
        <v>197</v>
      </c>
      <c r="C1009" t="s">
        <v>197</v>
      </c>
      <c r="D1009" t="s">
        <v>197</v>
      </c>
      <c r="E1009" t="s">
        <v>197</v>
      </c>
      <c r="F1009" t="s">
        <v>197</v>
      </c>
      <c r="G1009" t="s">
        <v>197</v>
      </c>
      <c r="H1009" t="s">
        <v>197</v>
      </c>
      <c r="I1009" t="s">
        <v>197</v>
      </c>
      <c r="J1009" t="s">
        <v>197</v>
      </c>
      <c r="K1009" t="s">
        <v>802</v>
      </c>
    </row>
    <row r="1010" spans="1:24">
      <c r="B1010" t="s">
        <v>197</v>
      </c>
      <c r="C1010" t="s">
        <v>197</v>
      </c>
      <c r="D1010" t="s">
        <v>197</v>
      </c>
      <c r="E1010" t="s">
        <v>197</v>
      </c>
      <c r="F1010" t="s">
        <v>197</v>
      </c>
      <c r="G1010" t="s">
        <v>197</v>
      </c>
      <c r="H1010" t="s">
        <v>197</v>
      </c>
      <c r="I1010" t="s">
        <v>197</v>
      </c>
      <c r="J1010" t="s">
        <v>197</v>
      </c>
      <c r="K1010" t="s">
        <v>803</v>
      </c>
    </row>
    <row r="1011" spans="1:24">
      <c r="B1011" t="s">
        <v>197</v>
      </c>
      <c r="C1011" t="s">
        <v>197</v>
      </c>
      <c r="D1011" t="s">
        <v>197</v>
      </c>
      <c r="E1011" t="s">
        <v>197</v>
      </c>
      <c r="F1011" t="s">
        <v>197</v>
      </c>
      <c r="G1011" t="s">
        <v>197</v>
      </c>
      <c r="H1011" t="s">
        <v>197</v>
      </c>
      <c r="I1011" t="s">
        <v>197</v>
      </c>
      <c r="J1011" t="s">
        <v>197</v>
      </c>
      <c r="K1011" t="s">
        <v>804</v>
      </c>
    </row>
    <row r="1012" spans="1:24">
      <c r="B1012" t="s">
        <v>197</v>
      </c>
      <c r="C1012" t="s">
        <v>197</v>
      </c>
      <c r="D1012" t="s">
        <v>197</v>
      </c>
      <c r="E1012" t="s">
        <v>197</v>
      </c>
      <c r="F1012" t="s">
        <v>197</v>
      </c>
      <c r="G1012" t="s">
        <v>197</v>
      </c>
      <c r="H1012" t="s">
        <v>197</v>
      </c>
      <c r="I1012" t="s">
        <v>197</v>
      </c>
      <c r="J1012" t="s">
        <v>197</v>
      </c>
      <c r="K1012" t="s">
        <v>805</v>
      </c>
    </row>
    <row r="1013" spans="1:24">
      <c r="B1013" t="s">
        <v>197</v>
      </c>
      <c r="C1013" t="s">
        <v>197</v>
      </c>
      <c r="D1013" t="s">
        <v>197</v>
      </c>
      <c r="E1013" t="s">
        <v>197</v>
      </c>
      <c r="F1013" t="s">
        <v>197</v>
      </c>
      <c r="G1013" t="s">
        <v>197</v>
      </c>
      <c r="H1013" t="s">
        <v>197</v>
      </c>
      <c r="I1013" t="s">
        <v>197</v>
      </c>
      <c r="J1013" t="s">
        <v>197</v>
      </c>
      <c r="K1013" t="s">
        <v>806</v>
      </c>
    </row>
    <row r="1014" spans="1:24">
      <c r="B1014" t="s">
        <v>197</v>
      </c>
      <c r="C1014" t="s">
        <v>197</v>
      </c>
      <c r="D1014" t="s">
        <v>197</v>
      </c>
      <c r="E1014" t="s">
        <v>197</v>
      </c>
      <c r="F1014" t="s">
        <v>197</v>
      </c>
      <c r="G1014" t="s">
        <v>197</v>
      </c>
      <c r="H1014" t="s">
        <v>197</v>
      </c>
      <c r="I1014" t="s">
        <v>197</v>
      </c>
      <c r="J1014" t="s">
        <v>197</v>
      </c>
      <c r="K1014" t="s">
        <v>807</v>
      </c>
    </row>
    <row r="1015" spans="1:24">
      <c r="A1015" t="s">
        <v>1060</v>
      </c>
      <c r="K1015" t="s">
        <v>1061</v>
      </c>
      <c r="W1015" t="s">
        <v>171</v>
      </c>
      <c r="X1015" t="str">
        <f>A1015</f>
        <v>info_varchar_dml_batch2_pk_irp1</v>
      </c>
    </row>
    <row r="1016" spans="1:24">
      <c r="B1016" t="s">
        <v>196</v>
      </c>
      <c r="C1016" t="s">
        <v>197</v>
      </c>
      <c r="D1016" t="s">
        <v>197</v>
      </c>
      <c r="E1016" t="s">
        <v>197</v>
      </c>
      <c r="F1016" t="s">
        <v>197</v>
      </c>
      <c r="G1016" t="s">
        <v>197</v>
      </c>
      <c r="H1016" t="s">
        <v>197</v>
      </c>
      <c r="I1016" t="s">
        <v>1062</v>
      </c>
      <c r="J1016" t="s">
        <v>199</v>
      </c>
      <c r="K1016" t="s">
        <v>200</v>
      </c>
    </row>
    <row r="1017" spans="1:24">
      <c r="B1017" t="s">
        <v>197</v>
      </c>
      <c r="C1017" t="s">
        <v>197</v>
      </c>
      <c r="D1017" t="s">
        <v>197</v>
      </c>
      <c r="E1017" t="s">
        <v>197</v>
      </c>
      <c r="F1017" t="s">
        <v>197</v>
      </c>
      <c r="G1017" t="s">
        <v>197</v>
      </c>
      <c r="H1017" t="s">
        <v>197</v>
      </c>
      <c r="I1017" t="s">
        <v>197</v>
      </c>
      <c r="J1017" t="s">
        <v>197</v>
      </c>
      <c r="K1017" t="s">
        <v>431</v>
      </c>
    </row>
    <row r="1018" spans="1:24">
      <c r="B1018" t="s">
        <v>197</v>
      </c>
      <c r="C1018" t="s">
        <v>197</v>
      </c>
      <c r="D1018" t="s">
        <v>197</v>
      </c>
      <c r="E1018" t="s">
        <v>197</v>
      </c>
      <c r="F1018" t="s">
        <v>197</v>
      </c>
      <c r="G1018" t="s">
        <v>197</v>
      </c>
      <c r="H1018" t="s">
        <v>197</v>
      </c>
      <c r="I1018" t="s">
        <v>197</v>
      </c>
      <c r="J1018" t="s">
        <v>197</v>
      </c>
      <c r="K1018" t="s">
        <v>434</v>
      </c>
    </row>
    <row r="1019" spans="1:24">
      <c r="B1019" t="s">
        <v>197</v>
      </c>
      <c r="C1019" t="s">
        <v>197</v>
      </c>
      <c r="D1019" t="s">
        <v>197</v>
      </c>
      <c r="E1019" t="s">
        <v>197</v>
      </c>
      <c r="F1019" t="s">
        <v>197</v>
      </c>
      <c r="G1019" t="s">
        <v>197</v>
      </c>
      <c r="H1019" t="s">
        <v>197</v>
      </c>
      <c r="I1019" t="s">
        <v>197</v>
      </c>
      <c r="J1019" t="s">
        <v>197</v>
      </c>
      <c r="K1019" t="s">
        <v>963</v>
      </c>
    </row>
    <row r="1020" spans="1:24">
      <c r="K1020" t="s">
        <v>443</v>
      </c>
    </row>
    <row r="1021" spans="1:24">
      <c r="A1021" t="s">
        <v>1063</v>
      </c>
      <c r="K1021" t="s">
        <v>1064</v>
      </c>
      <c r="W1021" s="1" t="str">
        <f>HYPERLINK("#2026042011hbase0!AX2","NO 源备存在差异，共44个")</f>
        <v>NO 源备存在差异，共44个</v>
      </c>
      <c r="X1021" t="str">
        <f>A1021</f>
        <v>info_varbinary_dml_batch1_pk_irp2</v>
      </c>
    </row>
    <row r="1022" spans="1:24">
      <c r="B1022" t="s">
        <v>196</v>
      </c>
      <c r="C1022" t="s">
        <v>197</v>
      </c>
      <c r="D1022" t="s">
        <v>197</v>
      </c>
      <c r="E1022" t="s">
        <v>197</v>
      </c>
      <c r="F1022" t="s">
        <v>197</v>
      </c>
      <c r="G1022" t="s">
        <v>197</v>
      </c>
      <c r="H1022" t="s">
        <v>197</v>
      </c>
      <c r="I1022" t="s">
        <v>1065</v>
      </c>
      <c r="J1022" t="s">
        <v>199</v>
      </c>
      <c r="K1022" t="s">
        <v>200</v>
      </c>
    </row>
    <row r="1023" spans="1:24">
      <c r="B1023" t="s">
        <v>197</v>
      </c>
      <c r="C1023" t="s">
        <v>197</v>
      </c>
      <c r="D1023" t="s">
        <v>197</v>
      </c>
      <c r="E1023" t="s">
        <v>197</v>
      </c>
      <c r="F1023" t="s">
        <v>197</v>
      </c>
      <c r="G1023" t="s">
        <v>197</v>
      </c>
      <c r="H1023" t="s">
        <v>197</v>
      </c>
      <c r="I1023" t="s">
        <v>197</v>
      </c>
      <c r="J1023" t="s">
        <v>197</v>
      </c>
      <c r="K1023" t="s">
        <v>495</v>
      </c>
    </row>
    <row r="1024" spans="1:24">
      <c r="B1024" t="s">
        <v>197</v>
      </c>
      <c r="C1024" t="s">
        <v>197</v>
      </c>
      <c r="D1024" t="s">
        <v>197</v>
      </c>
      <c r="E1024" t="s">
        <v>197</v>
      </c>
      <c r="F1024" t="s">
        <v>197</v>
      </c>
      <c r="G1024" t="s">
        <v>197</v>
      </c>
      <c r="H1024" t="s">
        <v>197</v>
      </c>
      <c r="I1024" t="s">
        <v>197</v>
      </c>
      <c r="J1024" t="s">
        <v>197</v>
      </c>
      <c r="K1024" t="s">
        <v>499</v>
      </c>
    </row>
    <row r="1025" spans="1:24">
      <c r="B1025" t="s">
        <v>197</v>
      </c>
      <c r="C1025" t="s">
        <v>197</v>
      </c>
      <c r="D1025" t="s">
        <v>197</v>
      </c>
      <c r="E1025" t="s">
        <v>197</v>
      </c>
      <c r="F1025" t="s">
        <v>197</v>
      </c>
      <c r="G1025" t="s">
        <v>197</v>
      </c>
      <c r="H1025" t="s">
        <v>197</v>
      </c>
      <c r="I1025" t="s">
        <v>197</v>
      </c>
      <c r="J1025" t="s">
        <v>197</v>
      </c>
      <c r="K1025" t="s">
        <v>503</v>
      </c>
    </row>
    <row r="1026" spans="1:24">
      <c r="A1026" t="s">
        <v>1066</v>
      </c>
      <c r="K1026" t="s">
        <v>1067</v>
      </c>
      <c r="W1026" s="1" t="str">
        <f>HYPERLINK("#2026042011hbase0!AY2","NO 源备存在差异，共4个")</f>
        <v>NO 源备存在差异，共4个</v>
      </c>
      <c r="X1026" t="str">
        <f>A1026</f>
        <v>info_sql_variant_dml_single_pk_urp</v>
      </c>
    </row>
    <row r="1027" spans="1:24">
      <c r="B1027" t="s">
        <v>196</v>
      </c>
      <c r="C1027" t="s">
        <v>197</v>
      </c>
      <c r="D1027" t="s">
        <v>197</v>
      </c>
      <c r="E1027" t="s">
        <v>197</v>
      </c>
      <c r="F1027" t="s">
        <v>197</v>
      </c>
      <c r="G1027" t="s">
        <v>197</v>
      </c>
      <c r="H1027" t="s">
        <v>197</v>
      </c>
      <c r="I1027" t="s">
        <v>1068</v>
      </c>
      <c r="J1027" t="s">
        <v>199</v>
      </c>
      <c r="K1027" t="s">
        <v>200</v>
      </c>
    </row>
    <row r="1028" spans="1:24">
      <c r="B1028" t="s">
        <v>197</v>
      </c>
      <c r="C1028" t="s">
        <v>197</v>
      </c>
      <c r="D1028" t="s">
        <v>197</v>
      </c>
      <c r="E1028" t="s">
        <v>197</v>
      </c>
      <c r="F1028" t="s">
        <v>197</v>
      </c>
      <c r="G1028" t="s">
        <v>197</v>
      </c>
      <c r="H1028" t="s">
        <v>197</v>
      </c>
      <c r="I1028" t="s">
        <v>197</v>
      </c>
      <c r="J1028" t="s">
        <v>197</v>
      </c>
      <c r="K1028" t="s">
        <v>1006</v>
      </c>
    </row>
    <row r="1029" spans="1:24">
      <c r="B1029" t="s">
        <v>197</v>
      </c>
      <c r="C1029" t="s">
        <v>197</v>
      </c>
      <c r="D1029" t="s">
        <v>197</v>
      </c>
      <c r="E1029" t="s">
        <v>197</v>
      </c>
      <c r="F1029" t="s">
        <v>197</v>
      </c>
      <c r="G1029" t="s">
        <v>197</v>
      </c>
      <c r="H1029" t="s">
        <v>197</v>
      </c>
      <c r="I1029" t="s">
        <v>197</v>
      </c>
      <c r="J1029" t="s">
        <v>197</v>
      </c>
      <c r="K1029" t="s">
        <v>1007</v>
      </c>
    </row>
    <row r="1030" spans="1:24">
      <c r="B1030" t="s">
        <v>197</v>
      </c>
      <c r="C1030" t="s">
        <v>197</v>
      </c>
      <c r="D1030" t="s">
        <v>197</v>
      </c>
      <c r="E1030" t="s">
        <v>197</v>
      </c>
      <c r="F1030" t="s">
        <v>197</v>
      </c>
      <c r="G1030" t="s">
        <v>197</v>
      </c>
      <c r="H1030" t="s">
        <v>197</v>
      </c>
      <c r="I1030" t="s">
        <v>197</v>
      </c>
      <c r="J1030" t="s">
        <v>197</v>
      </c>
      <c r="K1030" t="s">
        <v>1008</v>
      </c>
    </row>
    <row r="1031" spans="1:24">
      <c r="B1031" t="s">
        <v>197</v>
      </c>
      <c r="C1031" t="s">
        <v>197</v>
      </c>
      <c r="D1031" t="s">
        <v>197</v>
      </c>
      <c r="E1031" t="s">
        <v>197</v>
      </c>
      <c r="F1031" t="s">
        <v>197</v>
      </c>
      <c r="G1031" t="s">
        <v>197</v>
      </c>
      <c r="H1031" t="s">
        <v>197</v>
      </c>
      <c r="I1031" t="s">
        <v>197</v>
      </c>
      <c r="J1031" t="s">
        <v>197</v>
      </c>
      <c r="K1031" t="s">
        <v>1009</v>
      </c>
    </row>
    <row r="1032" spans="1:24">
      <c r="B1032" t="s">
        <v>197</v>
      </c>
      <c r="C1032" t="s">
        <v>197</v>
      </c>
      <c r="D1032" t="s">
        <v>197</v>
      </c>
      <c r="E1032" t="s">
        <v>197</v>
      </c>
      <c r="F1032" t="s">
        <v>197</v>
      </c>
      <c r="G1032" t="s">
        <v>197</v>
      </c>
      <c r="H1032" t="s">
        <v>197</v>
      </c>
      <c r="I1032" t="s">
        <v>197</v>
      </c>
      <c r="J1032" t="s">
        <v>197</v>
      </c>
      <c r="K1032" t="s">
        <v>1010</v>
      </c>
    </row>
    <row r="1033" spans="1:24">
      <c r="B1033" t="s">
        <v>197</v>
      </c>
      <c r="C1033" t="s">
        <v>197</v>
      </c>
      <c r="D1033" t="s">
        <v>197</v>
      </c>
      <c r="E1033" t="s">
        <v>197</v>
      </c>
      <c r="F1033" t="s">
        <v>197</v>
      </c>
      <c r="G1033" t="s">
        <v>197</v>
      </c>
      <c r="H1033" t="s">
        <v>197</v>
      </c>
      <c r="I1033" t="s">
        <v>197</v>
      </c>
      <c r="J1033" t="s">
        <v>197</v>
      </c>
      <c r="K1033" t="s">
        <v>1011</v>
      </c>
    </row>
    <row r="1034" spans="1:24">
      <c r="B1034" t="s">
        <v>197</v>
      </c>
      <c r="C1034" t="s">
        <v>197</v>
      </c>
      <c r="D1034" t="s">
        <v>197</v>
      </c>
      <c r="E1034" t="s">
        <v>197</v>
      </c>
      <c r="F1034" t="s">
        <v>197</v>
      </c>
      <c r="G1034" t="s">
        <v>197</v>
      </c>
      <c r="H1034" t="s">
        <v>197</v>
      </c>
      <c r="I1034" t="s">
        <v>197</v>
      </c>
      <c r="J1034" t="s">
        <v>197</v>
      </c>
      <c r="K1034" t="s">
        <v>1012</v>
      </c>
    </row>
    <row r="1035" spans="1:24">
      <c r="B1035" t="s">
        <v>197</v>
      </c>
      <c r="C1035" t="s">
        <v>197</v>
      </c>
      <c r="D1035" t="s">
        <v>197</v>
      </c>
      <c r="E1035" t="s">
        <v>197</v>
      </c>
      <c r="F1035" t="s">
        <v>197</v>
      </c>
      <c r="G1035" t="s">
        <v>197</v>
      </c>
      <c r="H1035" t="s">
        <v>197</v>
      </c>
      <c r="I1035" t="s">
        <v>197</v>
      </c>
      <c r="J1035" t="s">
        <v>197</v>
      </c>
      <c r="K1035" t="s">
        <v>1013</v>
      </c>
    </row>
    <row r="1036" spans="1:24">
      <c r="B1036" t="s">
        <v>197</v>
      </c>
      <c r="C1036" t="s">
        <v>197</v>
      </c>
      <c r="D1036" t="s">
        <v>197</v>
      </c>
      <c r="E1036" t="s">
        <v>197</v>
      </c>
      <c r="F1036" t="s">
        <v>197</v>
      </c>
      <c r="G1036" t="s">
        <v>197</v>
      </c>
      <c r="H1036" t="s">
        <v>197</v>
      </c>
      <c r="I1036" t="s">
        <v>197</v>
      </c>
      <c r="J1036" t="s">
        <v>197</v>
      </c>
      <c r="K1036" t="s">
        <v>1014</v>
      </c>
    </row>
    <row r="1037" spans="1:24">
      <c r="B1037" t="s">
        <v>197</v>
      </c>
      <c r="C1037" t="s">
        <v>197</v>
      </c>
      <c r="D1037" t="s">
        <v>197</v>
      </c>
      <c r="E1037" t="s">
        <v>197</v>
      </c>
      <c r="F1037" t="s">
        <v>197</v>
      </c>
      <c r="G1037" t="s">
        <v>197</v>
      </c>
      <c r="H1037" t="s">
        <v>197</v>
      </c>
      <c r="I1037" t="s">
        <v>197</v>
      </c>
      <c r="J1037" t="s">
        <v>197</v>
      </c>
      <c r="K1037" t="s">
        <v>1015</v>
      </c>
    </row>
    <row r="1038" spans="1:24">
      <c r="B1038" t="s">
        <v>197</v>
      </c>
      <c r="C1038" t="s">
        <v>197</v>
      </c>
      <c r="D1038" t="s">
        <v>197</v>
      </c>
      <c r="E1038" t="s">
        <v>197</v>
      </c>
      <c r="F1038" t="s">
        <v>197</v>
      </c>
      <c r="G1038" t="s">
        <v>197</v>
      </c>
      <c r="H1038" t="s">
        <v>197</v>
      </c>
      <c r="I1038" t="s">
        <v>197</v>
      </c>
      <c r="J1038" t="s">
        <v>197</v>
      </c>
      <c r="K1038" t="s">
        <v>1016</v>
      </c>
    </row>
    <row r="1039" spans="1:24">
      <c r="B1039" t="s">
        <v>197</v>
      </c>
      <c r="C1039" t="s">
        <v>197</v>
      </c>
      <c r="D1039" t="s">
        <v>197</v>
      </c>
      <c r="E1039" t="s">
        <v>197</v>
      </c>
      <c r="F1039" t="s">
        <v>197</v>
      </c>
      <c r="G1039" t="s">
        <v>197</v>
      </c>
      <c r="H1039" t="s">
        <v>197</v>
      </c>
      <c r="I1039" t="s">
        <v>197</v>
      </c>
      <c r="J1039" t="s">
        <v>197</v>
      </c>
      <c r="K1039" t="s">
        <v>1017</v>
      </c>
    </row>
    <row r="1040" spans="1:24">
      <c r="B1040" t="s">
        <v>197</v>
      </c>
      <c r="C1040" t="s">
        <v>197</v>
      </c>
      <c r="D1040" t="s">
        <v>197</v>
      </c>
      <c r="E1040" t="s">
        <v>197</v>
      </c>
      <c r="F1040" t="s">
        <v>197</v>
      </c>
      <c r="G1040" t="s">
        <v>197</v>
      </c>
      <c r="H1040" t="s">
        <v>197</v>
      </c>
      <c r="I1040" t="s">
        <v>197</v>
      </c>
      <c r="J1040" t="s">
        <v>197</v>
      </c>
      <c r="K1040" t="s">
        <v>1018</v>
      </c>
    </row>
    <row r="1041" spans="1:24">
      <c r="B1041" t="s">
        <v>197</v>
      </c>
      <c r="C1041" t="s">
        <v>197</v>
      </c>
      <c r="D1041" t="s">
        <v>197</v>
      </c>
      <c r="E1041" t="s">
        <v>197</v>
      </c>
      <c r="F1041" t="s">
        <v>197</v>
      </c>
      <c r="G1041" t="s">
        <v>197</v>
      </c>
      <c r="H1041" t="s">
        <v>197</v>
      </c>
      <c r="I1041" t="s">
        <v>197</v>
      </c>
      <c r="J1041" t="s">
        <v>197</v>
      </c>
      <c r="K1041" t="s">
        <v>1019</v>
      </c>
    </row>
    <row r="1042" spans="1:24">
      <c r="B1042" t="s">
        <v>197</v>
      </c>
      <c r="C1042" t="s">
        <v>197</v>
      </c>
      <c r="D1042" t="s">
        <v>197</v>
      </c>
      <c r="E1042" t="s">
        <v>197</v>
      </c>
      <c r="F1042" t="s">
        <v>197</v>
      </c>
      <c r="G1042" t="s">
        <v>197</v>
      </c>
      <c r="H1042" t="s">
        <v>197</v>
      </c>
      <c r="I1042" t="s">
        <v>197</v>
      </c>
      <c r="J1042" t="s">
        <v>197</v>
      </c>
      <c r="K1042" t="s">
        <v>1020</v>
      </c>
    </row>
    <row r="1043" spans="1:24">
      <c r="B1043" t="s">
        <v>197</v>
      </c>
      <c r="C1043" t="s">
        <v>197</v>
      </c>
      <c r="D1043" t="s">
        <v>197</v>
      </c>
      <c r="E1043" t="s">
        <v>197</v>
      </c>
      <c r="F1043" t="s">
        <v>197</v>
      </c>
      <c r="G1043" t="s">
        <v>197</v>
      </c>
      <c r="H1043" t="s">
        <v>197</v>
      </c>
      <c r="I1043" t="s">
        <v>197</v>
      </c>
      <c r="J1043" t="s">
        <v>197</v>
      </c>
      <c r="K1043" t="s">
        <v>1021</v>
      </c>
    </row>
    <row r="1044" spans="1:24">
      <c r="B1044" t="s">
        <v>197</v>
      </c>
      <c r="C1044" t="s">
        <v>197</v>
      </c>
      <c r="D1044" t="s">
        <v>197</v>
      </c>
      <c r="E1044" t="s">
        <v>197</v>
      </c>
      <c r="F1044" t="s">
        <v>197</v>
      </c>
      <c r="G1044" t="s">
        <v>197</v>
      </c>
      <c r="H1044" t="s">
        <v>197</v>
      </c>
      <c r="I1044" t="s">
        <v>197</v>
      </c>
      <c r="J1044" t="s">
        <v>197</v>
      </c>
      <c r="K1044" t="s">
        <v>1022</v>
      </c>
    </row>
    <row r="1045" spans="1:24">
      <c r="B1045" t="s">
        <v>197</v>
      </c>
      <c r="C1045" t="s">
        <v>197</v>
      </c>
      <c r="D1045" t="s">
        <v>197</v>
      </c>
      <c r="E1045" t="s">
        <v>197</v>
      </c>
      <c r="F1045" t="s">
        <v>197</v>
      </c>
      <c r="G1045" t="s">
        <v>197</v>
      </c>
      <c r="H1045" t="s">
        <v>197</v>
      </c>
      <c r="I1045" t="s">
        <v>197</v>
      </c>
      <c r="J1045" t="s">
        <v>197</v>
      </c>
      <c r="K1045" t="s">
        <v>1023</v>
      </c>
    </row>
    <row r="1046" spans="1:24">
      <c r="B1046" t="s">
        <v>197</v>
      </c>
      <c r="C1046" t="s">
        <v>197</v>
      </c>
      <c r="D1046" t="s">
        <v>197</v>
      </c>
      <c r="E1046" t="s">
        <v>197</v>
      </c>
      <c r="F1046" t="s">
        <v>197</v>
      </c>
      <c r="G1046" t="s">
        <v>197</v>
      </c>
      <c r="H1046" t="s">
        <v>197</v>
      </c>
      <c r="I1046" t="s">
        <v>197</v>
      </c>
      <c r="J1046" t="s">
        <v>197</v>
      </c>
      <c r="K1046" t="s">
        <v>1024</v>
      </c>
    </row>
    <row r="1047" spans="1:24">
      <c r="B1047" t="s">
        <v>197</v>
      </c>
      <c r="C1047" t="s">
        <v>197</v>
      </c>
      <c r="D1047" t="s">
        <v>197</v>
      </c>
      <c r="E1047" t="s">
        <v>197</v>
      </c>
      <c r="F1047" t="s">
        <v>197</v>
      </c>
      <c r="G1047" t="s">
        <v>197</v>
      </c>
      <c r="H1047" t="s">
        <v>197</v>
      </c>
      <c r="I1047" t="s">
        <v>197</v>
      </c>
      <c r="J1047" t="s">
        <v>197</v>
      </c>
      <c r="K1047" t="s">
        <v>1025</v>
      </c>
    </row>
    <row r="1048" spans="1:24">
      <c r="B1048" t="s">
        <v>197</v>
      </c>
      <c r="C1048" t="s">
        <v>197</v>
      </c>
      <c r="D1048" t="s">
        <v>197</v>
      </c>
      <c r="E1048" t="s">
        <v>197</v>
      </c>
      <c r="F1048" t="s">
        <v>197</v>
      </c>
      <c r="G1048" t="s">
        <v>197</v>
      </c>
      <c r="H1048" t="s">
        <v>197</v>
      </c>
      <c r="I1048" t="s">
        <v>197</v>
      </c>
      <c r="J1048" t="s">
        <v>197</v>
      </c>
      <c r="K1048" t="s">
        <v>1026</v>
      </c>
    </row>
    <row r="1049" spans="1:24">
      <c r="B1049" t="s">
        <v>197</v>
      </c>
      <c r="C1049" t="s">
        <v>197</v>
      </c>
      <c r="D1049" t="s">
        <v>197</v>
      </c>
      <c r="E1049" t="s">
        <v>197</v>
      </c>
      <c r="F1049" t="s">
        <v>197</v>
      </c>
      <c r="G1049" t="s">
        <v>197</v>
      </c>
      <c r="H1049" t="s">
        <v>197</v>
      </c>
      <c r="I1049" t="s">
        <v>197</v>
      </c>
      <c r="J1049" t="s">
        <v>197</v>
      </c>
      <c r="K1049" t="s">
        <v>1027</v>
      </c>
    </row>
    <row r="1050" spans="1:24">
      <c r="B1050" t="s">
        <v>197</v>
      </c>
      <c r="C1050" t="s">
        <v>197</v>
      </c>
      <c r="D1050" t="s">
        <v>197</v>
      </c>
      <c r="E1050" t="s">
        <v>197</v>
      </c>
      <c r="F1050" t="s">
        <v>197</v>
      </c>
      <c r="G1050" t="s">
        <v>197</v>
      </c>
      <c r="H1050" t="s">
        <v>197</v>
      </c>
      <c r="I1050" t="s">
        <v>197</v>
      </c>
      <c r="J1050" t="s">
        <v>197</v>
      </c>
      <c r="K1050" t="s">
        <v>1028</v>
      </c>
    </row>
    <row r="1051" spans="1:24">
      <c r="B1051" t="s">
        <v>197</v>
      </c>
      <c r="C1051" t="s">
        <v>197</v>
      </c>
      <c r="D1051" t="s">
        <v>197</v>
      </c>
      <c r="E1051" t="s">
        <v>197</v>
      </c>
      <c r="F1051" t="s">
        <v>197</v>
      </c>
      <c r="G1051" t="s">
        <v>197</v>
      </c>
      <c r="H1051" t="s">
        <v>197</v>
      </c>
      <c r="I1051" t="s">
        <v>197</v>
      </c>
      <c r="J1051" t="s">
        <v>197</v>
      </c>
      <c r="K1051" t="s">
        <v>1029</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1072</v>
      </c>
      <c r="K1058" t="s">
        <v>1073</v>
      </c>
      <c r="W1058" s="1" t="str">
        <f>HYPERLINK("#2026042011hbase0!AZ2","NO 源备存在差异，共2个")</f>
        <v>NO 源备存在差异，共2个</v>
      </c>
      <c r="X1058" t="str">
        <f>A1058</f>
        <v>info_sql_variant_dml_single_pk_drp</v>
      </c>
    </row>
    <row r="1059" spans="1:24">
      <c r="B1059" t="s">
        <v>196</v>
      </c>
      <c r="C1059" t="s">
        <v>197</v>
      </c>
      <c r="D1059" t="s">
        <v>197</v>
      </c>
      <c r="E1059" t="s">
        <v>197</v>
      </c>
      <c r="F1059" t="s">
        <v>197</v>
      </c>
      <c r="G1059" t="s">
        <v>197</v>
      </c>
      <c r="H1059" t="s">
        <v>197</v>
      </c>
      <c r="I1059" t="s">
        <v>1074</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1075</v>
      </c>
      <c r="K1084" t="s">
        <v>1076</v>
      </c>
      <c r="W1084" s="1" t="str">
        <f>HYPERLINK("#2026042011hbase0!BA2","NO 源备存在差异，共18个")</f>
        <v>NO 源备存在差异，共18个</v>
      </c>
      <c r="X1084" t="str">
        <f>A1084</f>
        <v>info_int_dml_batch1_pk_irp1</v>
      </c>
    </row>
    <row r="1085" spans="1:24">
      <c r="B1085" t="s">
        <v>196</v>
      </c>
      <c r="C1085" t="s">
        <v>197</v>
      </c>
      <c r="D1085" t="s">
        <v>197</v>
      </c>
      <c r="E1085" t="s">
        <v>197</v>
      </c>
      <c r="F1085" t="s">
        <v>197</v>
      </c>
      <c r="G1085" t="s">
        <v>197</v>
      </c>
      <c r="H1085" t="s">
        <v>197</v>
      </c>
      <c r="I1085" t="s">
        <v>1077</v>
      </c>
      <c r="J1085" t="s">
        <v>199</v>
      </c>
      <c r="K1085" t="s">
        <v>200</v>
      </c>
    </row>
    <row r="1086" spans="1:24">
      <c r="B1086" t="s">
        <v>197</v>
      </c>
      <c r="C1086" t="s">
        <v>197</v>
      </c>
      <c r="D1086" t="s">
        <v>197</v>
      </c>
      <c r="E1086" t="s">
        <v>197</v>
      </c>
      <c r="F1086" t="s">
        <v>197</v>
      </c>
      <c r="G1086" t="s">
        <v>197</v>
      </c>
      <c r="H1086" t="s">
        <v>197</v>
      </c>
      <c r="I1086" t="s">
        <v>197</v>
      </c>
      <c r="J1086" t="s">
        <v>197</v>
      </c>
      <c r="K1086" t="s">
        <v>549</v>
      </c>
    </row>
    <row r="1087" spans="1:24">
      <c r="B1087" t="s">
        <v>197</v>
      </c>
      <c r="C1087" t="s">
        <v>197</v>
      </c>
      <c r="D1087" t="s">
        <v>197</v>
      </c>
      <c r="E1087" t="s">
        <v>197</v>
      </c>
      <c r="F1087" t="s">
        <v>197</v>
      </c>
      <c r="G1087" t="s">
        <v>197</v>
      </c>
      <c r="H1087" t="s">
        <v>197</v>
      </c>
      <c r="I1087" t="s">
        <v>197</v>
      </c>
      <c r="J1087" t="s">
        <v>197</v>
      </c>
      <c r="K1087" t="s">
        <v>550</v>
      </c>
    </row>
    <row r="1088" spans="1:24">
      <c r="B1088" t="s">
        <v>197</v>
      </c>
      <c r="C1088" t="s">
        <v>197</v>
      </c>
      <c r="D1088" t="s">
        <v>197</v>
      </c>
      <c r="E1088" t="s">
        <v>197</v>
      </c>
      <c r="F1088" t="s">
        <v>197</v>
      </c>
      <c r="G1088" t="s">
        <v>197</v>
      </c>
      <c r="H1088" t="s">
        <v>197</v>
      </c>
      <c r="I1088" t="s">
        <v>197</v>
      </c>
      <c r="J1088" t="s">
        <v>197</v>
      </c>
      <c r="K1088" t="s">
        <v>551</v>
      </c>
    </row>
    <row r="1089" spans="2:11">
      <c r="B1089" t="s">
        <v>197</v>
      </c>
      <c r="C1089" t="s">
        <v>197</v>
      </c>
      <c r="D1089" t="s">
        <v>197</v>
      </c>
      <c r="E1089" t="s">
        <v>197</v>
      </c>
      <c r="F1089" t="s">
        <v>197</v>
      </c>
      <c r="G1089" t="s">
        <v>197</v>
      </c>
      <c r="H1089" t="s">
        <v>197</v>
      </c>
      <c r="I1089" t="s">
        <v>197</v>
      </c>
      <c r="J1089" t="s">
        <v>197</v>
      </c>
      <c r="K1089" t="s">
        <v>552</v>
      </c>
    </row>
    <row r="1090" spans="2:11">
      <c r="B1090" t="s">
        <v>197</v>
      </c>
      <c r="C1090" t="s">
        <v>197</v>
      </c>
      <c r="D1090" t="s">
        <v>197</v>
      </c>
      <c r="E1090" t="s">
        <v>197</v>
      </c>
      <c r="F1090" t="s">
        <v>197</v>
      </c>
      <c r="G1090" t="s">
        <v>197</v>
      </c>
      <c r="H1090" t="s">
        <v>197</v>
      </c>
      <c r="I1090" t="s">
        <v>197</v>
      </c>
      <c r="J1090" t="s">
        <v>197</v>
      </c>
      <c r="K1090" t="s">
        <v>553</v>
      </c>
    </row>
    <row r="1091" spans="2:11">
      <c r="B1091" t="s">
        <v>197</v>
      </c>
      <c r="C1091" t="s">
        <v>197</v>
      </c>
      <c r="D1091" t="s">
        <v>197</v>
      </c>
      <c r="E1091" t="s">
        <v>197</v>
      </c>
      <c r="F1091" t="s">
        <v>197</v>
      </c>
      <c r="G1091" t="s">
        <v>197</v>
      </c>
      <c r="H1091" t="s">
        <v>197</v>
      </c>
      <c r="I1091" t="s">
        <v>197</v>
      </c>
      <c r="J1091" t="s">
        <v>197</v>
      </c>
      <c r="K1091" t="s">
        <v>554</v>
      </c>
    </row>
    <row r="1092" spans="2:11">
      <c r="B1092" t="s">
        <v>197</v>
      </c>
      <c r="C1092" t="s">
        <v>197</v>
      </c>
      <c r="D1092" t="s">
        <v>197</v>
      </c>
      <c r="E1092" t="s">
        <v>197</v>
      </c>
      <c r="F1092" t="s">
        <v>197</v>
      </c>
      <c r="G1092" t="s">
        <v>197</v>
      </c>
      <c r="H1092" t="s">
        <v>197</v>
      </c>
      <c r="I1092" t="s">
        <v>197</v>
      </c>
      <c r="J1092" t="s">
        <v>197</v>
      </c>
      <c r="K1092" t="s">
        <v>555</v>
      </c>
    </row>
    <row r="1093" spans="2:11">
      <c r="B1093" t="s">
        <v>197</v>
      </c>
      <c r="C1093" t="s">
        <v>197</v>
      </c>
      <c r="D1093" t="s">
        <v>197</v>
      </c>
      <c r="E1093" t="s">
        <v>197</v>
      </c>
      <c r="F1093" t="s">
        <v>197</v>
      </c>
      <c r="G1093" t="s">
        <v>197</v>
      </c>
      <c r="H1093" t="s">
        <v>197</v>
      </c>
      <c r="I1093" t="s">
        <v>197</v>
      </c>
      <c r="J1093" t="s">
        <v>197</v>
      </c>
      <c r="K1093" t="s">
        <v>556</v>
      </c>
    </row>
    <row r="1094" spans="2:11">
      <c r="B1094" t="s">
        <v>197</v>
      </c>
      <c r="C1094" t="s">
        <v>197</v>
      </c>
      <c r="D1094" t="s">
        <v>197</v>
      </c>
      <c r="E1094" t="s">
        <v>197</v>
      </c>
      <c r="F1094" t="s">
        <v>197</v>
      </c>
      <c r="G1094" t="s">
        <v>197</v>
      </c>
      <c r="H1094" t="s">
        <v>197</v>
      </c>
      <c r="I1094" t="s">
        <v>197</v>
      </c>
      <c r="J1094" t="s">
        <v>197</v>
      </c>
      <c r="K1094" t="s">
        <v>557</v>
      </c>
    </row>
    <row r="1095" spans="2:11">
      <c r="B1095" t="s">
        <v>197</v>
      </c>
      <c r="C1095" t="s">
        <v>197</v>
      </c>
      <c r="D1095" t="s">
        <v>197</v>
      </c>
      <c r="E1095" t="s">
        <v>197</v>
      </c>
      <c r="F1095" t="s">
        <v>197</v>
      </c>
      <c r="G1095" t="s">
        <v>197</v>
      </c>
      <c r="H1095" t="s">
        <v>197</v>
      </c>
      <c r="I1095" t="s">
        <v>197</v>
      </c>
      <c r="J1095" t="s">
        <v>197</v>
      </c>
      <c r="K1095" t="s">
        <v>558</v>
      </c>
    </row>
    <row r="1096" spans="2:11">
      <c r="B1096" t="s">
        <v>197</v>
      </c>
      <c r="C1096" t="s">
        <v>197</v>
      </c>
      <c r="D1096" t="s">
        <v>197</v>
      </c>
      <c r="E1096" t="s">
        <v>197</v>
      </c>
      <c r="F1096" t="s">
        <v>197</v>
      </c>
      <c r="G1096" t="s">
        <v>197</v>
      </c>
      <c r="H1096" t="s">
        <v>197</v>
      </c>
      <c r="I1096" t="s">
        <v>197</v>
      </c>
      <c r="J1096" t="s">
        <v>197</v>
      </c>
      <c r="K1096" t="s">
        <v>559</v>
      </c>
    </row>
    <row r="1097" spans="2:11">
      <c r="B1097" t="s">
        <v>197</v>
      </c>
      <c r="C1097" t="s">
        <v>197</v>
      </c>
      <c r="D1097" t="s">
        <v>197</v>
      </c>
      <c r="E1097" t="s">
        <v>197</v>
      </c>
      <c r="F1097" t="s">
        <v>197</v>
      </c>
      <c r="G1097" t="s">
        <v>197</v>
      </c>
      <c r="H1097" t="s">
        <v>197</v>
      </c>
      <c r="I1097" t="s">
        <v>197</v>
      </c>
      <c r="J1097" t="s">
        <v>197</v>
      </c>
      <c r="K1097" t="s">
        <v>560</v>
      </c>
    </row>
    <row r="1098" spans="2:11">
      <c r="B1098" t="s">
        <v>197</v>
      </c>
      <c r="C1098" t="s">
        <v>197</v>
      </c>
      <c r="D1098" t="s">
        <v>197</v>
      </c>
      <c r="E1098" t="s">
        <v>197</v>
      </c>
      <c r="F1098" t="s">
        <v>197</v>
      </c>
      <c r="G1098" t="s">
        <v>197</v>
      </c>
      <c r="H1098" t="s">
        <v>197</v>
      </c>
      <c r="I1098" t="s">
        <v>197</v>
      </c>
      <c r="J1098" t="s">
        <v>197</v>
      </c>
      <c r="K1098" t="s">
        <v>561</v>
      </c>
    </row>
    <row r="1099" spans="2:11">
      <c r="B1099" t="s">
        <v>197</v>
      </c>
      <c r="C1099" t="s">
        <v>197</v>
      </c>
      <c r="D1099" t="s">
        <v>197</v>
      </c>
      <c r="E1099" t="s">
        <v>197</v>
      </c>
      <c r="F1099" t="s">
        <v>197</v>
      </c>
      <c r="G1099" t="s">
        <v>197</v>
      </c>
      <c r="H1099" t="s">
        <v>197</v>
      </c>
      <c r="I1099" t="s">
        <v>197</v>
      </c>
      <c r="J1099" t="s">
        <v>197</v>
      </c>
      <c r="K1099" t="s">
        <v>562</v>
      </c>
    </row>
    <row r="1100" spans="2:11">
      <c r="B1100" t="s">
        <v>197</v>
      </c>
      <c r="C1100" t="s">
        <v>197</v>
      </c>
      <c r="D1100" t="s">
        <v>197</v>
      </c>
      <c r="E1100" t="s">
        <v>197</v>
      </c>
      <c r="F1100" t="s">
        <v>197</v>
      </c>
      <c r="G1100" t="s">
        <v>197</v>
      </c>
      <c r="H1100" t="s">
        <v>197</v>
      </c>
      <c r="I1100" t="s">
        <v>197</v>
      </c>
      <c r="J1100" t="s">
        <v>197</v>
      </c>
      <c r="K1100" t="s">
        <v>563</v>
      </c>
    </row>
    <row r="1101" spans="2:11">
      <c r="B1101" t="s">
        <v>197</v>
      </c>
      <c r="C1101" t="s">
        <v>197</v>
      </c>
      <c r="D1101" t="s">
        <v>197</v>
      </c>
      <c r="E1101" t="s">
        <v>197</v>
      </c>
      <c r="F1101" t="s">
        <v>197</v>
      </c>
      <c r="G1101" t="s">
        <v>197</v>
      </c>
      <c r="H1101" t="s">
        <v>197</v>
      </c>
      <c r="I1101" t="s">
        <v>197</v>
      </c>
      <c r="J1101" t="s">
        <v>197</v>
      </c>
      <c r="K1101" t="s">
        <v>564</v>
      </c>
    </row>
    <row r="1102" spans="2:11">
      <c r="B1102" t="s">
        <v>197</v>
      </c>
      <c r="C1102" t="s">
        <v>197</v>
      </c>
      <c r="D1102" t="s">
        <v>197</v>
      </c>
      <c r="E1102" t="s">
        <v>197</v>
      </c>
      <c r="F1102" t="s">
        <v>197</v>
      </c>
      <c r="G1102" t="s">
        <v>197</v>
      </c>
      <c r="H1102" t="s">
        <v>197</v>
      </c>
      <c r="I1102" t="s">
        <v>197</v>
      </c>
      <c r="J1102" t="s">
        <v>197</v>
      </c>
      <c r="K1102" t="s">
        <v>565</v>
      </c>
    </row>
    <row r="1103" spans="2:11">
      <c r="B1103" t="s">
        <v>197</v>
      </c>
      <c r="C1103" t="s">
        <v>197</v>
      </c>
      <c r="D1103" t="s">
        <v>197</v>
      </c>
      <c r="E1103" t="s">
        <v>197</v>
      </c>
      <c r="F1103" t="s">
        <v>197</v>
      </c>
      <c r="G1103" t="s">
        <v>197</v>
      </c>
      <c r="H1103" t="s">
        <v>197</v>
      </c>
      <c r="I1103" t="s">
        <v>197</v>
      </c>
      <c r="J1103" t="s">
        <v>197</v>
      </c>
      <c r="K1103" t="s">
        <v>566</v>
      </c>
    </row>
    <row r="1104" spans="2:11">
      <c r="B1104" t="s">
        <v>197</v>
      </c>
      <c r="C1104" t="s">
        <v>197</v>
      </c>
      <c r="D1104" t="s">
        <v>197</v>
      </c>
      <c r="E1104" t="s">
        <v>197</v>
      </c>
      <c r="F1104" t="s">
        <v>197</v>
      </c>
      <c r="G1104" t="s">
        <v>197</v>
      </c>
      <c r="H1104" t="s">
        <v>197</v>
      </c>
      <c r="I1104" t="s">
        <v>197</v>
      </c>
      <c r="J1104" t="s">
        <v>197</v>
      </c>
      <c r="K1104" t="s">
        <v>567</v>
      </c>
    </row>
    <row r="1105" spans="1:24">
      <c r="A1105" t="s">
        <v>1078</v>
      </c>
      <c r="K1105" t="s">
        <v>1079</v>
      </c>
      <c r="W1105" t="s">
        <v>171</v>
      </c>
      <c r="X1105" t="str">
        <f>A1105</f>
        <v>info_uniqueidentifier_dml_single_pk_urp</v>
      </c>
    </row>
    <row r="1106" spans="1:24">
      <c r="B1106" t="s">
        <v>196</v>
      </c>
      <c r="C1106" t="s">
        <v>197</v>
      </c>
      <c r="D1106" t="s">
        <v>197</v>
      </c>
      <c r="E1106" t="s">
        <v>197</v>
      </c>
      <c r="F1106" t="s">
        <v>197</v>
      </c>
      <c r="G1106" t="s">
        <v>197</v>
      </c>
      <c r="H1106" t="s">
        <v>197</v>
      </c>
      <c r="I1106" t="s">
        <v>1080</v>
      </c>
      <c r="J1106" t="s">
        <v>199</v>
      </c>
      <c r="K1106" t="s">
        <v>200</v>
      </c>
    </row>
    <row r="1107" spans="1:24">
      <c r="B1107" t="s">
        <v>197</v>
      </c>
      <c r="C1107" t="s">
        <v>197</v>
      </c>
      <c r="D1107" t="s">
        <v>197</v>
      </c>
      <c r="E1107" t="s">
        <v>197</v>
      </c>
      <c r="F1107" t="s">
        <v>197</v>
      </c>
      <c r="G1107" t="s">
        <v>197</v>
      </c>
      <c r="H1107" t="s">
        <v>197</v>
      </c>
      <c r="I1107" t="s">
        <v>197</v>
      </c>
      <c r="J1107" t="s">
        <v>197</v>
      </c>
      <c r="K1107" t="s">
        <v>1039</v>
      </c>
    </row>
    <row r="1108" spans="1:24">
      <c r="A1108" t="s">
        <v>1081</v>
      </c>
      <c r="K1108" t="s">
        <v>1082</v>
      </c>
      <c r="W1108" t="s">
        <v>171</v>
      </c>
      <c r="X1108" t="str">
        <f>A1108</f>
        <v>info_nvarchar_dml_batch2_pk_irp1</v>
      </c>
    </row>
    <row r="1109" spans="1:24">
      <c r="B1109" t="s">
        <v>196</v>
      </c>
      <c r="C1109" t="s">
        <v>197</v>
      </c>
      <c r="D1109" t="s">
        <v>197</v>
      </c>
      <c r="E1109" t="s">
        <v>197</v>
      </c>
      <c r="F1109" t="s">
        <v>197</v>
      </c>
      <c r="G1109" t="s">
        <v>197</v>
      </c>
      <c r="H1109" t="s">
        <v>197</v>
      </c>
      <c r="I1109" t="s">
        <v>1083</v>
      </c>
      <c r="J1109" t="s">
        <v>199</v>
      </c>
      <c r="K1109" t="s">
        <v>200</v>
      </c>
    </row>
    <row r="1110" spans="1:24">
      <c r="B1110" t="s">
        <v>197</v>
      </c>
      <c r="C1110" t="s">
        <v>197</v>
      </c>
      <c r="D1110" t="s">
        <v>197</v>
      </c>
      <c r="E1110" t="s">
        <v>197</v>
      </c>
      <c r="F1110" t="s">
        <v>197</v>
      </c>
      <c r="G1110" t="s">
        <v>197</v>
      </c>
      <c r="H1110" t="s">
        <v>197</v>
      </c>
      <c r="I1110" t="s">
        <v>197</v>
      </c>
      <c r="J1110" t="s">
        <v>197</v>
      </c>
      <c r="K1110" t="s">
        <v>408</v>
      </c>
    </row>
    <row r="1111" spans="1:24">
      <c r="B1111" t="s">
        <v>197</v>
      </c>
      <c r="C1111" t="s">
        <v>197</v>
      </c>
      <c r="D1111" t="s">
        <v>197</v>
      </c>
      <c r="E1111" t="s">
        <v>197</v>
      </c>
      <c r="F1111" t="s">
        <v>197</v>
      </c>
      <c r="G1111" t="s">
        <v>197</v>
      </c>
      <c r="H1111" t="s">
        <v>197</v>
      </c>
      <c r="I1111" t="s">
        <v>197</v>
      </c>
      <c r="J1111" t="s">
        <v>197</v>
      </c>
      <c r="K1111" t="s">
        <v>412</v>
      </c>
    </row>
    <row r="1112" spans="1:24">
      <c r="B1112" t="s">
        <v>197</v>
      </c>
      <c r="C1112" t="s">
        <v>197</v>
      </c>
      <c r="D1112" t="s">
        <v>197</v>
      </c>
      <c r="E1112" t="s">
        <v>197</v>
      </c>
      <c r="F1112" t="s">
        <v>197</v>
      </c>
      <c r="G1112" t="s">
        <v>197</v>
      </c>
      <c r="H1112" t="s">
        <v>197</v>
      </c>
      <c r="I1112" t="s">
        <v>197</v>
      </c>
      <c r="J1112" t="s">
        <v>197</v>
      </c>
      <c r="K1112" t="s">
        <v>416</v>
      </c>
    </row>
    <row r="1113" spans="1:24">
      <c r="A1113" t="s">
        <v>1084</v>
      </c>
      <c r="K1113" t="s">
        <v>1085</v>
      </c>
      <c r="W1113" t="s">
        <v>171</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1090</v>
      </c>
      <c r="K1123" t="s">
        <v>1091</v>
      </c>
      <c r="W1123" t="s">
        <v>171</v>
      </c>
      <c r="X1123" t="str">
        <f>A1123</f>
        <v>info_time_dml_batch2_pk_irp2</v>
      </c>
    </row>
    <row r="1124" spans="1:24">
      <c r="B1124" t="s">
        <v>196</v>
      </c>
      <c r="C1124" t="s">
        <v>197</v>
      </c>
      <c r="D1124" t="s">
        <v>197</v>
      </c>
      <c r="E1124" t="s">
        <v>197</v>
      </c>
      <c r="F1124" t="s">
        <v>197</v>
      </c>
      <c r="G1124" t="s">
        <v>197</v>
      </c>
      <c r="H1124" t="s">
        <v>197</v>
      </c>
      <c r="I1124" t="s">
        <v>1092</v>
      </c>
      <c r="J1124" t="s">
        <v>199</v>
      </c>
      <c r="K1124" t="s">
        <v>200</v>
      </c>
    </row>
    <row r="1125" spans="1:24">
      <c r="B1125" t="s">
        <v>197</v>
      </c>
      <c r="C1125" t="s">
        <v>197</v>
      </c>
      <c r="D1125" t="s">
        <v>197</v>
      </c>
      <c r="E1125" t="s">
        <v>197</v>
      </c>
      <c r="F1125" t="s">
        <v>197</v>
      </c>
      <c r="G1125" t="s">
        <v>197</v>
      </c>
      <c r="H1125" t="s">
        <v>197</v>
      </c>
      <c r="I1125" t="s">
        <v>197</v>
      </c>
      <c r="J1125" t="s">
        <v>197</v>
      </c>
      <c r="K1125" t="s">
        <v>800</v>
      </c>
    </row>
    <row r="1126" spans="1:24">
      <c r="B1126" t="s">
        <v>197</v>
      </c>
      <c r="C1126" t="s">
        <v>197</v>
      </c>
      <c r="D1126" t="s">
        <v>197</v>
      </c>
      <c r="E1126" t="s">
        <v>197</v>
      </c>
      <c r="F1126" t="s">
        <v>197</v>
      </c>
      <c r="G1126" t="s">
        <v>197</v>
      </c>
      <c r="H1126" t="s">
        <v>197</v>
      </c>
      <c r="I1126" t="s">
        <v>197</v>
      </c>
      <c r="J1126" t="s">
        <v>197</v>
      </c>
      <c r="K1126" t="s">
        <v>801</v>
      </c>
    </row>
    <row r="1127" spans="1:24">
      <c r="B1127" t="s">
        <v>197</v>
      </c>
      <c r="C1127" t="s">
        <v>197</v>
      </c>
      <c r="D1127" t="s">
        <v>197</v>
      </c>
      <c r="E1127" t="s">
        <v>197</v>
      </c>
      <c r="F1127" t="s">
        <v>197</v>
      </c>
      <c r="G1127" t="s">
        <v>197</v>
      </c>
      <c r="H1127" t="s">
        <v>197</v>
      </c>
      <c r="I1127" t="s">
        <v>197</v>
      </c>
      <c r="J1127" t="s">
        <v>197</v>
      </c>
      <c r="K1127" t="s">
        <v>802</v>
      </c>
    </row>
    <row r="1128" spans="1:24">
      <c r="B1128" t="s">
        <v>197</v>
      </c>
      <c r="C1128" t="s">
        <v>197</v>
      </c>
      <c r="D1128" t="s">
        <v>197</v>
      </c>
      <c r="E1128" t="s">
        <v>197</v>
      </c>
      <c r="F1128" t="s">
        <v>197</v>
      </c>
      <c r="G1128" t="s">
        <v>197</v>
      </c>
      <c r="H1128" t="s">
        <v>197</v>
      </c>
      <c r="I1128" t="s">
        <v>197</v>
      </c>
      <c r="J1128" t="s">
        <v>197</v>
      </c>
      <c r="K1128" t="s">
        <v>803</v>
      </c>
    </row>
    <row r="1129" spans="1:24">
      <c r="B1129" t="s">
        <v>197</v>
      </c>
      <c r="C1129" t="s">
        <v>197</v>
      </c>
      <c r="D1129" t="s">
        <v>197</v>
      </c>
      <c r="E1129" t="s">
        <v>197</v>
      </c>
      <c r="F1129" t="s">
        <v>197</v>
      </c>
      <c r="G1129" t="s">
        <v>197</v>
      </c>
      <c r="H1129" t="s">
        <v>197</v>
      </c>
      <c r="I1129" t="s">
        <v>197</v>
      </c>
      <c r="J1129" t="s">
        <v>197</v>
      </c>
      <c r="K1129" t="s">
        <v>804</v>
      </c>
    </row>
    <row r="1130" spans="1:24">
      <c r="B1130" t="s">
        <v>197</v>
      </c>
      <c r="C1130" t="s">
        <v>197</v>
      </c>
      <c r="D1130" t="s">
        <v>197</v>
      </c>
      <c r="E1130" t="s">
        <v>197</v>
      </c>
      <c r="F1130" t="s">
        <v>197</v>
      </c>
      <c r="G1130" t="s">
        <v>197</v>
      </c>
      <c r="H1130" t="s">
        <v>197</v>
      </c>
      <c r="I1130" t="s">
        <v>197</v>
      </c>
      <c r="J1130" t="s">
        <v>197</v>
      </c>
      <c r="K1130" t="s">
        <v>805</v>
      </c>
    </row>
    <row r="1131" spans="1:24">
      <c r="B1131" t="s">
        <v>197</v>
      </c>
      <c r="C1131" t="s">
        <v>197</v>
      </c>
      <c r="D1131" t="s">
        <v>197</v>
      </c>
      <c r="E1131" t="s">
        <v>197</v>
      </c>
      <c r="F1131" t="s">
        <v>197</v>
      </c>
      <c r="G1131" t="s">
        <v>197</v>
      </c>
      <c r="H1131" t="s">
        <v>197</v>
      </c>
      <c r="I1131" t="s">
        <v>197</v>
      </c>
      <c r="J1131" t="s">
        <v>197</v>
      </c>
      <c r="K1131" t="s">
        <v>806</v>
      </c>
    </row>
    <row r="1132" spans="1:24">
      <c r="B1132" t="s">
        <v>197</v>
      </c>
      <c r="C1132" t="s">
        <v>197</v>
      </c>
      <c r="D1132" t="s">
        <v>197</v>
      </c>
      <c r="E1132" t="s">
        <v>197</v>
      </c>
      <c r="F1132" t="s">
        <v>197</v>
      </c>
      <c r="G1132" t="s">
        <v>197</v>
      </c>
      <c r="H1132" t="s">
        <v>197</v>
      </c>
      <c r="I1132" t="s">
        <v>197</v>
      </c>
      <c r="J1132" t="s">
        <v>197</v>
      </c>
      <c r="K1132" t="s">
        <v>807</v>
      </c>
    </row>
    <row r="1133" spans="1:24">
      <c r="A1133" t="s">
        <v>1087</v>
      </c>
      <c r="K1133" t="s">
        <v>1088</v>
      </c>
      <c r="W1133" s="1" t="str">
        <f>HYPERLINK("#2026042011hbase0!BB2","NO 源备存在差异，共4个")</f>
        <v>NO 源备存在差异，共4个</v>
      </c>
      <c r="X1133" t="str">
        <f>A1133</f>
        <v>info_geography_dml_single_pk_urp</v>
      </c>
    </row>
    <row r="1134" spans="1:24">
      <c r="B1134" t="s">
        <v>196</v>
      </c>
      <c r="C1134" t="s">
        <v>197</v>
      </c>
      <c r="D1134" t="s">
        <v>197</v>
      </c>
      <c r="E1134" t="s">
        <v>197</v>
      </c>
      <c r="F1134" t="s">
        <v>197</v>
      </c>
      <c r="G1134" t="s">
        <v>197</v>
      </c>
      <c r="H1134" t="s">
        <v>197</v>
      </c>
      <c r="I1134" t="s">
        <v>1089</v>
      </c>
      <c r="J1134" t="s">
        <v>199</v>
      </c>
      <c r="K1134" t="s">
        <v>200</v>
      </c>
    </row>
    <row r="1135" spans="1:24">
      <c r="B1135" t="s">
        <v>197</v>
      </c>
      <c r="C1135" t="s">
        <v>197</v>
      </c>
      <c r="D1135" t="s">
        <v>197</v>
      </c>
      <c r="E1135" t="s">
        <v>197</v>
      </c>
      <c r="F1135" t="s">
        <v>197</v>
      </c>
      <c r="G1135" t="s">
        <v>197</v>
      </c>
      <c r="H1135" t="s">
        <v>197</v>
      </c>
      <c r="I1135" t="s">
        <v>197</v>
      </c>
      <c r="J1135" t="s">
        <v>197</v>
      </c>
      <c r="K1135" t="s">
        <v>1052</v>
      </c>
    </row>
    <row r="1136" spans="1:24">
      <c r="A1136" t="s">
        <v>1093</v>
      </c>
      <c r="K1136" t="s">
        <v>1094</v>
      </c>
      <c r="W1136" s="1" t="str">
        <f>HYPERLINK("#2026042011hbase0!BC2","NO 源备存在差异，共14个")</f>
        <v>NO 源备存在差异，共14个</v>
      </c>
      <c r="X1136" t="str">
        <f>A1136</f>
        <v>info_varbinary_dml_batch2_pk_irp1</v>
      </c>
    </row>
    <row r="1137" spans="1:24">
      <c r="B1137" t="s">
        <v>196</v>
      </c>
      <c r="C1137" t="s">
        <v>197</v>
      </c>
      <c r="D1137" t="s">
        <v>197</v>
      </c>
      <c r="E1137" t="s">
        <v>197</v>
      </c>
      <c r="F1137" t="s">
        <v>197</v>
      </c>
      <c r="G1137" t="s">
        <v>197</v>
      </c>
      <c r="H1137" t="s">
        <v>197</v>
      </c>
      <c r="I1137" t="s">
        <v>1095</v>
      </c>
      <c r="J1137" t="s">
        <v>199</v>
      </c>
      <c r="K1137" t="s">
        <v>200</v>
      </c>
    </row>
    <row r="1138" spans="1:24">
      <c r="B1138" t="s">
        <v>197</v>
      </c>
      <c r="C1138" t="s">
        <v>197</v>
      </c>
      <c r="D1138" t="s">
        <v>197</v>
      </c>
      <c r="E1138" t="s">
        <v>197</v>
      </c>
      <c r="F1138" t="s">
        <v>197</v>
      </c>
      <c r="G1138" t="s">
        <v>197</v>
      </c>
      <c r="H1138" t="s">
        <v>197</v>
      </c>
      <c r="I1138" t="s">
        <v>197</v>
      </c>
      <c r="J1138" t="s">
        <v>197</v>
      </c>
      <c r="K1138" t="s">
        <v>495</v>
      </c>
    </row>
    <row r="1139" spans="1:24">
      <c r="B1139" t="s">
        <v>197</v>
      </c>
      <c r="C1139" t="s">
        <v>197</v>
      </c>
      <c r="D1139" t="s">
        <v>197</v>
      </c>
      <c r="E1139" t="s">
        <v>197</v>
      </c>
      <c r="F1139" t="s">
        <v>197</v>
      </c>
      <c r="G1139" t="s">
        <v>197</v>
      </c>
      <c r="H1139" t="s">
        <v>197</v>
      </c>
      <c r="I1139" t="s">
        <v>197</v>
      </c>
      <c r="J1139" t="s">
        <v>197</v>
      </c>
      <c r="K1139" t="s">
        <v>499</v>
      </c>
    </row>
    <row r="1140" spans="1:24">
      <c r="B1140" t="s">
        <v>197</v>
      </c>
      <c r="C1140" t="s">
        <v>197</v>
      </c>
      <c r="D1140" t="s">
        <v>197</v>
      </c>
      <c r="E1140" t="s">
        <v>197</v>
      </c>
      <c r="F1140" t="s">
        <v>197</v>
      </c>
      <c r="G1140" t="s">
        <v>197</v>
      </c>
      <c r="H1140" t="s">
        <v>197</v>
      </c>
      <c r="I1140" t="s">
        <v>197</v>
      </c>
      <c r="J1140" t="s">
        <v>197</v>
      </c>
      <c r="K1140" t="s">
        <v>503</v>
      </c>
    </row>
    <row r="1141" spans="1:24">
      <c r="A1141" t="s">
        <v>1096</v>
      </c>
      <c r="K1141" t="s">
        <v>1097</v>
      </c>
      <c r="W1141" t="s">
        <v>171</v>
      </c>
      <c r="X1141" t="str">
        <f>A1141</f>
        <v>info_time_dml_batch1_pk_urp1</v>
      </c>
    </row>
    <row r="1142" spans="1:24">
      <c r="B1142" t="s">
        <v>196</v>
      </c>
      <c r="C1142" t="s">
        <v>197</v>
      </c>
      <c r="D1142" t="s">
        <v>197</v>
      </c>
      <c r="E1142" t="s">
        <v>197</v>
      </c>
      <c r="F1142" t="s">
        <v>197</v>
      </c>
      <c r="G1142" t="s">
        <v>197</v>
      </c>
      <c r="H1142" t="s">
        <v>197</v>
      </c>
      <c r="I1142" t="s">
        <v>1098</v>
      </c>
      <c r="J1142" t="s">
        <v>199</v>
      </c>
      <c r="K1142" t="s">
        <v>200</v>
      </c>
    </row>
    <row r="1143" spans="1:24">
      <c r="B1143" t="s">
        <v>197</v>
      </c>
      <c r="C1143" t="s">
        <v>197</v>
      </c>
      <c r="D1143" t="s">
        <v>197</v>
      </c>
      <c r="E1143" t="s">
        <v>197</v>
      </c>
      <c r="F1143" t="s">
        <v>197</v>
      </c>
      <c r="G1143" t="s">
        <v>197</v>
      </c>
      <c r="H1143" t="s">
        <v>197</v>
      </c>
      <c r="I1143" t="s">
        <v>197</v>
      </c>
      <c r="J1143" t="s">
        <v>197</v>
      </c>
      <c r="K1143" t="s">
        <v>800</v>
      </c>
    </row>
    <row r="1144" spans="1:24">
      <c r="B1144" t="s">
        <v>197</v>
      </c>
      <c r="C1144" t="s">
        <v>197</v>
      </c>
      <c r="D1144" t="s">
        <v>197</v>
      </c>
      <c r="E1144" t="s">
        <v>197</v>
      </c>
      <c r="F1144" t="s">
        <v>197</v>
      </c>
      <c r="G1144" t="s">
        <v>197</v>
      </c>
      <c r="H1144" t="s">
        <v>197</v>
      </c>
      <c r="I1144" t="s">
        <v>197</v>
      </c>
      <c r="J1144" t="s">
        <v>197</v>
      </c>
      <c r="K1144" t="s">
        <v>801</v>
      </c>
    </row>
    <row r="1145" spans="1:24">
      <c r="B1145" t="s">
        <v>197</v>
      </c>
      <c r="C1145" t="s">
        <v>197</v>
      </c>
      <c r="D1145" t="s">
        <v>197</v>
      </c>
      <c r="E1145" t="s">
        <v>197</v>
      </c>
      <c r="F1145" t="s">
        <v>197</v>
      </c>
      <c r="G1145" t="s">
        <v>197</v>
      </c>
      <c r="H1145" t="s">
        <v>197</v>
      </c>
      <c r="I1145" t="s">
        <v>197</v>
      </c>
      <c r="J1145" t="s">
        <v>197</v>
      </c>
      <c r="K1145" t="s">
        <v>802</v>
      </c>
    </row>
    <row r="1146" spans="1:24">
      <c r="B1146" t="s">
        <v>197</v>
      </c>
      <c r="C1146" t="s">
        <v>197</v>
      </c>
      <c r="D1146" t="s">
        <v>197</v>
      </c>
      <c r="E1146" t="s">
        <v>197</v>
      </c>
      <c r="F1146" t="s">
        <v>197</v>
      </c>
      <c r="G1146" t="s">
        <v>197</v>
      </c>
      <c r="H1146" t="s">
        <v>197</v>
      </c>
      <c r="I1146" t="s">
        <v>197</v>
      </c>
      <c r="J1146" t="s">
        <v>197</v>
      </c>
      <c r="K1146" t="s">
        <v>803</v>
      </c>
    </row>
    <row r="1147" spans="1:24">
      <c r="B1147" t="s">
        <v>197</v>
      </c>
      <c r="C1147" t="s">
        <v>197</v>
      </c>
      <c r="D1147" t="s">
        <v>197</v>
      </c>
      <c r="E1147" t="s">
        <v>197</v>
      </c>
      <c r="F1147" t="s">
        <v>197</v>
      </c>
      <c r="G1147" t="s">
        <v>197</v>
      </c>
      <c r="H1147" t="s">
        <v>197</v>
      </c>
      <c r="I1147" t="s">
        <v>197</v>
      </c>
      <c r="J1147" t="s">
        <v>197</v>
      </c>
      <c r="K1147" t="s">
        <v>804</v>
      </c>
    </row>
    <row r="1148" spans="1:24">
      <c r="B1148" t="s">
        <v>197</v>
      </c>
      <c r="C1148" t="s">
        <v>197</v>
      </c>
      <c r="D1148" t="s">
        <v>197</v>
      </c>
      <c r="E1148" t="s">
        <v>197</v>
      </c>
      <c r="F1148" t="s">
        <v>197</v>
      </c>
      <c r="G1148" t="s">
        <v>197</v>
      </c>
      <c r="H1148" t="s">
        <v>197</v>
      </c>
      <c r="I1148" t="s">
        <v>197</v>
      </c>
      <c r="J1148" t="s">
        <v>197</v>
      </c>
      <c r="K1148" t="s">
        <v>805</v>
      </c>
    </row>
    <row r="1149" spans="1:24">
      <c r="B1149" t="s">
        <v>197</v>
      </c>
      <c r="C1149" t="s">
        <v>197</v>
      </c>
      <c r="D1149" t="s">
        <v>197</v>
      </c>
      <c r="E1149" t="s">
        <v>197</v>
      </c>
      <c r="F1149" t="s">
        <v>197</v>
      </c>
      <c r="G1149" t="s">
        <v>197</v>
      </c>
      <c r="H1149" t="s">
        <v>197</v>
      </c>
      <c r="I1149" t="s">
        <v>197</v>
      </c>
      <c r="J1149" t="s">
        <v>197</v>
      </c>
      <c r="K1149" t="s">
        <v>806</v>
      </c>
    </row>
    <row r="1150" spans="1:24">
      <c r="B1150" t="s">
        <v>197</v>
      </c>
      <c r="C1150" t="s">
        <v>197</v>
      </c>
      <c r="D1150" t="s">
        <v>197</v>
      </c>
      <c r="E1150" t="s">
        <v>197</v>
      </c>
      <c r="F1150" t="s">
        <v>197</v>
      </c>
      <c r="G1150" t="s">
        <v>197</v>
      </c>
      <c r="H1150" t="s">
        <v>197</v>
      </c>
      <c r="I1150" t="s">
        <v>197</v>
      </c>
      <c r="J1150" t="s">
        <v>197</v>
      </c>
      <c r="K1150" t="s">
        <v>807</v>
      </c>
    </row>
    <row r="1151" spans="1:24">
      <c r="A1151" t="s">
        <v>1105</v>
      </c>
      <c r="K1151" t="s">
        <v>1106</v>
      </c>
      <c r="W1151" t="s">
        <v>171</v>
      </c>
      <c r="X1151" t="str">
        <f>A1151</f>
        <v>info_time_dml_batch1_pk_urp2</v>
      </c>
    </row>
    <row r="1152" spans="1:24">
      <c r="B1152" t="s">
        <v>196</v>
      </c>
      <c r="C1152" t="s">
        <v>197</v>
      </c>
      <c r="D1152" t="s">
        <v>197</v>
      </c>
      <c r="E1152" t="s">
        <v>197</v>
      </c>
      <c r="F1152" t="s">
        <v>197</v>
      </c>
      <c r="G1152" t="s">
        <v>197</v>
      </c>
      <c r="H1152" t="s">
        <v>197</v>
      </c>
      <c r="I1152" t="s">
        <v>1107</v>
      </c>
      <c r="J1152" t="s">
        <v>199</v>
      </c>
      <c r="K1152" t="s">
        <v>200</v>
      </c>
    </row>
    <row r="1153" spans="1:24">
      <c r="B1153" t="s">
        <v>197</v>
      </c>
      <c r="C1153" t="s">
        <v>197</v>
      </c>
      <c r="D1153" t="s">
        <v>197</v>
      </c>
      <c r="E1153" t="s">
        <v>197</v>
      </c>
      <c r="F1153" t="s">
        <v>197</v>
      </c>
      <c r="G1153" t="s">
        <v>197</v>
      </c>
      <c r="H1153" t="s">
        <v>197</v>
      </c>
      <c r="I1153" t="s">
        <v>197</v>
      </c>
      <c r="J1153" t="s">
        <v>197</v>
      </c>
      <c r="K1153" t="s">
        <v>800</v>
      </c>
    </row>
    <row r="1154" spans="1:24">
      <c r="B1154" t="s">
        <v>197</v>
      </c>
      <c r="C1154" t="s">
        <v>197</v>
      </c>
      <c r="D1154" t="s">
        <v>197</v>
      </c>
      <c r="E1154" t="s">
        <v>197</v>
      </c>
      <c r="F1154" t="s">
        <v>197</v>
      </c>
      <c r="G1154" t="s">
        <v>197</v>
      </c>
      <c r="H1154" t="s">
        <v>197</v>
      </c>
      <c r="I1154" t="s">
        <v>197</v>
      </c>
      <c r="J1154" t="s">
        <v>197</v>
      </c>
      <c r="K1154" t="s">
        <v>801</v>
      </c>
    </row>
    <row r="1155" spans="1:24">
      <c r="B1155" t="s">
        <v>197</v>
      </c>
      <c r="C1155" t="s">
        <v>197</v>
      </c>
      <c r="D1155" t="s">
        <v>197</v>
      </c>
      <c r="E1155" t="s">
        <v>197</v>
      </c>
      <c r="F1155" t="s">
        <v>197</v>
      </c>
      <c r="G1155" t="s">
        <v>197</v>
      </c>
      <c r="H1155" t="s">
        <v>197</v>
      </c>
      <c r="I1155" t="s">
        <v>197</v>
      </c>
      <c r="J1155" t="s">
        <v>197</v>
      </c>
      <c r="K1155" t="s">
        <v>802</v>
      </c>
    </row>
    <row r="1156" spans="1:24">
      <c r="B1156" t="s">
        <v>197</v>
      </c>
      <c r="C1156" t="s">
        <v>197</v>
      </c>
      <c r="D1156" t="s">
        <v>197</v>
      </c>
      <c r="E1156" t="s">
        <v>197</v>
      </c>
      <c r="F1156" t="s">
        <v>197</v>
      </c>
      <c r="G1156" t="s">
        <v>197</v>
      </c>
      <c r="H1156" t="s">
        <v>197</v>
      </c>
      <c r="I1156" t="s">
        <v>197</v>
      </c>
      <c r="J1156" t="s">
        <v>197</v>
      </c>
      <c r="K1156" t="s">
        <v>803</v>
      </c>
    </row>
    <row r="1157" spans="1:24">
      <c r="B1157" t="s">
        <v>197</v>
      </c>
      <c r="C1157" t="s">
        <v>197</v>
      </c>
      <c r="D1157" t="s">
        <v>197</v>
      </c>
      <c r="E1157" t="s">
        <v>197</v>
      </c>
      <c r="F1157" t="s">
        <v>197</v>
      </c>
      <c r="G1157" t="s">
        <v>197</v>
      </c>
      <c r="H1157" t="s">
        <v>197</v>
      </c>
      <c r="I1157" t="s">
        <v>197</v>
      </c>
      <c r="J1157" t="s">
        <v>197</v>
      </c>
      <c r="K1157" t="s">
        <v>804</v>
      </c>
    </row>
    <row r="1158" spans="1:24">
      <c r="B1158" t="s">
        <v>197</v>
      </c>
      <c r="C1158" t="s">
        <v>197</v>
      </c>
      <c r="D1158" t="s">
        <v>197</v>
      </c>
      <c r="E1158" t="s">
        <v>197</v>
      </c>
      <c r="F1158" t="s">
        <v>197</v>
      </c>
      <c r="G1158" t="s">
        <v>197</v>
      </c>
      <c r="H1158" t="s">
        <v>197</v>
      </c>
      <c r="I1158" t="s">
        <v>197</v>
      </c>
      <c r="J1158" t="s">
        <v>197</v>
      </c>
      <c r="K1158" t="s">
        <v>805</v>
      </c>
    </row>
    <row r="1159" spans="1:24">
      <c r="B1159" t="s">
        <v>197</v>
      </c>
      <c r="C1159" t="s">
        <v>197</v>
      </c>
      <c r="D1159" t="s">
        <v>197</v>
      </c>
      <c r="E1159" t="s">
        <v>197</v>
      </c>
      <c r="F1159" t="s">
        <v>197</v>
      </c>
      <c r="G1159" t="s">
        <v>197</v>
      </c>
      <c r="H1159" t="s">
        <v>197</v>
      </c>
      <c r="I1159" t="s">
        <v>197</v>
      </c>
      <c r="J1159" t="s">
        <v>197</v>
      </c>
      <c r="K1159" t="s">
        <v>806</v>
      </c>
    </row>
    <row r="1160" spans="1:24">
      <c r="B1160" t="s">
        <v>197</v>
      </c>
      <c r="C1160" t="s">
        <v>197</v>
      </c>
      <c r="D1160" t="s">
        <v>197</v>
      </c>
      <c r="E1160" t="s">
        <v>197</v>
      </c>
      <c r="F1160" t="s">
        <v>197</v>
      </c>
      <c r="G1160" t="s">
        <v>197</v>
      </c>
      <c r="H1160" t="s">
        <v>197</v>
      </c>
      <c r="I1160" t="s">
        <v>197</v>
      </c>
      <c r="J1160" t="s">
        <v>197</v>
      </c>
      <c r="K1160" t="s">
        <v>807</v>
      </c>
    </row>
    <row r="1161" spans="1:24">
      <c r="A1161" t="s">
        <v>1099</v>
      </c>
      <c r="K1161" t="s">
        <v>1100</v>
      </c>
      <c r="W1161" s="1" t="str">
        <f>HYPERLINK("#2026042011hbase0!BD2","NO 源备存在差异，共2个")</f>
        <v>NO 源备存在差异，共2个</v>
      </c>
      <c r="X1161" t="str">
        <f>A1161</f>
        <v>info_sql_variant_dml_single_pk</v>
      </c>
    </row>
    <row r="1162" spans="1:24">
      <c r="B1162" t="s">
        <v>196</v>
      </c>
      <c r="C1162" t="s">
        <v>197</v>
      </c>
      <c r="D1162" t="s">
        <v>197</v>
      </c>
      <c r="E1162" t="s">
        <v>197</v>
      </c>
      <c r="F1162" t="s">
        <v>197</v>
      </c>
      <c r="G1162" t="s">
        <v>197</v>
      </c>
      <c r="H1162" t="s">
        <v>197</v>
      </c>
      <c r="I1162" t="s">
        <v>1101</v>
      </c>
      <c r="J1162" t="s">
        <v>199</v>
      </c>
      <c r="K1162" t="s">
        <v>200</v>
      </c>
    </row>
    <row r="1163" spans="1:24">
      <c r="B1163" t="s">
        <v>197</v>
      </c>
      <c r="C1163" t="s">
        <v>197</v>
      </c>
      <c r="D1163" t="s">
        <v>197</v>
      </c>
      <c r="E1163" t="s">
        <v>197</v>
      </c>
      <c r="F1163" t="s">
        <v>197</v>
      </c>
      <c r="G1163" t="s">
        <v>197</v>
      </c>
      <c r="H1163" t="s">
        <v>197</v>
      </c>
      <c r="I1163" t="s">
        <v>197</v>
      </c>
      <c r="J1163" t="s">
        <v>197</v>
      </c>
      <c r="K1163" t="s">
        <v>1006</v>
      </c>
    </row>
    <row r="1164" spans="1:24">
      <c r="B1164" t="s">
        <v>197</v>
      </c>
      <c r="C1164" t="s">
        <v>197</v>
      </c>
      <c r="D1164" t="s">
        <v>197</v>
      </c>
      <c r="E1164" t="s">
        <v>197</v>
      </c>
      <c r="F1164" t="s">
        <v>197</v>
      </c>
      <c r="G1164" t="s">
        <v>197</v>
      </c>
      <c r="H1164" t="s">
        <v>197</v>
      </c>
      <c r="I1164" t="s">
        <v>197</v>
      </c>
      <c r="J1164" t="s">
        <v>197</v>
      </c>
      <c r="K1164" t="s">
        <v>1007</v>
      </c>
    </row>
    <row r="1165" spans="1:24">
      <c r="B1165" t="s">
        <v>197</v>
      </c>
      <c r="C1165" t="s">
        <v>197</v>
      </c>
      <c r="D1165" t="s">
        <v>197</v>
      </c>
      <c r="E1165" t="s">
        <v>197</v>
      </c>
      <c r="F1165" t="s">
        <v>197</v>
      </c>
      <c r="G1165" t="s">
        <v>197</v>
      </c>
      <c r="H1165" t="s">
        <v>197</v>
      </c>
      <c r="I1165" t="s">
        <v>197</v>
      </c>
      <c r="J1165" t="s">
        <v>197</v>
      </c>
      <c r="K1165" t="s">
        <v>1008</v>
      </c>
    </row>
    <row r="1166" spans="1:24">
      <c r="B1166" t="s">
        <v>197</v>
      </c>
      <c r="C1166" t="s">
        <v>197</v>
      </c>
      <c r="D1166" t="s">
        <v>197</v>
      </c>
      <c r="E1166" t="s">
        <v>197</v>
      </c>
      <c r="F1166" t="s">
        <v>197</v>
      </c>
      <c r="G1166" t="s">
        <v>197</v>
      </c>
      <c r="H1166" t="s">
        <v>197</v>
      </c>
      <c r="I1166" t="s">
        <v>197</v>
      </c>
      <c r="J1166" t="s">
        <v>197</v>
      </c>
      <c r="K1166" t="s">
        <v>1009</v>
      </c>
    </row>
    <row r="1167" spans="1:24">
      <c r="B1167" t="s">
        <v>197</v>
      </c>
      <c r="C1167" t="s">
        <v>197</v>
      </c>
      <c r="D1167" t="s">
        <v>197</v>
      </c>
      <c r="E1167" t="s">
        <v>197</v>
      </c>
      <c r="F1167" t="s">
        <v>197</v>
      </c>
      <c r="G1167" t="s">
        <v>197</v>
      </c>
      <c r="H1167" t="s">
        <v>197</v>
      </c>
      <c r="I1167" t="s">
        <v>197</v>
      </c>
      <c r="J1167" t="s">
        <v>197</v>
      </c>
      <c r="K1167" t="s">
        <v>1010</v>
      </c>
    </row>
    <row r="1168" spans="1:24">
      <c r="B1168" t="s">
        <v>197</v>
      </c>
      <c r="C1168" t="s">
        <v>197</v>
      </c>
      <c r="D1168" t="s">
        <v>197</v>
      </c>
      <c r="E1168" t="s">
        <v>197</v>
      </c>
      <c r="F1168" t="s">
        <v>197</v>
      </c>
      <c r="G1168" t="s">
        <v>197</v>
      </c>
      <c r="H1168" t="s">
        <v>197</v>
      </c>
      <c r="I1168" t="s">
        <v>197</v>
      </c>
      <c r="J1168" t="s">
        <v>197</v>
      </c>
      <c r="K1168" t="s">
        <v>1011</v>
      </c>
    </row>
    <row r="1169" spans="2:11">
      <c r="B1169" t="s">
        <v>197</v>
      </c>
      <c r="C1169" t="s">
        <v>197</v>
      </c>
      <c r="D1169" t="s">
        <v>197</v>
      </c>
      <c r="E1169" t="s">
        <v>197</v>
      </c>
      <c r="F1169" t="s">
        <v>197</v>
      </c>
      <c r="G1169" t="s">
        <v>197</v>
      </c>
      <c r="H1169" t="s">
        <v>197</v>
      </c>
      <c r="I1169" t="s">
        <v>197</v>
      </c>
      <c r="J1169" t="s">
        <v>197</v>
      </c>
      <c r="K1169" t="s">
        <v>1012</v>
      </c>
    </row>
    <row r="1170" spans="2:11">
      <c r="B1170" t="s">
        <v>197</v>
      </c>
      <c r="C1170" t="s">
        <v>197</v>
      </c>
      <c r="D1170" t="s">
        <v>197</v>
      </c>
      <c r="E1170" t="s">
        <v>197</v>
      </c>
      <c r="F1170" t="s">
        <v>197</v>
      </c>
      <c r="G1170" t="s">
        <v>197</v>
      </c>
      <c r="H1170" t="s">
        <v>197</v>
      </c>
      <c r="I1170" t="s">
        <v>197</v>
      </c>
      <c r="J1170" t="s">
        <v>197</v>
      </c>
      <c r="K1170" t="s">
        <v>1013</v>
      </c>
    </row>
    <row r="1171" spans="2:11">
      <c r="B1171" t="s">
        <v>197</v>
      </c>
      <c r="C1171" t="s">
        <v>197</v>
      </c>
      <c r="D1171" t="s">
        <v>197</v>
      </c>
      <c r="E1171" t="s">
        <v>197</v>
      </c>
      <c r="F1171" t="s">
        <v>197</v>
      </c>
      <c r="G1171" t="s">
        <v>197</v>
      </c>
      <c r="H1171" t="s">
        <v>197</v>
      </c>
      <c r="I1171" t="s">
        <v>197</v>
      </c>
      <c r="J1171" t="s">
        <v>197</v>
      </c>
      <c r="K1171" t="s">
        <v>1014</v>
      </c>
    </row>
    <row r="1172" spans="2:11">
      <c r="B1172" t="s">
        <v>197</v>
      </c>
      <c r="C1172" t="s">
        <v>197</v>
      </c>
      <c r="D1172" t="s">
        <v>197</v>
      </c>
      <c r="E1172" t="s">
        <v>197</v>
      </c>
      <c r="F1172" t="s">
        <v>197</v>
      </c>
      <c r="G1172" t="s">
        <v>197</v>
      </c>
      <c r="H1172" t="s">
        <v>197</v>
      </c>
      <c r="I1172" t="s">
        <v>197</v>
      </c>
      <c r="J1172" t="s">
        <v>197</v>
      </c>
      <c r="K1172" t="s">
        <v>1015</v>
      </c>
    </row>
    <row r="1173" spans="2:11">
      <c r="B1173" t="s">
        <v>197</v>
      </c>
      <c r="C1173" t="s">
        <v>197</v>
      </c>
      <c r="D1173" t="s">
        <v>197</v>
      </c>
      <c r="E1173" t="s">
        <v>197</v>
      </c>
      <c r="F1173" t="s">
        <v>197</v>
      </c>
      <c r="G1173" t="s">
        <v>197</v>
      </c>
      <c r="H1173" t="s">
        <v>197</v>
      </c>
      <c r="I1173" t="s">
        <v>197</v>
      </c>
      <c r="J1173" t="s">
        <v>197</v>
      </c>
      <c r="K1173" t="s">
        <v>1016</v>
      </c>
    </row>
    <row r="1174" spans="2:11">
      <c r="B1174" t="s">
        <v>197</v>
      </c>
      <c r="C1174" t="s">
        <v>197</v>
      </c>
      <c r="D1174" t="s">
        <v>197</v>
      </c>
      <c r="E1174" t="s">
        <v>197</v>
      </c>
      <c r="F1174" t="s">
        <v>197</v>
      </c>
      <c r="G1174" t="s">
        <v>197</v>
      </c>
      <c r="H1174" t="s">
        <v>197</v>
      </c>
      <c r="I1174" t="s">
        <v>197</v>
      </c>
      <c r="J1174" t="s">
        <v>197</v>
      </c>
      <c r="K1174" t="s">
        <v>1017</v>
      </c>
    </row>
    <row r="1175" spans="2:11">
      <c r="B1175" t="s">
        <v>197</v>
      </c>
      <c r="C1175" t="s">
        <v>197</v>
      </c>
      <c r="D1175" t="s">
        <v>197</v>
      </c>
      <c r="E1175" t="s">
        <v>197</v>
      </c>
      <c r="F1175" t="s">
        <v>197</v>
      </c>
      <c r="G1175" t="s">
        <v>197</v>
      </c>
      <c r="H1175" t="s">
        <v>197</v>
      </c>
      <c r="I1175" t="s">
        <v>197</v>
      </c>
      <c r="J1175" t="s">
        <v>197</v>
      </c>
      <c r="K1175" t="s">
        <v>1018</v>
      </c>
    </row>
    <row r="1176" spans="2:11">
      <c r="B1176" t="s">
        <v>197</v>
      </c>
      <c r="C1176" t="s">
        <v>197</v>
      </c>
      <c r="D1176" t="s">
        <v>197</v>
      </c>
      <c r="E1176" t="s">
        <v>197</v>
      </c>
      <c r="F1176" t="s">
        <v>197</v>
      </c>
      <c r="G1176" t="s">
        <v>197</v>
      </c>
      <c r="H1176" t="s">
        <v>197</v>
      </c>
      <c r="I1176" t="s">
        <v>197</v>
      </c>
      <c r="J1176" t="s">
        <v>197</v>
      </c>
      <c r="K1176" t="s">
        <v>1019</v>
      </c>
    </row>
    <row r="1177" spans="2:11">
      <c r="B1177" t="s">
        <v>197</v>
      </c>
      <c r="C1177" t="s">
        <v>197</v>
      </c>
      <c r="D1177" t="s">
        <v>197</v>
      </c>
      <c r="E1177" t="s">
        <v>197</v>
      </c>
      <c r="F1177" t="s">
        <v>197</v>
      </c>
      <c r="G1177" t="s">
        <v>197</v>
      </c>
      <c r="H1177" t="s">
        <v>197</v>
      </c>
      <c r="I1177" t="s">
        <v>197</v>
      </c>
      <c r="J1177" t="s">
        <v>197</v>
      </c>
      <c r="K1177" t="s">
        <v>1020</v>
      </c>
    </row>
    <row r="1178" spans="2:11">
      <c r="B1178" t="s">
        <v>197</v>
      </c>
      <c r="C1178" t="s">
        <v>197</v>
      </c>
      <c r="D1178" t="s">
        <v>197</v>
      </c>
      <c r="E1178" t="s">
        <v>197</v>
      </c>
      <c r="F1178" t="s">
        <v>197</v>
      </c>
      <c r="G1178" t="s">
        <v>197</v>
      </c>
      <c r="H1178" t="s">
        <v>197</v>
      </c>
      <c r="I1178" t="s">
        <v>197</v>
      </c>
      <c r="J1178" t="s">
        <v>197</v>
      </c>
      <c r="K1178" t="s">
        <v>1021</v>
      </c>
    </row>
    <row r="1179" spans="2:11">
      <c r="B1179" t="s">
        <v>197</v>
      </c>
      <c r="C1179" t="s">
        <v>197</v>
      </c>
      <c r="D1179" t="s">
        <v>197</v>
      </c>
      <c r="E1179" t="s">
        <v>197</v>
      </c>
      <c r="F1179" t="s">
        <v>197</v>
      </c>
      <c r="G1179" t="s">
        <v>197</v>
      </c>
      <c r="H1179" t="s">
        <v>197</v>
      </c>
      <c r="I1179" t="s">
        <v>197</v>
      </c>
      <c r="J1179" t="s">
        <v>197</v>
      </c>
      <c r="K1179" t="s">
        <v>1022</v>
      </c>
    </row>
    <row r="1180" spans="2:11">
      <c r="B1180" t="s">
        <v>197</v>
      </c>
      <c r="C1180" t="s">
        <v>197</v>
      </c>
      <c r="D1180" t="s">
        <v>197</v>
      </c>
      <c r="E1180" t="s">
        <v>197</v>
      </c>
      <c r="F1180" t="s">
        <v>197</v>
      </c>
      <c r="G1180" t="s">
        <v>197</v>
      </c>
      <c r="H1180" t="s">
        <v>197</v>
      </c>
      <c r="I1180" t="s">
        <v>197</v>
      </c>
      <c r="J1180" t="s">
        <v>197</v>
      </c>
      <c r="K1180" t="s">
        <v>1023</v>
      </c>
    </row>
    <row r="1181" spans="2:11">
      <c r="B1181" t="s">
        <v>197</v>
      </c>
      <c r="C1181" t="s">
        <v>197</v>
      </c>
      <c r="D1181" t="s">
        <v>197</v>
      </c>
      <c r="E1181" t="s">
        <v>197</v>
      </c>
      <c r="F1181" t="s">
        <v>197</v>
      </c>
      <c r="G1181" t="s">
        <v>197</v>
      </c>
      <c r="H1181" t="s">
        <v>197</v>
      </c>
      <c r="I1181" t="s">
        <v>197</v>
      </c>
      <c r="J1181" t="s">
        <v>197</v>
      </c>
      <c r="K1181" t="s">
        <v>1024</v>
      </c>
    </row>
    <row r="1182" spans="2:11">
      <c r="B1182" t="s">
        <v>197</v>
      </c>
      <c r="C1182" t="s">
        <v>197</v>
      </c>
      <c r="D1182" t="s">
        <v>197</v>
      </c>
      <c r="E1182" t="s">
        <v>197</v>
      </c>
      <c r="F1182" t="s">
        <v>197</v>
      </c>
      <c r="G1182" t="s">
        <v>197</v>
      </c>
      <c r="H1182" t="s">
        <v>197</v>
      </c>
      <c r="I1182" t="s">
        <v>197</v>
      </c>
      <c r="J1182" t="s">
        <v>197</v>
      </c>
      <c r="K1182" t="s">
        <v>1025</v>
      </c>
    </row>
    <row r="1183" spans="2:11">
      <c r="B1183" t="s">
        <v>197</v>
      </c>
      <c r="C1183" t="s">
        <v>197</v>
      </c>
      <c r="D1183" t="s">
        <v>197</v>
      </c>
      <c r="E1183" t="s">
        <v>197</v>
      </c>
      <c r="F1183" t="s">
        <v>197</v>
      </c>
      <c r="G1183" t="s">
        <v>197</v>
      </c>
      <c r="H1183" t="s">
        <v>197</v>
      </c>
      <c r="I1183" t="s">
        <v>197</v>
      </c>
      <c r="J1183" t="s">
        <v>197</v>
      </c>
      <c r="K1183" t="s">
        <v>1026</v>
      </c>
    </row>
    <row r="1184" spans="2:11">
      <c r="B1184" t="s">
        <v>197</v>
      </c>
      <c r="C1184" t="s">
        <v>197</v>
      </c>
      <c r="D1184" t="s">
        <v>197</v>
      </c>
      <c r="E1184" t="s">
        <v>197</v>
      </c>
      <c r="F1184" t="s">
        <v>197</v>
      </c>
      <c r="G1184" t="s">
        <v>197</v>
      </c>
      <c r="H1184" t="s">
        <v>197</v>
      </c>
      <c r="I1184" t="s">
        <v>197</v>
      </c>
      <c r="J1184" t="s">
        <v>197</v>
      </c>
      <c r="K1184" t="s">
        <v>1027</v>
      </c>
    </row>
    <row r="1185" spans="1:24">
      <c r="B1185" t="s">
        <v>197</v>
      </c>
      <c r="C1185" t="s">
        <v>197</v>
      </c>
      <c r="D1185" t="s">
        <v>197</v>
      </c>
      <c r="E1185" t="s">
        <v>197</v>
      </c>
      <c r="F1185" t="s">
        <v>197</v>
      </c>
      <c r="G1185" t="s">
        <v>197</v>
      </c>
      <c r="H1185" t="s">
        <v>197</v>
      </c>
      <c r="I1185" t="s">
        <v>197</v>
      </c>
      <c r="J1185" t="s">
        <v>197</v>
      </c>
      <c r="K1185" t="s">
        <v>1028</v>
      </c>
    </row>
    <row r="1186" spans="1:24">
      <c r="B1186" t="s">
        <v>197</v>
      </c>
      <c r="C1186" t="s">
        <v>197</v>
      </c>
      <c r="D1186" t="s">
        <v>197</v>
      </c>
      <c r="E1186" t="s">
        <v>197</v>
      </c>
      <c r="F1186" t="s">
        <v>197</v>
      </c>
      <c r="G1186" t="s">
        <v>197</v>
      </c>
      <c r="H1186" t="s">
        <v>197</v>
      </c>
      <c r="I1186" t="s">
        <v>197</v>
      </c>
      <c r="J1186" t="s">
        <v>197</v>
      </c>
      <c r="K1186" t="s">
        <v>1029</v>
      </c>
    </row>
    <row r="1187" spans="1:24">
      <c r="A1187" t="s">
        <v>1102</v>
      </c>
      <c r="K1187" t="s">
        <v>1103</v>
      </c>
      <c r="W1187" t="s">
        <v>171</v>
      </c>
      <c r="X1187" t="str">
        <f>A1187</f>
        <v>info_uniqueidentifier_dml_single_pk_drp</v>
      </c>
    </row>
    <row r="1188" spans="1:24">
      <c r="B1188" t="s">
        <v>196</v>
      </c>
      <c r="C1188" t="s">
        <v>197</v>
      </c>
      <c r="D1188" t="s">
        <v>197</v>
      </c>
      <c r="E1188" t="s">
        <v>197</v>
      </c>
      <c r="F1188" t="s">
        <v>197</v>
      </c>
      <c r="G1188" t="s">
        <v>197</v>
      </c>
      <c r="H1188" t="s">
        <v>197</v>
      </c>
      <c r="I1188" t="s">
        <v>1104</v>
      </c>
      <c r="J1188" t="s">
        <v>199</v>
      </c>
      <c r="K1188" t="s">
        <v>200</v>
      </c>
    </row>
    <row r="1189" spans="1:24">
      <c r="B1189" t="s">
        <v>197</v>
      </c>
      <c r="C1189" t="s">
        <v>197</v>
      </c>
      <c r="D1189" t="s">
        <v>197</v>
      </c>
      <c r="E1189" t="s">
        <v>197</v>
      </c>
      <c r="F1189" t="s">
        <v>197</v>
      </c>
      <c r="G1189" t="s">
        <v>197</v>
      </c>
      <c r="H1189" t="s">
        <v>197</v>
      </c>
      <c r="I1189" t="s">
        <v>197</v>
      </c>
      <c r="J1189" t="s">
        <v>197</v>
      </c>
      <c r="K1189" t="s">
        <v>1039</v>
      </c>
    </row>
    <row r="1190" spans="1:24">
      <c r="A1190" t="s">
        <v>1114</v>
      </c>
      <c r="K1190" t="s">
        <v>1115</v>
      </c>
      <c r="W1190" t="s">
        <v>171</v>
      </c>
      <c r="X1190" t="str">
        <f>A1190</f>
        <v>info_time_dml_batch1_pk_drp1</v>
      </c>
    </row>
    <row r="1191" spans="1:24">
      <c r="B1191" t="s">
        <v>196</v>
      </c>
      <c r="C1191" t="s">
        <v>197</v>
      </c>
      <c r="D1191" t="s">
        <v>197</v>
      </c>
      <c r="E1191" t="s">
        <v>197</v>
      </c>
      <c r="F1191" t="s">
        <v>197</v>
      </c>
      <c r="G1191" t="s">
        <v>197</v>
      </c>
      <c r="H1191" t="s">
        <v>197</v>
      </c>
      <c r="I1191" t="s">
        <v>1116</v>
      </c>
      <c r="J1191" t="s">
        <v>199</v>
      </c>
      <c r="K1191" t="s">
        <v>200</v>
      </c>
    </row>
    <row r="1192" spans="1:24">
      <c r="B1192" t="s">
        <v>197</v>
      </c>
      <c r="C1192" t="s">
        <v>197</v>
      </c>
      <c r="D1192" t="s">
        <v>197</v>
      </c>
      <c r="E1192" t="s">
        <v>197</v>
      </c>
      <c r="F1192" t="s">
        <v>197</v>
      </c>
      <c r="G1192" t="s">
        <v>197</v>
      </c>
      <c r="H1192" t="s">
        <v>197</v>
      </c>
      <c r="I1192" t="s">
        <v>197</v>
      </c>
      <c r="J1192" t="s">
        <v>197</v>
      </c>
      <c r="K1192" t="s">
        <v>800</v>
      </c>
    </row>
    <row r="1193" spans="1:24">
      <c r="B1193" t="s">
        <v>197</v>
      </c>
      <c r="C1193" t="s">
        <v>197</v>
      </c>
      <c r="D1193" t="s">
        <v>197</v>
      </c>
      <c r="E1193" t="s">
        <v>197</v>
      </c>
      <c r="F1193" t="s">
        <v>197</v>
      </c>
      <c r="G1193" t="s">
        <v>197</v>
      </c>
      <c r="H1193" t="s">
        <v>197</v>
      </c>
      <c r="I1193" t="s">
        <v>197</v>
      </c>
      <c r="J1193" t="s">
        <v>197</v>
      </c>
      <c r="K1193" t="s">
        <v>801</v>
      </c>
    </row>
    <row r="1194" spans="1:24">
      <c r="B1194" t="s">
        <v>197</v>
      </c>
      <c r="C1194" t="s">
        <v>197</v>
      </c>
      <c r="D1194" t="s">
        <v>197</v>
      </c>
      <c r="E1194" t="s">
        <v>197</v>
      </c>
      <c r="F1194" t="s">
        <v>197</v>
      </c>
      <c r="G1194" t="s">
        <v>197</v>
      </c>
      <c r="H1194" t="s">
        <v>197</v>
      </c>
      <c r="I1194" t="s">
        <v>197</v>
      </c>
      <c r="J1194" t="s">
        <v>197</v>
      </c>
      <c r="K1194" t="s">
        <v>802</v>
      </c>
    </row>
    <row r="1195" spans="1:24">
      <c r="B1195" t="s">
        <v>197</v>
      </c>
      <c r="C1195" t="s">
        <v>197</v>
      </c>
      <c r="D1195" t="s">
        <v>197</v>
      </c>
      <c r="E1195" t="s">
        <v>197</v>
      </c>
      <c r="F1195" t="s">
        <v>197</v>
      </c>
      <c r="G1195" t="s">
        <v>197</v>
      </c>
      <c r="H1195" t="s">
        <v>197</v>
      </c>
      <c r="I1195" t="s">
        <v>197</v>
      </c>
      <c r="J1195" t="s">
        <v>197</v>
      </c>
      <c r="K1195" t="s">
        <v>803</v>
      </c>
    </row>
    <row r="1196" spans="1:24">
      <c r="B1196" t="s">
        <v>197</v>
      </c>
      <c r="C1196" t="s">
        <v>197</v>
      </c>
      <c r="D1196" t="s">
        <v>197</v>
      </c>
      <c r="E1196" t="s">
        <v>197</v>
      </c>
      <c r="F1196" t="s">
        <v>197</v>
      </c>
      <c r="G1196" t="s">
        <v>197</v>
      </c>
      <c r="H1196" t="s">
        <v>197</v>
      </c>
      <c r="I1196" t="s">
        <v>197</v>
      </c>
      <c r="J1196" t="s">
        <v>197</v>
      </c>
      <c r="K1196" t="s">
        <v>804</v>
      </c>
    </row>
    <row r="1197" spans="1:24">
      <c r="B1197" t="s">
        <v>197</v>
      </c>
      <c r="C1197" t="s">
        <v>197</v>
      </c>
      <c r="D1197" t="s">
        <v>197</v>
      </c>
      <c r="E1197" t="s">
        <v>197</v>
      </c>
      <c r="F1197" t="s">
        <v>197</v>
      </c>
      <c r="G1197" t="s">
        <v>197</v>
      </c>
      <c r="H1197" t="s">
        <v>197</v>
      </c>
      <c r="I1197" t="s">
        <v>197</v>
      </c>
      <c r="J1197" t="s">
        <v>197</v>
      </c>
      <c r="K1197" t="s">
        <v>805</v>
      </c>
    </row>
    <row r="1198" spans="1:24">
      <c r="B1198" t="s">
        <v>197</v>
      </c>
      <c r="C1198" t="s">
        <v>197</v>
      </c>
      <c r="D1198" t="s">
        <v>197</v>
      </c>
      <c r="E1198" t="s">
        <v>197</v>
      </c>
      <c r="F1198" t="s">
        <v>197</v>
      </c>
      <c r="G1198" t="s">
        <v>197</v>
      </c>
      <c r="H1198" t="s">
        <v>197</v>
      </c>
      <c r="I1198" t="s">
        <v>197</v>
      </c>
      <c r="J1198" t="s">
        <v>197</v>
      </c>
      <c r="K1198" t="s">
        <v>806</v>
      </c>
    </row>
    <row r="1199" spans="1:24">
      <c r="B1199" t="s">
        <v>197</v>
      </c>
      <c r="C1199" t="s">
        <v>197</v>
      </c>
      <c r="D1199" t="s">
        <v>197</v>
      </c>
      <c r="E1199" t="s">
        <v>197</v>
      </c>
      <c r="F1199" t="s">
        <v>197</v>
      </c>
      <c r="G1199" t="s">
        <v>197</v>
      </c>
      <c r="H1199" t="s">
        <v>197</v>
      </c>
      <c r="I1199" t="s">
        <v>197</v>
      </c>
      <c r="J1199" t="s">
        <v>197</v>
      </c>
      <c r="K1199" t="s">
        <v>807</v>
      </c>
    </row>
    <row r="1200" spans="1:24">
      <c r="K1200" t="s">
        <v>443</v>
      </c>
    </row>
    <row r="1201" spans="1:24">
      <c r="A1201" t="s">
        <v>1117</v>
      </c>
      <c r="K1201" t="s">
        <v>1118</v>
      </c>
      <c r="W1201" s="1" t="str">
        <f>HYPERLINK("#2026042011hbase0!BE2","NO 源备存在差异，共50个")</f>
        <v>NO 源备存在差异，共50个</v>
      </c>
      <c r="X1201" t="str">
        <f>A1201</f>
        <v>info_int_dml_batch1_pk_irp2</v>
      </c>
    </row>
    <row r="1202" spans="1:24">
      <c r="B1202" t="s">
        <v>196</v>
      </c>
      <c r="C1202" t="s">
        <v>197</v>
      </c>
      <c r="D1202" t="s">
        <v>197</v>
      </c>
      <c r="E1202" t="s">
        <v>197</v>
      </c>
      <c r="F1202" t="s">
        <v>197</v>
      </c>
      <c r="G1202" t="s">
        <v>197</v>
      </c>
      <c r="H1202" t="s">
        <v>197</v>
      </c>
      <c r="I1202" t="s">
        <v>1119</v>
      </c>
      <c r="J1202" t="s">
        <v>199</v>
      </c>
      <c r="K1202" t="s">
        <v>200</v>
      </c>
    </row>
    <row r="1203" spans="1:24">
      <c r="B1203" t="s">
        <v>197</v>
      </c>
      <c r="C1203" t="s">
        <v>197</v>
      </c>
      <c r="D1203" t="s">
        <v>197</v>
      </c>
      <c r="E1203" t="s">
        <v>197</v>
      </c>
      <c r="F1203" t="s">
        <v>197</v>
      </c>
      <c r="G1203" t="s">
        <v>197</v>
      </c>
      <c r="H1203" t="s">
        <v>197</v>
      </c>
      <c r="I1203" t="s">
        <v>197</v>
      </c>
      <c r="J1203" t="s">
        <v>197</v>
      </c>
      <c r="K1203" t="s">
        <v>549</v>
      </c>
    </row>
    <row r="1204" spans="1:24">
      <c r="B1204" t="s">
        <v>197</v>
      </c>
      <c r="C1204" t="s">
        <v>197</v>
      </c>
      <c r="D1204" t="s">
        <v>197</v>
      </c>
      <c r="E1204" t="s">
        <v>197</v>
      </c>
      <c r="F1204" t="s">
        <v>197</v>
      </c>
      <c r="G1204" t="s">
        <v>197</v>
      </c>
      <c r="H1204" t="s">
        <v>197</v>
      </c>
      <c r="I1204" t="s">
        <v>197</v>
      </c>
      <c r="J1204" t="s">
        <v>197</v>
      </c>
      <c r="K1204" t="s">
        <v>550</v>
      </c>
    </row>
    <row r="1205" spans="1:24">
      <c r="B1205" t="s">
        <v>197</v>
      </c>
      <c r="C1205" t="s">
        <v>197</v>
      </c>
      <c r="D1205" t="s">
        <v>197</v>
      </c>
      <c r="E1205" t="s">
        <v>197</v>
      </c>
      <c r="F1205" t="s">
        <v>197</v>
      </c>
      <c r="G1205" t="s">
        <v>197</v>
      </c>
      <c r="H1205" t="s">
        <v>197</v>
      </c>
      <c r="I1205" t="s">
        <v>197</v>
      </c>
      <c r="J1205" t="s">
        <v>197</v>
      </c>
      <c r="K1205" t="s">
        <v>551</v>
      </c>
    </row>
    <row r="1206" spans="1:24">
      <c r="B1206" t="s">
        <v>197</v>
      </c>
      <c r="C1206" t="s">
        <v>197</v>
      </c>
      <c r="D1206" t="s">
        <v>197</v>
      </c>
      <c r="E1206" t="s">
        <v>197</v>
      </c>
      <c r="F1206" t="s">
        <v>197</v>
      </c>
      <c r="G1206" t="s">
        <v>197</v>
      </c>
      <c r="H1206" t="s">
        <v>197</v>
      </c>
      <c r="I1206" t="s">
        <v>197</v>
      </c>
      <c r="J1206" t="s">
        <v>197</v>
      </c>
      <c r="K1206" t="s">
        <v>552</v>
      </c>
    </row>
    <row r="1207" spans="1:24">
      <c r="B1207" t="s">
        <v>197</v>
      </c>
      <c r="C1207" t="s">
        <v>197</v>
      </c>
      <c r="D1207" t="s">
        <v>197</v>
      </c>
      <c r="E1207" t="s">
        <v>197</v>
      </c>
      <c r="F1207" t="s">
        <v>197</v>
      </c>
      <c r="G1207" t="s">
        <v>197</v>
      </c>
      <c r="H1207" t="s">
        <v>197</v>
      </c>
      <c r="I1207" t="s">
        <v>197</v>
      </c>
      <c r="J1207" t="s">
        <v>197</v>
      </c>
      <c r="K1207" t="s">
        <v>553</v>
      </c>
    </row>
    <row r="1208" spans="1:24">
      <c r="B1208" t="s">
        <v>197</v>
      </c>
      <c r="C1208" t="s">
        <v>197</v>
      </c>
      <c r="D1208" t="s">
        <v>197</v>
      </c>
      <c r="E1208" t="s">
        <v>197</v>
      </c>
      <c r="F1208" t="s">
        <v>197</v>
      </c>
      <c r="G1208" t="s">
        <v>197</v>
      </c>
      <c r="H1208" t="s">
        <v>197</v>
      </c>
      <c r="I1208" t="s">
        <v>197</v>
      </c>
      <c r="J1208" t="s">
        <v>197</v>
      </c>
      <c r="K1208" t="s">
        <v>554</v>
      </c>
    </row>
    <row r="1209" spans="1:24">
      <c r="B1209" t="s">
        <v>197</v>
      </c>
      <c r="C1209" t="s">
        <v>197</v>
      </c>
      <c r="D1209" t="s">
        <v>197</v>
      </c>
      <c r="E1209" t="s">
        <v>197</v>
      </c>
      <c r="F1209" t="s">
        <v>197</v>
      </c>
      <c r="G1209" t="s">
        <v>197</v>
      </c>
      <c r="H1209" t="s">
        <v>197</v>
      </c>
      <c r="I1209" t="s">
        <v>197</v>
      </c>
      <c r="J1209" t="s">
        <v>197</v>
      </c>
      <c r="K1209" t="s">
        <v>555</v>
      </c>
    </row>
    <row r="1210" spans="1:24">
      <c r="B1210" t="s">
        <v>197</v>
      </c>
      <c r="C1210" t="s">
        <v>197</v>
      </c>
      <c r="D1210" t="s">
        <v>197</v>
      </c>
      <c r="E1210" t="s">
        <v>197</v>
      </c>
      <c r="F1210" t="s">
        <v>197</v>
      </c>
      <c r="G1210" t="s">
        <v>197</v>
      </c>
      <c r="H1210" t="s">
        <v>197</v>
      </c>
      <c r="I1210" t="s">
        <v>197</v>
      </c>
      <c r="J1210" t="s">
        <v>197</v>
      </c>
      <c r="K1210" t="s">
        <v>556</v>
      </c>
    </row>
    <row r="1211" spans="1:24">
      <c r="B1211" t="s">
        <v>197</v>
      </c>
      <c r="C1211" t="s">
        <v>197</v>
      </c>
      <c r="D1211" t="s">
        <v>197</v>
      </c>
      <c r="E1211" t="s">
        <v>197</v>
      </c>
      <c r="F1211" t="s">
        <v>197</v>
      </c>
      <c r="G1211" t="s">
        <v>197</v>
      </c>
      <c r="H1211" t="s">
        <v>197</v>
      </c>
      <c r="I1211" t="s">
        <v>197</v>
      </c>
      <c r="J1211" t="s">
        <v>197</v>
      </c>
      <c r="K1211" t="s">
        <v>557</v>
      </c>
    </row>
    <row r="1212" spans="1:24">
      <c r="B1212" t="s">
        <v>197</v>
      </c>
      <c r="C1212" t="s">
        <v>197</v>
      </c>
      <c r="D1212" t="s">
        <v>197</v>
      </c>
      <c r="E1212" t="s">
        <v>197</v>
      </c>
      <c r="F1212" t="s">
        <v>197</v>
      </c>
      <c r="G1212" t="s">
        <v>197</v>
      </c>
      <c r="H1212" t="s">
        <v>197</v>
      </c>
      <c r="I1212" t="s">
        <v>197</v>
      </c>
      <c r="J1212" t="s">
        <v>197</v>
      </c>
      <c r="K1212" t="s">
        <v>558</v>
      </c>
    </row>
    <row r="1213" spans="1:24">
      <c r="B1213" t="s">
        <v>197</v>
      </c>
      <c r="C1213" t="s">
        <v>197</v>
      </c>
      <c r="D1213" t="s">
        <v>197</v>
      </c>
      <c r="E1213" t="s">
        <v>197</v>
      </c>
      <c r="F1213" t="s">
        <v>197</v>
      </c>
      <c r="G1213" t="s">
        <v>197</v>
      </c>
      <c r="H1213" t="s">
        <v>197</v>
      </c>
      <c r="I1213" t="s">
        <v>197</v>
      </c>
      <c r="J1213" t="s">
        <v>197</v>
      </c>
      <c r="K1213" t="s">
        <v>559</v>
      </c>
    </row>
    <row r="1214" spans="1:24">
      <c r="B1214" t="s">
        <v>197</v>
      </c>
      <c r="C1214" t="s">
        <v>197</v>
      </c>
      <c r="D1214" t="s">
        <v>197</v>
      </c>
      <c r="E1214" t="s">
        <v>197</v>
      </c>
      <c r="F1214" t="s">
        <v>197</v>
      </c>
      <c r="G1214" t="s">
        <v>197</v>
      </c>
      <c r="H1214" t="s">
        <v>197</v>
      </c>
      <c r="I1214" t="s">
        <v>197</v>
      </c>
      <c r="J1214" t="s">
        <v>197</v>
      </c>
      <c r="K1214" t="s">
        <v>560</v>
      </c>
    </row>
    <row r="1215" spans="1:24">
      <c r="B1215" t="s">
        <v>197</v>
      </c>
      <c r="C1215" t="s">
        <v>197</v>
      </c>
      <c r="D1215" t="s">
        <v>197</v>
      </c>
      <c r="E1215" t="s">
        <v>197</v>
      </c>
      <c r="F1215" t="s">
        <v>197</v>
      </c>
      <c r="G1215" t="s">
        <v>197</v>
      </c>
      <c r="H1215" t="s">
        <v>197</v>
      </c>
      <c r="I1215" t="s">
        <v>197</v>
      </c>
      <c r="J1215" t="s">
        <v>197</v>
      </c>
      <c r="K1215" t="s">
        <v>561</v>
      </c>
    </row>
    <row r="1216" spans="1:24">
      <c r="B1216" t="s">
        <v>197</v>
      </c>
      <c r="C1216" t="s">
        <v>197</v>
      </c>
      <c r="D1216" t="s">
        <v>197</v>
      </c>
      <c r="E1216" t="s">
        <v>197</v>
      </c>
      <c r="F1216" t="s">
        <v>197</v>
      </c>
      <c r="G1216" t="s">
        <v>197</v>
      </c>
      <c r="H1216" t="s">
        <v>197</v>
      </c>
      <c r="I1216" t="s">
        <v>197</v>
      </c>
      <c r="J1216" t="s">
        <v>197</v>
      </c>
      <c r="K1216" t="s">
        <v>562</v>
      </c>
    </row>
    <row r="1217" spans="1:24">
      <c r="B1217" t="s">
        <v>197</v>
      </c>
      <c r="C1217" t="s">
        <v>197</v>
      </c>
      <c r="D1217" t="s">
        <v>197</v>
      </c>
      <c r="E1217" t="s">
        <v>197</v>
      </c>
      <c r="F1217" t="s">
        <v>197</v>
      </c>
      <c r="G1217" t="s">
        <v>197</v>
      </c>
      <c r="H1217" t="s">
        <v>197</v>
      </c>
      <c r="I1217" t="s">
        <v>197</v>
      </c>
      <c r="J1217" t="s">
        <v>197</v>
      </c>
      <c r="K1217" t="s">
        <v>563</v>
      </c>
    </row>
    <row r="1218" spans="1:24">
      <c r="B1218" t="s">
        <v>197</v>
      </c>
      <c r="C1218" t="s">
        <v>197</v>
      </c>
      <c r="D1218" t="s">
        <v>197</v>
      </c>
      <c r="E1218" t="s">
        <v>197</v>
      </c>
      <c r="F1218" t="s">
        <v>197</v>
      </c>
      <c r="G1218" t="s">
        <v>197</v>
      </c>
      <c r="H1218" t="s">
        <v>197</v>
      </c>
      <c r="I1218" t="s">
        <v>197</v>
      </c>
      <c r="J1218" t="s">
        <v>197</v>
      </c>
      <c r="K1218" t="s">
        <v>564</v>
      </c>
    </row>
    <row r="1219" spans="1:24">
      <c r="B1219" t="s">
        <v>197</v>
      </c>
      <c r="C1219" t="s">
        <v>197</v>
      </c>
      <c r="D1219" t="s">
        <v>197</v>
      </c>
      <c r="E1219" t="s">
        <v>197</v>
      </c>
      <c r="F1219" t="s">
        <v>197</v>
      </c>
      <c r="G1219" t="s">
        <v>197</v>
      </c>
      <c r="H1219" t="s">
        <v>197</v>
      </c>
      <c r="I1219" t="s">
        <v>197</v>
      </c>
      <c r="J1219" t="s">
        <v>197</v>
      </c>
      <c r="K1219" t="s">
        <v>565</v>
      </c>
    </row>
    <row r="1220" spans="1:24">
      <c r="B1220" t="s">
        <v>197</v>
      </c>
      <c r="C1220" t="s">
        <v>197</v>
      </c>
      <c r="D1220" t="s">
        <v>197</v>
      </c>
      <c r="E1220" t="s">
        <v>197</v>
      </c>
      <c r="F1220" t="s">
        <v>197</v>
      </c>
      <c r="G1220" t="s">
        <v>197</v>
      </c>
      <c r="H1220" t="s">
        <v>197</v>
      </c>
      <c r="I1220" t="s">
        <v>197</v>
      </c>
      <c r="J1220" t="s">
        <v>197</v>
      </c>
      <c r="K1220" t="s">
        <v>566</v>
      </c>
    </row>
    <row r="1221" spans="1:24">
      <c r="B1221" t="s">
        <v>197</v>
      </c>
      <c r="C1221" t="s">
        <v>197</v>
      </c>
      <c r="D1221" t="s">
        <v>197</v>
      </c>
      <c r="E1221" t="s">
        <v>197</v>
      </c>
      <c r="F1221" t="s">
        <v>197</v>
      </c>
      <c r="G1221" t="s">
        <v>197</v>
      </c>
      <c r="H1221" t="s">
        <v>197</v>
      </c>
      <c r="I1221" t="s">
        <v>197</v>
      </c>
      <c r="J1221" t="s">
        <v>197</v>
      </c>
      <c r="K1221" t="s">
        <v>567</v>
      </c>
    </row>
    <row r="1222" spans="1:24">
      <c r="A1222" t="s">
        <v>1108</v>
      </c>
      <c r="K1222" t="s">
        <v>1109</v>
      </c>
      <c r="W1222" t="s">
        <v>171</v>
      </c>
      <c r="X1222" t="str">
        <f>A1222</f>
        <v>info_datetime2_dml_single_pk_drp</v>
      </c>
    </row>
    <row r="1223" spans="1:24">
      <c r="B1223" t="s">
        <v>196</v>
      </c>
      <c r="C1223" t="s">
        <v>197</v>
      </c>
      <c r="D1223" t="s">
        <v>197</v>
      </c>
      <c r="E1223" t="s">
        <v>197</v>
      </c>
      <c r="F1223" t="s">
        <v>197</v>
      </c>
      <c r="G1223" t="s">
        <v>197</v>
      </c>
      <c r="H1223" t="s">
        <v>197</v>
      </c>
      <c r="I1223" t="s">
        <v>1110</v>
      </c>
      <c r="J1223" t="s">
        <v>199</v>
      </c>
      <c r="K1223" t="s">
        <v>200</v>
      </c>
    </row>
    <row r="1224" spans="1:24">
      <c r="B1224" t="s">
        <v>197</v>
      </c>
      <c r="C1224" t="s">
        <v>197</v>
      </c>
      <c r="D1224" t="s">
        <v>197</v>
      </c>
      <c r="E1224" t="s">
        <v>197</v>
      </c>
      <c r="F1224" t="s">
        <v>197</v>
      </c>
      <c r="G1224" t="s">
        <v>197</v>
      </c>
      <c r="H1224" t="s">
        <v>197</v>
      </c>
      <c r="I1224" t="s">
        <v>197</v>
      </c>
      <c r="J1224" t="s">
        <v>197</v>
      </c>
      <c r="K1224" t="s">
        <v>667</v>
      </c>
    </row>
    <row r="1225" spans="1:24">
      <c r="B1225" t="s">
        <v>197</v>
      </c>
      <c r="C1225" t="s">
        <v>197</v>
      </c>
      <c r="D1225" t="s">
        <v>197</v>
      </c>
      <c r="E1225" t="s">
        <v>197</v>
      </c>
      <c r="F1225" t="s">
        <v>197</v>
      </c>
      <c r="G1225" t="s">
        <v>197</v>
      </c>
      <c r="H1225" t="s">
        <v>197</v>
      </c>
      <c r="I1225" t="s">
        <v>197</v>
      </c>
      <c r="J1225" t="s">
        <v>197</v>
      </c>
      <c r="K1225" t="s">
        <v>668</v>
      </c>
    </row>
    <row r="1226" spans="1:24">
      <c r="B1226" t="s">
        <v>197</v>
      </c>
      <c r="C1226" t="s">
        <v>197</v>
      </c>
      <c r="D1226" t="s">
        <v>197</v>
      </c>
      <c r="E1226" t="s">
        <v>197</v>
      </c>
      <c r="F1226" t="s">
        <v>197</v>
      </c>
      <c r="G1226" t="s">
        <v>197</v>
      </c>
      <c r="H1226" t="s">
        <v>197</v>
      </c>
      <c r="I1226" t="s">
        <v>197</v>
      </c>
      <c r="J1226" t="s">
        <v>197</v>
      </c>
      <c r="K1226" t="s">
        <v>669</v>
      </c>
    </row>
    <row r="1227" spans="1:24">
      <c r="B1227" t="s">
        <v>197</v>
      </c>
      <c r="C1227" t="s">
        <v>197</v>
      </c>
      <c r="D1227" t="s">
        <v>197</v>
      </c>
      <c r="E1227" t="s">
        <v>197</v>
      </c>
      <c r="F1227" t="s">
        <v>197</v>
      </c>
      <c r="G1227" t="s">
        <v>197</v>
      </c>
      <c r="H1227" t="s">
        <v>197</v>
      </c>
      <c r="I1227" t="s">
        <v>197</v>
      </c>
      <c r="J1227" t="s">
        <v>197</v>
      </c>
      <c r="K1227" t="s">
        <v>670</v>
      </c>
    </row>
    <row r="1228" spans="1:24">
      <c r="B1228" t="s">
        <v>197</v>
      </c>
      <c r="C1228" t="s">
        <v>197</v>
      </c>
      <c r="D1228" t="s">
        <v>197</v>
      </c>
      <c r="E1228" t="s">
        <v>197</v>
      </c>
      <c r="F1228" t="s">
        <v>197</v>
      </c>
      <c r="G1228" t="s">
        <v>197</v>
      </c>
      <c r="H1228" t="s">
        <v>197</v>
      </c>
      <c r="I1228" t="s">
        <v>197</v>
      </c>
      <c r="J1228" t="s">
        <v>197</v>
      </c>
      <c r="K1228" t="s">
        <v>671</v>
      </c>
    </row>
    <row r="1229" spans="1:24">
      <c r="B1229" t="s">
        <v>197</v>
      </c>
      <c r="C1229" t="s">
        <v>197</v>
      </c>
      <c r="D1229" t="s">
        <v>197</v>
      </c>
      <c r="E1229" t="s">
        <v>197</v>
      </c>
      <c r="F1229" t="s">
        <v>197</v>
      </c>
      <c r="G1229" t="s">
        <v>197</v>
      </c>
      <c r="H1229" t="s">
        <v>197</v>
      </c>
      <c r="I1229" t="s">
        <v>197</v>
      </c>
      <c r="J1229" t="s">
        <v>197</v>
      </c>
      <c r="K1229" t="s">
        <v>672</v>
      </c>
    </row>
    <row r="1230" spans="1:24">
      <c r="B1230" t="s">
        <v>197</v>
      </c>
      <c r="C1230" t="s">
        <v>197</v>
      </c>
      <c r="D1230" t="s">
        <v>197</v>
      </c>
      <c r="E1230" t="s">
        <v>197</v>
      </c>
      <c r="F1230" t="s">
        <v>197</v>
      </c>
      <c r="G1230" t="s">
        <v>197</v>
      </c>
      <c r="H1230" t="s">
        <v>197</v>
      </c>
      <c r="I1230" t="s">
        <v>197</v>
      </c>
      <c r="J1230" t="s">
        <v>197</v>
      </c>
      <c r="K1230" t="s">
        <v>673</v>
      </c>
    </row>
    <row r="1231" spans="1:24">
      <c r="B1231" t="s">
        <v>197</v>
      </c>
      <c r="C1231" t="s">
        <v>197</v>
      </c>
      <c r="D1231" t="s">
        <v>197</v>
      </c>
      <c r="E1231" t="s">
        <v>197</v>
      </c>
      <c r="F1231" t="s">
        <v>197</v>
      </c>
      <c r="G1231" t="s">
        <v>197</v>
      </c>
      <c r="H1231" t="s">
        <v>197</v>
      </c>
      <c r="I1231" t="s">
        <v>197</v>
      </c>
      <c r="J1231" t="s">
        <v>197</v>
      </c>
      <c r="K1231" t="s">
        <v>674</v>
      </c>
    </row>
    <row r="1232" spans="1:24">
      <c r="A1232" t="s">
        <v>1111</v>
      </c>
      <c r="K1232" t="s">
        <v>1112</v>
      </c>
      <c r="W1232" t="s">
        <v>171</v>
      </c>
      <c r="X1232" t="str">
        <f>A1232</f>
        <v>info_varchar_dml_single_pk_urp</v>
      </c>
    </row>
    <row r="1233" spans="1:24">
      <c r="B1233" t="s">
        <v>196</v>
      </c>
      <c r="C1233" t="s">
        <v>197</v>
      </c>
      <c r="D1233" t="s">
        <v>197</v>
      </c>
      <c r="E1233" t="s">
        <v>197</v>
      </c>
      <c r="F1233" t="s">
        <v>197</v>
      </c>
      <c r="G1233" t="s">
        <v>197</v>
      </c>
      <c r="H1233" t="s">
        <v>197</v>
      </c>
      <c r="I1233" t="s">
        <v>1113</v>
      </c>
      <c r="J1233" t="s">
        <v>199</v>
      </c>
      <c r="K1233" t="s">
        <v>200</v>
      </c>
    </row>
    <row r="1234" spans="1:24">
      <c r="B1234" t="s">
        <v>197</v>
      </c>
      <c r="C1234" t="s">
        <v>197</v>
      </c>
      <c r="D1234" t="s">
        <v>197</v>
      </c>
      <c r="E1234" t="s">
        <v>197</v>
      </c>
      <c r="F1234" t="s">
        <v>197</v>
      </c>
      <c r="G1234" t="s">
        <v>197</v>
      </c>
      <c r="H1234" t="s">
        <v>197</v>
      </c>
      <c r="I1234" t="s">
        <v>197</v>
      </c>
      <c r="J1234" t="s">
        <v>197</v>
      </c>
      <c r="K1234" t="s">
        <v>431</v>
      </c>
    </row>
    <row r="1235" spans="1:24">
      <c r="B1235" t="s">
        <v>197</v>
      </c>
      <c r="C1235" t="s">
        <v>197</v>
      </c>
      <c r="D1235" t="s">
        <v>197</v>
      </c>
      <c r="E1235" t="s">
        <v>197</v>
      </c>
      <c r="F1235" t="s">
        <v>197</v>
      </c>
      <c r="G1235" t="s">
        <v>197</v>
      </c>
      <c r="H1235" t="s">
        <v>197</v>
      </c>
      <c r="I1235" t="s">
        <v>197</v>
      </c>
      <c r="J1235" t="s">
        <v>197</v>
      </c>
      <c r="K1235" t="s">
        <v>1056</v>
      </c>
    </row>
    <row r="1236" spans="1:24">
      <c r="B1236" t="s">
        <v>197</v>
      </c>
      <c r="C1236" t="s">
        <v>197</v>
      </c>
      <c r="D1236" t="s">
        <v>197</v>
      </c>
      <c r="E1236" t="s">
        <v>197</v>
      </c>
      <c r="F1236" t="s">
        <v>197</v>
      </c>
      <c r="G1236" t="s">
        <v>197</v>
      </c>
      <c r="H1236" t="s">
        <v>197</v>
      </c>
      <c r="I1236" t="s">
        <v>197</v>
      </c>
      <c r="J1236" t="s">
        <v>197</v>
      </c>
      <c r="K1236" t="s">
        <v>963</v>
      </c>
    </row>
    <row r="1237" spans="1:24">
      <c r="A1237" t="s">
        <v>1120</v>
      </c>
      <c r="K1237" t="s">
        <v>1121</v>
      </c>
      <c r="W1237" t="s">
        <v>171</v>
      </c>
      <c r="X1237" t="str">
        <f>A1237</f>
        <v>info_uniqueidentifier_dml_single_pk</v>
      </c>
    </row>
    <row r="1238" spans="1:24">
      <c r="B1238" t="s">
        <v>196</v>
      </c>
      <c r="C1238" t="s">
        <v>197</v>
      </c>
      <c r="D1238" t="s">
        <v>197</v>
      </c>
      <c r="E1238" t="s">
        <v>197</v>
      </c>
      <c r="F1238" t="s">
        <v>197</v>
      </c>
      <c r="G1238" t="s">
        <v>197</v>
      </c>
      <c r="H1238" t="s">
        <v>197</v>
      </c>
      <c r="I1238" t="s">
        <v>1122</v>
      </c>
      <c r="J1238" t="s">
        <v>199</v>
      </c>
      <c r="K1238" t="s">
        <v>200</v>
      </c>
    </row>
    <row r="1239" spans="1:24">
      <c r="B1239" t="s">
        <v>197</v>
      </c>
      <c r="C1239" t="s">
        <v>197</v>
      </c>
      <c r="D1239" t="s">
        <v>197</v>
      </c>
      <c r="E1239" t="s">
        <v>197</v>
      </c>
      <c r="F1239" t="s">
        <v>197</v>
      </c>
      <c r="G1239" t="s">
        <v>197</v>
      </c>
      <c r="H1239" t="s">
        <v>197</v>
      </c>
      <c r="I1239" t="s">
        <v>197</v>
      </c>
      <c r="J1239" t="s">
        <v>197</v>
      </c>
      <c r="K1239" t="s">
        <v>1039</v>
      </c>
    </row>
    <row r="1240" spans="1:24">
      <c r="A1240" t="s">
        <v>1126</v>
      </c>
      <c r="K1240" t="s">
        <v>1127</v>
      </c>
      <c r="W1240" t="s">
        <v>171</v>
      </c>
      <c r="X1240" t="str">
        <f>A1240</f>
        <v>info_varchar_dml_single_pk_drp</v>
      </c>
    </row>
    <row r="1241" spans="1:24">
      <c r="B1241" t="s">
        <v>196</v>
      </c>
      <c r="C1241" t="s">
        <v>197</v>
      </c>
      <c r="D1241" t="s">
        <v>197</v>
      </c>
      <c r="E1241" t="s">
        <v>197</v>
      </c>
      <c r="F1241" t="s">
        <v>197</v>
      </c>
      <c r="G1241" t="s">
        <v>197</v>
      </c>
      <c r="H1241" t="s">
        <v>197</v>
      </c>
      <c r="I1241" t="s">
        <v>1128</v>
      </c>
      <c r="J1241" t="s">
        <v>199</v>
      </c>
      <c r="K1241" t="s">
        <v>200</v>
      </c>
    </row>
    <row r="1242" spans="1:24">
      <c r="B1242" t="s">
        <v>197</v>
      </c>
      <c r="C1242" t="s">
        <v>197</v>
      </c>
      <c r="D1242" t="s">
        <v>197</v>
      </c>
      <c r="E1242" t="s">
        <v>197</v>
      </c>
      <c r="F1242" t="s">
        <v>197</v>
      </c>
      <c r="G1242" t="s">
        <v>197</v>
      </c>
      <c r="H1242" t="s">
        <v>197</v>
      </c>
      <c r="I1242" t="s">
        <v>197</v>
      </c>
      <c r="J1242" t="s">
        <v>197</v>
      </c>
      <c r="K1242" t="s">
        <v>431</v>
      </c>
    </row>
    <row r="1243" spans="1:24">
      <c r="B1243" t="s">
        <v>197</v>
      </c>
      <c r="C1243" t="s">
        <v>197</v>
      </c>
      <c r="D1243" t="s">
        <v>197</v>
      </c>
      <c r="E1243" t="s">
        <v>197</v>
      </c>
      <c r="F1243" t="s">
        <v>197</v>
      </c>
      <c r="G1243" t="s">
        <v>197</v>
      </c>
      <c r="H1243" t="s">
        <v>197</v>
      </c>
      <c r="I1243" t="s">
        <v>197</v>
      </c>
      <c r="J1243" t="s">
        <v>197</v>
      </c>
      <c r="K1243" t="s">
        <v>1056</v>
      </c>
    </row>
    <row r="1244" spans="1:24">
      <c r="B1244" t="s">
        <v>197</v>
      </c>
      <c r="C1244" t="s">
        <v>197</v>
      </c>
      <c r="D1244" t="s">
        <v>197</v>
      </c>
      <c r="E1244" t="s">
        <v>197</v>
      </c>
      <c r="F1244" t="s">
        <v>197</v>
      </c>
      <c r="G1244" t="s">
        <v>197</v>
      </c>
      <c r="H1244" t="s">
        <v>197</v>
      </c>
      <c r="I1244" t="s">
        <v>197</v>
      </c>
      <c r="J1244" t="s">
        <v>197</v>
      </c>
      <c r="K1244" t="s">
        <v>963</v>
      </c>
    </row>
    <row r="1245" spans="1:24">
      <c r="A1245" t="s">
        <v>1123</v>
      </c>
      <c r="K1245" t="s">
        <v>1124</v>
      </c>
      <c r="W1245" t="s">
        <v>171</v>
      </c>
      <c r="X1245" t="str">
        <f>A1245</f>
        <v>info_datetime2_dml_single_pk</v>
      </c>
    </row>
    <row r="1246" spans="1:24">
      <c r="B1246" t="s">
        <v>196</v>
      </c>
      <c r="C1246" t="s">
        <v>197</v>
      </c>
      <c r="D1246" t="s">
        <v>197</v>
      </c>
      <c r="E1246" t="s">
        <v>197</v>
      </c>
      <c r="F1246" t="s">
        <v>197</v>
      </c>
      <c r="G1246" t="s">
        <v>197</v>
      </c>
      <c r="H1246" t="s">
        <v>197</v>
      </c>
      <c r="I1246" t="s">
        <v>1125</v>
      </c>
      <c r="J1246" t="s">
        <v>199</v>
      </c>
      <c r="K1246" t="s">
        <v>200</v>
      </c>
    </row>
    <row r="1247" spans="1:24">
      <c r="B1247" t="s">
        <v>197</v>
      </c>
      <c r="C1247" t="s">
        <v>197</v>
      </c>
      <c r="D1247" t="s">
        <v>197</v>
      </c>
      <c r="E1247" t="s">
        <v>197</v>
      </c>
      <c r="F1247" t="s">
        <v>197</v>
      </c>
      <c r="G1247" t="s">
        <v>197</v>
      </c>
      <c r="H1247" t="s">
        <v>197</v>
      </c>
      <c r="I1247" t="s">
        <v>197</v>
      </c>
      <c r="J1247" t="s">
        <v>197</v>
      </c>
      <c r="K1247" t="s">
        <v>667</v>
      </c>
    </row>
    <row r="1248" spans="1:24">
      <c r="B1248" t="s">
        <v>197</v>
      </c>
      <c r="C1248" t="s">
        <v>197</v>
      </c>
      <c r="D1248" t="s">
        <v>197</v>
      </c>
      <c r="E1248" t="s">
        <v>197</v>
      </c>
      <c r="F1248" t="s">
        <v>197</v>
      </c>
      <c r="G1248" t="s">
        <v>197</v>
      </c>
      <c r="H1248" t="s">
        <v>197</v>
      </c>
      <c r="I1248" t="s">
        <v>197</v>
      </c>
      <c r="J1248" t="s">
        <v>197</v>
      </c>
      <c r="K1248" t="s">
        <v>668</v>
      </c>
    </row>
    <row r="1249" spans="1:24">
      <c r="B1249" t="s">
        <v>197</v>
      </c>
      <c r="C1249" t="s">
        <v>197</v>
      </c>
      <c r="D1249" t="s">
        <v>197</v>
      </c>
      <c r="E1249" t="s">
        <v>197</v>
      </c>
      <c r="F1249" t="s">
        <v>197</v>
      </c>
      <c r="G1249" t="s">
        <v>197</v>
      </c>
      <c r="H1249" t="s">
        <v>197</v>
      </c>
      <c r="I1249" t="s">
        <v>197</v>
      </c>
      <c r="J1249" t="s">
        <v>197</v>
      </c>
      <c r="K1249" t="s">
        <v>669</v>
      </c>
    </row>
    <row r="1250" spans="1:24">
      <c r="B1250" t="s">
        <v>197</v>
      </c>
      <c r="C1250" t="s">
        <v>197</v>
      </c>
      <c r="D1250" t="s">
        <v>197</v>
      </c>
      <c r="E1250" t="s">
        <v>197</v>
      </c>
      <c r="F1250" t="s">
        <v>197</v>
      </c>
      <c r="G1250" t="s">
        <v>197</v>
      </c>
      <c r="H1250" t="s">
        <v>197</v>
      </c>
      <c r="I1250" t="s">
        <v>197</v>
      </c>
      <c r="J1250" t="s">
        <v>197</v>
      </c>
      <c r="K1250" t="s">
        <v>670</v>
      </c>
    </row>
    <row r="1251" spans="1:24">
      <c r="B1251" t="s">
        <v>197</v>
      </c>
      <c r="C1251" t="s">
        <v>197</v>
      </c>
      <c r="D1251" t="s">
        <v>197</v>
      </c>
      <c r="E1251" t="s">
        <v>197</v>
      </c>
      <c r="F1251" t="s">
        <v>197</v>
      </c>
      <c r="G1251" t="s">
        <v>197</v>
      </c>
      <c r="H1251" t="s">
        <v>197</v>
      </c>
      <c r="I1251" t="s">
        <v>197</v>
      </c>
      <c r="J1251" t="s">
        <v>197</v>
      </c>
      <c r="K1251" t="s">
        <v>671</v>
      </c>
    </row>
    <row r="1252" spans="1:24">
      <c r="B1252" t="s">
        <v>197</v>
      </c>
      <c r="C1252" t="s">
        <v>197</v>
      </c>
      <c r="D1252" t="s">
        <v>197</v>
      </c>
      <c r="E1252" t="s">
        <v>197</v>
      </c>
      <c r="F1252" t="s">
        <v>197</v>
      </c>
      <c r="G1252" t="s">
        <v>197</v>
      </c>
      <c r="H1252" t="s">
        <v>197</v>
      </c>
      <c r="I1252" t="s">
        <v>197</v>
      </c>
      <c r="J1252" t="s">
        <v>197</v>
      </c>
      <c r="K1252" t="s">
        <v>672</v>
      </c>
    </row>
    <row r="1253" spans="1:24">
      <c r="B1253" t="s">
        <v>197</v>
      </c>
      <c r="C1253" t="s">
        <v>197</v>
      </c>
      <c r="D1253" t="s">
        <v>197</v>
      </c>
      <c r="E1253" t="s">
        <v>197</v>
      </c>
      <c r="F1253" t="s">
        <v>197</v>
      </c>
      <c r="G1253" t="s">
        <v>197</v>
      </c>
      <c r="H1253" t="s">
        <v>197</v>
      </c>
      <c r="I1253" t="s">
        <v>197</v>
      </c>
      <c r="J1253" t="s">
        <v>197</v>
      </c>
      <c r="K1253" t="s">
        <v>673</v>
      </c>
    </row>
    <row r="1254" spans="1:24">
      <c r="B1254" t="s">
        <v>197</v>
      </c>
      <c r="C1254" t="s">
        <v>197</v>
      </c>
      <c r="D1254" t="s">
        <v>197</v>
      </c>
      <c r="E1254" t="s">
        <v>197</v>
      </c>
      <c r="F1254" t="s">
        <v>197</v>
      </c>
      <c r="G1254" t="s">
        <v>197</v>
      </c>
      <c r="H1254" t="s">
        <v>197</v>
      </c>
      <c r="I1254" t="s">
        <v>197</v>
      </c>
      <c r="J1254" t="s">
        <v>197</v>
      </c>
      <c r="K1254" t="s">
        <v>674</v>
      </c>
    </row>
    <row r="1255" spans="1:24">
      <c r="A1255" t="s">
        <v>1129</v>
      </c>
      <c r="K1255" t="s">
        <v>1130</v>
      </c>
      <c r="W1255" s="1" t="str">
        <f>HYPERLINK("#2026042011hbase0!BF2","NO 源备存在差异，共4个")</f>
        <v>NO 源备存在差异，共4个</v>
      </c>
      <c r="X1255" t="str">
        <f>A1255</f>
        <v>info_geography_dml_single_pk_drp</v>
      </c>
    </row>
    <row r="1256" spans="1:24">
      <c r="B1256" t="s">
        <v>196</v>
      </c>
      <c r="C1256" t="s">
        <v>197</v>
      </c>
      <c r="D1256" t="s">
        <v>197</v>
      </c>
      <c r="E1256" t="s">
        <v>197</v>
      </c>
      <c r="F1256" t="s">
        <v>197</v>
      </c>
      <c r="G1256" t="s">
        <v>197</v>
      </c>
      <c r="H1256" t="s">
        <v>197</v>
      </c>
      <c r="I1256" t="s">
        <v>1131</v>
      </c>
      <c r="J1256" t="s">
        <v>199</v>
      </c>
      <c r="K1256" t="s">
        <v>200</v>
      </c>
    </row>
    <row r="1257" spans="1:24">
      <c r="B1257" t="s">
        <v>197</v>
      </c>
      <c r="C1257" t="s">
        <v>197</v>
      </c>
      <c r="D1257" t="s">
        <v>197</v>
      </c>
      <c r="E1257" t="s">
        <v>197</v>
      </c>
      <c r="F1257" t="s">
        <v>197</v>
      </c>
      <c r="G1257" t="s">
        <v>197</v>
      </c>
      <c r="H1257" t="s">
        <v>197</v>
      </c>
      <c r="I1257" t="s">
        <v>197</v>
      </c>
      <c r="J1257" t="s">
        <v>197</v>
      </c>
      <c r="K1257" t="s">
        <v>1052</v>
      </c>
    </row>
    <row r="1258" spans="1:24">
      <c r="A1258" t="s">
        <v>1132</v>
      </c>
      <c r="K1258" t="s">
        <v>1133</v>
      </c>
      <c r="W1258" t="s">
        <v>171</v>
      </c>
      <c r="X1258" t="str">
        <f>A1258</f>
        <v>info_time_dml_batch1_pk_drp2</v>
      </c>
    </row>
    <row r="1259" spans="1:24">
      <c r="B1259" t="s">
        <v>196</v>
      </c>
      <c r="C1259" t="s">
        <v>197</v>
      </c>
      <c r="D1259" t="s">
        <v>197</v>
      </c>
      <c r="E1259" t="s">
        <v>197</v>
      </c>
      <c r="F1259" t="s">
        <v>197</v>
      </c>
      <c r="G1259" t="s">
        <v>197</v>
      </c>
      <c r="H1259" t="s">
        <v>197</v>
      </c>
      <c r="I1259" t="s">
        <v>1134</v>
      </c>
      <c r="J1259" t="s">
        <v>199</v>
      </c>
      <c r="K1259" t="s">
        <v>200</v>
      </c>
    </row>
    <row r="1260" spans="1:24">
      <c r="B1260" t="s">
        <v>197</v>
      </c>
      <c r="C1260" t="s">
        <v>197</v>
      </c>
      <c r="D1260" t="s">
        <v>197</v>
      </c>
      <c r="E1260" t="s">
        <v>197</v>
      </c>
      <c r="F1260" t="s">
        <v>197</v>
      </c>
      <c r="G1260" t="s">
        <v>197</v>
      </c>
      <c r="H1260" t="s">
        <v>197</v>
      </c>
      <c r="I1260" t="s">
        <v>197</v>
      </c>
      <c r="J1260" t="s">
        <v>197</v>
      </c>
      <c r="K1260" t="s">
        <v>800</v>
      </c>
    </row>
    <row r="1261" spans="1:24">
      <c r="B1261" t="s">
        <v>197</v>
      </c>
      <c r="C1261" t="s">
        <v>197</v>
      </c>
      <c r="D1261" t="s">
        <v>197</v>
      </c>
      <c r="E1261" t="s">
        <v>197</v>
      </c>
      <c r="F1261" t="s">
        <v>197</v>
      </c>
      <c r="G1261" t="s">
        <v>197</v>
      </c>
      <c r="H1261" t="s">
        <v>197</v>
      </c>
      <c r="I1261" t="s">
        <v>197</v>
      </c>
      <c r="J1261" t="s">
        <v>197</v>
      </c>
      <c r="K1261" t="s">
        <v>801</v>
      </c>
    </row>
    <row r="1262" spans="1:24">
      <c r="B1262" t="s">
        <v>197</v>
      </c>
      <c r="C1262" t="s">
        <v>197</v>
      </c>
      <c r="D1262" t="s">
        <v>197</v>
      </c>
      <c r="E1262" t="s">
        <v>197</v>
      </c>
      <c r="F1262" t="s">
        <v>197</v>
      </c>
      <c r="G1262" t="s">
        <v>197</v>
      </c>
      <c r="H1262" t="s">
        <v>197</v>
      </c>
      <c r="I1262" t="s">
        <v>197</v>
      </c>
      <c r="J1262" t="s">
        <v>197</v>
      </c>
      <c r="K1262" t="s">
        <v>802</v>
      </c>
    </row>
    <row r="1263" spans="1:24">
      <c r="B1263" t="s">
        <v>197</v>
      </c>
      <c r="C1263" t="s">
        <v>197</v>
      </c>
      <c r="D1263" t="s">
        <v>197</v>
      </c>
      <c r="E1263" t="s">
        <v>197</v>
      </c>
      <c r="F1263" t="s">
        <v>197</v>
      </c>
      <c r="G1263" t="s">
        <v>197</v>
      </c>
      <c r="H1263" t="s">
        <v>197</v>
      </c>
      <c r="I1263" t="s">
        <v>197</v>
      </c>
      <c r="J1263" t="s">
        <v>197</v>
      </c>
      <c r="K1263" t="s">
        <v>803</v>
      </c>
    </row>
    <row r="1264" spans="1:24">
      <c r="B1264" t="s">
        <v>197</v>
      </c>
      <c r="C1264" t="s">
        <v>197</v>
      </c>
      <c r="D1264" t="s">
        <v>197</v>
      </c>
      <c r="E1264" t="s">
        <v>197</v>
      </c>
      <c r="F1264" t="s">
        <v>197</v>
      </c>
      <c r="G1264" t="s">
        <v>197</v>
      </c>
      <c r="H1264" t="s">
        <v>197</v>
      </c>
      <c r="I1264" t="s">
        <v>197</v>
      </c>
      <c r="J1264" t="s">
        <v>197</v>
      </c>
      <c r="K1264" t="s">
        <v>804</v>
      </c>
    </row>
    <row r="1265" spans="1:24">
      <c r="B1265" t="s">
        <v>197</v>
      </c>
      <c r="C1265" t="s">
        <v>197</v>
      </c>
      <c r="D1265" t="s">
        <v>197</v>
      </c>
      <c r="E1265" t="s">
        <v>197</v>
      </c>
      <c r="F1265" t="s">
        <v>197</v>
      </c>
      <c r="G1265" t="s">
        <v>197</v>
      </c>
      <c r="H1265" t="s">
        <v>197</v>
      </c>
      <c r="I1265" t="s">
        <v>197</v>
      </c>
      <c r="J1265" t="s">
        <v>197</v>
      </c>
      <c r="K1265" t="s">
        <v>805</v>
      </c>
    </row>
    <row r="1266" spans="1:24">
      <c r="B1266" t="s">
        <v>197</v>
      </c>
      <c r="C1266" t="s">
        <v>197</v>
      </c>
      <c r="D1266" t="s">
        <v>197</v>
      </c>
      <c r="E1266" t="s">
        <v>197</v>
      </c>
      <c r="F1266" t="s">
        <v>197</v>
      </c>
      <c r="G1266" t="s">
        <v>197</v>
      </c>
      <c r="H1266" t="s">
        <v>197</v>
      </c>
      <c r="I1266" t="s">
        <v>197</v>
      </c>
      <c r="J1266" t="s">
        <v>197</v>
      </c>
      <c r="K1266" t="s">
        <v>806</v>
      </c>
    </row>
    <row r="1267" spans="1:24">
      <c r="B1267" t="s">
        <v>197</v>
      </c>
      <c r="C1267" t="s">
        <v>197</v>
      </c>
      <c r="D1267" t="s">
        <v>197</v>
      </c>
      <c r="E1267" t="s">
        <v>197</v>
      </c>
      <c r="F1267" t="s">
        <v>197</v>
      </c>
      <c r="G1267" t="s">
        <v>197</v>
      </c>
      <c r="H1267" t="s">
        <v>197</v>
      </c>
      <c r="I1267" t="s">
        <v>197</v>
      </c>
      <c r="J1267" t="s">
        <v>197</v>
      </c>
      <c r="K1267" t="s">
        <v>807</v>
      </c>
    </row>
    <row r="1268" spans="1:24">
      <c r="A1268" t="s">
        <v>1135</v>
      </c>
      <c r="K1268" t="s">
        <v>1136</v>
      </c>
      <c r="W1268" t="s">
        <v>171</v>
      </c>
      <c r="X1268" t="str">
        <f>A1268</f>
        <v>info_varchar_dml_batch1_pk_urp1</v>
      </c>
    </row>
    <row r="1269" spans="1:24">
      <c r="B1269" t="s">
        <v>196</v>
      </c>
      <c r="C1269" t="s">
        <v>197</v>
      </c>
      <c r="D1269" t="s">
        <v>197</v>
      </c>
      <c r="E1269" t="s">
        <v>197</v>
      </c>
      <c r="F1269" t="s">
        <v>197</v>
      </c>
      <c r="G1269" t="s">
        <v>197</v>
      </c>
      <c r="H1269" t="s">
        <v>197</v>
      </c>
      <c r="I1269" t="s">
        <v>1137</v>
      </c>
      <c r="J1269" t="s">
        <v>199</v>
      </c>
      <c r="K1269" t="s">
        <v>200</v>
      </c>
    </row>
    <row r="1270" spans="1:24">
      <c r="B1270" t="s">
        <v>197</v>
      </c>
      <c r="C1270" t="s">
        <v>197</v>
      </c>
      <c r="D1270" t="s">
        <v>197</v>
      </c>
      <c r="E1270" t="s">
        <v>197</v>
      </c>
      <c r="F1270" t="s">
        <v>197</v>
      </c>
      <c r="G1270" t="s">
        <v>197</v>
      </c>
      <c r="H1270" t="s">
        <v>197</v>
      </c>
      <c r="I1270" t="s">
        <v>197</v>
      </c>
      <c r="J1270" t="s">
        <v>197</v>
      </c>
      <c r="K1270" t="s">
        <v>431</v>
      </c>
    </row>
    <row r="1271" spans="1:24">
      <c r="B1271" t="s">
        <v>197</v>
      </c>
      <c r="C1271" t="s">
        <v>197</v>
      </c>
      <c r="D1271" t="s">
        <v>197</v>
      </c>
      <c r="E1271" t="s">
        <v>197</v>
      </c>
      <c r="F1271" t="s">
        <v>197</v>
      </c>
      <c r="G1271" t="s">
        <v>197</v>
      </c>
      <c r="H1271" t="s">
        <v>197</v>
      </c>
      <c r="I1271" t="s">
        <v>197</v>
      </c>
      <c r="J1271" t="s">
        <v>197</v>
      </c>
      <c r="K1271" t="s">
        <v>434</v>
      </c>
    </row>
    <row r="1272" spans="1:24">
      <c r="B1272" t="s">
        <v>197</v>
      </c>
      <c r="C1272" t="s">
        <v>197</v>
      </c>
      <c r="D1272" t="s">
        <v>197</v>
      </c>
      <c r="E1272" t="s">
        <v>197</v>
      </c>
      <c r="F1272" t="s">
        <v>197</v>
      </c>
      <c r="G1272" t="s">
        <v>197</v>
      </c>
      <c r="H1272" t="s">
        <v>197</v>
      </c>
      <c r="I1272" t="s">
        <v>197</v>
      </c>
      <c r="J1272" t="s">
        <v>197</v>
      </c>
      <c r="K1272" t="s">
        <v>439</v>
      </c>
    </row>
    <row r="1273" spans="1:24">
      <c r="A1273" t="s">
        <v>1141</v>
      </c>
      <c r="K1273" t="s">
        <v>1142</v>
      </c>
      <c r="W1273" t="s">
        <v>171</v>
      </c>
      <c r="X1273" t="str">
        <f>A1273</f>
        <v>info_nvarchar_dml_batch2_pk_irp2</v>
      </c>
    </row>
    <row r="1274" spans="1:24">
      <c r="B1274" t="s">
        <v>196</v>
      </c>
      <c r="C1274" t="s">
        <v>197</v>
      </c>
      <c r="D1274" t="s">
        <v>197</v>
      </c>
      <c r="E1274" t="s">
        <v>197</v>
      </c>
      <c r="F1274" t="s">
        <v>197</v>
      </c>
      <c r="G1274" t="s">
        <v>197</v>
      </c>
      <c r="H1274" t="s">
        <v>197</v>
      </c>
      <c r="I1274" t="s">
        <v>1143</v>
      </c>
      <c r="J1274" t="s">
        <v>199</v>
      </c>
      <c r="K1274" t="s">
        <v>200</v>
      </c>
    </row>
    <row r="1275" spans="1:24">
      <c r="B1275" t="s">
        <v>197</v>
      </c>
      <c r="C1275" t="s">
        <v>197</v>
      </c>
      <c r="D1275" t="s">
        <v>197</v>
      </c>
      <c r="E1275" t="s">
        <v>197</v>
      </c>
      <c r="F1275" t="s">
        <v>197</v>
      </c>
      <c r="G1275" t="s">
        <v>197</v>
      </c>
      <c r="H1275" t="s">
        <v>197</v>
      </c>
      <c r="I1275" t="s">
        <v>197</v>
      </c>
      <c r="J1275" t="s">
        <v>197</v>
      </c>
      <c r="K1275" t="s">
        <v>408</v>
      </c>
    </row>
    <row r="1276" spans="1:24">
      <c r="B1276" t="s">
        <v>197</v>
      </c>
      <c r="C1276" t="s">
        <v>197</v>
      </c>
      <c r="D1276" t="s">
        <v>197</v>
      </c>
      <c r="E1276" t="s">
        <v>197</v>
      </c>
      <c r="F1276" t="s">
        <v>197</v>
      </c>
      <c r="G1276" t="s">
        <v>197</v>
      </c>
      <c r="H1276" t="s">
        <v>197</v>
      </c>
      <c r="I1276" t="s">
        <v>197</v>
      </c>
      <c r="J1276" t="s">
        <v>197</v>
      </c>
      <c r="K1276" t="s">
        <v>412</v>
      </c>
    </row>
    <row r="1277" spans="1:24">
      <c r="B1277" t="s">
        <v>197</v>
      </c>
      <c r="C1277" t="s">
        <v>197</v>
      </c>
      <c r="D1277" t="s">
        <v>197</v>
      </c>
      <c r="E1277" t="s">
        <v>197</v>
      </c>
      <c r="F1277" t="s">
        <v>197</v>
      </c>
      <c r="G1277" t="s">
        <v>197</v>
      </c>
      <c r="H1277" t="s">
        <v>197</v>
      </c>
      <c r="I1277" t="s">
        <v>197</v>
      </c>
      <c r="J1277" t="s">
        <v>197</v>
      </c>
      <c r="K1277" t="s">
        <v>416</v>
      </c>
    </row>
    <row r="1278" spans="1:24">
      <c r="A1278" t="s">
        <v>1138</v>
      </c>
      <c r="K1278" t="s">
        <v>1139</v>
      </c>
      <c r="W1278" t="s">
        <v>171</v>
      </c>
      <c r="X1278" t="str">
        <f>A1278</f>
        <v>info_geography_dml_single_pk</v>
      </c>
    </row>
    <row r="1279" spans="1:24">
      <c r="B1279" t="s">
        <v>196</v>
      </c>
      <c r="C1279" t="s">
        <v>197</v>
      </c>
      <c r="D1279" t="s">
        <v>197</v>
      </c>
      <c r="E1279" t="s">
        <v>197</v>
      </c>
      <c r="F1279" t="s">
        <v>197</v>
      </c>
      <c r="G1279" t="s">
        <v>197</v>
      </c>
      <c r="H1279" t="s">
        <v>197</v>
      </c>
      <c r="I1279" t="s">
        <v>1140</v>
      </c>
      <c r="J1279" t="s">
        <v>199</v>
      </c>
      <c r="K1279" t="s">
        <v>200</v>
      </c>
    </row>
    <row r="1280" spans="1:24">
      <c r="B1280" t="s">
        <v>197</v>
      </c>
      <c r="C1280" t="s">
        <v>197</v>
      </c>
      <c r="D1280" t="s">
        <v>197</v>
      </c>
      <c r="E1280" t="s">
        <v>197</v>
      </c>
      <c r="F1280" t="s">
        <v>197</v>
      </c>
      <c r="G1280" t="s">
        <v>197</v>
      </c>
      <c r="H1280" t="s">
        <v>197</v>
      </c>
      <c r="I1280" t="s">
        <v>197</v>
      </c>
      <c r="J1280" t="s">
        <v>197</v>
      </c>
      <c r="K1280" t="s">
        <v>1052</v>
      </c>
    </row>
    <row r="1281" spans="1:24">
      <c r="A1281" t="s">
        <v>1150</v>
      </c>
      <c r="K1281" t="s">
        <v>1151</v>
      </c>
      <c r="W1281" t="s">
        <v>171</v>
      </c>
      <c r="X1281" t="str">
        <f>A1281</f>
        <v>info_time_dml_batch1_pk</v>
      </c>
    </row>
    <row r="1282" spans="1:24">
      <c r="B1282" t="s">
        <v>196</v>
      </c>
      <c r="C1282" t="s">
        <v>197</v>
      </c>
      <c r="D1282" t="s">
        <v>197</v>
      </c>
      <c r="E1282" t="s">
        <v>197</v>
      </c>
      <c r="F1282" t="s">
        <v>197</v>
      </c>
      <c r="G1282" t="s">
        <v>197</v>
      </c>
      <c r="H1282" t="s">
        <v>197</v>
      </c>
      <c r="I1282" t="s">
        <v>1152</v>
      </c>
      <c r="J1282" t="s">
        <v>199</v>
      </c>
      <c r="K1282" t="s">
        <v>200</v>
      </c>
    </row>
    <row r="1283" spans="1:24">
      <c r="B1283" t="s">
        <v>197</v>
      </c>
      <c r="C1283" t="s">
        <v>197</v>
      </c>
      <c r="D1283" t="s">
        <v>197</v>
      </c>
      <c r="E1283" t="s">
        <v>197</v>
      </c>
      <c r="F1283" t="s">
        <v>197</v>
      </c>
      <c r="G1283" t="s">
        <v>197</v>
      </c>
      <c r="H1283" t="s">
        <v>197</v>
      </c>
      <c r="I1283" t="s">
        <v>197</v>
      </c>
      <c r="J1283" t="s">
        <v>197</v>
      </c>
      <c r="K1283" t="s">
        <v>800</v>
      </c>
    </row>
    <row r="1284" spans="1:24">
      <c r="B1284" t="s">
        <v>197</v>
      </c>
      <c r="C1284" t="s">
        <v>197</v>
      </c>
      <c r="D1284" t="s">
        <v>197</v>
      </c>
      <c r="E1284" t="s">
        <v>197</v>
      </c>
      <c r="F1284" t="s">
        <v>197</v>
      </c>
      <c r="G1284" t="s">
        <v>197</v>
      </c>
      <c r="H1284" t="s">
        <v>197</v>
      </c>
      <c r="I1284" t="s">
        <v>197</v>
      </c>
      <c r="J1284" t="s">
        <v>197</v>
      </c>
      <c r="K1284" t="s">
        <v>801</v>
      </c>
    </row>
    <row r="1285" spans="1:24">
      <c r="B1285" t="s">
        <v>197</v>
      </c>
      <c r="C1285" t="s">
        <v>197</v>
      </c>
      <c r="D1285" t="s">
        <v>197</v>
      </c>
      <c r="E1285" t="s">
        <v>197</v>
      </c>
      <c r="F1285" t="s">
        <v>197</v>
      </c>
      <c r="G1285" t="s">
        <v>197</v>
      </c>
      <c r="H1285" t="s">
        <v>197</v>
      </c>
      <c r="I1285" t="s">
        <v>197</v>
      </c>
      <c r="J1285" t="s">
        <v>197</v>
      </c>
      <c r="K1285" t="s">
        <v>802</v>
      </c>
    </row>
    <row r="1286" spans="1:24">
      <c r="B1286" t="s">
        <v>197</v>
      </c>
      <c r="C1286" t="s">
        <v>197</v>
      </c>
      <c r="D1286" t="s">
        <v>197</v>
      </c>
      <c r="E1286" t="s">
        <v>197</v>
      </c>
      <c r="F1286" t="s">
        <v>197</v>
      </c>
      <c r="G1286" t="s">
        <v>197</v>
      </c>
      <c r="H1286" t="s">
        <v>197</v>
      </c>
      <c r="I1286" t="s">
        <v>197</v>
      </c>
      <c r="J1286" t="s">
        <v>197</v>
      </c>
      <c r="K1286" t="s">
        <v>803</v>
      </c>
    </row>
    <row r="1287" spans="1:24">
      <c r="B1287" t="s">
        <v>197</v>
      </c>
      <c r="C1287" t="s">
        <v>197</v>
      </c>
      <c r="D1287" t="s">
        <v>197</v>
      </c>
      <c r="E1287" t="s">
        <v>197</v>
      </c>
      <c r="F1287" t="s">
        <v>197</v>
      </c>
      <c r="G1287" t="s">
        <v>197</v>
      </c>
      <c r="H1287" t="s">
        <v>197</v>
      </c>
      <c r="I1287" t="s">
        <v>197</v>
      </c>
      <c r="J1287" t="s">
        <v>197</v>
      </c>
      <c r="K1287" t="s">
        <v>804</v>
      </c>
    </row>
    <row r="1288" spans="1:24">
      <c r="B1288" t="s">
        <v>197</v>
      </c>
      <c r="C1288" t="s">
        <v>197</v>
      </c>
      <c r="D1288" t="s">
        <v>197</v>
      </c>
      <c r="E1288" t="s">
        <v>197</v>
      </c>
      <c r="F1288" t="s">
        <v>197</v>
      </c>
      <c r="G1288" t="s">
        <v>197</v>
      </c>
      <c r="H1288" t="s">
        <v>197</v>
      </c>
      <c r="I1288" t="s">
        <v>197</v>
      </c>
      <c r="J1288" t="s">
        <v>197</v>
      </c>
      <c r="K1288" t="s">
        <v>805</v>
      </c>
    </row>
    <row r="1289" spans="1:24">
      <c r="B1289" t="s">
        <v>197</v>
      </c>
      <c r="C1289" t="s">
        <v>197</v>
      </c>
      <c r="D1289" t="s">
        <v>197</v>
      </c>
      <c r="E1289" t="s">
        <v>197</v>
      </c>
      <c r="F1289" t="s">
        <v>197</v>
      </c>
      <c r="G1289" t="s">
        <v>197</v>
      </c>
      <c r="H1289" t="s">
        <v>197</v>
      </c>
      <c r="I1289" t="s">
        <v>197</v>
      </c>
      <c r="J1289" t="s">
        <v>197</v>
      </c>
      <c r="K1289" t="s">
        <v>806</v>
      </c>
    </row>
    <row r="1290" spans="1:24">
      <c r="B1290" t="s">
        <v>197</v>
      </c>
      <c r="C1290" t="s">
        <v>197</v>
      </c>
      <c r="D1290" t="s">
        <v>197</v>
      </c>
      <c r="E1290" t="s">
        <v>197</v>
      </c>
      <c r="F1290" t="s">
        <v>197</v>
      </c>
      <c r="G1290" t="s">
        <v>197</v>
      </c>
      <c r="H1290" t="s">
        <v>197</v>
      </c>
      <c r="I1290" t="s">
        <v>197</v>
      </c>
      <c r="J1290" t="s">
        <v>197</v>
      </c>
      <c r="K1290" t="s">
        <v>807</v>
      </c>
    </row>
    <row r="1291" spans="1:24">
      <c r="A1291" t="s">
        <v>697</v>
      </c>
      <c r="K1291" t="s">
        <v>698</v>
      </c>
      <c r="W1291" s="1" t="str">
        <f>HYPERLINK("#2026042011hbase0!BG2","NO 源备存在差异，共2个")</f>
        <v>NO 源备存在差异，共2个</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1153</v>
      </c>
      <c r="K1312" t="s">
        <v>1154</v>
      </c>
      <c r="W1312" t="s">
        <v>171</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1144</v>
      </c>
      <c r="K1315" t="s">
        <v>1145</v>
      </c>
      <c r="W1315" s="1" t="str">
        <f>HYPERLINK("#2026042011hbase0!BH2","NO 源备存在差异，共18个")</f>
        <v>NO 源备存在差异，共18个</v>
      </c>
      <c r="X1315" t="str">
        <f>A1315</f>
        <v>info_int_dml_batch2_pk_irp1</v>
      </c>
    </row>
    <row r="1316" spans="1:24">
      <c r="B1316" t="s">
        <v>196</v>
      </c>
      <c r="C1316" t="s">
        <v>197</v>
      </c>
      <c r="D1316" t="s">
        <v>197</v>
      </c>
      <c r="E1316" t="s">
        <v>197</v>
      </c>
      <c r="F1316" t="s">
        <v>197</v>
      </c>
      <c r="G1316" t="s">
        <v>197</v>
      </c>
      <c r="H1316" t="s">
        <v>197</v>
      </c>
      <c r="I1316" t="s">
        <v>1146</v>
      </c>
      <c r="J1316" t="s">
        <v>199</v>
      </c>
      <c r="K1316" t="s">
        <v>200</v>
      </c>
    </row>
    <row r="1317" spans="1:24">
      <c r="B1317" t="s">
        <v>197</v>
      </c>
      <c r="C1317" t="s">
        <v>197</v>
      </c>
      <c r="D1317" t="s">
        <v>197</v>
      </c>
      <c r="E1317" t="s">
        <v>197</v>
      </c>
      <c r="F1317" t="s">
        <v>197</v>
      </c>
      <c r="G1317" t="s">
        <v>197</v>
      </c>
      <c r="H1317" t="s">
        <v>197</v>
      </c>
      <c r="I1317" t="s">
        <v>197</v>
      </c>
      <c r="J1317" t="s">
        <v>197</v>
      </c>
      <c r="K1317" t="s">
        <v>549</v>
      </c>
    </row>
    <row r="1318" spans="1:24">
      <c r="B1318" t="s">
        <v>197</v>
      </c>
      <c r="C1318" t="s">
        <v>197</v>
      </c>
      <c r="D1318" t="s">
        <v>197</v>
      </c>
      <c r="E1318" t="s">
        <v>197</v>
      </c>
      <c r="F1318" t="s">
        <v>197</v>
      </c>
      <c r="G1318" t="s">
        <v>197</v>
      </c>
      <c r="H1318" t="s">
        <v>197</v>
      </c>
      <c r="I1318" t="s">
        <v>197</v>
      </c>
      <c r="J1318" t="s">
        <v>197</v>
      </c>
      <c r="K1318" t="s">
        <v>550</v>
      </c>
    </row>
    <row r="1319" spans="1:24">
      <c r="B1319" t="s">
        <v>197</v>
      </c>
      <c r="C1319" t="s">
        <v>197</v>
      </c>
      <c r="D1319" t="s">
        <v>197</v>
      </c>
      <c r="E1319" t="s">
        <v>197</v>
      </c>
      <c r="F1319" t="s">
        <v>197</v>
      </c>
      <c r="G1319" t="s">
        <v>197</v>
      </c>
      <c r="H1319" t="s">
        <v>197</v>
      </c>
      <c r="I1319" t="s">
        <v>197</v>
      </c>
      <c r="J1319" t="s">
        <v>197</v>
      </c>
      <c r="K1319" t="s">
        <v>551</v>
      </c>
    </row>
    <row r="1320" spans="1:24">
      <c r="B1320" t="s">
        <v>197</v>
      </c>
      <c r="C1320" t="s">
        <v>197</v>
      </c>
      <c r="D1320" t="s">
        <v>197</v>
      </c>
      <c r="E1320" t="s">
        <v>197</v>
      </c>
      <c r="F1320" t="s">
        <v>197</v>
      </c>
      <c r="G1320" t="s">
        <v>197</v>
      </c>
      <c r="H1320" t="s">
        <v>197</v>
      </c>
      <c r="I1320" t="s">
        <v>197</v>
      </c>
      <c r="J1320" t="s">
        <v>197</v>
      </c>
      <c r="K1320" t="s">
        <v>552</v>
      </c>
    </row>
    <row r="1321" spans="1:24">
      <c r="B1321" t="s">
        <v>197</v>
      </c>
      <c r="C1321" t="s">
        <v>197</v>
      </c>
      <c r="D1321" t="s">
        <v>197</v>
      </c>
      <c r="E1321" t="s">
        <v>197</v>
      </c>
      <c r="F1321" t="s">
        <v>197</v>
      </c>
      <c r="G1321" t="s">
        <v>197</v>
      </c>
      <c r="H1321" t="s">
        <v>197</v>
      </c>
      <c r="I1321" t="s">
        <v>197</v>
      </c>
      <c r="J1321" t="s">
        <v>197</v>
      </c>
      <c r="K1321" t="s">
        <v>553</v>
      </c>
    </row>
    <row r="1322" spans="1:24">
      <c r="B1322" t="s">
        <v>197</v>
      </c>
      <c r="C1322" t="s">
        <v>197</v>
      </c>
      <c r="D1322" t="s">
        <v>197</v>
      </c>
      <c r="E1322" t="s">
        <v>197</v>
      </c>
      <c r="F1322" t="s">
        <v>197</v>
      </c>
      <c r="G1322" t="s">
        <v>197</v>
      </c>
      <c r="H1322" t="s">
        <v>197</v>
      </c>
      <c r="I1322" t="s">
        <v>197</v>
      </c>
      <c r="J1322" t="s">
        <v>197</v>
      </c>
      <c r="K1322" t="s">
        <v>554</v>
      </c>
    </row>
    <row r="1323" spans="1:24">
      <c r="B1323" t="s">
        <v>197</v>
      </c>
      <c r="C1323" t="s">
        <v>197</v>
      </c>
      <c r="D1323" t="s">
        <v>197</v>
      </c>
      <c r="E1323" t="s">
        <v>197</v>
      </c>
      <c r="F1323" t="s">
        <v>197</v>
      </c>
      <c r="G1323" t="s">
        <v>197</v>
      </c>
      <c r="H1323" t="s">
        <v>197</v>
      </c>
      <c r="I1323" t="s">
        <v>197</v>
      </c>
      <c r="J1323" t="s">
        <v>197</v>
      </c>
      <c r="K1323" t="s">
        <v>555</v>
      </c>
    </row>
    <row r="1324" spans="1:24">
      <c r="B1324" t="s">
        <v>197</v>
      </c>
      <c r="C1324" t="s">
        <v>197</v>
      </c>
      <c r="D1324" t="s">
        <v>197</v>
      </c>
      <c r="E1324" t="s">
        <v>197</v>
      </c>
      <c r="F1324" t="s">
        <v>197</v>
      </c>
      <c r="G1324" t="s">
        <v>197</v>
      </c>
      <c r="H1324" t="s">
        <v>197</v>
      </c>
      <c r="I1324" t="s">
        <v>197</v>
      </c>
      <c r="J1324" t="s">
        <v>197</v>
      </c>
      <c r="K1324" t="s">
        <v>556</v>
      </c>
    </row>
    <row r="1325" spans="1:24">
      <c r="B1325" t="s">
        <v>197</v>
      </c>
      <c r="C1325" t="s">
        <v>197</v>
      </c>
      <c r="D1325" t="s">
        <v>197</v>
      </c>
      <c r="E1325" t="s">
        <v>197</v>
      </c>
      <c r="F1325" t="s">
        <v>197</v>
      </c>
      <c r="G1325" t="s">
        <v>197</v>
      </c>
      <c r="H1325" t="s">
        <v>197</v>
      </c>
      <c r="I1325" t="s">
        <v>197</v>
      </c>
      <c r="J1325" t="s">
        <v>197</v>
      </c>
      <c r="K1325" t="s">
        <v>557</v>
      </c>
    </row>
    <row r="1326" spans="1:24">
      <c r="B1326" t="s">
        <v>197</v>
      </c>
      <c r="C1326" t="s">
        <v>197</v>
      </c>
      <c r="D1326" t="s">
        <v>197</v>
      </c>
      <c r="E1326" t="s">
        <v>197</v>
      </c>
      <c r="F1326" t="s">
        <v>197</v>
      </c>
      <c r="G1326" t="s">
        <v>197</v>
      </c>
      <c r="H1326" t="s">
        <v>197</v>
      </c>
      <c r="I1326" t="s">
        <v>197</v>
      </c>
      <c r="J1326" t="s">
        <v>197</v>
      </c>
      <c r="K1326" t="s">
        <v>558</v>
      </c>
    </row>
    <row r="1327" spans="1:24">
      <c r="B1327" t="s">
        <v>197</v>
      </c>
      <c r="C1327" t="s">
        <v>197</v>
      </c>
      <c r="D1327" t="s">
        <v>197</v>
      </c>
      <c r="E1327" t="s">
        <v>197</v>
      </c>
      <c r="F1327" t="s">
        <v>197</v>
      </c>
      <c r="G1327" t="s">
        <v>197</v>
      </c>
      <c r="H1327" t="s">
        <v>197</v>
      </c>
      <c r="I1327" t="s">
        <v>197</v>
      </c>
      <c r="J1327" t="s">
        <v>197</v>
      </c>
      <c r="K1327" t="s">
        <v>559</v>
      </c>
    </row>
    <row r="1328" spans="1:24">
      <c r="B1328" t="s">
        <v>197</v>
      </c>
      <c r="C1328" t="s">
        <v>197</v>
      </c>
      <c r="D1328" t="s">
        <v>197</v>
      </c>
      <c r="E1328" t="s">
        <v>197</v>
      </c>
      <c r="F1328" t="s">
        <v>197</v>
      </c>
      <c r="G1328" t="s">
        <v>197</v>
      </c>
      <c r="H1328" t="s">
        <v>197</v>
      </c>
      <c r="I1328" t="s">
        <v>197</v>
      </c>
      <c r="J1328" t="s">
        <v>197</v>
      </c>
      <c r="K1328" t="s">
        <v>560</v>
      </c>
    </row>
    <row r="1329" spans="1:24">
      <c r="B1329" t="s">
        <v>197</v>
      </c>
      <c r="C1329" t="s">
        <v>197</v>
      </c>
      <c r="D1329" t="s">
        <v>197</v>
      </c>
      <c r="E1329" t="s">
        <v>197</v>
      </c>
      <c r="F1329" t="s">
        <v>197</v>
      </c>
      <c r="G1329" t="s">
        <v>197</v>
      </c>
      <c r="H1329" t="s">
        <v>197</v>
      </c>
      <c r="I1329" t="s">
        <v>197</v>
      </c>
      <c r="J1329" t="s">
        <v>197</v>
      </c>
      <c r="K1329" t="s">
        <v>561</v>
      </c>
    </row>
    <row r="1330" spans="1:24">
      <c r="B1330" t="s">
        <v>197</v>
      </c>
      <c r="C1330" t="s">
        <v>197</v>
      </c>
      <c r="D1330" t="s">
        <v>197</v>
      </c>
      <c r="E1330" t="s">
        <v>197</v>
      </c>
      <c r="F1330" t="s">
        <v>197</v>
      </c>
      <c r="G1330" t="s">
        <v>197</v>
      </c>
      <c r="H1330" t="s">
        <v>197</v>
      </c>
      <c r="I1330" t="s">
        <v>197</v>
      </c>
      <c r="J1330" t="s">
        <v>197</v>
      </c>
      <c r="K1330" t="s">
        <v>562</v>
      </c>
    </row>
    <row r="1331" spans="1:24">
      <c r="B1331" t="s">
        <v>197</v>
      </c>
      <c r="C1331" t="s">
        <v>197</v>
      </c>
      <c r="D1331" t="s">
        <v>197</v>
      </c>
      <c r="E1331" t="s">
        <v>197</v>
      </c>
      <c r="F1331" t="s">
        <v>197</v>
      </c>
      <c r="G1331" t="s">
        <v>197</v>
      </c>
      <c r="H1331" t="s">
        <v>197</v>
      </c>
      <c r="I1331" t="s">
        <v>197</v>
      </c>
      <c r="J1331" t="s">
        <v>197</v>
      </c>
      <c r="K1331" t="s">
        <v>563</v>
      </c>
    </row>
    <row r="1332" spans="1:24">
      <c r="B1332" t="s">
        <v>197</v>
      </c>
      <c r="C1332" t="s">
        <v>197</v>
      </c>
      <c r="D1332" t="s">
        <v>197</v>
      </c>
      <c r="E1332" t="s">
        <v>197</v>
      </c>
      <c r="F1332" t="s">
        <v>197</v>
      </c>
      <c r="G1332" t="s">
        <v>197</v>
      </c>
      <c r="H1332" t="s">
        <v>197</v>
      </c>
      <c r="I1332" t="s">
        <v>197</v>
      </c>
      <c r="J1332" t="s">
        <v>197</v>
      </c>
      <c r="K1332" t="s">
        <v>564</v>
      </c>
    </row>
    <row r="1333" spans="1:24">
      <c r="B1333" t="s">
        <v>197</v>
      </c>
      <c r="C1333" t="s">
        <v>197</v>
      </c>
      <c r="D1333" t="s">
        <v>197</v>
      </c>
      <c r="E1333" t="s">
        <v>197</v>
      </c>
      <c r="F1333" t="s">
        <v>197</v>
      </c>
      <c r="G1333" t="s">
        <v>197</v>
      </c>
      <c r="H1333" t="s">
        <v>197</v>
      </c>
      <c r="I1333" t="s">
        <v>197</v>
      </c>
      <c r="J1333" t="s">
        <v>197</v>
      </c>
      <c r="K1333" t="s">
        <v>565</v>
      </c>
    </row>
    <row r="1334" spans="1:24">
      <c r="B1334" t="s">
        <v>197</v>
      </c>
      <c r="C1334" t="s">
        <v>197</v>
      </c>
      <c r="D1334" t="s">
        <v>197</v>
      </c>
      <c r="E1334" t="s">
        <v>197</v>
      </c>
      <c r="F1334" t="s">
        <v>197</v>
      </c>
      <c r="G1334" t="s">
        <v>197</v>
      </c>
      <c r="H1334" t="s">
        <v>197</v>
      </c>
      <c r="I1334" t="s">
        <v>197</v>
      </c>
      <c r="J1334" t="s">
        <v>197</v>
      </c>
      <c r="K1334" t="s">
        <v>566</v>
      </c>
    </row>
    <row r="1335" spans="1:24">
      <c r="B1335" t="s">
        <v>197</v>
      </c>
      <c r="C1335" t="s">
        <v>197</v>
      </c>
      <c r="D1335" t="s">
        <v>197</v>
      </c>
      <c r="E1335" t="s">
        <v>197</v>
      </c>
      <c r="F1335" t="s">
        <v>197</v>
      </c>
      <c r="G1335" t="s">
        <v>197</v>
      </c>
      <c r="H1335" t="s">
        <v>197</v>
      </c>
      <c r="I1335" t="s">
        <v>197</v>
      </c>
      <c r="J1335" t="s">
        <v>197</v>
      </c>
      <c r="K1335" t="s">
        <v>567</v>
      </c>
    </row>
    <row r="1336" spans="1:24">
      <c r="A1336" t="s">
        <v>1147</v>
      </c>
      <c r="K1336" t="s">
        <v>1148</v>
      </c>
      <c r="W1336" s="1" t="str">
        <f>HYPERLINK("#2026042011hbase0!BI2","NO 源备存在差异，共38个")</f>
        <v>NO 源备存在差异，共38个</v>
      </c>
      <c r="X1336" t="str">
        <f>A1336</f>
        <v>info_varbinary_dml_batch2_pk_irp2</v>
      </c>
    </row>
    <row r="1337" spans="1:24">
      <c r="B1337" t="s">
        <v>196</v>
      </c>
      <c r="C1337" t="s">
        <v>197</v>
      </c>
      <c r="D1337" t="s">
        <v>197</v>
      </c>
      <c r="E1337" t="s">
        <v>197</v>
      </c>
      <c r="F1337" t="s">
        <v>197</v>
      </c>
      <c r="G1337" t="s">
        <v>197</v>
      </c>
      <c r="H1337" t="s">
        <v>197</v>
      </c>
      <c r="I1337" t="s">
        <v>1149</v>
      </c>
      <c r="J1337" t="s">
        <v>199</v>
      </c>
      <c r="K1337" t="s">
        <v>200</v>
      </c>
    </row>
    <row r="1338" spans="1:24">
      <c r="B1338" t="s">
        <v>197</v>
      </c>
      <c r="C1338" t="s">
        <v>197</v>
      </c>
      <c r="D1338" t="s">
        <v>197</v>
      </c>
      <c r="E1338" t="s">
        <v>197</v>
      </c>
      <c r="F1338" t="s">
        <v>197</v>
      </c>
      <c r="G1338" t="s">
        <v>197</v>
      </c>
      <c r="H1338" t="s">
        <v>197</v>
      </c>
      <c r="I1338" t="s">
        <v>197</v>
      </c>
      <c r="J1338" t="s">
        <v>197</v>
      </c>
      <c r="K1338" t="s">
        <v>495</v>
      </c>
    </row>
    <row r="1339" spans="1:24">
      <c r="B1339" t="s">
        <v>197</v>
      </c>
      <c r="C1339" t="s">
        <v>197</v>
      </c>
      <c r="D1339" t="s">
        <v>197</v>
      </c>
      <c r="E1339" t="s">
        <v>197</v>
      </c>
      <c r="F1339" t="s">
        <v>197</v>
      </c>
      <c r="G1339" t="s">
        <v>197</v>
      </c>
      <c r="H1339" t="s">
        <v>197</v>
      </c>
      <c r="I1339" t="s">
        <v>197</v>
      </c>
      <c r="J1339" t="s">
        <v>197</v>
      </c>
      <c r="K1339" t="s">
        <v>499</v>
      </c>
    </row>
    <row r="1340" spans="1:24">
      <c r="B1340" t="s">
        <v>197</v>
      </c>
      <c r="C1340" t="s">
        <v>197</v>
      </c>
      <c r="D1340" t="s">
        <v>197</v>
      </c>
      <c r="E1340" t="s">
        <v>197</v>
      </c>
      <c r="F1340" t="s">
        <v>197</v>
      </c>
      <c r="G1340" t="s">
        <v>197</v>
      </c>
      <c r="H1340" t="s">
        <v>197</v>
      </c>
      <c r="I1340" t="s">
        <v>197</v>
      </c>
      <c r="J1340" t="s">
        <v>197</v>
      </c>
      <c r="K1340" t="s">
        <v>503</v>
      </c>
    </row>
    <row r="1341" spans="1:24">
      <c r="A1341" t="s">
        <v>1156</v>
      </c>
      <c r="K1341" t="s">
        <v>1157</v>
      </c>
      <c r="W1341" t="s">
        <v>171</v>
      </c>
      <c r="X1341" t="str">
        <f>A1341</f>
        <v>info_sdt_dml_batch1_pk_irp2</v>
      </c>
    </row>
    <row r="1342" spans="1:24">
      <c r="B1342" t="s">
        <v>196</v>
      </c>
      <c r="C1342" t="s">
        <v>197</v>
      </c>
      <c r="D1342" t="s">
        <v>197</v>
      </c>
      <c r="E1342" t="s">
        <v>197</v>
      </c>
      <c r="F1342" t="s">
        <v>197</v>
      </c>
      <c r="G1342" t="s">
        <v>197</v>
      </c>
      <c r="H1342" t="s">
        <v>197</v>
      </c>
      <c r="I1342" t="s">
        <v>1158</v>
      </c>
      <c r="J1342" t="s">
        <v>199</v>
      </c>
      <c r="K1342" t="s">
        <v>200</v>
      </c>
    </row>
    <row r="1343" spans="1:24">
      <c r="B1343" t="s">
        <v>197</v>
      </c>
      <c r="C1343" t="s">
        <v>197</v>
      </c>
      <c r="D1343" t="s">
        <v>197</v>
      </c>
      <c r="E1343" t="s">
        <v>197</v>
      </c>
      <c r="F1343" t="s">
        <v>197</v>
      </c>
      <c r="G1343" t="s">
        <v>197</v>
      </c>
      <c r="H1343" t="s">
        <v>197</v>
      </c>
      <c r="I1343" t="s">
        <v>197</v>
      </c>
      <c r="J1343" t="s">
        <v>197</v>
      </c>
      <c r="K1343" t="s">
        <v>422</v>
      </c>
    </row>
    <row r="1344" spans="1:24">
      <c r="A1344" t="s">
        <v>1159</v>
      </c>
      <c r="K1344" t="s">
        <v>1160</v>
      </c>
      <c r="W1344" t="s">
        <v>171</v>
      </c>
      <c r="X1344" t="str">
        <f>A1344</f>
        <v>info_datetimeoffset_dml_single_pk_irp</v>
      </c>
    </row>
    <row r="1345" spans="1:24">
      <c r="B1345" t="s">
        <v>196</v>
      </c>
      <c r="C1345" t="s">
        <v>197</v>
      </c>
      <c r="D1345" t="s">
        <v>197</v>
      </c>
      <c r="E1345" t="s">
        <v>197</v>
      </c>
      <c r="F1345" t="s">
        <v>197</v>
      </c>
      <c r="G1345" t="s">
        <v>197</v>
      </c>
      <c r="H1345" t="s">
        <v>197</v>
      </c>
      <c r="I1345" t="s">
        <v>1161</v>
      </c>
      <c r="J1345" t="s">
        <v>199</v>
      </c>
      <c r="K1345" t="s">
        <v>200</v>
      </c>
    </row>
    <row r="1346" spans="1:24">
      <c r="B1346" t="s">
        <v>197</v>
      </c>
      <c r="C1346" t="s">
        <v>197</v>
      </c>
      <c r="D1346" t="s">
        <v>197</v>
      </c>
      <c r="E1346" t="s">
        <v>197</v>
      </c>
      <c r="F1346" t="s">
        <v>197</v>
      </c>
      <c r="G1346" t="s">
        <v>197</v>
      </c>
      <c r="H1346" t="s">
        <v>197</v>
      </c>
      <c r="I1346" t="s">
        <v>197</v>
      </c>
      <c r="J1346" t="s">
        <v>197</v>
      </c>
      <c r="K1346" t="s">
        <v>301</v>
      </c>
    </row>
    <row r="1347" spans="1:24">
      <c r="B1347" t="s">
        <v>197</v>
      </c>
      <c r="C1347" t="s">
        <v>197</v>
      </c>
      <c r="D1347" t="s">
        <v>197</v>
      </c>
      <c r="E1347" t="s">
        <v>197</v>
      </c>
      <c r="F1347" t="s">
        <v>197</v>
      </c>
      <c r="G1347" t="s">
        <v>197</v>
      </c>
      <c r="H1347" t="s">
        <v>197</v>
      </c>
      <c r="I1347" t="s">
        <v>197</v>
      </c>
      <c r="J1347" t="s">
        <v>197</v>
      </c>
      <c r="K1347" t="s">
        <v>314</v>
      </c>
    </row>
    <row r="1348" spans="1:24">
      <c r="B1348" t="s">
        <v>197</v>
      </c>
      <c r="C1348" t="s">
        <v>197</v>
      </c>
      <c r="D1348" t="s">
        <v>197</v>
      </c>
      <c r="E1348" t="s">
        <v>197</v>
      </c>
      <c r="F1348" t="s">
        <v>197</v>
      </c>
      <c r="G1348" t="s">
        <v>197</v>
      </c>
      <c r="H1348" t="s">
        <v>197</v>
      </c>
      <c r="I1348" t="s">
        <v>197</v>
      </c>
      <c r="J1348" t="s">
        <v>197</v>
      </c>
      <c r="K1348" t="s">
        <v>324</v>
      </c>
    </row>
    <row r="1349" spans="1:24">
      <c r="B1349" t="s">
        <v>197</v>
      </c>
      <c r="C1349" t="s">
        <v>197</v>
      </c>
      <c r="D1349" t="s">
        <v>197</v>
      </c>
      <c r="E1349" t="s">
        <v>197</v>
      </c>
      <c r="F1349" t="s">
        <v>197</v>
      </c>
      <c r="G1349" t="s">
        <v>197</v>
      </c>
      <c r="H1349" t="s">
        <v>197</v>
      </c>
      <c r="I1349" t="s">
        <v>197</v>
      </c>
      <c r="J1349" t="s">
        <v>197</v>
      </c>
      <c r="K1349" t="s">
        <v>335</v>
      </c>
    </row>
    <row r="1350" spans="1:24">
      <c r="B1350" t="s">
        <v>197</v>
      </c>
      <c r="C1350" t="s">
        <v>197</v>
      </c>
      <c r="D1350" t="s">
        <v>197</v>
      </c>
      <c r="E1350" t="s">
        <v>197</v>
      </c>
      <c r="F1350" t="s">
        <v>197</v>
      </c>
      <c r="G1350" t="s">
        <v>197</v>
      </c>
      <c r="H1350" t="s">
        <v>197</v>
      </c>
      <c r="I1350" t="s">
        <v>197</v>
      </c>
      <c r="J1350" t="s">
        <v>197</v>
      </c>
      <c r="K1350" t="s">
        <v>350</v>
      </c>
    </row>
    <row r="1351" spans="1:24">
      <c r="B1351" t="s">
        <v>197</v>
      </c>
      <c r="C1351" t="s">
        <v>197</v>
      </c>
      <c r="D1351" t="s">
        <v>197</v>
      </c>
      <c r="E1351" t="s">
        <v>197</v>
      </c>
      <c r="F1351" t="s">
        <v>197</v>
      </c>
      <c r="G1351" t="s">
        <v>197</v>
      </c>
      <c r="H1351" t="s">
        <v>197</v>
      </c>
      <c r="I1351" t="s">
        <v>197</v>
      </c>
      <c r="J1351" t="s">
        <v>197</v>
      </c>
      <c r="K1351" t="s">
        <v>360</v>
      </c>
    </row>
    <row r="1352" spans="1:24">
      <c r="B1352" t="s">
        <v>197</v>
      </c>
      <c r="C1352" t="s">
        <v>197</v>
      </c>
      <c r="D1352" t="s">
        <v>197</v>
      </c>
      <c r="E1352" t="s">
        <v>197</v>
      </c>
      <c r="F1352" t="s">
        <v>197</v>
      </c>
      <c r="G1352" t="s">
        <v>197</v>
      </c>
      <c r="H1352" t="s">
        <v>197</v>
      </c>
      <c r="I1352" t="s">
        <v>197</v>
      </c>
      <c r="J1352" t="s">
        <v>197</v>
      </c>
      <c r="K1352" t="s">
        <v>367</v>
      </c>
    </row>
    <row r="1353" spans="1:24">
      <c r="B1353" t="s">
        <v>197</v>
      </c>
      <c r="C1353" t="s">
        <v>197</v>
      </c>
      <c r="D1353" t="s">
        <v>197</v>
      </c>
      <c r="E1353" t="s">
        <v>197</v>
      </c>
      <c r="F1353" t="s">
        <v>197</v>
      </c>
      <c r="G1353" t="s">
        <v>197</v>
      </c>
      <c r="H1353" t="s">
        <v>197</v>
      </c>
      <c r="I1353" t="s">
        <v>197</v>
      </c>
      <c r="J1353" t="s">
        <v>197</v>
      </c>
      <c r="K1353" t="s">
        <v>373</v>
      </c>
    </row>
    <row r="1354" spans="1:24">
      <c r="A1354" t="s">
        <v>1162</v>
      </c>
      <c r="K1354" t="s">
        <v>1163</v>
      </c>
      <c r="W1354" t="s">
        <v>171</v>
      </c>
      <c r="X1354" t="str">
        <f>A1354</f>
        <v>info_varchar_dml_batch1_pk_urp2</v>
      </c>
    </row>
    <row r="1355" spans="1:24">
      <c r="B1355" t="s">
        <v>196</v>
      </c>
      <c r="C1355" t="s">
        <v>197</v>
      </c>
      <c r="D1355" t="s">
        <v>197</v>
      </c>
      <c r="E1355" t="s">
        <v>197</v>
      </c>
      <c r="F1355" t="s">
        <v>197</v>
      </c>
      <c r="G1355" t="s">
        <v>197</v>
      </c>
      <c r="H1355" t="s">
        <v>197</v>
      </c>
      <c r="I1355" t="s">
        <v>1164</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434</v>
      </c>
    </row>
    <row r="1358" spans="1:24">
      <c r="B1358" t="s">
        <v>197</v>
      </c>
      <c r="C1358" t="s">
        <v>197</v>
      </c>
      <c r="D1358" t="s">
        <v>197</v>
      </c>
      <c r="E1358" t="s">
        <v>197</v>
      </c>
      <c r="F1358" t="s">
        <v>197</v>
      </c>
      <c r="G1358" t="s">
        <v>197</v>
      </c>
      <c r="H1358" t="s">
        <v>197</v>
      </c>
      <c r="I1358" t="s">
        <v>197</v>
      </c>
      <c r="J1358" t="s">
        <v>197</v>
      </c>
      <c r="K1358" t="s">
        <v>439</v>
      </c>
    </row>
    <row r="1359" spans="1:24">
      <c r="A1359" t="s">
        <v>1165</v>
      </c>
      <c r="K1359" t="s">
        <v>1166</v>
      </c>
      <c r="W1359" s="1" t="str">
        <f>HYPERLINK("#2026042011hbase0!BJ2","NO 源备存在差异，共44个")</f>
        <v>NO 源备存在差异，共44个</v>
      </c>
      <c r="X1359" t="str">
        <f>A1359</f>
        <v>info_int_dml_batch2_pk_irp2</v>
      </c>
    </row>
    <row r="1360" spans="1:24">
      <c r="B1360" t="s">
        <v>196</v>
      </c>
      <c r="C1360" t="s">
        <v>197</v>
      </c>
      <c r="D1360" t="s">
        <v>197</v>
      </c>
      <c r="E1360" t="s">
        <v>197</v>
      </c>
      <c r="F1360" t="s">
        <v>197</v>
      </c>
      <c r="G1360" t="s">
        <v>197</v>
      </c>
      <c r="H1360" t="s">
        <v>197</v>
      </c>
      <c r="I1360" t="s">
        <v>1167</v>
      </c>
      <c r="J1360" t="s">
        <v>199</v>
      </c>
      <c r="K1360" t="s">
        <v>200</v>
      </c>
    </row>
    <row r="1361" spans="2:11">
      <c r="B1361" t="s">
        <v>197</v>
      </c>
      <c r="C1361" t="s">
        <v>197</v>
      </c>
      <c r="D1361" t="s">
        <v>197</v>
      </c>
      <c r="E1361" t="s">
        <v>197</v>
      </c>
      <c r="F1361" t="s">
        <v>197</v>
      </c>
      <c r="G1361" t="s">
        <v>197</v>
      </c>
      <c r="H1361" t="s">
        <v>197</v>
      </c>
      <c r="I1361" t="s">
        <v>197</v>
      </c>
      <c r="J1361" t="s">
        <v>197</v>
      </c>
      <c r="K1361" t="s">
        <v>549</v>
      </c>
    </row>
    <row r="1362" spans="2:11">
      <c r="B1362" t="s">
        <v>197</v>
      </c>
      <c r="C1362" t="s">
        <v>197</v>
      </c>
      <c r="D1362" t="s">
        <v>197</v>
      </c>
      <c r="E1362" t="s">
        <v>197</v>
      </c>
      <c r="F1362" t="s">
        <v>197</v>
      </c>
      <c r="G1362" t="s">
        <v>197</v>
      </c>
      <c r="H1362" t="s">
        <v>197</v>
      </c>
      <c r="I1362" t="s">
        <v>197</v>
      </c>
      <c r="J1362" t="s">
        <v>197</v>
      </c>
      <c r="K1362" t="s">
        <v>550</v>
      </c>
    </row>
    <row r="1363" spans="2:11">
      <c r="B1363" t="s">
        <v>197</v>
      </c>
      <c r="C1363" t="s">
        <v>197</v>
      </c>
      <c r="D1363" t="s">
        <v>197</v>
      </c>
      <c r="E1363" t="s">
        <v>197</v>
      </c>
      <c r="F1363" t="s">
        <v>197</v>
      </c>
      <c r="G1363" t="s">
        <v>197</v>
      </c>
      <c r="H1363" t="s">
        <v>197</v>
      </c>
      <c r="I1363" t="s">
        <v>197</v>
      </c>
      <c r="J1363" t="s">
        <v>197</v>
      </c>
      <c r="K1363" t="s">
        <v>551</v>
      </c>
    </row>
    <row r="1364" spans="2:11">
      <c r="B1364" t="s">
        <v>197</v>
      </c>
      <c r="C1364" t="s">
        <v>197</v>
      </c>
      <c r="D1364" t="s">
        <v>197</v>
      </c>
      <c r="E1364" t="s">
        <v>197</v>
      </c>
      <c r="F1364" t="s">
        <v>197</v>
      </c>
      <c r="G1364" t="s">
        <v>197</v>
      </c>
      <c r="H1364" t="s">
        <v>197</v>
      </c>
      <c r="I1364" t="s">
        <v>197</v>
      </c>
      <c r="J1364" t="s">
        <v>197</v>
      </c>
      <c r="K1364" t="s">
        <v>552</v>
      </c>
    </row>
    <row r="1365" spans="2:11">
      <c r="B1365" t="s">
        <v>197</v>
      </c>
      <c r="C1365" t="s">
        <v>197</v>
      </c>
      <c r="D1365" t="s">
        <v>197</v>
      </c>
      <c r="E1365" t="s">
        <v>197</v>
      </c>
      <c r="F1365" t="s">
        <v>197</v>
      </c>
      <c r="G1365" t="s">
        <v>197</v>
      </c>
      <c r="H1365" t="s">
        <v>197</v>
      </c>
      <c r="I1365" t="s">
        <v>197</v>
      </c>
      <c r="J1365" t="s">
        <v>197</v>
      </c>
      <c r="K1365" t="s">
        <v>553</v>
      </c>
    </row>
    <row r="1366" spans="2:11">
      <c r="B1366" t="s">
        <v>197</v>
      </c>
      <c r="C1366" t="s">
        <v>197</v>
      </c>
      <c r="D1366" t="s">
        <v>197</v>
      </c>
      <c r="E1366" t="s">
        <v>197</v>
      </c>
      <c r="F1366" t="s">
        <v>197</v>
      </c>
      <c r="G1366" t="s">
        <v>197</v>
      </c>
      <c r="H1366" t="s">
        <v>197</v>
      </c>
      <c r="I1366" t="s">
        <v>197</v>
      </c>
      <c r="J1366" t="s">
        <v>197</v>
      </c>
      <c r="K1366" t="s">
        <v>554</v>
      </c>
    </row>
    <row r="1367" spans="2:11">
      <c r="B1367" t="s">
        <v>197</v>
      </c>
      <c r="C1367" t="s">
        <v>197</v>
      </c>
      <c r="D1367" t="s">
        <v>197</v>
      </c>
      <c r="E1367" t="s">
        <v>197</v>
      </c>
      <c r="F1367" t="s">
        <v>197</v>
      </c>
      <c r="G1367" t="s">
        <v>197</v>
      </c>
      <c r="H1367" t="s">
        <v>197</v>
      </c>
      <c r="I1367" t="s">
        <v>197</v>
      </c>
      <c r="J1367" t="s">
        <v>197</v>
      </c>
      <c r="K1367" t="s">
        <v>555</v>
      </c>
    </row>
    <row r="1368" spans="2:11">
      <c r="B1368" t="s">
        <v>197</v>
      </c>
      <c r="C1368" t="s">
        <v>197</v>
      </c>
      <c r="D1368" t="s">
        <v>197</v>
      </c>
      <c r="E1368" t="s">
        <v>197</v>
      </c>
      <c r="F1368" t="s">
        <v>197</v>
      </c>
      <c r="G1368" t="s">
        <v>197</v>
      </c>
      <c r="H1368" t="s">
        <v>197</v>
      </c>
      <c r="I1368" t="s">
        <v>197</v>
      </c>
      <c r="J1368" t="s">
        <v>197</v>
      </c>
      <c r="K1368" t="s">
        <v>556</v>
      </c>
    </row>
    <row r="1369" spans="2:11">
      <c r="B1369" t="s">
        <v>197</v>
      </c>
      <c r="C1369" t="s">
        <v>197</v>
      </c>
      <c r="D1369" t="s">
        <v>197</v>
      </c>
      <c r="E1369" t="s">
        <v>197</v>
      </c>
      <c r="F1369" t="s">
        <v>197</v>
      </c>
      <c r="G1369" t="s">
        <v>197</v>
      </c>
      <c r="H1369" t="s">
        <v>197</v>
      </c>
      <c r="I1369" t="s">
        <v>197</v>
      </c>
      <c r="J1369" t="s">
        <v>197</v>
      </c>
      <c r="K1369" t="s">
        <v>557</v>
      </c>
    </row>
    <row r="1370" spans="2:11">
      <c r="B1370" t="s">
        <v>197</v>
      </c>
      <c r="C1370" t="s">
        <v>197</v>
      </c>
      <c r="D1370" t="s">
        <v>197</v>
      </c>
      <c r="E1370" t="s">
        <v>197</v>
      </c>
      <c r="F1370" t="s">
        <v>197</v>
      </c>
      <c r="G1370" t="s">
        <v>197</v>
      </c>
      <c r="H1370" t="s">
        <v>197</v>
      </c>
      <c r="I1370" t="s">
        <v>197</v>
      </c>
      <c r="J1370" t="s">
        <v>197</v>
      </c>
      <c r="K1370" t="s">
        <v>558</v>
      </c>
    </row>
    <row r="1371" spans="2:11">
      <c r="B1371" t="s">
        <v>197</v>
      </c>
      <c r="C1371" t="s">
        <v>197</v>
      </c>
      <c r="D1371" t="s">
        <v>197</v>
      </c>
      <c r="E1371" t="s">
        <v>197</v>
      </c>
      <c r="F1371" t="s">
        <v>197</v>
      </c>
      <c r="G1371" t="s">
        <v>197</v>
      </c>
      <c r="H1371" t="s">
        <v>197</v>
      </c>
      <c r="I1371" t="s">
        <v>197</v>
      </c>
      <c r="J1371" t="s">
        <v>197</v>
      </c>
      <c r="K1371" t="s">
        <v>559</v>
      </c>
    </row>
    <row r="1372" spans="2:11">
      <c r="B1372" t="s">
        <v>197</v>
      </c>
      <c r="C1372" t="s">
        <v>197</v>
      </c>
      <c r="D1372" t="s">
        <v>197</v>
      </c>
      <c r="E1372" t="s">
        <v>197</v>
      </c>
      <c r="F1372" t="s">
        <v>197</v>
      </c>
      <c r="G1372" t="s">
        <v>197</v>
      </c>
      <c r="H1372" t="s">
        <v>197</v>
      </c>
      <c r="I1372" t="s">
        <v>197</v>
      </c>
      <c r="J1372" t="s">
        <v>197</v>
      </c>
      <c r="K1372" t="s">
        <v>560</v>
      </c>
    </row>
    <row r="1373" spans="2:11">
      <c r="B1373" t="s">
        <v>197</v>
      </c>
      <c r="C1373" t="s">
        <v>197</v>
      </c>
      <c r="D1373" t="s">
        <v>197</v>
      </c>
      <c r="E1373" t="s">
        <v>197</v>
      </c>
      <c r="F1373" t="s">
        <v>197</v>
      </c>
      <c r="G1373" t="s">
        <v>197</v>
      </c>
      <c r="H1373" t="s">
        <v>197</v>
      </c>
      <c r="I1373" t="s">
        <v>197</v>
      </c>
      <c r="J1373" t="s">
        <v>197</v>
      </c>
      <c r="K1373" t="s">
        <v>561</v>
      </c>
    </row>
    <row r="1374" spans="2:11">
      <c r="B1374" t="s">
        <v>197</v>
      </c>
      <c r="C1374" t="s">
        <v>197</v>
      </c>
      <c r="D1374" t="s">
        <v>197</v>
      </c>
      <c r="E1374" t="s">
        <v>197</v>
      </c>
      <c r="F1374" t="s">
        <v>197</v>
      </c>
      <c r="G1374" t="s">
        <v>197</v>
      </c>
      <c r="H1374" t="s">
        <v>197</v>
      </c>
      <c r="I1374" t="s">
        <v>197</v>
      </c>
      <c r="J1374" t="s">
        <v>197</v>
      </c>
      <c r="K1374" t="s">
        <v>562</v>
      </c>
    </row>
    <row r="1375" spans="2:11">
      <c r="B1375" t="s">
        <v>197</v>
      </c>
      <c r="C1375" t="s">
        <v>197</v>
      </c>
      <c r="D1375" t="s">
        <v>197</v>
      </c>
      <c r="E1375" t="s">
        <v>197</v>
      </c>
      <c r="F1375" t="s">
        <v>197</v>
      </c>
      <c r="G1375" t="s">
        <v>197</v>
      </c>
      <c r="H1375" t="s">
        <v>197</v>
      </c>
      <c r="I1375" t="s">
        <v>197</v>
      </c>
      <c r="J1375" t="s">
        <v>197</v>
      </c>
      <c r="K1375" t="s">
        <v>563</v>
      </c>
    </row>
    <row r="1376" spans="2:11">
      <c r="B1376" t="s">
        <v>197</v>
      </c>
      <c r="C1376" t="s">
        <v>197</v>
      </c>
      <c r="D1376" t="s">
        <v>197</v>
      </c>
      <c r="E1376" t="s">
        <v>197</v>
      </c>
      <c r="F1376" t="s">
        <v>197</v>
      </c>
      <c r="G1376" t="s">
        <v>197</v>
      </c>
      <c r="H1376" t="s">
        <v>197</v>
      </c>
      <c r="I1376" t="s">
        <v>197</v>
      </c>
      <c r="J1376" t="s">
        <v>197</v>
      </c>
      <c r="K1376" t="s">
        <v>564</v>
      </c>
    </row>
    <row r="1377" spans="1:24">
      <c r="B1377" t="s">
        <v>197</v>
      </c>
      <c r="C1377" t="s">
        <v>197</v>
      </c>
      <c r="D1377" t="s">
        <v>197</v>
      </c>
      <c r="E1377" t="s">
        <v>197</v>
      </c>
      <c r="F1377" t="s">
        <v>197</v>
      </c>
      <c r="G1377" t="s">
        <v>197</v>
      </c>
      <c r="H1377" t="s">
        <v>197</v>
      </c>
      <c r="I1377" t="s">
        <v>197</v>
      </c>
      <c r="J1377" t="s">
        <v>197</v>
      </c>
      <c r="K1377" t="s">
        <v>565</v>
      </c>
    </row>
    <row r="1378" spans="1:24">
      <c r="B1378" t="s">
        <v>197</v>
      </c>
      <c r="C1378" t="s">
        <v>197</v>
      </c>
      <c r="D1378" t="s">
        <v>197</v>
      </c>
      <c r="E1378" t="s">
        <v>197</v>
      </c>
      <c r="F1378" t="s">
        <v>197</v>
      </c>
      <c r="G1378" t="s">
        <v>197</v>
      </c>
      <c r="H1378" t="s">
        <v>197</v>
      </c>
      <c r="I1378" t="s">
        <v>197</v>
      </c>
      <c r="J1378" t="s">
        <v>197</v>
      </c>
      <c r="K1378" t="s">
        <v>566</v>
      </c>
    </row>
    <row r="1379" spans="1:24">
      <c r="B1379" t="s">
        <v>197</v>
      </c>
      <c r="C1379" t="s">
        <v>197</v>
      </c>
      <c r="D1379" t="s">
        <v>197</v>
      </c>
      <c r="E1379" t="s">
        <v>197</v>
      </c>
      <c r="F1379" t="s">
        <v>197</v>
      </c>
      <c r="G1379" t="s">
        <v>197</v>
      </c>
      <c r="H1379" t="s">
        <v>197</v>
      </c>
      <c r="I1379" t="s">
        <v>197</v>
      </c>
      <c r="J1379" t="s">
        <v>197</v>
      </c>
      <c r="K1379" t="s">
        <v>567</v>
      </c>
    </row>
    <row r="1380" spans="1:24">
      <c r="A1380" t="s">
        <v>1168</v>
      </c>
      <c r="K1380" t="s">
        <v>1169</v>
      </c>
      <c r="W1380" t="s">
        <v>171</v>
      </c>
      <c r="X1380" t="str">
        <f>A1380</f>
        <v>info_varchar_dml_single_pk</v>
      </c>
    </row>
    <row r="1381" spans="1:24">
      <c r="B1381" t="s">
        <v>196</v>
      </c>
      <c r="C1381" t="s">
        <v>197</v>
      </c>
      <c r="D1381" t="s">
        <v>197</v>
      </c>
      <c r="E1381" t="s">
        <v>197</v>
      </c>
      <c r="F1381" t="s">
        <v>197</v>
      </c>
      <c r="G1381" t="s">
        <v>197</v>
      </c>
      <c r="H1381" t="s">
        <v>197</v>
      </c>
      <c r="I1381" t="s">
        <v>1170</v>
      </c>
      <c r="J1381" t="s">
        <v>199</v>
      </c>
      <c r="K1381" t="s">
        <v>200</v>
      </c>
    </row>
    <row r="1382" spans="1:24">
      <c r="B1382" t="s">
        <v>197</v>
      </c>
      <c r="C1382" t="s">
        <v>197</v>
      </c>
      <c r="D1382" t="s">
        <v>197</v>
      </c>
      <c r="E1382" t="s">
        <v>197</v>
      </c>
      <c r="F1382" t="s">
        <v>197</v>
      </c>
      <c r="G1382" t="s">
        <v>197</v>
      </c>
      <c r="H1382" t="s">
        <v>197</v>
      </c>
      <c r="I1382" t="s">
        <v>197</v>
      </c>
      <c r="J1382" t="s">
        <v>197</v>
      </c>
      <c r="K1382" t="s">
        <v>431</v>
      </c>
    </row>
    <row r="1383" spans="1:24">
      <c r="B1383" t="s">
        <v>197</v>
      </c>
      <c r="C1383" t="s">
        <v>197</v>
      </c>
      <c r="D1383" t="s">
        <v>197</v>
      </c>
      <c r="E1383" t="s">
        <v>197</v>
      </c>
      <c r="F1383" t="s">
        <v>197</v>
      </c>
      <c r="G1383" t="s">
        <v>197</v>
      </c>
      <c r="H1383" t="s">
        <v>197</v>
      </c>
      <c r="I1383" t="s">
        <v>197</v>
      </c>
      <c r="J1383" t="s">
        <v>197</v>
      </c>
      <c r="K1383" t="s">
        <v>1056</v>
      </c>
    </row>
    <row r="1384" spans="1:24">
      <c r="B1384" t="s">
        <v>197</v>
      </c>
      <c r="C1384" t="s">
        <v>197</v>
      </c>
      <c r="D1384" t="s">
        <v>197</v>
      </c>
      <c r="E1384" t="s">
        <v>197</v>
      </c>
      <c r="F1384" t="s">
        <v>197</v>
      </c>
      <c r="G1384" t="s">
        <v>197</v>
      </c>
      <c r="H1384" t="s">
        <v>197</v>
      </c>
      <c r="I1384" t="s">
        <v>197</v>
      </c>
      <c r="J1384" t="s">
        <v>197</v>
      </c>
      <c r="K1384" t="s">
        <v>963</v>
      </c>
    </row>
    <row r="1385" spans="1:24">
      <c r="A1385" t="s">
        <v>1171</v>
      </c>
      <c r="K1385" t="s">
        <v>1172</v>
      </c>
      <c r="W1385" t="s">
        <v>171</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12"/>
    <mergeCell ref="A13:A15"/>
    <mergeCell ref="A16:A18"/>
    <mergeCell ref="A19:A22"/>
    <mergeCell ref="A23:A27"/>
    <mergeCell ref="A28:A33"/>
    <mergeCell ref="A34:A36"/>
    <mergeCell ref="A37:A39"/>
    <mergeCell ref="A40:A42"/>
    <mergeCell ref="A43:A47"/>
    <mergeCell ref="A48:A57"/>
    <mergeCell ref="A58:A62"/>
    <mergeCell ref="A63:A66"/>
    <mergeCell ref="A67:A70"/>
    <mergeCell ref="A71:A73"/>
    <mergeCell ref="A74:A76"/>
    <mergeCell ref="A77:A79"/>
    <mergeCell ref="A80:A84"/>
    <mergeCell ref="A85:A105"/>
    <mergeCell ref="A106:A108"/>
    <mergeCell ref="A109:A111"/>
    <mergeCell ref="A112:A116"/>
    <mergeCell ref="A117:A121"/>
    <mergeCell ref="A122:A124"/>
    <mergeCell ref="A125:A134"/>
    <mergeCell ref="A135:A138"/>
    <mergeCell ref="A139:A141"/>
    <mergeCell ref="A142:A147"/>
    <mergeCell ref="A148:A168"/>
    <mergeCell ref="A169:A173"/>
    <mergeCell ref="A174:A176"/>
    <mergeCell ref="A177:A181"/>
    <mergeCell ref="A182:A184"/>
    <mergeCell ref="A185:A189"/>
    <mergeCell ref="A190:A192"/>
    <mergeCell ref="A193:A214"/>
    <mergeCell ref="A215:A220"/>
    <mergeCell ref="A221:A223"/>
    <mergeCell ref="A224:A226"/>
    <mergeCell ref="A227:A231"/>
    <mergeCell ref="A232:A234"/>
    <mergeCell ref="A235:A239"/>
    <mergeCell ref="A240:A242"/>
    <mergeCell ref="A243:A246"/>
    <mergeCell ref="A247:A249"/>
    <mergeCell ref="A250:A254"/>
    <mergeCell ref="A255:A257"/>
    <mergeCell ref="A258:A262"/>
    <mergeCell ref="A263:A268"/>
    <mergeCell ref="A269:A273"/>
    <mergeCell ref="A274:A283"/>
    <mergeCell ref="A284:A286"/>
    <mergeCell ref="A287:A296"/>
    <mergeCell ref="A297:A306"/>
    <mergeCell ref="A307:A327"/>
    <mergeCell ref="A328:A332"/>
    <mergeCell ref="A333:A342"/>
    <mergeCell ref="A343:A348"/>
    <mergeCell ref="A349:A351"/>
    <mergeCell ref="A352:A361"/>
    <mergeCell ref="A362:A367"/>
    <mergeCell ref="A368:A370"/>
    <mergeCell ref="A371:A375"/>
    <mergeCell ref="A376:A380"/>
    <mergeCell ref="A381:A390"/>
    <mergeCell ref="A391:A401"/>
    <mergeCell ref="A402:A406"/>
    <mergeCell ref="A407:A411"/>
    <mergeCell ref="A412:A416"/>
    <mergeCell ref="A417:A426"/>
    <mergeCell ref="A427:A429"/>
    <mergeCell ref="A430:A434"/>
    <mergeCell ref="A435:A444"/>
    <mergeCell ref="A445:A449"/>
    <mergeCell ref="A450:A454"/>
    <mergeCell ref="A455:A457"/>
    <mergeCell ref="A458:A460"/>
    <mergeCell ref="A461:A470"/>
    <mergeCell ref="A471:A473"/>
    <mergeCell ref="A474:A478"/>
    <mergeCell ref="A479:A482"/>
    <mergeCell ref="A483:A492"/>
    <mergeCell ref="A493:A497"/>
    <mergeCell ref="A498:A507"/>
    <mergeCell ref="A508:A512"/>
    <mergeCell ref="A513:A522"/>
    <mergeCell ref="A523:A532"/>
    <mergeCell ref="A533:A537"/>
    <mergeCell ref="A538:A547"/>
    <mergeCell ref="A548:A557"/>
    <mergeCell ref="A558:A560"/>
    <mergeCell ref="A561:A565"/>
    <mergeCell ref="A566:A576"/>
    <mergeCell ref="A577:A581"/>
    <mergeCell ref="A582:A584"/>
    <mergeCell ref="A585:A594"/>
    <mergeCell ref="A595:A600"/>
    <mergeCell ref="A601:A610"/>
    <mergeCell ref="A611:A615"/>
    <mergeCell ref="A616:A618"/>
    <mergeCell ref="A619:A628"/>
    <mergeCell ref="A629:A633"/>
    <mergeCell ref="A634:A643"/>
    <mergeCell ref="A644:A648"/>
    <mergeCell ref="A649:A651"/>
    <mergeCell ref="A652:A656"/>
    <mergeCell ref="A657:A666"/>
    <mergeCell ref="A667:A687"/>
    <mergeCell ref="A688:A690"/>
    <mergeCell ref="A691:A695"/>
    <mergeCell ref="A696:A701"/>
    <mergeCell ref="A702:A704"/>
    <mergeCell ref="A705:A709"/>
    <mergeCell ref="A710:A713"/>
    <mergeCell ref="A714:A716"/>
    <mergeCell ref="A717:A721"/>
    <mergeCell ref="A722:A724"/>
    <mergeCell ref="A725:A745"/>
    <mergeCell ref="A746:A749"/>
    <mergeCell ref="A750:A754"/>
    <mergeCell ref="A755:A760"/>
    <mergeCell ref="A761:A765"/>
    <mergeCell ref="A766:A771"/>
    <mergeCell ref="A772:A774"/>
    <mergeCell ref="A775:A777"/>
    <mergeCell ref="A778:A782"/>
    <mergeCell ref="A783:A785"/>
    <mergeCell ref="A786:A806"/>
    <mergeCell ref="A807:A810"/>
    <mergeCell ref="A811:A815"/>
    <mergeCell ref="A816:A836"/>
    <mergeCell ref="A837:A839"/>
    <mergeCell ref="A840:A844"/>
    <mergeCell ref="A845:A849"/>
    <mergeCell ref="A850:A854"/>
    <mergeCell ref="A855:A859"/>
    <mergeCell ref="A860:A863"/>
    <mergeCell ref="A864:A869"/>
    <mergeCell ref="A870:A872"/>
    <mergeCell ref="A873:A877"/>
    <mergeCell ref="A878:A881"/>
    <mergeCell ref="A882:A884"/>
    <mergeCell ref="A885:A887"/>
    <mergeCell ref="A888:A892"/>
    <mergeCell ref="A893:A895"/>
    <mergeCell ref="A896:A900"/>
    <mergeCell ref="A901:A903"/>
    <mergeCell ref="A904:A913"/>
    <mergeCell ref="A914:A918"/>
    <mergeCell ref="A919:A924"/>
    <mergeCell ref="A925:A934"/>
    <mergeCell ref="A935:A937"/>
    <mergeCell ref="A938:A963"/>
    <mergeCell ref="A964:A968"/>
    <mergeCell ref="A969:A971"/>
    <mergeCell ref="A972:A976"/>
    <mergeCell ref="A977:A986"/>
    <mergeCell ref="A987:A991"/>
    <mergeCell ref="A992:A996"/>
    <mergeCell ref="A997:A999"/>
    <mergeCell ref="A1000:A1004"/>
    <mergeCell ref="A1005:A1014"/>
    <mergeCell ref="A1015:A1020"/>
    <mergeCell ref="A1021:A1025"/>
    <mergeCell ref="A1026:A1051"/>
    <mergeCell ref="A1052:A1057"/>
    <mergeCell ref="A1058:A1083"/>
    <mergeCell ref="A1084:A1104"/>
    <mergeCell ref="A1105:A1107"/>
    <mergeCell ref="A1108:A1112"/>
    <mergeCell ref="A1113:A1122"/>
    <mergeCell ref="A1123:A1132"/>
    <mergeCell ref="A1133:A1135"/>
    <mergeCell ref="A1136:A1140"/>
    <mergeCell ref="A1141:A1150"/>
    <mergeCell ref="A1151:A1160"/>
    <mergeCell ref="A1161:A1186"/>
    <mergeCell ref="A1187:A1189"/>
    <mergeCell ref="A1190:A1200"/>
    <mergeCell ref="A1201:A1221"/>
    <mergeCell ref="A1222:A1231"/>
    <mergeCell ref="A1232:A1236"/>
    <mergeCell ref="A1237:A1239"/>
    <mergeCell ref="A1240:A1244"/>
    <mergeCell ref="A1245:A1254"/>
    <mergeCell ref="A1255:A1257"/>
    <mergeCell ref="A1258:A1267"/>
    <mergeCell ref="A1268:A1272"/>
    <mergeCell ref="A1273:A1277"/>
    <mergeCell ref="A1278:A1280"/>
    <mergeCell ref="A1281:A1290"/>
    <mergeCell ref="A1291:A1311"/>
    <mergeCell ref="A1312:A1314"/>
    <mergeCell ref="A1315:A1335"/>
    <mergeCell ref="A1336:A1340"/>
    <mergeCell ref="A1341:A1343"/>
    <mergeCell ref="A1344:A1353"/>
    <mergeCell ref="A1354:A1358"/>
    <mergeCell ref="A1359:A1379"/>
    <mergeCell ref="A1380:A1384"/>
    <mergeCell ref="A1385:A1387"/>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8"/>
  <sheetViews>
    <sheetView topLeftCell="T1" workbookViewId="0">
      <selection activeCell="Y2" sqref="Y2"/>
    </sheetView>
  </sheetViews>
  <sheetFormatPr defaultColWidth="9" defaultRowHeight="13.5"/>
  <cols>
    <col min="25" max="25" width="50.25" style="2" customWidth="1"/>
  </cols>
  <sheetData>
    <row r="1" spans="1:25">
      <c r="A1" t="s">
        <v>1195</v>
      </c>
      <c r="E1" t="s">
        <v>1298</v>
      </c>
    </row>
    <row r="2" spans="1:25">
      <c r="A2" t="s">
        <v>157</v>
      </c>
      <c r="B2" t="s">
        <v>158</v>
      </c>
      <c r="C2" t="s">
        <v>159</v>
      </c>
      <c r="D2" t="s">
        <v>160</v>
      </c>
      <c r="E2" t="s">
        <v>161</v>
      </c>
      <c r="F2" t="s">
        <v>162</v>
      </c>
      <c r="G2" t="s">
        <v>163</v>
      </c>
      <c r="H2" t="s">
        <v>164</v>
      </c>
      <c r="I2" t="s">
        <v>165</v>
      </c>
      <c r="J2" t="s">
        <v>166</v>
      </c>
      <c r="K2" t="s">
        <v>167</v>
      </c>
      <c r="W2" t="s">
        <v>168</v>
      </c>
      <c r="Y2" s="3" t="str">
        <f>HYPERLINK("#2026042011hbase1!W3","info_int_dml_batch1_pk")</f>
        <v>info_int_dml_batch1_pk</v>
      </c>
    </row>
    <row r="3" spans="1:25">
      <c r="A3" t="s">
        <v>697</v>
      </c>
      <c r="K3" t="s">
        <v>698</v>
      </c>
      <c r="W3" s="1" t="str">
        <f>HYPERLINK("#2026042011hbase1!Y2","NO 源备存在差异，共2个")</f>
        <v>NO 源备存在差异，共2个</v>
      </c>
      <c r="X3" t="str">
        <f>A3</f>
        <v>info_int_dml_batch1_pk</v>
      </c>
      <c r="Y3" t="s">
        <v>1199</v>
      </c>
    </row>
    <row r="4" spans="1:25">
      <c r="B4" t="s">
        <v>196</v>
      </c>
      <c r="C4" t="s">
        <v>197</v>
      </c>
      <c r="D4" t="s">
        <v>197</v>
      </c>
      <c r="E4" t="s">
        <v>197</v>
      </c>
      <c r="F4" t="s">
        <v>197</v>
      </c>
      <c r="G4" t="s">
        <v>197</v>
      </c>
      <c r="H4" t="s">
        <v>197</v>
      </c>
      <c r="I4" t="s">
        <v>1299</v>
      </c>
      <c r="J4" t="s">
        <v>199</v>
      </c>
      <c r="K4" t="s">
        <v>200</v>
      </c>
      <c r="Y4" t="s">
        <v>1203</v>
      </c>
    </row>
    <row r="5" spans="1:25">
      <c r="B5" t="s">
        <v>197</v>
      </c>
      <c r="C5" t="s">
        <v>197</v>
      </c>
      <c r="D5" t="s">
        <v>197</v>
      </c>
      <c r="E5" t="s">
        <v>197</v>
      </c>
      <c r="F5" t="s">
        <v>197</v>
      </c>
      <c r="G5" t="s">
        <v>197</v>
      </c>
      <c r="H5" t="s">
        <v>197</v>
      </c>
      <c r="I5" t="s">
        <v>197</v>
      </c>
      <c r="J5" t="s">
        <v>197</v>
      </c>
      <c r="K5" t="s">
        <v>549</v>
      </c>
    </row>
    <row r="6" spans="1:25">
      <c r="B6" t="s">
        <v>197</v>
      </c>
      <c r="C6" t="s">
        <v>197</v>
      </c>
      <c r="D6" t="s">
        <v>197</v>
      </c>
      <c r="E6" t="s">
        <v>197</v>
      </c>
      <c r="F6" t="s">
        <v>197</v>
      </c>
      <c r="G6" t="s">
        <v>197</v>
      </c>
      <c r="H6" t="s">
        <v>197</v>
      </c>
      <c r="I6" t="s">
        <v>197</v>
      </c>
      <c r="J6" t="s">
        <v>197</v>
      </c>
      <c r="K6" t="s">
        <v>550</v>
      </c>
    </row>
    <row r="7" spans="1:25">
      <c r="B7" t="s">
        <v>197</v>
      </c>
      <c r="C7" t="s">
        <v>197</v>
      </c>
      <c r="D7" t="s">
        <v>197</v>
      </c>
      <c r="E7" t="s">
        <v>197</v>
      </c>
      <c r="F7" t="s">
        <v>197</v>
      </c>
      <c r="G7" t="s">
        <v>197</v>
      </c>
      <c r="H7" t="s">
        <v>197</v>
      </c>
      <c r="I7" t="s">
        <v>197</v>
      </c>
      <c r="J7" t="s">
        <v>197</v>
      </c>
      <c r="K7" t="s">
        <v>551</v>
      </c>
    </row>
    <row r="8" spans="1:25">
      <c r="B8" t="s">
        <v>197</v>
      </c>
      <c r="C8" t="s">
        <v>197</v>
      </c>
      <c r="D8" t="s">
        <v>197</v>
      </c>
      <c r="E8" t="s">
        <v>197</v>
      </c>
      <c r="F8" t="s">
        <v>197</v>
      </c>
      <c r="G8" t="s">
        <v>197</v>
      </c>
      <c r="H8" t="s">
        <v>197</v>
      </c>
      <c r="I8" t="s">
        <v>197</v>
      </c>
      <c r="J8" t="s">
        <v>197</v>
      </c>
      <c r="K8" t="s">
        <v>552</v>
      </c>
    </row>
    <row r="9" spans="1:25">
      <c r="B9" t="s">
        <v>197</v>
      </c>
      <c r="C9" t="s">
        <v>197</v>
      </c>
      <c r="D9" t="s">
        <v>197</v>
      </c>
      <c r="E9" t="s">
        <v>197</v>
      </c>
      <c r="F9" t="s">
        <v>197</v>
      </c>
      <c r="G9" t="s">
        <v>197</v>
      </c>
      <c r="H9" t="s">
        <v>197</v>
      </c>
      <c r="I9" t="s">
        <v>197</v>
      </c>
      <c r="J9" t="s">
        <v>197</v>
      </c>
      <c r="K9" t="s">
        <v>553</v>
      </c>
    </row>
    <row r="10" spans="1:25">
      <c r="B10" t="s">
        <v>197</v>
      </c>
      <c r="C10" t="s">
        <v>197</v>
      </c>
      <c r="D10" t="s">
        <v>197</v>
      </c>
      <c r="E10" t="s">
        <v>197</v>
      </c>
      <c r="F10" t="s">
        <v>197</v>
      </c>
      <c r="G10" t="s">
        <v>197</v>
      </c>
      <c r="H10" t="s">
        <v>197</v>
      </c>
      <c r="I10" t="s">
        <v>197</v>
      </c>
      <c r="J10" t="s">
        <v>197</v>
      </c>
      <c r="K10" t="s">
        <v>554</v>
      </c>
    </row>
    <row r="11" spans="1:25">
      <c r="B11" t="s">
        <v>197</v>
      </c>
      <c r="C11" t="s">
        <v>197</v>
      </c>
      <c r="D11" t="s">
        <v>197</v>
      </c>
      <c r="E11" t="s">
        <v>197</v>
      </c>
      <c r="F11" t="s">
        <v>197</v>
      </c>
      <c r="G11" t="s">
        <v>197</v>
      </c>
      <c r="H11" t="s">
        <v>197</v>
      </c>
      <c r="I11" t="s">
        <v>197</v>
      </c>
      <c r="J11" t="s">
        <v>197</v>
      </c>
      <c r="K11" t="s">
        <v>555</v>
      </c>
    </row>
    <row r="12" spans="1:25">
      <c r="B12" t="s">
        <v>197</v>
      </c>
      <c r="C12" t="s">
        <v>197</v>
      </c>
      <c r="D12" t="s">
        <v>197</v>
      </c>
      <c r="E12" t="s">
        <v>197</v>
      </c>
      <c r="F12" t="s">
        <v>197</v>
      </c>
      <c r="G12" t="s">
        <v>197</v>
      </c>
      <c r="H12" t="s">
        <v>197</v>
      </c>
      <c r="I12" t="s">
        <v>197</v>
      </c>
      <c r="J12" t="s">
        <v>197</v>
      </c>
      <c r="K12" t="s">
        <v>556</v>
      </c>
    </row>
    <row r="13" spans="1:25">
      <c r="B13" t="s">
        <v>197</v>
      </c>
      <c r="C13" t="s">
        <v>197</v>
      </c>
      <c r="D13" t="s">
        <v>197</v>
      </c>
      <c r="E13" t="s">
        <v>197</v>
      </c>
      <c r="F13" t="s">
        <v>197</v>
      </c>
      <c r="G13" t="s">
        <v>197</v>
      </c>
      <c r="H13" t="s">
        <v>197</v>
      </c>
      <c r="I13" t="s">
        <v>197</v>
      </c>
      <c r="J13" t="s">
        <v>197</v>
      </c>
      <c r="K13" t="s">
        <v>557</v>
      </c>
    </row>
    <row r="14" spans="1:25">
      <c r="B14" t="s">
        <v>197</v>
      </c>
      <c r="C14" t="s">
        <v>197</v>
      </c>
      <c r="D14" t="s">
        <v>197</v>
      </c>
      <c r="E14" t="s">
        <v>197</v>
      </c>
      <c r="F14" t="s">
        <v>197</v>
      </c>
      <c r="G14" t="s">
        <v>197</v>
      </c>
      <c r="H14" t="s">
        <v>197</v>
      </c>
      <c r="I14" t="s">
        <v>197</v>
      </c>
      <c r="J14" t="s">
        <v>197</v>
      </c>
      <c r="K14" t="s">
        <v>558</v>
      </c>
    </row>
    <row r="15" spans="1:25">
      <c r="B15" t="s">
        <v>197</v>
      </c>
      <c r="C15" t="s">
        <v>197</v>
      </c>
      <c r="D15" t="s">
        <v>197</v>
      </c>
      <c r="E15" t="s">
        <v>197</v>
      </c>
      <c r="F15" t="s">
        <v>197</v>
      </c>
      <c r="G15" t="s">
        <v>197</v>
      </c>
      <c r="H15" t="s">
        <v>197</v>
      </c>
      <c r="I15" t="s">
        <v>197</v>
      </c>
      <c r="J15" t="s">
        <v>197</v>
      </c>
      <c r="K15" t="s">
        <v>559</v>
      </c>
    </row>
    <row r="16" spans="1:25">
      <c r="B16" t="s">
        <v>197</v>
      </c>
      <c r="C16" t="s">
        <v>197</v>
      </c>
      <c r="D16" t="s">
        <v>197</v>
      </c>
      <c r="E16" t="s">
        <v>197</v>
      </c>
      <c r="F16" t="s">
        <v>197</v>
      </c>
      <c r="G16" t="s">
        <v>197</v>
      </c>
      <c r="H16" t="s">
        <v>197</v>
      </c>
      <c r="I16" t="s">
        <v>197</v>
      </c>
      <c r="J16" t="s">
        <v>197</v>
      </c>
      <c r="K16" t="s">
        <v>560</v>
      </c>
    </row>
    <row r="17" spans="1:24">
      <c r="B17" t="s">
        <v>197</v>
      </c>
      <c r="C17" t="s">
        <v>197</v>
      </c>
      <c r="D17" t="s">
        <v>197</v>
      </c>
      <c r="E17" t="s">
        <v>197</v>
      </c>
      <c r="F17" t="s">
        <v>197</v>
      </c>
      <c r="G17" t="s">
        <v>197</v>
      </c>
      <c r="H17" t="s">
        <v>197</v>
      </c>
      <c r="I17" t="s">
        <v>197</v>
      </c>
      <c r="J17" t="s">
        <v>197</v>
      </c>
      <c r="K17" t="s">
        <v>561</v>
      </c>
    </row>
    <row r="18" spans="1:24">
      <c r="B18" t="s">
        <v>197</v>
      </c>
      <c r="C18" t="s">
        <v>197</v>
      </c>
      <c r="D18" t="s">
        <v>197</v>
      </c>
      <c r="E18" t="s">
        <v>197</v>
      </c>
      <c r="F18" t="s">
        <v>197</v>
      </c>
      <c r="G18" t="s">
        <v>197</v>
      </c>
      <c r="H18" t="s">
        <v>197</v>
      </c>
      <c r="I18" t="s">
        <v>197</v>
      </c>
      <c r="J18" t="s">
        <v>197</v>
      </c>
      <c r="K18" t="s">
        <v>562</v>
      </c>
    </row>
    <row r="19" spans="1:24">
      <c r="B19" t="s">
        <v>197</v>
      </c>
      <c r="C19" t="s">
        <v>197</v>
      </c>
      <c r="D19" t="s">
        <v>197</v>
      </c>
      <c r="E19" t="s">
        <v>197</v>
      </c>
      <c r="F19" t="s">
        <v>197</v>
      </c>
      <c r="G19" t="s">
        <v>197</v>
      </c>
      <c r="H19" t="s">
        <v>197</v>
      </c>
      <c r="I19" t="s">
        <v>197</v>
      </c>
      <c r="J19" t="s">
        <v>197</v>
      </c>
      <c r="K19" t="s">
        <v>563</v>
      </c>
    </row>
    <row r="20" spans="1:24">
      <c r="B20" t="s">
        <v>197</v>
      </c>
      <c r="C20" t="s">
        <v>197</v>
      </c>
      <c r="D20" t="s">
        <v>197</v>
      </c>
      <c r="E20" t="s">
        <v>197</v>
      </c>
      <c r="F20" t="s">
        <v>197</v>
      </c>
      <c r="G20" t="s">
        <v>197</v>
      </c>
      <c r="H20" t="s">
        <v>197</v>
      </c>
      <c r="I20" t="s">
        <v>197</v>
      </c>
      <c r="J20" t="s">
        <v>197</v>
      </c>
      <c r="K20" t="s">
        <v>564</v>
      </c>
    </row>
    <row r="21" spans="1:24">
      <c r="B21" t="s">
        <v>197</v>
      </c>
      <c r="C21" t="s">
        <v>197</v>
      </c>
      <c r="D21" t="s">
        <v>197</v>
      </c>
      <c r="E21" t="s">
        <v>197</v>
      </c>
      <c r="F21" t="s">
        <v>197</v>
      </c>
      <c r="G21" t="s">
        <v>197</v>
      </c>
      <c r="H21" t="s">
        <v>197</v>
      </c>
      <c r="I21" t="s">
        <v>197</v>
      </c>
      <c r="J21" t="s">
        <v>197</v>
      </c>
      <c r="K21" t="s">
        <v>565</v>
      </c>
    </row>
    <row r="22" spans="1:24">
      <c r="B22" t="s">
        <v>197</v>
      </c>
      <c r="C22" t="s">
        <v>197</v>
      </c>
      <c r="D22" t="s">
        <v>197</v>
      </c>
      <c r="E22" t="s">
        <v>197</v>
      </c>
      <c r="F22" t="s">
        <v>197</v>
      </c>
      <c r="G22" t="s">
        <v>197</v>
      </c>
      <c r="H22" t="s">
        <v>197</v>
      </c>
      <c r="I22" t="s">
        <v>197</v>
      </c>
      <c r="J22" t="s">
        <v>197</v>
      </c>
      <c r="K22" t="s">
        <v>566</v>
      </c>
    </row>
    <row r="23" spans="1:24">
      <c r="B23" t="s">
        <v>197</v>
      </c>
      <c r="C23" t="s">
        <v>197</v>
      </c>
      <c r="D23" t="s">
        <v>197</v>
      </c>
      <c r="E23" t="s">
        <v>197</v>
      </c>
      <c r="F23" t="s">
        <v>197</v>
      </c>
      <c r="G23" t="s">
        <v>197</v>
      </c>
      <c r="H23" t="s">
        <v>197</v>
      </c>
      <c r="I23" t="s">
        <v>197</v>
      </c>
      <c r="J23" t="s">
        <v>197</v>
      </c>
      <c r="K23" t="s">
        <v>567</v>
      </c>
    </row>
    <row r="24" spans="1:24">
      <c r="A24" t="s">
        <v>911</v>
      </c>
      <c r="K24" t="s">
        <v>912</v>
      </c>
      <c r="W24" t="s">
        <v>171</v>
      </c>
      <c r="X24" t="str">
        <f>A24</f>
        <v>info_char_dml_single_pk_irp</v>
      </c>
    </row>
    <row r="25" spans="1:24">
      <c r="B25" t="s">
        <v>196</v>
      </c>
      <c r="C25" t="s">
        <v>197</v>
      </c>
      <c r="D25" t="s">
        <v>197</v>
      </c>
      <c r="E25" t="s">
        <v>197</v>
      </c>
      <c r="F25" t="s">
        <v>197</v>
      </c>
      <c r="G25" t="s">
        <v>197</v>
      </c>
      <c r="H25" t="s">
        <v>197</v>
      </c>
      <c r="I25" t="s">
        <v>1300</v>
      </c>
      <c r="J25" t="s">
        <v>199</v>
      </c>
      <c r="K25" t="s">
        <v>200</v>
      </c>
    </row>
    <row r="26" spans="1:24">
      <c r="B26" t="s">
        <v>197</v>
      </c>
      <c r="C26" t="s">
        <v>197</v>
      </c>
      <c r="D26" t="s">
        <v>197</v>
      </c>
      <c r="E26" t="s">
        <v>197</v>
      </c>
      <c r="F26" t="s">
        <v>197</v>
      </c>
      <c r="G26" t="s">
        <v>197</v>
      </c>
      <c r="H26" t="s">
        <v>197</v>
      </c>
      <c r="I26" t="s">
        <v>197</v>
      </c>
      <c r="J26" t="s">
        <v>197</v>
      </c>
      <c r="K26" t="s">
        <v>1301</v>
      </c>
    </row>
    <row r="27" spans="1:24">
      <c r="B27" t="s">
        <v>197</v>
      </c>
      <c r="C27" t="s">
        <v>197</v>
      </c>
      <c r="D27" t="s">
        <v>197</v>
      </c>
      <c r="E27" t="s">
        <v>197</v>
      </c>
      <c r="F27" t="s">
        <v>197</v>
      </c>
      <c r="G27" t="s">
        <v>197</v>
      </c>
      <c r="H27" t="s">
        <v>197</v>
      </c>
      <c r="I27" t="s">
        <v>197</v>
      </c>
      <c r="J27" t="s">
        <v>197</v>
      </c>
      <c r="K27" t="s">
        <v>623</v>
      </c>
    </row>
    <row r="28" spans="1:24">
      <c r="B28" t="s">
        <v>197</v>
      </c>
      <c r="C28" t="s">
        <v>197</v>
      </c>
      <c r="D28" t="s">
        <v>197</v>
      </c>
      <c r="E28" t="s">
        <v>197</v>
      </c>
      <c r="F28" t="s">
        <v>197</v>
      </c>
      <c r="G28" t="s">
        <v>197</v>
      </c>
      <c r="H28" t="s">
        <v>197</v>
      </c>
      <c r="I28" t="s">
        <v>197</v>
      </c>
      <c r="J28" t="s">
        <v>197</v>
      </c>
      <c r="K28" t="s">
        <v>1302</v>
      </c>
    </row>
  </sheetData>
  <mergeCells count="2">
    <mergeCell ref="A3:A23"/>
    <mergeCell ref="A24:A2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C1387"/>
  <sheetViews>
    <sheetView workbookViewId="0">
      <selection activeCell="A1" sqref="A1"/>
    </sheetView>
  </sheetViews>
  <sheetFormatPr defaultColWidth="9" defaultRowHeight="13.5"/>
  <sheetData>
    <row r="1" spans="1:107">
      <c r="A1" t="s">
        <v>1303</v>
      </c>
      <c r="E1" t="s">
        <v>1196</v>
      </c>
    </row>
    <row r="2" spans="1:107">
      <c r="A2" t="s">
        <v>157</v>
      </c>
      <c r="B2" t="s">
        <v>158</v>
      </c>
      <c r="C2" t="s">
        <v>159</v>
      </c>
      <c r="D2" t="s">
        <v>160</v>
      </c>
      <c r="E2" t="s">
        <v>161</v>
      </c>
      <c r="F2" t="s">
        <v>162</v>
      </c>
      <c r="G2" t="s">
        <v>163</v>
      </c>
      <c r="H2" t="s">
        <v>164</v>
      </c>
      <c r="I2" t="s">
        <v>165</v>
      </c>
      <c r="J2" t="s">
        <v>166</v>
      </c>
      <c r="K2" t="s">
        <v>167</v>
      </c>
      <c r="W2" t="s">
        <v>168</v>
      </c>
      <c r="Y2" s="1" t="str">
        <f>HYPERLINK("#2026042015hbase0!W21","info_sdt_dml_batch2_pk_irp2")</f>
        <v>info_sdt_dml_batch2_pk_irp2</v>
      </c>
      <c r="Z2" s="1" t="str">
        <f>HYPERLINK("#2026042015hbase0!W34","info_sdt_dml_batch1_pk_urp1")</f>
        <v>info_sdt_dml_batch1_pk_urp1</v>
      </c>
      <c r="AA2" s="1" t="str">
        <f>HYPERLINK("#2026042015hbase0!W40","info_sdt_dml_batch1_pk_urp2")</f>
        <v>info_sdt_dml_batch1_pk_urp2</v>
      </c>
      <c r="AB2" s="1" t="str">
        <f>HYPERLINK("#2026042015hbase0!W67","info_geometry_dml_single_pk_urp")</f>
        <v>info_geometry_dml_single_pk_urp</v>
      </c>
      <c r="AC2" s="1" t="str">
        <f>HYPERLINK("#2026042015hbase0!W70","info_sdt_dml_batch1_pk_drp2")</f>
        <v>info_sdt_dml_batch1_pk_drp2</v>
      </c>
      <c r="AD2" s="1" t="str">
        <f>HYPERLINK("#2026042015hbase0!W87","info_sdt_dml_batch1_pk")</f>
        <v>info_sdt_dml_batch1_pk</v>
      </c>
      <c r="AE2" s="1" t="str">
        <f>HYPERLINK("#2026042015hbase0!W90","info_int_dml_batch1_pk_urp1")</f>
        <v>info_int_dml_batch1_pk_urp1</v>
      </c>
      <c r="AF2" s="1" t="str">
        <f>HYPERLINK("#2026042015hbase0!W111","info_xml_dml_single_pk_urp")</f>
        <v>info_xml_dml_single_pk_urp</v>
      </c>
      <c r="AG2" s="1" t="str">
        <f>HYPERLINK("#2026042015hbase0!W114","info_datetime_dml_batch1_pk_irp1")</f>
        <v>info_datetime_dml_batch1_pk_irp1</v>
      </c>
      <c r="AH2" s="1" t="str">
        <f>HYPERLINK("#2026042015hbase0!W132","info_datetime_dml_batch1_pk_irp2")</f>
        <v>info_datetime_dml_batch1_pk_irp2</v>
      </c>
      <c r="AI2" s="1" t="str">
        <f>HYPERLINK("#2026042015hbase0!W135","info_datetime_dml_batch2_pk_irp1")</f>
        <v>info_datetime_dml_batch2_pk_irp1</v>
      </c>
      <c r="AJ2" s="1" t="str">
        <f>HYPERLINK("#2026042015hbase0!W153","info_int_dml_batch1_pk_urp2")</f>
        <v>info_int_dml_batch1_pk_urp2</v>
      </c>
      <c r="AK2" s="1" t="str">
        <f>HYPERLINK("#2026042015hbase0!W174","info_datetime_dml_batch2_pk_irp2")</f>
        <v>info_datetime_dml_batch2_pk_irp2</v>
      </c>
      <c r="AL2" s="1" t="str">
        <f>HYPERLINK("#2026042015hbase0!W190","info_datetime_dml_batch1_pk_urp1")</f>
        <v>info_datetime_dml_batch1_pk_urp1</v>
      </c>
      <c r="AM2" s="1" t="str">
        <f>HYPERLINK("#2026042015hbase0!W232","info_datetime_dml_batch1_pk_urp2")</f>
        <v>info_datetime_dml_batch1_pk_urp2</v>
      </c>
      <c r="AN2" s="1" t="str">
        <f>HYPERLINK("#2026042015hbase0!W240","info_geometry_dml_single_pk")</f>
        <v>info_geometry_dml_single_pk</v>
      </c>
      <c r="AO2" s="1" t="str">
        <f>HYPERLINK("#2026042015hbase0!W252","info_datetime_dml_batch1_pk_drp2")</f>
        <v>info_datetime_dml_batch1_pk_drp2</v>
      </c>
      <c r="AP2" s="1" t="str">
        <f>HYPERLINK("#2026042015hbase0!W260","info_datetime_dml_batch1_pk")</f>
        <v>info_datetime_dml_batch1_pk</v>
      </c>
      <c r="AQ2" s="1" t="str">
        <f>HYPERLINK("#2026042015hbase0!W269","info_datetime2_dml_batch1_pk_irp1")</f>
        <v>info_datetime2_dml_batch1_pk_irp1</v>
      </c>
      <c r="AR2" s="1" t="str">
        <f>HYPERLINK("#2026042015hbase0!W279","info_datetime2_dml_batch1_pk_irp2")</f>
        <v>info_datetime2_dml_batch1_pk_irp2</v>
      </c>
      <c r="AS2" s="1" t="str">
        <f>HYPERLINK("#2026042015hbase0!W294","info_datetime2_dml_batch2_pk_irp1")</f>
        <v>info_datetime2_dml_batch2_pk_irp1</v>
      </c>
      <c r="AT2" s="1" t="str">
        <f>HYPERLINK("#2026042015hbase0!W304","info_date_dml_single_pk_irp")</f>
        <v>info_date_dml_single_pk_irp</v>
      </c>
      <c r="AU2" s="1" t="str">
        <f>HYPERLINK("#2026042015hbase0!W307","info_int_dml_batch1_pk_drp2")</f>
        <v>info_int_dml_batch1_pk_drp2</v>
      </c>
      <c r="AV2" s="1" t="str">
        <f>HYPERLINK("#2026042015hbase0!W333","info_datetime2_dml_batch2_pk_irp2")</f>
        <v>info_datetime2_dml_batch2_pk_irp2</v>
      </c>
      <c r="AW2" s="1" t="str">
        <f>HYPERLINK("#2026042015hbase0!W349","info_hierarchyid_dml_single_pk_irp")</f>
        <v>info_hierarchyid_dml_single_pk_irp</v>
      </c>
      <c r="AX2" s="1" t="str">
        <f>HYPERLINK("#2026042015hbase0!W352","info_datetime2_dml_batch1_pk_urp1")</f>
        <v>info_datetime2_dml_batch1_pk_urp1</v>
      </c>
      <c r="AY2" s="1" t="str">
        <f>HYPERLINK("#2026042015hbase0!W368","info_date_dml_single_pk_urp")</f>
        <v>info_date_dml_single_pk_urp</v>
      </c>
      <c r="AZ2" s="1" t="str">
        <f>HYPERLINK("#2026042015hbase0!W371","info_datetime2_dml_batch1_pk_urp2")</f>
        <v>info_datetime2_dml_batch1_pk_urp2</v>
      </c>
      <c r="BA2" s="1" t="str">
        <f>HYPERLINK("#2026042015hbase0!W417","info_datetime2_dml_batch1_pk_drp2")</f>
        <v>info_datetime2_dml_batch1_pk_drp2</v>
      </c>
      <c r="BB2" s="1" t="str">
        <f>HYPERLINK("#2026042015hbase0!W435","info_datetime2_dml_batch1_pk")</f>
        <v>info_datetime2_dml_batch1_pk</v>
      </c>
      <c r="BC2" s="1" t="str">
        <f>HYPERLINK("#2026042015hbase0!W455","info_date_dml_single_pk_drp")</f>
        <v>info_date_dml_single_pk_drp</v>
      </c>
      <c r="BD2" s="1" t="str">
        <f>HYPERLINK("#2026042015hbase0!W471","info_date_dml_single_pk")</f>
        <v>info_date_dml_single_pk</v>
      </c>
      <c r="BE2" s="1" t="str">
        <f>HYPERLINK("#2026042015hbase0!W528","info_time_dml_single_pk_irp")</f>
        <v>info_time_dml_single_pk_irp</v>
      </c>
      <c r="BF2" s="1" t="str">
        <f>HYPERLINK("#2026042015hbase0!W538","info_date_dml_batch1_pk_irp2")</f>
        <v>info_date_dml_batch1_pk_irp2</v>
      </c>
      <c r="BG2" s="1" t="str">
        <f>HYPERLINK("#2026042015hbase0!W611","info_date_dml_batch2_pk_irp1")</f>
        <v>info_date_dml_batch2_pk_irp1</v>
      </c>
      <c r="BH2" s="1" t="str">
        <f>HYPERLINK("#2026042015hbase0!W614","info_time_dml_single_pk_urp")</f>
        <v>info_time_dml_single_pk_urp</v>
      </c>
      <c r="BI2" s="1" t="str">
        <f>HYPERLINK("#2026042015hbase0!W634","info_time_dml_single_pk_drp")</f>
        <v>info_time_dml_single_pk_drp</v>
      </c>
      <c r="BJ2" s="1" t="str">
        <f>HYPERLINK("#2026042015hbase0!W654","info_time_dml_single_pk")</f>
        <v>info_time_dml_single_pk</v>
      </c>
      <c r="BK2" s="1" t="str">
        <f>HYPERLINK("#2026042015hbase0!W664","info_date_dml_batch2_pk_irp2")</f>
        <v>info_date_dml_batch2_pk_irp2</v>
      </c>
      <c r="BL2" s="1" t="str">
        <f>HYPERLINK("#2026042015hbase0!W667","info_int_dml_single_pk_irp")</f>
        <v>info_int_dml_single_pk_irp</v>
      </c>
      <c r="BM2" s="1" t="str">
        <f>HYPERLINK("#2026042015hbase0!W688","info_sdt_dml_single_pk_irp")</f>
        <v>info_sdt_dml_single_pk_irp</v>
      </c>
      <c r="BN2" s="1" t="str">
        <f>HYPERLINK("#2026042015hbase0!W702","info_sdt_dml_single_pk_urp")</f>
        <v>info_sdt_dml_single_pk_urp</v>
      </c>
      <c r="BO2" s="1" t="str">
        <f>HYPERLINK("#2026042015hbase0!W710","info_sdt_dml_single_pk_drp")</f>
        <v>info_sdt_dml_single_pk_drp</v>
      </c>
      <c r="BP2" s="1" t="str">
        <f>HYPERLINK("#2026042015hbase0!W722","info_sdt_dml_single_pk")</f>
        <v>info_sdt_dml_single_pk</v>
      </c>
      <c r="BQ2" s="1" t="str">
        <f>HYPERLINK("#2026042015hbase0!W725","info_int_dml_single_pk_urp")</f>
        <v>info_int_dml_single_pk_urp</v>
      </c>
      <c r="BR2" s="1" t="str">
        <f>HYPERLINK("#2026042015hbase0!W766","info_date_dml_batch1_pk_urp1")</f>
        <v>info_date_dml_batch1_pk_urp1</v>
      </c>
      <c r="BS2" s="1" t="str">
        <f>HYPERLINK("#2026042015hbase0!W775","info_date_dml_batch1_pk_urp2")</f>
        <v>info_date_dml_batch1_pk_urp2</v>
      </c>
      <c r="BT2" s="1" t="str">
        <f>HYPERLINK("#2026042015hbase0!W783","info_datetime_dml_single_pk_irp")</f>
        <v>info_datetime_dml_single_pk_irp</v>
      </c>
      <c r="BU2" s="1" t="str">
        <f>HYPERLINK("#2026042015hbase0!W786","info_int_dml_single_pk_drp")</f>
        <v>info_int_dml_single_pk_drp</v>
      </c>
      <c r="BV2" s="1" t="str">
        <f>HYPERLINK("#2026042015hbase0!W842","info_timestamp_dml_single_pk_irp")</f>
        <v>info_timestamp_dml_single_pk_irp</v>
      </c>
      <c r="BW2" s="1" t="str">
        <f>HYPERLINK("#2026042015hbase0!W869","info_datetime_dml_single_pk_urp")</f>
        <v>info_datetime_dml_single_pk_urp</v>
      </c>
      <c r="BX2" s="1" t="str">
        <f>HYPERLINK("#2026042015hbase0!W887","info_date_dml_batch1_pk_drp2")</f>
        <v>info_date_dml_batch1_pk_drp2</v>
      </c>
      <c r="BY2" s="1" t="str">
        <f>HYPERLINK("#2026042015hbase0!W890","info_datetime_dml_single_pk_drp")</f>
        <v>info_datetime_dml_single_pk_drp</v>
      </c>
      <c r="BZ2" s="1" t="str">
        <f>HYPERLINK("#2026042015hbase0!W893","info_timestamp_dml_single_pk_drp")</f>
        <v>info_timestamp_dml_single_pk_drp</v>
      </c>
      <c r="CA2" s="1" t="str">
        <f>HYPERLINK("#2026042015hbase0!W896","info_date_dml_batch1_pk")</f>
        <v>info_date_dml_batch1_pk</v>
      </c>
      <c r="CB2" s="1" t="str">
        <f>HYPERLINK("#2026042015hbase0!W899","info_time_dml_batch1_pk_irp1")</f>
        <v>info_time_dml_batch1_pk_irp1</v>
      </c>
      <c r="CC2" s="1" t="str">
        <f>HYPERLINK("#2026042015hbase0!W920","info_sql_variant_dml_single_pk_irp")</f>
        <v>info_sql_variant_dml_single_pk_irp</v>
      </c>
      <c r="CD2" s="1" t="str">
        <f>HYPERLINK("#2026042015hbase0!W946","info_time_dml_batch1_pk_irp2")</f>
        <v>info_time_dml_batch1_pk_irp2</v>
      </c>
      <c r="CE2" s="1" t="str">
        <f>HYPERLINK("#2026042015hbase0!W956","info_datetime_dml_single_pk")</f>
        <v>info_datetime_dml_single_pk</v>
      </c>
      <c r="CF2" s="1" t="str">
        <f>HYPERLINK("#2026042015hbase0!W972","info_datetime2_dml_single_pk_irp")</f>
        <v>info_datetime2_dml_single_pk_irp</v>
      </c>
      <c r="CG2" s="1" t="str">
        <f>HYPERLINK("#2026042015hbase0!W997","info_geography_dml_single_pk_irp")</f>
        <v>info_geography_dml_single_pk_irp</v>
      </c>
      <c r="CH2" s="1" t="str">
        <f>HYPERLINK("#2026042015hbase0!W1005","info_time_dml_batch2_pk_irp1")</f>
        <v>info_time_dml_batch2_pk_irp1</v>
      </c>
      <c r="CI2" s="1" t="str">
        <f>HYPERLINK("#2026042015hbase0!W1032","info_sql_variant_dml_single_pk_drp")</f>
        <v>info_sql_variant_dml_single_pk_drp</v>
      </c>
      <c r="CJ2" s="1" t="str">
        <f>HYPERLINK("#2026042015hbase0!W1058","info_sql_variant_dml_single_pk_urp")</f>
        <v>info_sql_variant_dml_single_pk_urp</v>
      </c>
      <c r="CK2" s="1" t="str">
        <f>HYPERLINK("#2026042015hbase0!W1084","info_int_dml_batch1_pk_irp1")</f>
        <v>info_int_dml_batch1_pk_irp1</v>
      </c>
      <c r="CL2" s="1" t="str">
        <f>HYPERLINK("#2026042015hbase0!W1113","info_datetime2_dml_single_pk_urp")</f>
        <v>info_datetime2_dml_single_pk_urp</v>
      </c>
      <c r="CM2" s="1" t="str">
        <f>HYPERLINK("#2026042015hbase0!W1123","info_geography_dml_single_pk_urp")</f>
        <v>info_geography_dml_single_pk_urp</v>
      </c>
      <c r="CN2" s="1" t="str">
        <f>HYPERLINK("#2026042015hbase0!W1126","info_time_dml_batch2_pk_irp2")</f>
        <v>info_time_dml_batch2_pk_irp2</v>
      </c>
      <c r="CO2" s="1" t="str">
        <f>HYPERLINK("#2026042015hbase0!W1141","info_time_dml_batch1_pk_urp1")</f>
        <v>info_time_dml_batch1_pk_urp1</v>
      </c>
      <c r="CP2" s="1" t="str">
        <f>HYPERLINK("#2026042015hbase0!W1151","info_sql_variant_dml_single_pk")</f>
        <v>info_sql_variant_dml_single_pk</v>
      </c>
      <c r="CQ2" s="1" t="str">
        <f>HYPERLINK("#2026042015hbase0!W1177","info_time_dml_batch1_pk_urp2")</f>
        <v>info_time_dml_batch1_pk_urp2</v>
      </c>
      <c r="CR2" s="1" t="str">
        <f>HYPERLINK("#2026042015hbase0!W1190","info_datetime2_dml_single_pk_drp")</f>
        <v>info_datetime2_dml_single_pk_drp</v>
      </c>
      <c r="CS2" s="1" t="str">
        <f>HYPERLINK("#2026042015hbase0!W1216","info_int_dml_batch1_pk_irp2")</f>
        <v>info_int_dml_batch1_pk_irp2</v>
      </c>
      <c r="CT2" s="1" t="str">
        <f>HYPERLINK("#2026042015hbase0!W1240","info_datetime2_dml_single_pk")</f>
        <v>info_datetime2_dml_single_pk</v>
      </c>
      <c r="CU2" s="1" t="str">
        <f>HYPERLINK("#2026042015hbase0!W1250","info_geography_dml_single_pk_drp")</f>
        <v>info_geography_dml_single_pk_drp</v>
      </c>
      <c r="CV2" s="1" t="str">
        <f>HYPERLINK("#2026042015hbase0!W1258","info_time_dml_batch1_pk_drp2")</f>
        <v>info_time_dml_batch1_pk_drp2</v>
      </c>
      <c r="CW2" s="1" t="str">
        <f>HYPERLINK("#2026042015hbase0!W1281","info_time_dml_batch1_pk")</f>
        <v>info_time_dml_batch1_pk</v>
      </c>
      <c r="CX2" s="1" t="str">
        <f>HYPERLINK("#2026042015hbase0!W1291","info_int_dml_batch1_pk")</f>
        <v>info_int_dml_batch1_pk</v>
      </c>
      <c r="CY2" s="1" t="str">
        <f>HYPERLINK("#2026042015hbase0!W1312","info_sdt_dml_batch1_pk_irp1")</f>
        <v>info_sdt_dml_batch1_pk_irp1</v>
      </c>
      <c r="CZ2" s="1" t="str">
        <f>HYPERLINK("#2026042015hbase0!W1320","info_sdt_dml_batch1_pk_irp2")</f>
        <v>info_sdt_dml_batch1_pk_irp2</v>
      </c>
      <c r="DA2" s="1" t="str">
        <f>HYPERLINK("#2026042015hbase0!W1323","info_int_dml_batch2_pk_irp1")</f>
        <v>info_int_dml_batch2_pk_irp1</v>
      </c>
      <c r="DB2" s="1" t="str">
        <f>HYPERLINK("#2026042015hbase0!W1359","info_int_dml_batch2_pk_irp2")</f>
        <v>info_int_dml_batch2_pk_irp2</v>
      </c>
      <c r="DC2" s="1" t="str">
        <f>HYPERLINK("#2026042015hbase0!W1385","info_sdt_dml_batch2_pk_irp1")</f>
        <v>info_sdt_dml_batch2_pk_irp1</v>
      </c>
    </row>
    <row r="3" spans="1:107">
      <c r="A3" t="s">
        <v>380</v>
      </c>
      <c r="K3" t="s">
        <v>381</v>
      </c>
      <c r="W3" t="s">
        <v>171</v>
      </c>
      <c r="X3" t="str">
        <f>A3</f>
        <v>info_geometry_dml_single_pk_irp</v>
      </c>
      <c r="Y3" t="s">
        <v>1304</v>
      </c>
      <c r="Z3" t="s">
        <v>1305</v>
      </c>
      <c r="AA3" t="s">
        <v>1305</v>
      </c>
      <c r="AB3" t="s">
        <v>173</v>
      </c>
      <c r="AC3" t="s">
        <v>1304</v>
      </c>
      <c r="AD3" t="s">
        <v>1304</v>
      </c>
      <c r="AE3" t="s">
        <v>1197</v>
      </c>
      <c r="AF3" t="s">
        <v>1306</v>
      </c>
      <c r="AG3" t="s">
        <v>1307</v>
      </c>
      <c r="AH3" t="s">
        <v>1307</v>
      </c>
      <c r="AI3" t="s">
        <v>1307</v>
      </c>
      <c r="AJ3" t="s">
        <v>1198</v>
      </c>
      <c r="AK3" t="s">
        <v>1307</v>
      </c>
      <c r="AL3" t="s">
        <v>1308</v>
      </c>
      <c r="AM3" t="s">
        <v>1309</v>
      </c>
      <c r="AN3" t="s">
        <v>175</v>
      </c>
      <c r="AO3" t="s">
        <v>1310</v>
      </c>
      <c r="AP3" t="s">
        <v>1311</v>
      </c>
      <c r="AQ3" t="s">
        <v>1312</v>
      </c>
      <c r="AR3" t="s">
        <v>1313</v>
      </c>
      <c r="AS3" t="s">
        <v>1312</v>
      </c>
      <c r="AT3" t="s">
        <v>1314</v>
      </c>
      <c r="AU3" t="s">
        <v>176</v>
      </c>
      <c r="AV3" t="s">
        <v>1315</v>
      </c>
      <c r="AW3" t="s">
        <v>177</v>
      </c>
      <c r="AX3" t="s">
        <v>1316</v>
      </c>
      <c r="AY3" t="s">
        <v>1317</v>
      </c>
      <c r="AZ3" t="s">
        <v>1318</v>
      </c>
      <c r="BA3" t="s">
        <v>1319</v>
      </c>
      <c r="BB3" t="s">
        <v>1320</v>
      </c>
      <c r="BC3" t="s">
        <v>1321</v>
      </c>
      <c r="BD3" t="s">
        <v>1322</v>
      </c>
      <c r="BE3" t="s">
        <v>1323</v>
      </c>
      <c r="BF3" t="s">
        <v>1314</v>
      </c>
      <c r="BG3" t="s">
        <v>1314</v>
      </c>
      <c r="BH3" t="s">
        <v>1324</v>
      </c>
      <c r="BI3" t="s">
        <v>1325</v>
      </c>
      <c r="BJ3" t="s">
        <v>1326</v>
      </c>
      <c r="BK3" t="s">
        <v>1314</v>
      </c>
      <c r="BL3" t="s">
        <v>179</v>
      </c>
      <c r="BM3" t="s">
        <v>1304</v>
      </c>
      <c r="BN3" t="s">
        <v>1327</v>
      </c>
      <c r="BO3" t="s">
        <v>1304</v>
      </c>
      <c r="BP3" t="s">
        <v>1328</v>
      </c>
      <c r="BQ3" t="s">
        <v>179</v>
      </c>
      <c r="BR3" t="s">
        <v>1317</v>
      </c>
      <c r="BS3" t="s">
        <v>1329</v>
      </c>
      <c r="BT3" t="s">
        <v>1307</v>
      </c>
      <c r="BU3" t="s">
        <v>179</v>
      </c>
      <c r="BV3" t="s">
        <v>184</v>
      </c>
      <c r="BW3" t="s">
        <v>1330</v>
      </c>
      <c r="BX3" t="s">
        <v>1331</v>
      </c>
      <c r="BY3" t="s">
        <v>1332</v>
      </c>
      <c r="BZ3" t="s">
        <v>187</v>
      </c>
      <c r="CA3" t="s">
        <v>1329</v>
      </c>
      <c r="CB3" t="s">
        <v>1323</v>
      </c>
      <c r="CC3" t="s">
        <v>189</v>
      </c>
      <c r="CD3" t="s">
        <v>1323</v>
      </c>
      <c r="CE3" t="s">
        <v>1333</v>
      </c>
      <c r="CF3" t="s">
        <v>1312</v>
      </c>
      <c r="CG3" t="s">
        <v>190</v>
      </c>
      <c r="CH3" t="s">
        <v>1323</v>
      </c>
      <c r="CI3" t="s">
        <v>192</v>
      </c>
      <c r="CJ3" t="s">
        <v>191</v>
      </c>
      <c r="CK3" t="s">
        <v>179</v>
      </c>
      <c r="CL3" t="s">
        <v>1316</v>
      </c>
      <c r="CM3" t="s">
        <v>193</v>
      </c>
      <c r="CN3" t="s">
        <v>1323</v>
      </c>
      <c r="CO3" t="s">
        <v>1324</v>
      </c>
      <c r="CP3" t="s">
        <v>194</v>
      </c>
      <c r="CQ3" t="s">
        <v>1324</v>
      </c>
      <c r="CR3" t="s">
        <v>1312</v>
      </c>
      <c r="CS3" t="s">
        <v>179</v>
      </c>
      <c r="CT3" t="s">
        <v>1334</v>
      </c>
      <c r="CU3" t="s">
        <v>195</v>
      </c>
      <c r="CV3" t="s">
        <v>1323</v>
      </c>
      <c r="CW3" t="s">
        <v>1335</v>
      </c>
      <c r="CX3" t="s">
        <v>1199</v>
      </c>
      <c r="CY3" t="s">
        <v>1304</v>
      </c>
      <c r="CZ3" t="s">
        <v>1304</v>
      </c>
      <c r="DA3" t="s">
        <v>179</v>
      </c>
      <c r="DB3" t="s">
        <v>179</v>
      </c>
      <c r="DC3" t="s">
        <v>1304</v>
      </c>
    </row>
    <row r="4" spans="1:107">
      <c r="B4" t="s">
        <v>196</v>
      </c>
      <c r="C4" t="s">
        <v>197</v>
      </c>
      <c r="D4" t="s">
        <v>197</v>
      </c>
      <c r="E4" t="s">
        <v>197</v>
      </c>
      <c r="F4" t="s">
        <v>197</v>
      </c>
      <c r="G4" t="s">
        <v>197</v>
      </c>
      <c r="H4" t="s">
        <v>197</v>
      </c>
      <c r="I4" t="s">
        <v>385</v>
      </c>
      <c r="J4" t="s">
        <v>199</v>
      </c>
      <c r="K4" t="s">
        <v>200</v>
      </c>
      <c r="Y4" t="s">
        <v>1336</v>
      </c>
      <c r="Z4" t="s">
        <v>1337</v>
      </c>
      <c r="AA4" t="s">
        <v>1304</v>
      </c>
      <c r="AB4" t="s">
        <v>175</v>
      </c>
      <c r="AC4" t="s">
        <v>1336</v>
      </c>
      <c r="AD4" t="s">
        <v>1338</v>
      </c>
      <c r="AE4" t="s">
        <v>1200</v>
      </c>
      <c r="AF4" t="s">
        <v>1339</v>
      </c>
      <c r="AG4" t="s">
        <v>1332</v>
      </c>
      <c r="AH4" t="s">
        <v>1332</v>
      </c>
      <c r="AI4" t="s">
        <v>1332</v>
      </c>
      <c r="AJ4" t="s">
        <v>1201</v>
      </c>
      <c r="AK4" t="s">
        <v>1340</v>
      </c>
      <c r="AL4" t="s">
        <v>1341</v>
      </c>
      <c r="AM4" t="s">
        <v>1307</v>
      </c>
      <c r="AN4" t="s">
        <v>203</v>
      </c>
      <c r="AO4" t="s">
        <v>1342</v>
      </c>
      <c r="AP4" t="s">
        <v>1343</v>
      </c>
      <c r="AQ4" t="s">
        <v>1344</v>
      </c>
      <c r="AR4" t="s">
        <v>1345</v>
      </c>
      <c r="AS4" t="s">
        <v>1346</v>
      </c>
      <c r="AT4" t="s">
        <v>1347</v>
      </c>
      <c r="AU4" t="s">
        <v>204</v>
      </c>
      <c r="AV4" t="s">
        <v>1348</v>
      </c>
      <c r="AW4" t="s">
        <v>206</v>
      </c>
      <c r="AX4" t="s">
        <v>1349</v>
      </c>
      <c r="AY4" t="s">
        <v>1350</v>
      </c>
      <c r="AZ4" t="s">
        <v>1351</v>
      </c>
      <c r="BA4" t="s">
        <v>1352</v>
      </c>
      <c r="BB4" t="s">
        <v>1353</v>
      </c>
      <c r="BC4" t="s">
        <v>1354</v>
      </c>
      <c r="BD4" t="s">
        <v>1355</v>
      </c>
      <c r="BE4" t="s">
        <v>1325</v>
      </c>
      <c r="BF4" t="s">
        <v>1347</v>
      </c>
      <c r="BG4" t="s">
        <v>1347</v>
      </c>
      <c r="BH4" t="s">
        <v>1326</v>
      </c>
      <c r="BI4" t="s">
        <v>1356</v>
      </c>
      <c r="BJ4" t="s">
        <v>1357</v>
      </c>
      <c r="BK4" t="s">
        <v>1358</v>
      </c>
      <c r="BL4" t="s">
        <v>1202</v>
      </c>
      <c r="BM4" t="s">
        <v>1336</v>
      </c>
      <c r="BN4" t="s">
        <v>1359</v>
      </c>
      <c r="BO4" t="s">
        <v>1336</v>
      </c>
      <c r="BP4" t="s">
        <v>1360</v>
      </c>
      <c r="BQ4" t="s">
        <v>211</v>
      </c>
      <c r="BR4" t="s">
        <v>1361</v>
      </c>
      <c r="BS4" t="s">
        <v>1362</v>
      </c>
      <c r="BT4" t="s">
        <v>1332</v>
      </c>
      <c r="BU4" t="s">
        <v>211</v>
      </c>
      <c r="BV4" t="s">
        <v>216</v>
      </c>
      <c r="BW4" t="s">
        <v>1363</v>
      </c>
      <c r="BX4" t="s">
        <v>1364</v>
      </c>
      <c r="BY4" t="s">
        <v>1365</v>
      </c>
      <c r="BZ4" t="s">
        <v>219</v>
      </c>
      <c r="CA4" t="s">
        <v>1366</v>
      </c>
      <c r="CB4" t="s">
        <v>1325</v>
      </c>
      <c r="CC4" t="s">
        <v>221</v>
      </c>
      <c r="CD4" t="s">
        <v>1325</v>
      </c>
      <c r="CE4" t="s">
        <v>1367</v>
      </c>
      <c r="CF4" t="s">
        <v>1368</v>
      </c>
      <c r="CG4" t="s">
        <v>195</v>
      </c>
      <c r="CH4" t="s">
        <v>1325</v>
      </c>
      <c r="CI4" t="s">
        <v>224</v>
      </c>
      <c r="CJ4" t="s">
        <v>223</v>
      </c>
      <c r="CK4" t="s">
        <v>176</v>
      </c>
      <c r="CL4" t="s">
        <v>1369</v>
      </c>
      <c r="CM4" t="s">
        <v>225</v>
      </c>
      <c r="CN4" t="s">
        <v>1370</v>
      </c>
      <c r="CO4" t="s">
        <v>1371</v>
      </c>
      <c r="CP4" t="s">
        <v>226</v>
      </c>
      <c r="CQ4" t="s">
        <v>1335</v>
      </c>
      <c r="CR4" t="s">
        <v>1372</v>
      </c>
      <c r="CS4" t="s">
        <v>176</v>
      </c>
      <c r="CT4" t="s">
        <v>1373</v>
      </c>
      <c r="CU4" t="s">
        <v>227</v>
      </c>
      <c r="CV4" t="s">
        <v>1325</v>
      </c>
      <c r="CW4" t="s">
        <v>1325</v>
      </c>
      <c r="CX4" t="s">
        <v>1374</v>
      </c>
      <c r="CY4" t="s">
        <v>1336</v>
      </c>
      <c r="CZ4" t="s">
        <v>1336</v>
      </c>
      <c r="DA4" t="s">
        <v>176</v>
      </c>
      <c r="DB4" t="s">
        <v>176</v>
      </c>
      <c r="DC4" t="s">
        <v>1336</v>
      </c>
    </row>
    <row r="5" spans="1:107">
      <c r="B5" t="s">
        <v>197</v>
      </c>
      <c r="C5" t="s">
        <v>197</v>
      </c>
      <c r="D5" t="s">
        <v>197</v>
      </c>
      <c r="E5" t="s">
        <v>197</v>
      </c>
      <c r="F5" t="s">
        <v>197</v>
      </c>
      <c r="G5" t="s">
        <v>197</v>
      </c>
      <c r="H5" t="s">
        <v>197</v>
      </c>
      <c r="I5" t="s">
        <v>197</v>
      </c>
      <c r="J5" t="s">
        <v>197</v>
      </c>
      <c r="K5" t="s">
        <v>393</v>
      </c>
      <c r="Y5" t="s">
        <v>1375</v>
      </c>
      <c r="Z5" t="s">
        <v>1376</v>
      </c>
      <c r="AA5" t="s">
        <v>1336</v>
      </c>
      <c r="AB5" t="s">
        <v>230</v>
      </c>
      <c r="AC5" t="s">
        <v>1377</v>
      </c>
      <c r="AD5" t="s">
        <v>1378</v>
      </c>
      <c r="AE5" t="s">
        <v>1204</v>
      </c>
      <c r="AF5" t="s">
        <v>1379</v>
      </c>
      <c r="AG5" t="s">
        <v>1365</v>
      </c>
      <c r="AH5" t="s">
        <v>1365</v>
      </c>
      <c r="AI5" t="s">
        <v>1365</v>
      </c>
      <c r="AJ5" t="s">
        <v>1205</v>
      </c>
      <c r="AK5" t="s">
        <v>1380</v>
      </c>
      <c r="AL5" t="s">
        <v>1381</v>
      </c>
      <c r="AM5" t="s">
        <v>1311</v>
      </c>
      <c r="AO5" t="s">
        <v>1382</v>
      </c>
      <c r="AP5" t="s">
        <v>1383</v>
      </c>
      <c r="AQ5" t="s">
        <v>1384</v>
      </c>
      <c r="AR5" t="s">
        <v>1385</v>
      </c>
      <c r="AS5" t="s">
        <v>1384</v>
      </c>
      <c r="AT5" t="s">
        <v>1386</v>
      </c>
      <c r="AU5" t="s">
        <v>1199</v>
      </c>
      <c r="AV5" t="s">
        <v>1387</v>
      </c>
      <c r="AW5" t="s">
        <v>234</v>
      </c>
      <c r="AX5" t="s">
        <v>1320</v>
      </c>
      <c r="AY5" t="s">
        <v>1388</v>
      </c>
      <c r="AZ5" t="s">
        <v>1320</v>
      </c>
      <c r="BB5" t="s">
        <v>1389</v>
      </c>
      <c r="BC5" t="s">
        <v>1390</v>
      </c>
      <c r="BD5" t="s">
        <v>1391</v>
      </c>
      <c r="BE5" t="s">
        <v>1392</v>
      </c>
      <c r="BF5" t="s">
        <v>1393</v>
      </c>
      <c r="BG5" t="s">
        <v>1386</v>
      </c>
      <c r="BH5" t="s">
        <v>1357</v>
      </c>
      <c r="BI5" t="s">
        <v>1394</v>
      </c>
      <c r="BJ5" t="s">
        <v>1395</v>
      </c>
      <c r="BK5" t="s">
        <v>1396</v>
      </c>
      <c r="BL5" t="s">
        <v>211</v>
      </c>
      <c r="BM5" t="s">
        <v>1375</v>
      </c>
      <c r="BN5" t="s">
        <v>1397</v>
      </c>
      <c r="BO5" t="s">
        <v>1375</v>
      </c>
      <c r="BQ5" t="s">
        <v>1398</v>
      </c>
      <c r="BR5" t="s">
        <v>1399</v>
      </c>
      <c r="BS5" t="s">
        <v>1366</v>
      </c>
      <c r="BT5" t="s">
        <v>1365</v>
      </c>
      <c r="BU5" t="s">
        <v>1207</v>
      </c>
      <c r="BV5" t="s">
        <v>219</v>
      </c>
      <c r="BW5" t="s">
        <v>1400</v>
      </c>
      <c r="BX5" t="s">
        <v>1354</v>
      </c>
      <c r="BY5" t="s">
        <v>1401</v>
      </c>
      <c r="CA5" t="s">
        <v>1402</v>
      </c>
      <c r="CB5" t="s">
        <v>1392</v>
      </c>
      <c r="CC5" t="s">
        <v>245</v>
      </c>
      <c r="CD5" t="s">
        <v>1392</v>
      </c>
      <c r="CF5" t="s">
        <v>1384</v>
      </c>
      <c r="CG5" t="s">
        <v>227</v>
      </c>
      <c r="CH5" t="s">
        <v>1392</v>
      </c>
      <c r="CJ5" t="s">
        <v>247</v>
      </c>
      <c r="CK5" t="s">
        <v>204</v>
      </c>
      <c r="CL5" t="s">
        <v>1334</v>
      </c>
      <c r="CM5" t="s">
        <v>248</v>
      </c>
      <c r="CN5" t="s">
        <v>1325</v>
      </c>
      <c r="CO5" t="s">
        <v>1403</v>
      </c>
      <c r="CQ5" t="s">
        <v>1325</v>
      </c>
      <c r="CR5" t="s">
        <v>1395</v>
      </c>
      <c r="CS5" t="s">
        <v>204</v>
      </c>
      <c r="CU5" t="s">
        <v>249</v>
      </c>
      <c r="CV5" t="s">
        <v>1392</v>
      </c>
      <c r="CW5" t="s">
        <v>1392</v>
      </c>
      <c r="CY5" t="s">
        <v>1375</v>
      </c>
      <c r="CZ5" t="s">
        <v>1375</v>
      </c>
      <c r="DA5" t="s">
        <v>204</v>
      </c>
      <c r="DB5" t="s">
        <v>204</v>
      </c>
      <c r="DC5" t="s">
        <v>1375</v>
      </c>
    </row>
    <row r="6" spans="1:107">
      <c r="A6" t="s">
        <v>277</v>
      </c>
      <c r="K6" t="s">
        <v>278</v>
      </c>
      <c r="W6" t="s">
        <v>171</v>
      </c>
      <c r="X6" t="str">
        <f>A6</f>
        <v>info_datetimeoffset_dml_single_pk_urp</v>
      </c>
      <c r="Y6" t="s">
        <v>1404</v>
      </c>
      <c r="Z6" t="s">
        <v>1405</v>
      </c>
      <c r="AA6" t="s">
        <v>1406</v>
      </c>
      <c r="AB6" t="s">
        <v>253</v>
      </c>
      <c r="AC6" t="s">
        <v>1407</v>
      </c>
      <c r="AD6" t="s">
        <v>1408</v>
      </c>
      <c r="AE6" t="s">
        <v>1208</v>
      </c>
      <c r="AF6" t="s">
        <v>1409</v>
      </c>
      <c r="AG6" t="s">
        <v>1401</v>
      </c>
      <c r="AH6" t="s">
        <v>1410</v>
      </c>
      <c r="AI6" t="s">
        <v>1401</v>
      </c>
      <c r="AJ6" t="s">
        <v>1208</v>
      </c>
      <c r="AK6" t="s">
        <v>1411</v>
      </c>
      <c r="AL6" t="s">
        <v>1412</v>
      </c>
      <c r="AM6" t="s">
        <v>1365</v>
      </c>
      <c r="AO6" t="s">
        <v>1413</v>
      </c>
      <c r="AP6" t="s">
        <v>1414</v>
      </c>
      <c r="AQ6" t="s">
        <v>1319</v>
      </c>
      <c r="AR6" t="s">
        <v>1415</v>
      </c>
      <c r="AS6" t="s">
        <v>1319</v>
      </c>
      <c r="AT6" t="s">
        <v>1331</v>
      </c>
      <c r="AU6" t="s">
        <v>232</v>
      </c>
      <c r="AV6" t="s">
        <v>1416</v>
      </c>
      <c r="AW6" t="s">
        <v>257</v>
      </c>
      <c r="AX6" t="s">
        <v>1353</v>
      </c>
      <c r="AY6" t="s">
        <v>1417</v>
      </c>
      <c r="AZ6" t="s">
        <v>1353</v>
      </c>
      <c r="BB6" t="s">
        <v>1418</v>
      </c>
      <c r="BC6" t="s">
        <v>1419</v>
      </c>
      <c r="BD6" t="s">
        <v>1420</v>
      </c>
      <c r="BE6" t="s">
        <v>1356</v>
      </c>
      <c r="BF6" t="s">
        <v>1421</v>
      </c>
      <c r="BG6" t="s">
        <v>1331</v>
      </c>
      <c r="BH6" t="s">
        <v>1422</v>
      </c>
      <c r="BI6" t="s">
        <v>1423</v>
      </c>
      <c r="BJ6" t="s">
        <v>1424</v>
      </c>
      <c r="BK6" t="s">
        <v>1425</v>
      </c>
      <c r="BL6" t="s">
        <v>1207</v>
      </c>
      <c r="BM6" t="s">
        <v>1404</v>
      </c>
      <c r="BN6" t="s">
        <v>1426</v>
      </c>
      <c r="BO6" t="s">
        <v>1377</v>
      </c>
      <c r="BQ6" t="s">
        <v>1427</v>
      </c>
      <c r="BR6" t="s">
        <v>1428</v>
      </c>
      <c r="BS6" t="s">
        <v>1350</v>
      </c>
      <c r="BT6" t="s">
        <v>1401</v>
      </c>
      <c r="BU6" t="s">
        <v>1398</v>
      </c>
      <c r="BV6" t="s">
        <v>263</v>
      </c>
      <c r="BW6" t="s">
        <v>1429</v>
      </c>
      <c r="BX6" t="s">
        <v>1430</v>
      </c>
      <c r="BY6" t="s">
        <v>1310</v>
      </c>
      <c r="CA6" t="s">
        <v>1364</v>
      </c>
      <c r="CB6" t="s">
        <v>1356</v>
      </c>
      <c r="CC6" t="s">
        <v>268</v>
      </c>
      <c r="CD6" t="s">
        <v>1431</v>
      </c>
      <c r="CF6" t="s">
        <v>1319</v>
      </c>
      <c r="CG6" t="s">
        <v>270</v>
      </c>
      <c r="CH6" t="s">
        <v>1356</v>
      </c>
      <c r="CJ6" t="s">
        <v>272</v>
      </c>
      <c r="CK6" t="s">
        <v>1199</v>
      </c>
      <c r="CL6" t="s">
        <v>1432</v>
      </c>
      <c r="CM6" t="s">
        <v>273</v>
      </c>
      <c r="CN6" t="s">
        <v>1392</v>
      </c>
      <c r="CO6" t="s">
        <v>1433</v>
      </c>
      <c r="CQ6" t="s">
        <v>1392</v>
      </c>
      <c r="CR6" t="s">
        <v>1434</v>
      </c>
      <c r="CS6" t="s">
        <v>1199</v>
      </c>
      <c r="CU6" t="s">
        <v>275</v>
      </c>
      <c r="CV6" t="s">
        <v>1356</v>
      </c>
      <c r="CW6" t="s">
        <v>1356</v>
      </c>
      <c r="CY6" t="s">
        <v>1404</v>
      </c>
      <c r="CZ6" t="s">
        <v>1435</v>
      </c>
      <c r="DA6" t="s">
        <v>1199</v>
      </c>
      <c r="DB6" t="s">
        <v>1199</v>
      </c>
      <c r="DC6" t="s">
        <v>1404</v>
      </c>
    </row>
    <row r="7" spans="1:107">
      <c r="B7" t="s">
        <v>196</v>
      </c>
      <c r="C7" t="s">
        <v>197</v>
      </c>
      <c r="D7" t="s">
        <v>197</v>
      </c>
      <c r="E7" t="s">
        <v>197</v>
      </c>
      <c r="F7" t="s">
        <v>197</v>
      </c>
      <c r="G7" t="s">
        <v>197</v>
      </c>
      <c r="H7" t="s">
        <v>197</v>
      </c>
      <c r="I7" t="s">
        <v>291</v>
      </c>
      <c r="J7" t="s">
        <v>199</v>
      </c>
      <c r="K7" t="s">
        <v>200</v>
      </c>
      <c r="Y7" t="s">
        <v>1436</v>
      </c>
      <c r="Z7" t="s">
        <v>1437</v>
      </c>
      <c r="AA7" t="s">
        <v>1438</v>
      </c>
      <c r="AB7" t="s">
        <v>203</v>
      </c>
      <c r="AC7" t="s">
        <v>1439</v>
      </c>
      <c r="AD7" t="s">
        <v>1440</v>
      </c>
      <c r="AE7" t="s">
        <v>1210</v>
      </c>
      <c r="AG7" t="s">
        <v>1441</v>
      </c>
      <c r="AH7" t="s">
        <v>1442</v>
      </c>
      <c r="AI7" t="s">
        <v>1441</v>
      </c>
      <c r="AJ7" t="s">
        <v>1210</v>
      </c>
      <c r="AK7" t="s">
        <v>1443</v>
      </c>
      <c r="AL7" t="s">
        <v>1444</v>
      </c>
      <c r="AM7" t="s">
        <v>1401</v>
      </c>
      <c r="AO7" t="s">
        <v>1445</v>
      </c>
      <c r="AP7" t="s">
        <v>1446</v>
      </c>
      <c r="AQ7" t="s">
        <v>1372</v>
      </c>
      <c r="AR7" t="s">
        <v>1447</v>
      </c>
      <c r="AS7" t="s">
        <v>1372</v>
      </c>
      <c r="AT7" t="s">
        <v>1448</v>
      </c>
      <c r="AU7" t="s">
        <v>255</v>
      </c>
      <c r="AV7" t="s">
        <v>1312</v>
      </c>
      <c r="AX7" t="s">
        <v>1389</v>
      </c>
      <c r="AY7" t="s">
        <v>1322</v>
      </c>
      <c r="AZ7" t="s">
        <v>1389</v>
      </c>
      <c r="BB7" t="s">
        <v>1449</v>
      </c>
      <c r="BC7" t="s">
        <v>1450</v>
      </c>
      <c r="BD7" t="s">
        <v>1451</v>
      </c>
      <c r="BE7" t="s">
        <v>1452</v>
      </c>
      <c r="BF7" t="s">
        <v>1453</v>
      </c>
      <c r="BG7" t="s">
        <v>1448</v>
      </c>
      <c r="BH7" t="s">
        <v>1454</v>
      </c>
      <c r="BI7" t="s">
        <v>1455</v>
      </c>
      <c r="BK7" t="s">
        <v>1456</v>
      </c>
      <c r="BL7" t="s">
        <v>1398</v>
      </c>
      <c r="BM7" t="s">
        <v>1436</v>
      </c>
      <c r="BN7" t="s">
        <v>1328</v>
      </c>
      <c r="BO7" t="s">
        <v>1407</v>
      </c>
      <c r="BR7" t="s">
        <v>1402</v>
      </c>
      <c r="BS7" t="s">
        <v>1331</v>
      </c>
      <c r="BT7" t="s">
        <v>1441</v>
      </c>
      <c r="BU7" t="s">
        <v>1427</v>
      </c>
      <c r="BW7" t="s">
        <v>1333</v>
      </c>
      <c r="BX7" t="s">
        <v>1457</v>
      </c>
      <c r="BY7" t="s">
        <v>1342</v>
      </c>
      <c r="CA7" t="s">
        <v>1458</v>
      </c>
      <c r="CB7" t="s">
        <v>1459</v>
      </c>
      <c r="CD7" t="s">
        <v>1356</v>
      </c>
      <c r="CF7" t="s">
        <v>1372</v>
      </c>
      <c r="CG7" t="s">
        <v>288</v>
      </c>
      <c r="CH7" t="s">
        <v>1459</v>
      </c>
      <c r="CK7" t="s">
        <v>232</v>
      </c>
      <c r="CL7" t="s">
        <v>1460</v>
      </c>
      <c r="CN7" t="s">
        <v>1356</v>
      </c>
      <c r="CO7" t="s">
        <v>1461</v>
      </c>
      <c r="CQ7" t="s">
        <v>1356</v>
      </c>
      <c r="CS7" t="s">
        <v>232</v>
      </c>
      <c r="CV7" t="s">
        <v>1459</v>
      </c>
      <c r="CW7" t="s">
        <v>1459</v>
      </c>
      <c r="CY7" t="s">
        <v>1436</v>
      </c>
      <c r="CZ7" t="s">
        <v>1462</v>
      </c>
      <c r="DA7" t="s">
        <v>232</v>
      </c>
      <c r="DB7" t="s">
        <v>232</v>
      </c>
      <c r="DC7" t="s">
        <v>1436</v>
      </c>
    </row>
    <row r="8" spans="1:107">
      <c r="B8" t="s">
        <v>197</v>
      </c>
      <c r="C8" t="s">
        <v>197</v>
      </c>
      <c r="D8" t="s">
        <v>197</v>
      </c>
      <c r="E8" t="s">
        <v>197</v>
      </c>
      <c r="F8" t="s">
        <v>197</v>
      </c>
      <c r="G8" t="s">
        <v>197</v>
      </c>
      <c r="H8" t="s">
        <v>197</v>
      </c>
      <c r="I8" t="s">
        <v>197</v>
      </c>
      <c r="J8" t="s">
        <v>197</v>
      </c>
      <c r="K8" t="s">
        <v>301</v>
      </c>
      <c r="Y8" t="s">
        <v>1463</v>
      </c>
      <c r="Z8" t="s">
        <v>1464</v>
      </c>
      <c r="AA8" t="s">
        <v>1465</v>
      </c>
      <c r="AB8" t="s">
        <v>292</v>
      </c>
      <c r="AC8" t="s">
        <v>1466</v>
      </c>
      <c r="AD8" t="s">
        <v>1467</v>
      </c>
      <c r="AE8" t="s">
        <v>1211</v>
      </c>
      <c r="AG8" t="s">
        <v>1310</v>
      </c>
      <c r="AH8" t="s">
        <v>1468</v>
      </c>
      <c r="AI8" t="s">
        <v>1310</v>
      </c>
      <c r="AJ8" t="s">
        <v>1211</v>
      </c>
      <c r="AK8" t="s">
        <v>1332</v>
      </c>
      <c r="AL8" t="s">
        <v>1469</v>
      </c>
      <c r="AM8" t="s">
        <v>1441</v>
      </c>
      <c r="AO8" t="s">
        <v>1470</v>
      </c>
      <c r="AP8" t="s">
        <v>1471</v>
      </c>
      <c r="AQ8" t="s">
        <v>1472</v>
      </c>
      <c r="AR8" t="s">
        <v>1473</v>
      </c>
      <c r="AS8" t="s">
        <v>1472</v>
      </c>
      <c r="AT8" t="s">
        <v>1364</v>
      </c>
      <c r="AU8" t="s">
        <v>1474</v>
      </c>
      <c r="AV8" t="s">
        <v>1475</v>
      </c>
      <c r="AX8" t="s">
        <v>1476</v>
      </c>
      <c r="AY8" t="s">
        <v>1355</v>
      </c>
      <c r="AZ8" t="s">
        <v>1477</v>
      </c>
      <c r="BB8" t="s">
        <v>1478</v>
      </c>
      <c r="BC8" t="s">
        <v>1479</v>
      </c>
      <c r="BD8" t="s">
        <v>1480</v>
      </c>
      <c r="BE8" t="s">
        <v>1326</v>
      </c>
      <c r="BF8" t="s">
        <v>1481</v>
      </c>
      <c r="BG8" t="s">
        <v>1364</v>
      </c>
      <c r="BH8" t="s">
        <v>1395</v>
      </c>
      <c r="BI8" t="s">
        <v>1482</v>
      </c>
      <c r="BK8" t="s">
        <v>1483</v>
      </c>
      <c r="BL8" t="s">
        <v>1427</v>
      </c>
      <c r="BM8" t="s">
        <v>1463</v>
      </c>
      <c r="BN8" t="s">
        <v>1484</v>
      </c>
      <c r="BO8" t="s">
        <v>1485</v>
      </c>
      <c r="BR8" t="s">
        <v>1486</v>
      </c>
      <c r="BS8" t="s">
        <v>1448</v>
      </c>
      <c r="BT8" t="s">
        <v>1310</v>
      </c>
      <c r="BU8" t="s">
        <v>1487</v>
      </c>
      <c r="BW8" t="s">
        <v>1488</v>
      </c>
      <c r="BX8" t="s">
        <v>1479</v>
      </c>
      <c r="BY8" t="s">
        <v>1413</v>
      </c>
      <c r="CA8" t="s">
        <v>1489</v>
      </c>
      <c r="CB8" t="s">
        <v>1490</v>
      </c>
      <c r="CD8" t="s">
        <v>1459</v>
      </c>
      <c r="CF8" t="s">
        <v>1472</v>
      </c>
      <c r="CG8" t="s">
        <v>249</v>
      </c>
      <c r="CH8" t="s">
        <v>1490</v>
      </c>
      <c r="CK8" t="s">
        <v>211</v>
      </c>
      <c r="CL8" t="s">
        <v>1491</v>
      </c>
      <c r="CN8" t="s">
        <v>1459</v>
      </c>
      <c r="CO8" t="s">
        <v>1492</v>
      </c>
      <c r="CQ8" t="s">
        <v>1459</v>
      </c>
      <c r="CS8" t="s">
        <v>211</v>
      </c>
      <c r="CV8" t="s">
        <v>1490</v>
      </c>
      <c r="CW8" t="s">
        <v>1493</v>
      </c>
      <c r="CY8" t="s">
        <v>1463</v>
      </c>
      <c r="CZ8" t="s">
        <v>1494</v>
      </c>
      <c r="DA8" t="s">
        <v>211</v>
      </c>
      <c r="DB8" t="s">
        <v>211</v>
      </c>
      <c r="DC8" t="s">
        <v>1463</v>
      </c>
    </row>
    <row r="9" spans="1:107">
      <c r="B9" t="s">
        <v>197</v>
      </c>
      <c r="C9" t="s">
        <v>197</v>
      </c>
      <c r="D9" t="s">
        <v>197</v>
      </c>
      <c r="E9" t="s">
        <v>197</v>
      </c>
      <c r="F9" t="s">
        <v>197</v>
      </c>
      <c r="G9" t="s">
        <v>197</v>
      </c>
      <c r="H9" t="s">
        <v>197</v>
      </c>
      <c r="I9" t="s">
        <v>197</v>
      </c>
      <c r="J9" t="s">
        <v>197</v>
      </c>
      <c r="K9" t="s">
        <v>314</v>
      </c>
      <c r="Y9" t="s">
        <v>1495</v>
      </c>
      <c r="Z9" t="s">
        <v>1496</v>
      </c>
      <c r="AA9" t="s">
        <v>1496</v>
      </c>
      <c r="AC9" t="s">
        <v>1497</v>
      </c>
      <c r="AE9" t="s">
        <v>1214</v>
      </c>
      <c r="AG9" t="s">
        <v>1342</v>
      </c>
      <c r="AH9" t="s">
        <v>1401</v>
      </c>
      <c r="AI9" t="s">
        <v>1342</v>
      </c>
      <c r="AJ9" t="s">
        <v>1214</v>
      </c>
      <c r="AK9" t="s">
        <v>1498</v>
      </c>
      <c r="AL9" t="s">
        <v>1499</v>
      </c>
      <c r="AM9" t="s">
        <v>1310</v>
      </c>
      <c r="AO9" t="s">
        <v>1500</v>
      </c>
      <c r="AP9" t="s">
        <v>1501</v>
      </c>
      <c r="AQ9" t="s">
        <v>1395</v>
      </c>
      <c r="AR9" t="s">
        <v>1502</v>
      </c>
      <c r="AS9" t="s">
        <v>1395</v>
      </c>
      <c r="AT9" t="s">
        <v>1321</v>
      </c>
      <c r="AU9" t="s">
        <v>1503</v>
      </c>
      <c r="AV9" t="s">
        <v>1504</v>
      </c>
      <c r="AX9" t="s">
        <v>1505</v>
      </c>
      <c r="AY9" t="s">
        <v>1391</v>
      </c>
      <c r="AZ9" t="s">
        <v>1506</v>
      </c>
      <c r="BC9" t="s">
        <v>1507</v>
      </c>
      <c r="BE9" t="s">
        <v>1394</v>
      </c>
      <c r="BF9" t="s">
        <v>1508</v>
      </c>
      <c r="BG9" t="s">
        <v>1321</v>
      </c>
      <c r="BH9" t="s">
        <v>1424</v>
      </c>
      <c r="BI9" t="s">
        <v>1509</v>
      </c>
      <c r="BK9" t="s">
        <v>1347</v>
      </c>
      <c r="BL9" t="s">
        <v>1487</v>
      </c>
      <c r="BM9" t="s">
        <v>1510</v>
      </c>
      <c r="BN9" t="s">
        <v>1511</v>
      </c>
      <c r="BO9" t="s">
        <v>1466</v>
      </c>
      <c r="BR9" t="s">
        <v>1364</v>
      </c>
      <c r="BS9" t="s">
        <v>1364</v>
      </c>
      <c r="BT9" t="s">
        <v>1342</v>
      </c>
      <c r="BW9" t="s">
        <v>1512</v>
      </c>
      <c r="BY9" t="s">
        <v>1513</v>
      </c>
      <c r="CA9" t="s">
        <v>1514</v>
      </c>
      <c r="CB9" t="s">
        <v>1515</v>
      </c>
      <c r="CD9" t="s">
        <v>1490</v>
      </c>
      <c r="CF9" t="s">
        <v>1395</v>
      </c>
      <c r="CG9" t="s">
        <v>275</v>
      </c>
      <c r="CH9" t="s">
        <v>1515</v>
      </c>
      <c r="CK9" t="s">
        <v>255</v>
      </c>
      <c r="CL9" t="s">
        <v>1516</v>
      </c>
      <c r="CN9" t="s">
        <v>1490</v>
      </c>
      <c r="CO9" t="s">
        <v>1517</v>
      </c>
      <c r="CQ9" t="s">
        <v>1518</v>
      </c>
      <c r="CS9" t="s">
        <v>255</v>
      </c>
      <c r="CV9" t="s">
        <v>1326</v>
      </c>
      <c r="CW9" t="s">
        <v>1519</v>
      </c>
      <c r="CY9" t="s">
        <v>1510</v>
      </c>
      <c r="CZ9" t="s">
        <v>1520</v>
      </c>
      <c r="DA9" t="s">
        <v>255</v>
      </c>
      <c r="DB9" t="s">
        <v>255</v>
      </c>
      <c r="DC9" t="s">
        <v>1510</v>
      </c>
    </row>
    <row r="10" spans="1:107">
      <c r="B10" t="s">
        <v>197</v>
      </c>
      <c r="C10" t="s">
        <v>197</v>
      </c>
      <c r="D10" t="s">
        <v>197</v>
      </c>
      <c r="E10" t="s">
        <v>197</v>
      </c>
      <c r="F10" t="s">
        <v>197</v>
      </c>
      <c r="G10" t="s">
        <v>197</v>
      </c>
      <c r="H10" t="s">
        <v>197</v>
      </c>
      <c r="I10" t="s">
        <v>197</v>
      </c>
      <c r="J10" t="s">
        <v>197</v>
      </c>
      <c r="K10" t="s">
        <v>324</v>
      </c>
      <c r="Y10" t="s">
        <v>1521</v>
      </c>
      <c r="Z10" t="s">
        <v>1522</v>
      </c>
      <c r="AA10" t="s">
        <v>1523</v>
      </c>
      <c r="AC10" t="s">
        <v>1524</v>
      </c>
      <c r="AE10" t="s">
        <v>1216</v>
      </c>
      <c r="AG10" t="s">
        <v>1382</v>
      </c>
      <c r="AH10" t="s">
        <v>1441</v>
      </c>
      <c r="AI10" t="s">
        <v>1382</v>
      </c>
      <c r="AJ10" t="s">
        <v>1217</v>
      </c>
      <c r="AK10" t="s">
        <v>1525</v>
      </c>
      <c r="AL10" t="s">
        <v>1526</v>
      </c>
      <c r="AM10" t="s">
        <v>1342</v>
      </c>
      <c r="AO10" t="s">
        <v>1527</v>
      </c>
      <c r="AP10" t="s">
        <v>1528</v>
      </c>
      <c r="AQ10" t="s">
        <v>1529</v>
      </c>
      <c r="AR10" t="s">
        <v>1312</v>
      </c>
      <c r="AS10" t="s">
        <v>1530</v>
      </c>
      <c r="AT10" t="s">
        <v>1354</v>
      </c>
      <c r="AU10" t="s">
        <v>1374</v>
      </c>
      <c r="AV10" t="s">
        <v>1531</v>
      </c>
      <c r="AX10" t="s">
        <v>1516</v>
      </c>
      <c r="AY10" t="s">
        <v>1532</v>
      </c>
      <c r="AZ10" t="s">
        <v>1533</v>
      </c>
      <c r="BC10" t="s">
        <v>1534</v>
      </c>
      <c r="BE10" t="s">
        <v>1423</v>
      </c>
      <c r="BF10" t="s">
        <v>1535</v>
      </c>
      <c r="BG10" t="s">
        <v>1354</v>
      </c>
      <c r="BH10" t="s">
        <v>1536</v>
      </c>
      <c r="BI10" t="s">
        <v>1537</v>
      </c>
      <c r="BK10" t="s">
        <v>1538</v>
      </c>
      <c r="BL10" t="s">
        <v>1539</v>
      </c>
      <c r="BM10" t="s">
        <v>1377</v>
      </c>
      <c r="BN10" t="s">
        <v>1540</v>
      </c>
      <c r="BO10" t="s">
        <v>1497</v>
      </c>
      <c r="BR10" t="s">
        <v>1541</v>
      </c>
      <c r="BS10" t="s">
        <v>1321</v>
      </c>
      <c r="BT10" t="s">
        <v>1382</v>
      </c>
      <c r="BW10" t="s">
        <v>1542</v>
      </c>
      <c r="BY10" t="s">
        <v>1543</v>
      </c>
      <c r="CA10" t="s">
        <v>1544</v>
      </c>
      <c r="CB10" t="s">
        <v>1326</v>
      </c>
      <c r="CD10" t="s">
        <v>1515</v>
      </c>
      <c r="CF10" t="s">
        <v>1545</v>
      </c>
      <c r="CG10" t="s">
        <v>321</v>
      </c>
      <c r="CH10" t="s">
        <v>1326</v>
      </c>
      <c r="CK10" t="s">
        <v>1219</v>
      </c>
      <c r="CL10" t="s">
        <v>1546</v>
      </c>
      <c r="CN10" t="s">
        <v>1515</v>
      </c>
      <c r="CO10" t="s">
        <v>1547</v>
      </c>
      <c r="CQ10" t="s">
        <v>1548</v>
      </c>
      <c r="CS10" t="s">
        <v>313</v>
      </c>
      <c r="CV10" t="s">
        <v>1423</v>
      </c>
      <c r="CW10" t="s">
        <v>1537</v>
      </c>
      <c r="CY10" t="s">
        <v>1377</v>
      </c>
      <c r="CZ10" t="s">
        <v>1549</v>
      </c>
      <c r="DA10" t="s">
        <v>1219</v>
      </c>
      <c r="DB10" t="s">
        <v>313</v>
      </c>
      <c r="DC10" t="s">
        <v>1377</v>
      </c>
    </row>
    <row r="11" spans="1:107">
      <c r="B11" t="s">
        <v>197</v>
      </c>
      <c r="C11" t="s">
        <v>197</v>
      </c>
      <c r="D11" t="s">
        <v>197</v>
      </c>
      <c r="E11" t="s">
        <v>197</v>
      </c>
      <c r="F11" t="s">
        <v>197</v>
      </c>
      <c r="G11" t="s">
        <v>197</v>
      </c>
      <c r="H11" t="s">
        <v>197</v>
      </c>
      <c r="I11" t="s">
        <v>197</v>
      </c>
      <c r="J11" t="s">
        <v>197</v>
      </c>
      <c r="K11" t="s">
        <v>335</v>
      </c>
      <c r="Y11" t="s">
        <v>1550</v>
      </c>
      <c r="Z11" t="s">
        <v>1551</v>
      </c>
      <c r="AA11" t="s">
        <v>1377</v>
      </c>
      <c r="AC11" t="s">
        <v>1440</v>
      </c>
      <c r="AE11" t="s">
        <v>1220</v>
      </c>
      <c r="AG11" t="s">
        <v>1413</v>
      </c>
      <c r="AH11" t="s">
        <v>1310</v>
      </c>
      <c r="AI11" t="s">
        <v>1413</v>
      </c>
      <c r="AJ11" t="s">
        <v>1221</v>
      </c>
      <c r="AK11" t="s">
        <v>1552</v>
      </c>
      <c r="AL11" t="s">
        <v>1553</v>
      </c>
      <c r="AM11" t="s">
        <v>1382</v>
      </c>
      <c r="AO11" t="s">
        <v>1554</v>
      </c>
      <c r="AQ11" t="s">
        <v>1555</v>
      </c>
      <c r="AR11" t="s">
        <v>1556</v>
      </c>
      <c r="AS11" t="s">
        <v>1555</v>
      </c>
      <c r="AT11" t="s">
        <v>1390</v>
      </c>
      <c r="AU11" t="s">
        <v>1557</v>
      </c>
      <c r="AV11" t="s">
        <v>1346</v>
      </c>
      <c r="AX11" t="s">
        <v>1558</v>
      </c>
      <c r="AY11" t="s">
        <v>1559</v>
      </c>
      <c r="AZ11" t="s">
        <v>1560</v>
      </c>
      <c r="BE11" t="s">
        <v>1455</v>
      </c>
      <c r="BF11" t="s">
        <v>1561</v>
      </c>
      <c r="BG11" t="s">
        <v>1390</v>
      </c>
      <c r="BI11" t="s">
        <v>1562</v>
      </c>
      <c r="BK11" t="s">
        <v>1386</v>
      </c>
      <c r="BM11" t="s">
        <v>1563</v>
      </c>
      <c r="BN11" t="s">
        <v>1564</v>
      </c>
      <c r="BO11" t="s">
        <v>1565</v>
      </c>
      <c r="BR11" t="s">
        <v>1458</v>
      </c>
      <c r="BS11" t="s">
        <v>1354</v>
      </c>
      <c r="BT11" t="s">
        <v>1413</v>
      </c>
      <c r="BW11" t="s">
        <v>1566</v>
      </c>
      <c r="BY11" t="s">
        <v>1567</v>
      </c>
      <c r="CA11" t="s">
        <v>1457</v>
      </c>
      <c r="CB11" t="s">
        <v>1394</v>
      </c>
      <c r="CD11" t="s">
        <v>1568</v>
      </c>
      <c r="CF11" t="s">
        <v>1555</v>
      </c>
      <c r="CH11" t="s">
        <v>1394</v>
      </c>
      <c r="CK11" t="s">
        <v>312</v>
      </c>
      <c r="CL11" t="s">
        <v>1373</v>
      </c>
      <c r="CN11" t="s">
        <v>1326</v>
      </c>
      <c r="CO11" t="s">
        <v>1493</v>
      </c>
      <c r="CQ11" t="s">
        <v>1493</v>
      </c>
      <c r="CS11" t="s">
        <v>323</v>
      </c>
      <c r="CV11" t="s">
        <v>1537</v>
      </c>
      <c r="CW11" t="s">
        <v>1569</v>
      </c>
      <c r="CY11" t="s">
        <v>1570</v>
      </c>
      <c r="CZ11" t="s">
        <v>1404</v>
      </c>
      <c r="DA11" t="s">
        <v>312</v>
      </c>
      <c r="DB11" t="s">
        <v>323</v>
      </c>
      <c r="DC11" t="s">
        <v>1571</v>
      </c>
    </row>
    <row r="12" spans="1:107">
      <c r="B12" t="s">
        <v>197</v>
      </c>
      <c r="C12" t="s">
        <v>197</v>
      </c>
      <c r="D12" t="s">
        <v>197</v>
      </c>
      <c r="E12" t="s">
        <v>197</v>
      </c>
      <c r="F12" t="s">
        <v>197</v>
      </c>
      <c r="G12" t="s">
        <v>197</v>
      </c>
      <c r="H12" t="s">
        <v>197</v>
      </c>
      <c r="I12" t="s">
        <v>197</v>
      </c>
      <c r="J12" t="s">
        <v>197</v>
      </c>
      <c r="K12" t="s">
        <v>350</v>
      </c>
      <c r="Y12" t="s">
        <v>1510</v>
      </c>
      <c r="Z12" t="s">
        <v>1571</v>
      </c>
      <c r="AA12" t="s">
        <v>1572</v>
      </c>
      <c r="AC12" t="s">
        <v>1573</v>
      </c>
      <c r="AE12" t="s">
        <v>1223</v>
      </c>
      <c r="AG12" t="s">
        <v>1574</v>
      </c>
      <c r="AH12" t="s">
        <v>1575</v>
      </c>
      <c r="AI12" t="s">
        <v>1574</v>
      </c>
      <c r="AJ12" t="s">
        <v>1224</v>
      </c>
      <c r="AK12" t="s">
        <v>1576</v>
      </c>
      <c r="AL12" t="s">
        <v>1577</v>
      </c>
      <c r="AM12" t="s">
        <v>1413</v>
      </c>
      <c r="AO12" t="s">
        <v>1578</v>
      </c>
      <c r="AQ12" t="s">
        <v>1352</v>
      </c>
      <c r="AR12" t="s">
        <v>1579</v>
      </c>
      <c r="AS12" t="s">
        <v>1352</v>
      </c>
      <c r="AT12" t="s">
        <v>1419</v>
      </c>
      <c r="AU12" t="s">
        <v>1580</v>
      </c>
      <c r="AV12" t="s">
        <v>1384</v>
      </c>
      <c r="AX12" t="s">
        <v>1418</v>
      </c>
      <c r="AY12" t="s">
        <v>1581</v>
      </c>
      <c r="AZ12" t="s">
        <v>1418</v>
      </c>
      <c r="BE12" t="s">
        <v>1482</v>
      </c>
      <c r="BF12" t="s">
        <v>1582</v>
      </c>
      <c r="BG12" t="s">
        <v>1419</v>
      </c>
      <c r="BI12" t="s">
        <v>1583</v>
      </c>
      <c r="BK12" t="s">
        <v>1584</v>
      </c>
      <c r="BM12" t="s">
        <v>1407</v>
      </c>
      <c r="BN12" t="s">
        <v>1360</v>
      </c>
      <c r="BO12" t="s">
        <v>1440</v>
      </c>
      <c r="BR12" t="s">
        <v>1489</v>
      </c>
      <c r="BS12" t="s">
        <v>1390</v>
      </c>
      <c r="BT12" t="s">
        <v>1574</v>
      </c>
      <c r="BW12" t="s">
        <v>1585</v>
      </c>
      <c r="BY12" t="s">
        <v>1586</v>
      </c>
      <c r="CA12" t="s">
        <v>1587</v>
      </c>
      <c r="CB12" t="s">
        <v>1423</v>
      </c>
      <c r="CD12" t="s">
        <v>1326</v>
      </c>
      <c r="CF12" t="s">
        <v>1352</v>
      </c>
      <c r="CH12" t="s">
        <v>1423</v>
      </c>
      <c r="CK12" t="s">
        <v>1398</v>
      </c>
      <c r="CL12" t="s">
        <v>1588</v>
      </c>
      <c r="CN12" t="s">
        <v>1394</v>
      </c>
      <c r="CO12" t="s">
        <v>1589</v>
      </c>
      <c r="CQ12" t="s">
        <v>1394</v>
      </c>
      <c r="CS12" t="s">
        <v>1226</v>
      </c>
      <c r="CV12" t="s">
        <v>1395</v>
      </c>
      <c r="CW12" t="s">
        <v>1590</v>
      </c>
      <c r="CY12" t="s">
        <v>1407</v>
      </c>
      <c r="CZ12" t="s">
        <v>1591</v>
      </c>
      <c r="DA12" t="s">
        <v>1398</v>
      </c>
      <c r="DB12" t="s">
        <v>1226</v>
      </c>
      <c r="DC12" t="s">
        <v>1407</v>
      </c>
    </row>
    <row r="13" spans="1:107">
      <c r="B13" t="s">
        <v>197</v>
      </c>
      <c r="C13" t="s">
        <v>197</v>
      </c>
      <c r="D13" t="s">
        <v>197</v>
      </c>
      <c r="E13" t="s">
        <v>197</v>
      </c>
      <c r="F13" t="s">
        <v>197</v>
      </c>
      <c r="G13" t="s">
        <v>197</v>
      </c>
      <c r="H13" t="s">
        <v>197</v>
      </c>
      <c r="I13" t="s">
        <v>197</v>
      </c>
      <c r="J13" t="s">
        <v>197</v>
      </c>
      <c r="K13" t="s">
        <v>360</v>
      </c>
      <c r="Y13" t="s">
        <v>1592</v>
      </c>
      <c r="Z13" t="s">
        <v>1593</v>
      </c>
      <c r="AA13" t="s">
        <v>1407</v>
      </c>
      <c r="AE13" t="s">
        <v>1227</v>
      </c>
      <c r="AG13" t="s">
        <v>1594</v>
      </c>
      <c r="AH13" t="s">
        <v>1595</v>
      </c>
      <c r="AI13" t="s">
        <v>1594</v>
      </c>
      <c r="AJ13" t="s">
        <v>1228</v>
      </c>
      <c r="AK13" t="s">
        <v>1596</v>
      </c>
      <c r="AL13" t="s">
        <v>1597</v>
      </c>
      <c r="AM13" t="s">
        <v>1574</v>
      </c>
      <c r="AO13" t="s">
        <v>1598</v>
      </c>
      <c r="AQ13" t="s">
        <v>1434</v>
      </c>
      <c r="AR13" t="s">
        <v>1599</v>
      </c>
      <c r="AS13" t="s">
        <v>1434</v>
      </c>
      <c r="AT13" t="s">
        <v>1600</v>
      </c>
      <c r="AV13" t="s">
        <v>1319</v>
      </c>
      <c r="AX13" t="s">
        <v>1449</v>
      </c>
      <c r="AY13" t="s">
        <v>1601</v>
      </c>
      <c r="AZ13" t="s">
        <v>1449</v>
      </c>
      <c r="BE13" t="s">
        <v>1509</v>
      </c>
      <c r="BF13" t="s">
        <v>1602</v>
      </c>
      <c r="BG13" t="s">
        <v>1600</v>
      </c>
      <c r="BI13" t="s">
        <v>1603</v>
      </c>
      <c r="BK13" t="s">
        <v>1604</v>
      </c>
      <c r="BM13" t="s">
        <v>1605</v>
      </c>
      <c r="BO13" t="s">
        <v>1573</v>
      </c>
      <c r="BR13" t="s">
        <v>1606</v>
      </c>
      <c r="BS13" t="s">
        <v>1607</v>
      </c>
      <c r="BT13" t="s">
        <v>1594</v>
      </c>
      <c r="BW13" t="s">
        <v>1367</v>
      </c>
      <c r="BY13" t="s">
        <v>1608</v>
      </c>
      <c r="CA13" t="s">
        <v>1609</v>
      </c>
      <c r="CB13" t="s">
        <v>1455</v>
      </c>
      <c r="CD13" t="s">
        <v>1610</v>
      </c>
      <c r="CF13" t="s">
        <v>1434</v>
      </c>
      <c r="CH13" t="s">
        <v>1455</v>
      </c>
      <c r="CK13" t="s">
        <v>1427</v>
      </c>
      <c r="CL13" t="s">
        <v>1611</v>
      </c>
      <c r="CN13" t="s">
        <v>1423</v>
      </c>
      <c r="CO13" t="s">
        <v>1612</v>
      </c>
      <c r="CQ13" t="s">
        <v>1519</v>
      </c>
      <c r="CS13" t="s">
        <v>333</v>
      </c>
      <c r="CV13" t="s">
        <v>1583</v>
      </c>
      <c r="CW13" t="s">
        <v>1613</v>
      </c>
      <c r="CY13" t="s">
        <v>1605</v>
      </c>
      <c r="CZ13" t="s">
        <v>1614</v>
      </c>
      <c r="DA13" t="s">
        <v>1427</v>
      </c>
      <c r="DB13" t="s">
        <v>333</v>
      </c>
      <c r="DC13" t="s">
        <v>1605</v>
      </c>
    </row>
    <row r="14" spans="1:107">
      <c r="B14" t="s">
        <v>197</v>
      </c>
      <c r="C14" t="s">
        <v>197</v>
      </c>
      <c r="D14" t="s">
        <v>197</v>
      </c>
      <c r="E14" t="s">
        <v>197</v>
      </c>
      <c r="F14" t="s">
        <v>197</v>
      </c>
      <c r="G14" t="s">
        <v>197</v>
      </c>
      <c r="H14" t="s">
        <v>197</v>
      </c>
      <c r="I14" t="s">
        <v>197</v>
      </c>
      <c r="J14" t="s">
        <v>197</v>
      </c>
      <c r="K14" t="s">
        <v>367</v>
      </c>
      <c r="Y14" t="s">
        <v>1615</v>
      </c>
      <c r="Z14" t="s">
        <v>1616</v>
      </c>
      <c r="AA14" t="s">
        <v>1617</v>
      </c>
      <c r="AE14" t="s">
        <v>1229</v>
      </c>
      <c r="AG14" t="s">
        <v>1618</v>
      </c>
      <c r="AH14" t="s">
        <v>1619</v>
      </c>
      <c r="AI14" t="s">
        <v>1618</v>
      </c>
      <c r="AJ14" t="s">
        <v>1230</v>
      </c>
      <c r="AK14" t="s">
        <v>1620</v>
      </c>
      <c r="AL14" t="s">
        <v>1621</v>
      </c>
      <c r="AM14" t="s">
        <v>1622</v>
      </c>
      <c r="AO14" t="s">
        <v>1623</v>
      </c>
      <c r="AQ14" t="s">
        <v>1624</v>
      </c>
      <c r="AR14" t="s">
        <v>1625</v>
      </c>
      <c r="AS14" t="s">
        <v>1624</v>
      </c>
      <c r="AT14" t="s">
        <v>1430</v>
      </c>
      <c r="AV14" t="s">
        <v>1626</v>
      </c>
      <c r="AX14" t="s">
        <v>1478</v>
      </c>
      <c r="AY14" t="s">
        <v>1627</v>
      </c>
      <c r="AZ14" t="s">
        <v>1478</v>
      </c>
      <c r="BE14" t="s">
        <v>1628</v>
      </c>
      <c r="BF14" t="s">
        <v>1386</v>
      </c>
      <c r="BG14" t="s">
        <v>1430</v>
      </c>
      <c r="BI14" t="s">
        <v>1629</v>
      </c>
      <c r="BK14" t="s">
        <v>1630</v>
      </c>
      <c r="BM14" t="s">
        <v>1439</v>
      </c>
      <c r="BO14" t="s">
        <v>1631</v>
      </c>
      <c r="BR14" t="s">
        <v>1559</v>
      </c>
      <c r="BS14" t="s">
        <v>1514</v>
      </c>
      <c r="BT14" t="s">
        <v>1618</v>
      </c>
      <c r="BW14" t="s">
        <v>1632</v>
      </c>
      <c r="BY14" t="s">
        <v>1445</v>
      </c>
      <c r="CA14" t="s">
        <v>1633</v>
      </c>
      <c r="CB14" t="s">
        <v>1482</v>
      </c>
      <c r="CD14" t="s">
        <v>1634</v>
      </c>
      <c r="CF14" t="s">
        <v>1624</v>
      </c>
      <c r="CH14" t="s">
        <v>1482</v>
      </c>
      <c r="CK14" t="s">
        <v>1635</v>
      </c>
      <c r="CL14" t="s">
        <v>1636</v>
      </c>
      <c r="CN14" t="s">
        <v>1455</v>
      </c>
      <c r="CO14" t="s">
        <v>1637</v>
      </c>
      <c r="CQ14" t="s">
        <v>1455</v>
      </c>
      <c r="CS14" t="s">
        <v>348</v>
      </c>
      <c r="CV14" t="s">
        <v>1613</v>
      </c>
      <c r="CW14" t="s">
        <v>1638</v>
      </c>
      <c r="CY14" t="s">
        <v>1439</v>
      </c>
      <c r="CZ14" t="s">
        <v>1639</v>
      </c>
      <c r="DA14" t="s">
        <v>1635</v>
      </c>
      <c r="DB14" t="s">
        <v>348</v>
      </c>
      <c r="DC14" t="s">
        <v>1439</v>
      </c>
    </row>
    <row r="15" spans="1:107">
      <c r="B15" t="s">
        <v>197</v>
      </c>
      <c r="C15" t="s">
        <v>197</v>
      </c>
      <c r="D15" t="s">
        <v>197</v>
      </c>
      <c r="E15" t="s">
        <v>197</v>
      </c>
      <c r="F15" t="s">
        <v>197</v>
      </c>
      <c r="G15" t="s">
        <v>197</v>
      </c>
      <c r="H15" t="s">
        <v>197</v>
      </c>
      <c r="I15" t="s">
        <v>197</v>
      </c>
      <c r="J15" t="s">
        <v>197</v>
      </c>
      <c r="K15" t="s">
        <v>373</v>
      </c>
      <c r="Y15" t="s">
        <v>1640</v>
      </c>
      <c r="Z15" t="s">
        <v>1641</v>
      </c>
      <c r="AA15" t="s">
        <v>1439</v>
      </c>
      <c r="AE15" t="s">
        <v>1232</v>
      </c>
      <c r="AG15" t="s">
        <v>1513</v>
      </c>
      <c r="AH15" t="s">
        <v>1642</v>
      </c>
      <c r="AI15" t="s">
        <v>1513</v>
      </c>
      <c r="AJ15" t="s">
        <v>1233</v>
      </c>
      <c r="AK15" t="s">
        <v>1643</v>
      </c>
      <c r="AL15" t="s">
        <v>1644</v>
      </c>
      <c r="AM15" t="s">
        <v>1645</v>
      </c>
      <c r="AR15" t="s">
        <v>1646</v>
      </c>
      <c r="AT15" t="s">
        <v>1647</v>
      </c>
      <c r="AV15" t="s">
        <v>1648</v>
      </c>
      <c r="AX15" t="s">
        <v>1649</v>
      </c>
      <c r="AY15" t="s">
        <v>1420</v>
      </c>
      <c r="AZ15" t="s">
        <v>1650</v>
      </c>
      <c r="BE15" t="s">
        <v>1537</v>
      </c>
      <c r="BF15" t="s">
        <v>1651</v>
      </c>
      <c r="BG15" t="s">
        <v>1647</v>
      </c>
      <c r="BI15" t="s">
        <v>1652</v>
      </c>
      <c r="BK15" t="s">
        <v>1653</v>
      </c>
      <c r="BM15" t="s">
        <v>1485</v>
      </c>
      <c r="BR15" t="s">
        <v>1654</v>
      </c>
      <c r="BS15" t="s">
        <v>1581</v>
      </c>
      <c r="BT15" t="s">
        <v>1513</v>
      </c>
      <c r="BY15" t="s">
        <v>1470</v>
      </c>
      <c r="CB15" t="s">
        <v>1509</v>
      </c>
      <c r="CD15" t="s">
        <v>1655</v>
      </c>
      <c r="CH15" t="s">
        <v>1509</v>
      </c>
      <c r="CK15" t="s">
        <v>346</v>
      </c>
      <c r="CN15" t="s">
        <v>1656</v>
      </c>
      <c r="CO15" t="s">
        <v>1657</v>
      </c>
      <c r="CQ15" t="s">
        <v>1658</v>
      </c>
      <c r="CS15" t="s">
        <v>1234</v>
      </c>
      <c r="CV15" t="s">
        <v>1659</v>
      </c>
      <c r="CW15" t="s">
        <v>1660</v>
      </c>
      <c r="CY15" t="s">
        <v>1485</v>
      </c>
      <c r="CZ15" t="s">
        <v>1436</v>
      </c>
      <c r="DA15" t="s">
        <v>346</v>
      </c>
      <c r="DB15" t="s">
        <v>1234</v>
      </c>
      <c r="DC15" t="s">
        <v>1485</v>
      </c>
    </row>
    <row r="16" spans="1:107">
      <c r="A16" t="s">
        <v>397</v>
      </c>
      <c r="K16" t="s">
        <v>398</v>
      </c>
      <c r="W16" t="s">
        <v>171</v>
      </c>
      <c r="X16" t="str">
        <f>A16</f>
        <v>info_nvarchar_dml_batch1_pk_urp1</v>
      </c>
      <c r="Y16" t="s">
        <v>1661</v>
      </c>
      <c r="Z16" t="s">
        <v>1662</v>
      </c>
      <c r="AA16" t="s">
        <v>1663</v>
      </c>
      <c r="AE16" t="s">
        <v>1235</v>
      </c>
      <c r="AG16" t="s">
        <v>1543</v>
      </c>
      <c r="AH16" t="s">
        <v>1664</v>
      </c>
      <c r="AI16" t="s">
        <v>1543</v>
      </c>
      <c r="AJ16" t="s">
        <v>1236</v>
      </c>
      <c r="AK16" t="s">
        <v>1665</v>
      </c>
      <c r="AL16" t="s">
        <v>1666</v>
      </c>
      <c r="AM16" t="s">
        <v>1667</v>
      </c>
      <c r="AR16" t="s">
        <v>1668</v>
      </c>
      <c r="AT16" t="s">
        <v>1457</v>
      </c>
      <c r="AV16" t="s">
        <v>1669</v>
      </c>
      <c r="AX16" t="s">
        <v>1670</v>
      </c>
      <c r="AY16" t="s">
        <v>1451</v>
      </c>
      <c r="AZ16" t="s">
        <v>1671</v>
      </c>
      <c r="BE16" t="s">
        <v>1395</v>
      </c>
      <c r="BF16" t="s">
        <v>1672</v>
      </c>
      <c r="BG16" t="s">
        <v>1457</v>
      </c>
      <c r="BI16" t="s">
        <v>1613</v>
      </c>
      <c r="BK16" t="s">
        <v>1331</v>
      </c>
      <c r="BM16" t="s">
        <v>1600</v>
      </c>
      <c r="BR16" t="s">
        <v>1544</v>
      </c>
      <c r="BS16" t="s">
        <v>1430</v>
      </c>
      <c r="BT16" t="s">
        <v>1543</v>
      </c>
      <c r="BY16" t="s">
        <v>1673</v>
      </c>
      <c r="CB16" t="s">
        <v>1628</v>
      </c>
      <c r="CD16" t="s">
        <v>1674</v>
      </c>
      <c r="CH16" t="s">
        <v>1628</v>
      </c>
      <c r="CK16" t="s">
        <v>1474</v>
      </c>
      <c r="CN16" t="s">
        <v>1675</v>
      </c>
      <c r="CO16" t="s">
        <v>1676</v>
      </c>
      <c r="CQ16" t="s">
        <v>1509</v>
      </c>
      <c r="CS16" t="s">
        <v>358</v>
      </c>
      <c r="CV16" t="s">
        <v>1660</v>
      </c>
      <c r="CW16" t="s">
        <v>1677</v>
      </c>
      <c r="CY16" t="s">
        <v>1600</v>
      </c>
      <c r="CZ16" t="s">
        <v>1678</v>
      </c>
      <c r="DA16" t="s">
        <v>1474</v>
      </c>
      <c r="DB16" t="s">
        <v>358</v>
      </c>
      <c r="DC16" t="s">
        <v>1600</v>
      </c>
    </row>
    <row r="17" spans="1:107">
      <c r="B17" t="s">
        <v>196</v>
      </c>
      <c r="C17" t="s">
        <v>197</v>
      </c>
      <c r="D17" t="s">
        <v>197</v>
      </c>
      <c r="E17" t="s">
        <v>197</v>
      </c>
      <c r="F17" t="s">
        <v>197</v>
      </c>
      <c r="G17" t="s">
        <v>197</v>
      </c>
      <c r="H17" t="s">
        <v>197</v>
      </c>
      <c r="I17" t="s">
        <v>403</v>
      </c>
      <c r="J17" t="s">
        <v>199</v>
      </c>
      <c r="K17" t="s">
        <v>200</v>
      </c>
      <c r="Y17" t="s">
        <v>1679</v>
      </c>
      <c r="Z17" t="s">
        <v>1680</v>
      </c>
      <c r="AA17" t="s">
        <v>1680</v>
      </c>
      <c r="AE17" t="s">
        <v>1237</v>
      </c>
      <c r="AG17" t="s">
        <v>1567</v>
      </c>
      <c r="AH17" t="s">
        <v>1342</v>
      </c>
      <c r="AI17" t="s">
        <v>1567</v>
      </c>
      <c r="AJ17" t="s">
        <v>1237</v>
      </c>
      <c r="AK17" t="s">
        <v>1681</v>
      </c>
      <c r="AL17" t="s">
        <v>1682</v>
      </c>
      <c r="AM17" t="s">
        <v>1683</v>
      </c>
      <c r="AR17" t="s">
        <v>1684</v>
      </c>
      <c r="AT17" t="s">
        <v>1450</v>
      </c>
      <c r="AV17" t="s">
        <v>1685</v>
      </c>
      <c r="AY17" t="s">
        <v>1480</v>
      </c>
      <c r="BE17" t="s">
        <v>1562</v>
      </c>
      <c r="BF17" t="s">
        <v>1686</v>
      </c>
      <c r="BG17" t="s">
        <v>1450</v>
      </c>
      <c r="BI17" t="s">
        <v>1660</v>
      </c>
      <c r="BK17" t="s">
        <v>1448</v>
      </c>
      <c r="BM17" t="s">
        <v>1687</v>
      </c>
      <c r="BR17" t="s">
        <v>1688</v>
      </c>
      <c r="BS17" t="s">
        <v>1647</v>
      </c>
      <c r="BT17" t="s">
        <v>1567</v>
      </c>
      <c r="BY17" t="s">
        <v>1689</v>
      </c>
      <c r="CB17" t="s">
        <v>1537</v>
      </c>
      <c r="CD17" t="s">
        <v>1690</v>
      </c>
      <c r="CH17" t="s">
        <v>1537</v>
      </c>
      <c r="CK17" t="s">
        <v>1503</v>
      </c>
      <c r="CN17" t="s">
        <v>1691</v>
      </c>
      <c r="CO17" t="s">
        <v>1692</v>
      </c>
      <c r="CQ17" t="s">
        <v>1693</v>
      </c>
      <c r="CS17" t="s">
        <v>365</v>
      </c>
      <c r="CV17" t="s">
        <v>1677</v>
      </c>
      <c r="CW17" t="s">
        <v>1694</v>
      </c>
      <c r="CY17" t="s">
        <v>1687</v>
      </c>
      <c r="CZ17" t="s">
        <v>1695</v>
      </c>
      <c r="DA17" t="s">
        <v>1503</v>
      </c>
      <c r="DB17" t="s">
        <v>365</v>
      </c>
      <c r="DC17" t="s">
        <v>1687</v>
      </c>
    </row>
    <row r="18" spans="1:107">
      <c r="B18" t="s">
        <v>197</v>
      </c>
      <c r="C18" t="s">
        <v>197</v>
      </c>
      <c r="D18" t="s">
        <v>197</v>
      </c>
      <c r="E18" t="s">
        <v>197</v>
      </c>
      <c r="F18" t="s">
        <v>197</v>
      </c>
      <c r="G18" t="s">
        <v>197</v>
      </c>
      <c r="H18" t="s">
        <v>197</v>
      </c>
      <c r="I18" t="s">
        <v>197</v>
      </c>
      <c r="J18" t="s">
        <v>197</v>
      </c>
      <c r="K18" t="s">
        <v>408</v>
      </c>
      <c r="Y18" t="s">
        <v>1377</v>
      </c>
      <c r="Z18" t="s">
        <v>1696</v>
      </c>
      <c r="AA18" t="s">
        <v>1696</v>
      </c>
      <c r="AE18" t="s">
        <v>1238</v>
      </c>
      <c r="AG18" t="s">
        <v>1697</v>
      </c>
      <c r="AH18" t="s">
        <v>1698</v>
      </c>
      <c r="AI18" t="s">
        <v>1697</v>
      </c>
      <c r="AJ18" t="s">
        <v>1239</v>
      </c>
      <c r="AK18" t="s">
        <v>1699</v>
      </c>
      <c r="AL18" t="s">
        <v>1700</v>
      </c>
      <c r="AM18" t="s">
        <v>1701</v>
      </c>
      <c r="AR18" t="s">
        <v>1702</v>
      </c>
      <c r="AT18" t="s">
        <v>1479</v>
      </c>
      <c r="AV18" t="s">
        <v>1703</v>
      </c>
      <c r="AY18" t="s">
        <v>1704</v>
      </c>
      <c r="BE18" t="s">
        <v>1583</v>
      </c>
      <c r="BF18" t="s">
        <v>1705</v>
      </c>
      <c r="BG18" t="s">
        <v>1479</v>
      </c>
      <c r="BI18" t="s">
        <v>1694</v>
      </c>
      <c r="BK18" t="s">
        <v>1364</v>
      </c>
      <c r="BM18" t="s">
        <v>1466</v>
      </c>
      <c r="BR18" t="s">
        <v>1457</v>
      </c>
      <c r="BS18" t="s">
        <v>1457</v>
      </c>
      <c r="BT18" t="s">
        <v>1697</v>
      </c>
      <c r="BY18" t="s">
        <v>1706</v>
      </c>
      <c r="CB18" t="s">
        <v>1395</v>
      </c>
      <c r="CD18" t="s">
        <v>1707</v>
      </c>
      <c r="CH18" t="s">
        <v>1395</v>
      </c>
      <c r="CK18" t="s">
        <v>1374</v>
      </c>
      <c r="CN18" t="s">
        <v>1482</v>
      </c>
      <c r="CO18" t="s">
        <v>1708</v>
      </c>
      <c r="CQ18" t="s">
        <v>1537</v>
      </c>
      <c r="CS18" t="s">
        <v>1219</v>
      </c>
      <c r="CV18" t="s">
        <v>1694</v>
      </c>
      <c r="CW18" t="s">
        <v>1709</v>
      </c>
      <c r="CY18" t="s">
        <v>1466</v>
      </c>
      <c r="CZ18" t="s">
        <v>1710</v>
      </c>
      <c r="DA18" t="s">
        <v>1374</v>
      </c>
      <c r="DB18" t="s">
        <v>1219</v>
      </c>
      <c r="DC18" t="s">
        <v>1466</v>
      </c>
    </row>
    <row r="19" spans="1:107">
      <c r="B19" t="s">
        <v>197</v>
      </c>
      <c r="C19" t="s">
        <v>197</v>
      </c>
      <c r="D19" t="s">
        <v>197</v>
      </c>
      <c r="E19" t="s">
        <v>197</v>
      </c>
      <c r="F19" t="s">
        <v>197</v>
      </c>
      <c r="G19" t="s">
        <v>197</v>
      </c>
      <c r="H19" t="s">
        <v>197</v>
      </c>
      <c r="I19" t="s">
        <v>197</v>
      </c>
      <c r="J19" t="s">
        <v>197</v>
      </c>
      <c r="K19" t="s">
        <v>412</v>
      </c>
      <c r="Y19" t="s">
        <v>1571</v>
      </c>
      <c r="Z19" t="s">
        <v>1711</v>
      </c>
      <c r="AA19" t="s">
        <v>1712</v>
      </c>
      <c r="AE19" t="s">
        <v>1240</v>
      </c>
      <c r="AG19" t="s">
        <v>1586</v>
      </c>
      <c r="AH19" t="s">
        <v>1713</v>
      </c>
      <c r="AI19" t="s">
        <v>1586</v>
      </c>
      <c r="AJ19" t="s">
        <v>1241</v>
      </c>
      <c r="AK19" t="s">
        <v>1365</v>
      </c>
      <c r="AL19" t="s">
        <v>1714</v>
      </c>
      <c r="AM19" t="s">
        <v>1715</v>
      </c>
      <c r="AR19" t="s">
        <v>1716</v>
      </c>
      <c r="AT19" t="s">
        <v>1507</v>
      </c>
      <c r="AV19" t="s">
        <v>1372</v>
      </c>
      <c r="BE19" t="s">
        <v>1603</v>
      </c>
      <c r="BF19" t="s">
        <v>1717</v>
      </c>
      <c r="BG19" t="s">
        <v>1507</v>
      </c>
      <c r="BK19" t="s">
        <v>1718</v>
      </c>
      <c r="BM19" t="s">
        <v>1719</v>
      </c>
      <c r="BR19" t="s">
        <v>1720</v>
      </c>
      <c r="BS19" t="s">
        <v>1450</v>
      </c>
      <c r="BT19" t="s">
        <v>1586</v>
      </c>
      <c r="BY19" t="s">
        <v>1721</v>
      </c>
      <c r="CB19" t="s">
        <v>1562</v>
      </c>
      <c r="CD19" t="s">
        <v>1722</v>
      </c>
      <c r="CH19" t="s">
        <v>1562</v>
      </c>
      <c r="CK19" t="s">
        <v>1557</v>
      </c>
      <c r="CN19" t="s">
        <v>1723</v>
      </c>
      <c r="CO19" t="s">
        <v>1454</v>
      </c>
      <c r="CQ19" t="s">
        <v>1454</v>
      </c>
      <c r="CS19" t="s">
        <v>371</v>
      </c>
      <c r="CV19" t="s">
        <v>1709</v>
      </c>
      <c r="CY19" t="s">
        <v>1724</v>
      </c>
      <c r="CZ19" t="s">
        <v>1725</v>
      </c>
      <c r="DA19" t="s">
        <v>1557</v>
      </c>
      <c r="DB19" t="s">
        <v>371</v>
      </c>
      <c r="DC19" t="s">
        <v>1726</v>
      </c>
    </row>
    <row r="20" spans="1:107">
      <c r="B20" t="s">
        <v>197</v>
      </c>
      <c r="C20" t="s">
        <v>197</v>
      </c>
      <c r="D20" t="s">
        <v>197</v>
      </c>
      <c r="E20" t="s">
        <v>197</v>
      </c>
      <c r="F20" t="s">
        <v>197</v>
      </c>
      <c r="G20" t="s">
        <v>197</v>
      </c>
      <c r="H20" t="s">
        <v>197</v>
      </c>
      <c r="I20" t="s">
        <v>197</v>
      </c>
      <c r="J20" t="s">
        <v>197</v>
      </c>
      <c r="K20" t="s">
        <v>416</v>
      </c>
      <c r="Y20" t="s">
        <v>1727</v>
      </c>
      <c r="Z20" t="s">
        <v>1728</v>
      </c>
      <c r="AA20" t="s">
        <v>1466</v>
      </c>
      <c r="AE20" t="s">
        <v>1242</v>
      </c>
      <c r="AG20" t="s">
        <v>1608</v>
      </c>
      <c r="AH20" t="s">
        <v>1729</v>
      </c>
      <c r="AI20" t="s">
        <v>1608</v>
      </c>
      <c r="AJ20" t="s">
        <v>1243</v>
      </c>
      <c r="AK20" t="s">
        <v>1410</v>
      </c>
      <c r="AL20" t="s">
        <v>1730</v>
      </c>
      <c r="AM20" t="s">
        <v>1586</v>
      </c>
      <c r="AR20" t="s">
        <v>1731</v>
      </c>
      <c r="AT20" t="s">
        <v>1534</v>
      </c>
      <c r="AV20" t="s">
        <v>1472</v>
      </c>
      <c r="BE20" t="s">
        <v>1629</v>
      </c>
      <c r="BF20" t="s">
        <v>1732</v>
      </c>
      <c r="BG20" t="s">
        <v>1534</v>
      </c>
      <c r="BK20" t="s">
        <v>1733</v>
      </c>
      <c r="BM20" t="s">
        <v>1497</v>
      </c>
      <c r="BR20" t="s">
        <v>1587</v>
      </c>
      <c r="BS20" t="s">
        <v>1479</v>
      </c>
      <c r="BT20" t="s">
        <v>1608</v>
      </c>
      <c r="BY20" t="s">
        <v>1500</v>
      </c>
      <c r="CB20" t="s">
        <v>1583</v>
      </c>
      <c r="CD20" t="s">
        <v>1734</v>
      </c>
      <c r="CH20" t="s">
        <v>1583</v>
      </c>
      <c r="CK20" t="s">
        <v>1580</v>
      </c>
      <c r="CN20" t="s">
        <v>1735</v>
      </c>
      <c r="CO20" t="s">
        <v>1569</v>
      </c>
      <c r="CQ20" t="s">
        <v>1569</v>
      </c>
      <c r="CS20" t="s">
        <v>378</v>
      </c>
      <c r="CV20" t="s">
        <v>1736</v>
      </c>
      <c r="CY20" t="s">
        <v>1497</v>
      </c>
      <c r="CZ20" t="s">
        <v>1737</v>
      </c>
      <c r="DA20" t="s">
        <v>1580</v>
      </c>
      <c r="DB20" t="s">
        <v>378</v>
      </c>
      <c r="DC20" t="s">
        <v>1497</v>
      </c>
    </row>
    <row r="21" spans="1:107">
      <c r="A21" t="s">
        <v>417</v>
      </c>
      <c r="K21" t="s">
        <v>418</v>
      </c>
      <c r="W21" s="1" t="str">
        <f>HYPERLINK("#2026042015hbase0!Y2","NO 源备存在差异，共52个")</f>
        <v>NO 源备存在差异，共52个</v>
      </c>
      <c r="X21" t="str">
        <f>A21</f>
        <v>info_sdt_dml_batch2_pk_irp2</v>
      </c>
      <c r="Y21" t="s">
        <v>1738</v>
      </c>
      <c r="Z21" t="s">
        <v>1726</v>
      </c>
      <c r="AA21" t="s">
        <v>1739</v>
      </c>
      <c r="AE21" t="s">
        <v>1244</v>
      </c>
      <c r="AG21" t="s">
        <v>1740</v>
      </c>
      <c r="AH21" t="s">
        <v>1741</v>
      </c>
      <c r="AI21" t="s">
        <v>1742</v>
      </c>
      <c r="AJ21" t="s">
        <v>1245</v>
      </c>
      <c r="AK21" t="s">
        <v>1442</v>
      </c>
      <c r="AL21" t="s">
        <v>1608</v>
      </c>
      <c r="AM21" t="s">
        <v>1743</v>
      </c>
      <c r="AR21" t="s">
        <v>1744</v>
      </c>
      <c r="AT21" t="s">
        <v>1745</v>
      </c>
      <c r="AV21" t="s">
        <v>1395</v>
      </c>
      <c r="BE21" t="s">
        <v>1652</v>
      </c>
      <c r="BF21" t="s">
        <v>1746</v>
      </c>
      <c r="BG21" t="s">
        <v>1745</v>
      </c>
      <c r="BK21" t="s">
        <v>1747</v>
      </c>
      <c r="BM21" t="s">
        <v>1748</v>
      </c>
      <c r="BR21" t="s">
        <v>1609</v>
      </c>
      <c r="BS21" t="s">
        <v>1507</v>
      </c>
      <c r="BT21" t="s">
        <v>1749</v>
      </c>
      <c r="BY21" t="s">
        <v>1527</v>
      </c>
      <c r="CB21" t="s">
        <v>1603</v>
      </c>
      <c r="CD21" t="s">
        <v>1394</v>
      </c>
      <c r="CH21" t="s">
        <v>1603</v>
      </c>
      <c r="CN21" t="s">
        <v>1750</v>
      </c>
      <c r="CO21" t="s">
        <v>1751</v>
      </c>
      <c r="CQ21" t="s">
        <v>1562</v>
      </c>
      <c r="CS21" t="s">
        <v>312</v>
      </c>
      <c r="CY21" t="s">
        <v>1748</v>
      </c>
      <c r="CZ21" t="s">
        <v>1463</v>
      </c>
      <c r="DB21" t="s">
        <v>312</v>
      </c>
      <c r="DC21" t="s">
        <v>1748</v>
      </c>
    </row>
    <row r="22" spans="1:107">
      <c r="B22" t="s">
        <v>196</v>
      </c>
      <c r="C22" t="s">
        <v>197</v>
      </c>
      <c r="D22" t="s">
        <v>197</v>
      </c>
      <c r="E22" t="s">
        <v>197</v>
      </c>
      <c r="F22" t="s">
        <v>197</v>
      </c>
      <c r="G22" t="s">
        <v>197</v>
      </c>
      <c r="H22" t="s">
        <v>197</v>
      </c>
      <c r="I22" t="s">
        <v>420</v>
      </c>
      <c r="J22" t="s">
        <v>199</v>
      </c>
      <c r="K22" t="s">
        <v>200</v>
      </c>
      <c r="Y22" t="s">
        <v>1407</v>
      </c>
      <c r="Z22" t="s">
        <v>1752</v>
      </c>
      <c r="AA22" t="s">
        <v>1497</v>
      </c>
      <c r="AE22" t="s">
        <v>1246</v>
      </c>
      <c r="AG22" t="s">
        <v>1445</v>
      </c>
      <c r="AH22" t="s">
        <v>1753</v>
      </c>
      <c r="AI22" t="s">
        <v>1445</v>
      </c>
      <c r="AJ22" t="s">
        <v>1247</v>
      </c>
      <c r="AK22" t="s">
        <v>1468</v>
      </c>
      <c r="AL22" t="s">
        <v>1754</v>
      </c>
      <c r="AM22" t="s">
        <v>1343</v>
      </c>
      <c r="AR22" t="s">
        <v>1755</v>
      </c>
      <c r="AT22" t="s">
        <v>1756</v>
      </c>
      <c r="AV22" t="s">
        <v>1530</v>
      </c>
      <c r="BE22" t="s">
        <v>1757</v>
      </c>
      <c r="BF22" t="s">
        <v>1758</v>
      </c>
      <c r="BG22" t="s">
        <v>1756</v>
      </c>
      <c r="BK22" t="s">
        <v>1321</v>
      </c>
      <c r="BM22" t="s">
        <v>1524</v>
      </c>
      <c r="BR22" t="s">
        <v>1759</v>
      </c>
      <c r="BS22" t="s">
        <v>1760</v>
      </c>
      <c r="BT22" t="s">
        <v>1445</v>
      </c>
      <c r="BY22" t="s">
        <v>1761</v>
      </c>
      <c r="CB22" t="s">
        <v>1629</v>
      </c>
      <c r="CD22" t="s">
        <v>1762</v>
      </c>
      <c r="CH22" t="s">
        <v>1629</v>
      </c>
      <c r="CN22" t="s">
        <v>1763</v>
      </c>
      <c r="CO22" t="s">
        <v>1764</v>
      </c>
      <c r="CQ22" t="s">
        <v>1590</v>
      </c>
      <c r="CS22" t="s">
        <v>391</v>
      </c>
      <c r="CY22" t="s">
        <v>1524</v>
      </c>
      <c r="CZ22" t="s">
        <v>1765</v>
      </c>
      <c r="DB22" t="s">
        <v>391</v>
      </c>
      <c r="DC22" t="s">
        <v>1524</v>
      </c>
    </row>
    <row r="23" spans="1:107">
      <c r="B23" t="s">
        <v>197</v>
      </c>
      <c r="C23" t="s">
        <v>197</v>
      </c>
      <c r="D23" t="s">
        <v>197</v>
      </c>
      <c r="E23" t="s">
        <v>197</v>
      </c>
      <c r="F23" t="s">
        <v>197</v>
      </c>
      <c r="G23" t="s">
        <v>197</v>
      </c>
      <c r="H23" t="s">
        <v>197</v>
      </c>
      <c r="I23" t="s">
        <v>197</v>
      </c>
      <c r="J23" t="s">
        <v>197</v>
      </c>
      <c r="K23" t="s">
        <v>422</v>
      </c>
      <c r="Y23" t="s">
        <v>1766</v>
      </c>
      <c r="Z23" t="s">
        <v>1767</v>
      </c>
      <c r="AA23" t="s">
        <v>1768</v>
      </c>
      <c r="AE23" t="s">
        <v>1769</v>
      </c>
      <c r="AG23" t="s">
        <v>1470</v>
      </c>
      <c r="AH23" t="s">
        <v>1770</v>
      </c>
      <c r="AI23" t="s">
        <v>1470</v>
      </c>
      <c r="AJ23" t="s">
        <v>1771</v>
      </c>
      <c r="AK23" t="s">
        <v>1401</v>
      </c>
      <c r="AL23" t="s">
        <v>1772</v>
      </c>
      <c r="AM23" t="s">
        <v>1445</v>
      </c>
      <c r="AR23" t="s">
        <v>1773</v>
      </c>
      <c r="AV23" t="s">
        <v>1555</v>
      </c>
      <c r="BE23" t="s">
        <v>1613</v>
      </c>
      <c r="BF23" t="s">
        <v>1774</v>
      </c>
      <c r="BK23" t="s">
        <v>1775</v>
      </c>
      <c r="BM23" t="s">
        <v>1565</v>
      </c>
      <c r="BR23" t="s">
        <v>1776</v>
      </c>
      <c r="BS23" t="s">
        <v>1777</v>
      </c>
      <c r="BT23" t="s">
        <v>1470</v>
      </c>
      <c r="BY23" t="s">
        <v>1778</v>
      </c>
      <c r="CB23" t="s">
        <v>1652</v>
      </c>
      <c r="CD23" t="s">
        <v>1779</v>
      </c>
      <c r="CH23" t="s">
        <v>1652</v>
      </c>
      <c r="CN23" t="s">
        <v>1780</v>
      </c>
      <c r="CO23" t="s">
        <v>1781</v>
      </c>
      <c r="CQ23" t="s">
        <v>1603</v>
      </c>
      <c r="CS23" t="s">
        <v>396</v>
      </c>
      <c r="CY23" t="s">
        <v>1565</v>
      </c>
      <c r="CZ23" t="s">
        <v>1782</v>
      </c>
      <c r="DB23" t="s">
        <v>396</v>
      </c>
      <c r="DC23" t="s">
        <v>1565</v>
      </c>
    </row>
    <row r="24" spans="1:107">
      <c r="A24" t="s">
        <v>423</v>
      </c>
      <c r="K24" t="s">
        <v>424</v>
      </c>
      <c r="W24" t="s">
        <v>171</v>
      </c>
      <c r="X24" t="str">
        <f>A24</f>
        <v>info_varchar_dml_batch1_pk_drp1</v>
      </c>
      <c r="Y24" t="s">
        <v>1783</v>
      </c>
      <c r="Z24" t="s">
        <v>1784</v>
      </c>
      <c r="AA24" t="s">
        <v>1524</v>
      </c>
      <c r="AE24" t="s">
        <v>1785</v>
      </c>
      <c r="AG24" t="s">
        <v>1673</v>
      </c>
      <c r="AH24" t="s">
        <v>1786</v>
      </c>
      <c r="AI24" t="s">
        <v>1673</v>
      </c>
      <c r="AJ24" t="s">
        <v>1787</v>
      </c>
      <c r="AK24" t="s">
        <v>1441</v>
      </c>
      <c r="AL24" t="s">
        <v>1788</v>
      </c>
      <c r="AM24" t="s">
        <v>1383</v>
      </c>
      <c r="AR24" t="s">
        <v>1789</v>
      </c>
      <c r="AV24" t="s">
        <v>1352</v>
      </c>
      <c r="BE24" t="s">
        <v>1659</v>
      </c>
      <c r="BF24" t="s">
        <v>1790</v>
      </c>
      <c r="BK24" t="s">
        <v>1791</v>
      </c>
      <c r="BM24" t="s">
        <v>1440</v>
      </c>
      <c r="BR24" t="s">
        <v>1792</v>
      </c>
      <c r="BS24" t="s">
        <v>1633</v>
      </c>
      <c r="BT24" t="s">
        <v>1673</v>
      </c>
      <c r="BY24" t="s">
        <v>1793</v>
      </c>
      <c r="CB24" t="s">
        <v>1757</v>
      </c>
      <c r="CD24" t="s">
        <v>1794</v>
      </c>
      <c r="CH24" t="s">
        <v>1757</v>
      </c>
      <c r="CN24" t="s">
        <v>1795</v>
      </c>
      <c r="CO24" t="s">
        <v>1796</v>
      </c>
      <c r="CQ24" t="s">
        <v>1797</v>
      </c>
      <c r="CS24" t="s">
        <v>402</v>
      </c>
      <c r="CY24" t="s">
        <v>1440</v>
      </c>
      <c r="CZ24" t="s">
        <v>1798</v>
      </c>
      <c r="DB24" t="s">
        <v>402</v>
      </c>
      <c r="DC24" t="s">
        <v>1440</v>
      </c>
    </row>
    <row r="25" spans="1:107">
      <c r="B25" t="s">
        <v>196</v>
      </c>
      <c r="C25" t="s">
        <v>197</v>
      </c>
      <c r="D25" t="s">
        <v>197</v>
      </c>
      <c r="E25" t="s">
        <v>197</v>
      </c>
      <c r="F25" t="s">
        <v>197</v>
      </c>
      <c r="G25" t="s">
        <v>197</v>
      </c>
      <c r="H25" t="s">
        <v>197</v>
      </c>
      <c r="I25" t="s">
        <v>427</v>
      </c>
      <c r="J25" t="s">
        <v>199</v>
      </c>
      <c r="K25" t="s">
        <v>200</v>
      </c>
      <c r="Y25" t="s">
        <v>1799</v>
      </c>
      <c r="Z25" t="s">
        <v>1800</v>
      </c>
      <c r="AA25" t="s">
        <v>1801</v>
      </c>
      <c r="AE25" t="s">
        <v>1802</v>
      </c>
      <c r="AG25" t="s">
        <v>1689</v>
      </c>
      <c r="AH25" t="s">
        <v>1803</v>
      </c>
      <c r="AI25" t="s">
        <v>1689</v>
      </c>
      <c r="AJ25" t="s">
        <v>1804</v>
      </c>
      <c r="AK25" t="s">
        <v>1310</v>
      </c>
      <c r="AL25" t="s">
        <v>1805</v>
      </c>
      <c r="AM25" t="s">
        <v>1806</v>
      </c>
      <c r="AR25" t="s">
        <v>1807</v>
      </c>
      <c r="AV25" t="s">
        <v>1434</v>
      </c>
      <c r="BE25" t="s">
        <v>1660</v>
      </c>
      <c r="BF25" t="s">
        <v>1808</v>
      </c>
      <c r="BK25" t="s">
        <v>1354</v>
      </c>
      <c r="BM25" t="s">
        <v>1573</v>
      </c>
      <c r="BT25" t="s">
        <v>1689</v>
      </c>
      <c r="BY25" t="s">
        <v>1809</v>
      </c>
      <c r="CB25" t="s">
        <v>1613</v>
      </c>
      <c r="CD25" t="s">
        <v>1810</v>
      </c>
      <c r="CH25" t="s">
        <v>1613</v>
      </c>
      <c r="CN25" t="s">
        <v>1811</v>
      </c>
      <c r="CO25" t="s">
        <v>1812</v>
      </c>
      <c r="CQ25" t="s">
        <v>1652</v>
      </c>
      <c r="CS25" t="s">
        <v>407</v>
      </c>
      <c r="CY25" t="s">
        <v>1573</v>
      </c>
      <c r="CZ25" t="s">
        <v>1813</v>
      </c>
      <c r="DB25" t="s">
        <v>1398</v>
      </c>
      <c r="DC25" t="s">
        <v>1573</v>
      </c>
    </row>
    <row r="26" spans="1:107">
      <c r="B26" t="s">
        <v>197</v>
      </c>
      <c r="C26" t="s">
        <v>197</v>
      </c>
      <c r="D26" t="s">
        <v>197</v>
      </c>
      <c r="E26" t="s">
        <v>197</v>
      </c>
      <c r="F26" t="s">
        <v>197</v>
      </c>
      <c r="G26" t="s">
        <v>197</v>
      </c>
      <c r="H26" t="s">
        <v>197</v>
      </c>
      <c r="I26" t="s">
        <v>197</v>
      </c>
      <c r="J26" t="s">
        <v>197</v>
      </c>
      <c r="K26" t="s">
        <v>431</v>
      </c>
      <c r="Y26" t="s">
        <v>1605</v>
      </c>
      <c r="Z26" t="s">
        <v>1814</v>
      </c>
      <c r="AA26" t="s">
        <v>1440</v>
      </c>
      <c r="AE26" t="s">
        <v>1815</v>
      </c>
      <c r="AG26" t="s">
        <v>1600</v>
      </c>
      <c r="AH26" t="s">
        <v>1816</v>
      </c>
      <c r="AI26" t="s">
        <v>1600</v>
      </c>
      <c r="AJ26" t="s">
        <v>1815</v>
      </c>
      <c r="AK26" t="s">
        <v>1342</v>
      </c>
      <c r="AL26" t="s">
        <v>1817</v>
      </c>
      <c r="AM26" t="s">
        <v>1414</v>
      </c>
      <c r="AR26" t="s">
        <v>1818</v>
      </c>
      <c r="AV26" t="s">
        <v>1624</v>
      </c>
      <c r="BE26" t="s">
        <v>1677</v>
      </c>
      <c r="BF26" t="s">
        <v>1819</v>
      </c>
      <c r="BK26" t="s">
        <v>1390</v>
      </c>
      <c r="BM26" t="s">
        <v>1631</v>
      </c>
      <c r="BT26" t="s">
        <v>1600</v>
      </c>
      <c r="BY26" t="s">
        <v>1820</v>
      </c>
      <c r="CB26" t="s">
        <v>1659</v>
      </c>
      <c r="CD26" t="s">
        <v>1821</v>
      </c>
      <c r="CH26" t="s">
        <v>1659</v>
      </c>
      <c r="CN26" t="s">
        <v>1509</v>
      </c>
      <c r="CO26" t="s">
        <v>1822</v>
      </c>
      <c r="CQ26" t="s">
        <v>1823</v>
      </c>
      <c r="CS26" t="s">
        <v>411</v>
      </c>
      <c r="CY26" t="s">
        <v>1631</v>
      </c>
      <c r="CZ26" t="s">
        <v>1824</v>
      </c>
      <c r="DB26" t="s">
        <v>1427</v>
      </c>
      <c r="DC26" t="s">
        <v>1631</v>
      </c>
    </row>
    <row r="27" spans="1:107">
      <c r="B27" t="s">
        <v>197</v>
      </c>
      <c r="C27" t="s">
        <v>197</v>
      </c>
      <c r="D27" t="s">
        <v>197</v>
      </c>
      <c r="E27" t="s">
        <v>197</v>
      </c>
      <c r="F27" t="s">
        <v>197</v>
      </c>
      <c r="G27" t="s">
        <v>197</v>
      </c>
      <c r="H27" t="s">
        <v>197</v>
      </c>
      <c r="I27" t="s">
        <v>197</v>
      </c>
      <c r="J27" t="s">
        <v>197</v>
      </c>
      <c r="K27" t="s">
        <v>434</v>
      </c>
      <c r="Y27" t="s">
        <v>1439</v>
      </c>
      <c r="Z27" t="s">
        <v>1825</v>
      </c>
      <c r="AA27" t="s">
        <v>1573</v>
      </c>
      <c r="AE27" t="s">
        <v>1826</v>
      </c>
      <c r="AG27" t="s">
        <v>1706</v>
      </c>
      <c r="AH27" t="s">
        <v>1827</v>
      </c>
      <c r="AI27" t="s">
        <v>1706</v>
      </c>
      <c r="AJ27" t="s">
        <v>1828</v>
      </c>
      <c r="AK27" t="s">
        <v>1382</v>
      </c>
      <c r="AL27" t="s">
        <v>1829</v>
      </c>
      <c r="AM27" t="s">
        <v>1830</v>
      </c>
      <c r="AR27" t="s">
        <v>1831</v>
      </c>
      <c r="AV27" t="s">
        <v>1832</v>
      </c>
      <c r="BE27" t="s">
        <v>1694</v>
      </c>
      <c r="BF27" t="s">
        <v>1833</v>
      </c>
      <c r="BK27" t="s">
        <v>1419</v>
      </c>
      <c r="BM27" t="s">
        <v>1834</v>
      </c>
      <c r="BT27" t="s">
        <v>1706</v>
      </c>
      <c r="BY27" t="s">
        <v>1554</v>
      </c>
      <c r="CB27" t="s">
        <v>1660</v>
      </c>
      <c r="CD27" t="s">
        <v>1835</v>
      </c>
      <c r="CH27" t="s">
        <v>1660</v>
      </c>
      <c r="CN27" t="s">
        <v>1628</v>
      </c>
      <c r="CO27" t="s">
        <v>1836</v>
      </c>
      <c r="CQ27" t="s">
        <v>1613</v>
      </c>
      <c r="CS27" t="s">
        <v>415</v>
      </c>
      <c r="CY27" t="s">
        <v>1834</v>
      </c>
      <c r="CZ27" t="s">
        <v>1495</v>
      </c>
      <c r="DB27" t="s">
        <v>1635</v>
      </c>
      <c r="DC27" t="s">
        <v>1834</v>
      </c>
    </row>
    <row r="28" spans="1:107">
      <c r="B28" t="s">
        <v>197</v>
      </c>
      <c r="C28" t="s">
        <v>197</v>
      </c>
      <c r="D28" t="s">
        <v>197</v>
      </c>
      <c r="E28" t="s">
        <v>197</v>
      </c>
      <c r="F28" t="s">
        <v>197</v>
      </c>
      <c r="G28" t="s">
        <v>197</v>
      </c>
      <c r="H28" t="s">
        <v>197</v>
      </c>
      <c r="I28" t="s">
        <v>197</v>
      </c>
      <c r="J28" t="s">
        <v>197</v>
      </c>
      <c r="K28" t="s">
        <v>439</v>
      </c>
      <c r="Y28" t="s">
        <v>1485</v>
      </c>
      <c r="Z28" t="s">
        <v>1837</v>
      </c>
      <c r="AA28" t="s">
        <v>1838</v>
      </c>
      <c r="AE28" t="s">
        <v>1839</v>
      </c>
      <c r="AG28" t="s">
        <v>1721</v>
      </c>
      <c r="AH28" t="s">
        <v>1382</v>
      </c>
      <c r="AI28" t="s">
        <v>1721</v>
      </c>
      <c r="AJ28" t="s">
        <v>1840</v>
      </c>
      <c r="AK28" t="s">
        <v>1413</v>
      </c>
      <c r="AL28" t="s">
        <v>1841</v>
      </c>
      <c r="AM28" t="s">
        <v>1842</v>
      </c>
      <c r="AR28" t="s">
        <v>1384</v>
      </c>
      <c r="AV28" t="s">
        <v>1843</v>
      </c>
      <c r="BE28" t="s">
        <v>1844</v>
      </c>
      <c r="BF28" t="s">
        <v>1845</v>
      </c>
      <c r="BK28" t="s">
        <v>1600</v>
      </c>
      <c r="BM28" t="s">
        <v>1846</v>
      </c>
      <c r="BT28" t="s">
        <v>1721</v>
      </c>
      <c r="BY28" t="s">
        <v>1578</v>
      </c>
      <c r="CB28" t="s">
        <v>1677</v>
      </c>
      <c r="CD28" t="s">
        <v>1847</v>
      </c>
      <c r="CH28" t="s">
        <v>1677</v>
      </c>
      <c r="CN28" t="s">
        <v>1537</v>
      </c>
      <c r="CO28" t="s">
        <v>1848</v>
      </c>
      <c r="CQ28" t="s">
        <v>1638</v>
      </c>
      <c r="CS28" t="s">
        <v>1398</v>
      </c>
      <c r="CY28" t="s">
        <v>1846</v>
      </c>
      <c r="CZ28" t="s">
        <v>1521</v>
      </c>
      <c r="DB28" t="s">
        <v>346</v>
      </c>
      <c r="DC28" t="s">
        <v>1846</v>
      </c>
    </row>
    <row r="29" spans="1:107">
      <c r="K29" t="s">
        <v>443</v>
      </c>
      <c r="Y29" t="s">
        <v>1600</v>
      </c>
      <c r="Z29" t="s">
        <v>1849</v>
      </c>
      <c r="AA29" t="s">
        <v>1850</v>
      </c>
      <c r="AE29" t="s">
        <v>1851</v>
      </c>
      <c r="AG29" t="s">
        <v>1852</v>
      </c>
      <c r="AH29" t="s">
        <v>1853</v>
      </c>
      <c r="AI29" t="s">
        <v>1854</v>
      </c>
      <c r="AJ29" t="s">
        <v>1855</v>
      </c>
      <c r="AK29" t="s">
        <v>1574</v>
      </c>
      <c r="AL29" t="s">
        <v>1856</v>
      </c>
      <c r="AM29" t="s">
        <v>1706</v>
      </c>
      <c r="AR29" t="s">
        <v>1319</v>
      </c>
      <c r="AV29" t="s">
        <v>1857</v>
      </c>
      <c r="BF29" t="s">
        <v>1331</v>
      </c>
      <c r="BK29" t="s">
        <v>1430</v>
      </c>
      <c r="BT29" t="s">
        <v>1858</v>
      </c>
      <c r="BY29" t="s">
        <v>1623</v>
      </c>
      <c r="CB29" t="s">
        <v>1694</v>
      </c>
      <c r="CD29" t="s">
        <v>1423</v>
      </c>
      <c r="CH29" t="s">
        <v>1694</v>
      </c>
      <c r="CN29" t="s">
        <v>1395</v>
      </c>
      <c r="CO29" t="s">
        <v>1859</v>
      </c>
      <c r="CQ29" t="s">
        <v>1660</v>
      </c>
      <c r="CS29" t="s">
        <v>1427</v>
      </c>
      <c r="CZ29" t="s">
        <v>1550</v>
      </c>
      <c r="DB29" t="s">
        <v>1474</v>
      </c>
    </row>
    <row r="30" spans="1:107">
      <c r="A30" t="s">
        <v>169</v>
      </c>
      <c r="K30" t="s">
        <v>170</v>
      </c>
      <c r="W30" t="s">
        <v>171</v>
      </c>
      <c r="X30" t="str">
        <f>A30</f>
        <v>info_text_dml_single_pk_irp</v>
      </c>
      <c r="Y30" t="s">
        <v>1687</v>
      </c>
      <c r="Z30" t="s">
        <v>1860</v>
      </c>
      <c r="AA30" t="s">
        <v>1861</v>
      </c>
      <c r="AE30" t="s">
        <v>1862</v>
      </c>
      <c r="AG30" t="s">
        <v>1500</v>
      </c>
      <c r="AH30" t="s">
        <v>1863</v>
      </c>
      <c r="AI30" t="s">
        <v>1500</v>
      </c>
      <c r="AJ30" t="s">
        <v>1864</v>
      </c>
      <c r="AK30" t="s">
        <v>1594</v>
      </c>
      <c r="AL30" t="s">
        <v>1721</v>
      </c>
      <c r="AM30" t="s">
        <v>1865</v>
      </c>
      <c r="AR30" t="s">
        <v>1372</v>
      </c>
      <c r="AV30" t="s">
        <v>1866</v>
      </c>
      <c r="BF30" t="s">
        <v>1867</v>
      </c>
      <c r="BK30" t="s">
        <v>1647</v>
      </c>
      <c r="BT30" t="s">
        <v>1500</v>
      </c>
      <c r="BY30" t="s">
        <v>1868</v>
      </c>
      <c r="CB30" t="s">
        <v>1709</v>
      </c>
      <c r="CD30" t="s">
        <v>1455</v>
      </c>
      <c r="CH30" t="s">
        <v>1709</v>
      </c>
      <c r="CN30" t="s">
        <v>1562</v>
      </c>
      <c r="CO30" t="s">
        <v>1869</v>
      </c>
      <c r="CQ30" t="s">
        <v>1677</v>
      </c>
      <c r="CS30" t="s">
        <v>1635</v>
      </c>
      <c r="CZ30" t="s">
        <v>1510</v>
      </c>
      <c r="DB30" t="s">
        <v>1503</v>
      </c>
    </row>
    <row r="31" spans="1:107">
      <c r="B31" t="s">
        <v>196</v>
      </c>
      <c r="C31" t="s">
        <v>197</v>
      </c>
      <c r="D31" t="s">
        <v>197</v>
      </c>
      <c r="E31" t="s">
        <v>197</v>
      </c>
      <c r="F31" t="s">
        <v>197</v>
      </c>
      <c r="G31" t="s">
        <v>197</v>
      </c>
      <c r="H31" t="s">
        <v>197</v>
      </c>
      <c r="I31" t="s">
        <v>198</v>
      </c>
      <c r="J31" t="s">
        <v>199</v>
      </c>
      <c r="K31" t="s">
        <v>200</v>
      </c>
      <c r="Y31" t="s">
        <v>1466</v>
      </c>
      <c r="AE31" t="s">
        <v>1870</v>
      </c>
      <c r="AG31" t="s">
        <v>1527</v>
      </c>
      <c r="AH31" t="s">
        <v>1871</v>
      </c>
      <c r="AI31" t="s">
        <v>1527</v>
      </c>
      <c r="AJ31" t="s">
        <v>1872</v>
      </c>
      <c r="AK31" t="s">
        <v>1618</v>
      </c>
      <c r="AL31" t="s">
        <v>1873</v>
      </c>
      <c r="AM31" t="s">
        <v>1446</v>
      </c>
      <c r="AR31" t="s">
        <v>1472</v>
      </c>
      <c r="AV31" t="s">
        <v>1874</v>
      </c>
      <c r="BF31" t="s">
        <v>1875</v>
      </c>
      <c r="BK31" t="s">
        <v>1457</v>
      </c>
      <c r="BT31" t="s">
        <v>1527</v>
      </c>
      <c r="BY31" t="s">
        <v>1876</v>
      </c>
      <c r="CB31" t="s">
        <v>1736</v>
      </c>
      <c r="CD31" t="s">
        <v>1482</v>
      </c>
      <c r="CH31" t="s">
        <v>1736</v>
      </c>
      <c r="CN31" t="s">
        <v>1583</v>
      </c>
      <c r="CO31" t="s">
        <v>1877</v>
      </c>
      <c r="CQ31" t="s">
        <v>1694</v>
      </c>
      <c r="CS31" t="s">
        <v>346</v>
      </c>
      <c r="CZ31" t="s">
        <v>1592</v>
      </c>
      <c r="DB31" t="s">
        <v>1374</v>
      </c>
    </row>
    <row r="32" spans="1:107">
      <c r="B32" t="s">
        <v>197</v>
      </c>
      <c r="C32" t="s">
        <v>197</v>
      </c>
      <c r="D32" t="s">
        <v>197</v>
      </c>
      <c r="E32" t="s">
        <v>197</v>
      </c>
      <c r="F32" t="s">
        <v>197</v>
      </c>
      <c r="G32" t="s">
        <v>197</v>
      </c>
      <c r="H32" t="s">
        <v>197</v>
      </c>
      <c r="I32" t="s">
        <v>197</v>
      </c>
      <c r="J32" t="s">
        <v>197</v>
      </c>
      <c r="K32" t="s">
        <v>229</v>
      </c>
      <c r="Y32" t="s">
        <v>1726</v>
      </c>
      <c r="AE32" t="s">
        <v>1878</v>
      </c>
      <c r="AG32" t="s">
        <v>1761</v>
      </c>
      <c r="AH32" t="s">
        <v>1413</v>
      </c>
      <c r="AI32" t="s">
        <v>1761</v>
      </c>
      <c r="AJ32" t="s">
        <v>1879</v>
      </c>
      <c r="AK32" t="s">
        <v>1513</v>
      </c>
      <c r="AL32" t="s">
        <v>1880</v>
      </c>
      <c r="AM32" t="s">
        <v>1500</v>
      </c>
      <c r="AR32" t="s">
        <v>1881</v>
      </c>
      <c r="AV32" t="s">
        <v>1882</v>
      </c>
      <c r="BF32" t="s">
        <v>1448</v>
      </c>
      <c r="BK32" t="s">
        <v>1450</v>
      </c>
      <c r="BT32" t="s">
        <v>1761</v>
      </c>
      <c r="BY32" t="s">
        <v>1883</v>
      </c>
      <c r="CB32" t="s">
        <v>1884</v>
      </c>
      <c r="CD32" t="s">
        <v>1509</v>
      </c>
      <c r="CH32" t="s">
        <v>1884</v>
      </c>
      <c r="CN32" t="s">
        <v>1603</v>
      </c>
      <c r="CO32" t="s">
        <v>1885</v>
      </c>
      <c r="CQ32" t="s">
        <v>1709</v>
      </c>
      <c r="CS32" t="s">
        <v>1474</v>
      </c>
      <c r="CZ32" t="s">
        <v>1615</v>
      </c>
      <c r="DB32" t="s">
        <v>1557</v>
      </c>
    </row>
    <row r="33" spans="1:106">
      <c r="B33" t="s">
        <v>197</v>
      </c>
      <c r="C33" t="s">
        <v>197</v>
      </c>
      <c r="D33" t="s">
        <v>197</v>
      </c>
      <c r="E33" t="s">
        <v>197</v>
      </c>
      <c r="F33" t="s">
        <v>197</v>
      </c>
      <c r="G33" t="s">
        <v>197</v>
      </c>
      <c r="H33" t="s">
        <v>197</v>
      </c>
      <c r="I33" t="s">
        <v>197</v>
      </c>
      <c r="J33" t="s">
        <v>197</v>
      </c>
      <c r="K33" t="s">
        <v>251</v>
      </c>
      <c r="Y33" t="s">
        <v>1497</v>
      </c>
      <c r="AE33" t="s">
        <v>1886</v>
      </c>
      <c r="AG33" t="s">
        <v>1778</v>
      </c>
      <c r="AH33" t="s">
        <v>1574</v>
      </c>
      <c r="AI33" t="s">
        <v>1778</v>
      </c>
      <c r="AJ33" t="s">
        <v>1887</v>
      </c>
      <c r="AK33" t="s">
        <v>1888</v>
      </c>
      <c r="AL33" t="s">
        <v>1889</v>
      </c>
      <c r="AM33" t="s">
        <v>1471</v>
      </c>
      <c r="AR33" t="s">
        <v>1890</v>
      </c>
      <c r="AV33" t="s">
        <v>1891</v>
      </c>
      <c r="BF33" t="s">
        <v>1364</v>
      </c>
      <c r="BK33" t="s">
        <v>1479</v>
      </c>
      <c r="BT33" t="s">
        <v>1778</v>
      </c>
      <c r="CD33" t="s">
        <v>1892</v>
      </c>
      <c r="CN33" t="s">
        <v>1629</v>
      </c>
      <c r="CO33" t="s">
        <v>1893</v>
      </c>
      <c r="CQ33" t="s">
        <v>1894</v>
      </c>
      <c r="CS33" t="s">
        <v>1503</v>
      </c>
      <c r="CZ33" t="s">
        <v>1640</v>
      </c>
      <c r="DB33" t="s">
        <v>1580</v>
      </c>
    </row>
    <row r="34" spans="1:106">
      <c r="A34" t="s">
        <v>448</v>
      </c>
      <c r="K34" t="s">
        <v>449</v>
      </c>
      <c r="W34" s="1" t="str">
        <f>HYPERLINK("#2026042015hbase0!Z2","NO 源备存在差异，共28个")</f>
        <v>NO 源备存在差异，共28个</v>
      </c>
      <c r="X34" t="str">
        <f>A34</f>
        <v>info_sdt_dml_batch1_pk_urp1</v>
      </c>
      <c r="Y34" t="s">
        <v>1748</v>
      </c>
      <c r="AE34" t="s">
        <v>1895</v>
      </c>
      <c r="AG34" t="s">
        <v>1896</v>
      </c>
      <c r="AH34" t="s">
        <v>1594</v>
      </c>
      <c r="AI34" t="s">
        <v>1896</v>
      </c>
      <c r="AJ34" t="s">
        <v>1895</v>
      </c>
      <c r="AK34" t="s">
        <v>1897</v>
      </c>
      <c r="AL34" t="s">
        <v>1898</v>
      </c>
      <c r="AM34" t="s">
        <v>1899</v>
      </c>
      <c r="AR34" t="s">
        <v>1900</v>
      </c>
      <c r="AV34" t="s">
        <v>1901</v>
      </c>
      <c r="BF34" t="s">
        <v>1321</v>
      </c>
      <c r="BK34" t="s">
        <v>1507</v>
      </c>
      <c r="BT34" t="s">
        <v>1896</v>
      </c>
      <c r="CD34" t="s">
        <v>1902</v>
      </c>
      <c r="CN34" t="s">
        <v>1652</v>
      </c>
      <c r="CO34" t="s">
        <v>1903</v>
      </c>
      <c r="CQ34" t="s">
        <v>1904</v>
      </c>
      <c r="CS34" t="s">
        <v>1374</v>
      </c>
      <c r="CZ34" t="s">
        <v>1661</v>
      </c>
      <c r="DB34" t="s">
        <v>426</v>
      </c>
    </row>
    <row r="35" spans="1:106">
      <c r="B35" t="s">
        <v>196</v>
      </c>
      <c r="C35" t="s">
        <v>197</v>
      </c>
      <c r="D35" t="s">
        <v>197</v>
      </c>
      <c r="E35" t="s">
        <v>197</v>
      </c>
      <c r="F35" t="s">
        <v>197</v>
      </c>
      <c r="G35" t="s">
        <v>197</v>
      </c>
      <c r="H35" t="s">
        <v>197</v>
      </c>
      <c r="I35" t="s">
        <v>454</v>
      </c>
      <c r="J35" t="s">
        <v>199</v>
      </c>
      <c r="K35" t="s">
        <v>200</v>
      </c>
      <c r="Y35" t="s">
        <v>1524</v>
      </c>
      <c r="AE35" t="s">
        <v>1905</v>
      </c>
      <c r="AG35" t="s">
        <v>1793</v>
      </c>
      <c r="AH35" t="s">
        <v>1618</v>
      </c>
      <c r="AI35" t="s">
        <v>1793</v>
      </c>
      <c r="AJ35" t="s">
        <v>1905</v>
      </c>
      <c r="AK35" t="s">
        <v>1906</v>
      </c>
      <c r="AL35" t="s">
        <v>1907</v>
      </c>
      <c r="AM35" t="s">
        <v>1501</v>
      </c>
      <c r="AR35" t="s">
        <v>1908</v>
      </c>
      <c r="AV35" t="s">
        <v>1909</v>
      </c>
      <c r="BF35" t="s">
        <v>1354</v>
      </c>
      <c r="BK35" t="s">
        <v>1534</v>
      </c>
      <c r="BT35" t="s">
        <v>1793</v>
      </c>
      <c r="CD35" t="s">
        <v>1910</v>
      </c>
      <c r="CN35" t="s">
        <v>1757</v>
      </c>
      <c r="CS35" t="s">
        <v>1557</v>
      </c>
      <c r="CZ35" t="s">
        <v>1679</v>
      </c>
      <c r="DB35" t="s">
        <v>430</v>
      </c>
    </row>
    <row r="36" spans="1:106">
      <c r="B36" t="s">
        <v>197</v>
      </c>
      <c r="C36" t="s">
        <v>197</v>
      </c>
      <c r="D36" t="s">
        <v>197</v>
      </c>
      <c r="E36" t="s">
        <v>197</v>
      </c>
      <c r="F36" t="s">
        <v>197</v>
      </c>
      <c r="G36" t="s">
        <v>197</v>
      </c>
      <c r="H36" t="s">
        <v>197</v>
      </c>
      <c r="I36" t="s">
        <v>197</v>
      </c>
      <c r="J36" t="s">
        <v>197</v>
      </c>
      <c r="K36" t="s">
        <v>422</v>
      </c>
      <c r="Y36" t="s">
        <v>1565</v>
      </c>
      <c r="AE36" t="s">
        <v>1911</v>
      </c>
      <c r="AG36" t="s">
        <v>1809</v>
      </c>
      <c r="AH36" t="s">
        <v>1513</v>
      </c>
      <c r="AI36" t="s">
        <v>1809</v>
      </c>
      <c r="AJ36" t="s">
        <v>1911</v>
      </c>
      <c r="AK36" t="s">
        <v>1912</v>
      </c>
      <c r="AL36" t="s">
        <v>1913</v>
      </c>
      <c r="AM36" t="s">
        <v>1896</v>
      </c>
      <c r="AR36" t="s">
        <v>1395</v>
      </c>
      <c r="AV36" t="s">
        <v>1914</v>
      </c>
      <c r="BF36" t="s">
        <v>1915</v>
      </c>
      <c r="BK36" t="s">
        <v>1745</v>
      </c>
      <c r="BT36" t="s">
        <v>1809</v>
      </c>
      <c r="CD36" t="s">
        <v>1628</v>
      </c>
      <c r="CN36" t="s">
        <v>1613</v>
      </c>
      <c r="CS36" t="s">
        <v>1580</v>
      </c>
      <c r="CZ36" t="s">
        <v>1377</v>
      </c>
      <c r="DB36" t="s">
        <v>1916</v>
      </c>
    </row>
    <row r="37" spans="1:106">
      <c r="A37" t="s">
        <v>462</v>
      </c>
      <c r="K37" t="s">
        <v>463</v>
      </c>
      <c r="W37" t="s">
        <v>171</v>
      </c>
      <c r="X37" t="str">
        <f>A37</f>
        <v>info_xml_dml_single_pk_irp</v>
      </c>
      <c r="Y37" t="s">
        <v>1440</v>
      </c>
      <c r="AE37" t="s">
        <v>1917</v>
      </c>
      <c r="AG37" t="s">
        <v>1820</v>
      </c>
      <c r="AH37" t="s">
        <v>1543</v>
      </c>
      <c r="AI37" t="s">
        <v>1820</v>
      </c>
      <c r="AJ37" t="s">
        <v>1917</v>
      </c>
      <c r="AK37" t="s">
        <v>1918</v>
      </c>
      <c r="AL37" t="s">
        <v>1919</v>
      </c>
      <c r="AM37" t="s">
        <v>1528</v>
      </c>
      <c r="AR37" t="s">
        <v>1920</v>
      </c>
      <c r="AV37" t="s">
        <v>1921</v>
      </c>
      <c r="BF37" t="s">
        <v>1922</v>
      </c>
      <c r="BK37" t="s">
        <v>1756</v>
      </c>
      <c r="BT37" t="s">
        <v>1820</v>
      </c>
      <c r="CD37" t="s">
        <v>1923</v>
      </c>
      <c r="CN37" t="s">
        <v>1659</v>
      </c>
      <c r="CS37" t="s">
        <v>426</v>
      </c>
      <c r="CZ37" t="s">
        <v>1570</v>
      </c>
      <c r="DB37" t="s">
        <v>1924</v>
      </c>
    </row>
    <row r="38" spans="1:106">
      <c r="B38" t="s">
        <v>196</v>
      </c>
      <c r="C38" t="s">
        <v>197</v>
      </c>
      <c r="D38" t="s">
        <v>197</v>
      </c>
      <c r="E38" t="s">
        <v>197</v>
      </c>
      <c r="F38" t="s">
        <v>197</v>
      </c>
      <c r="G38" t="s">
        <v>197</v>
      </c>
      <c r="H38" t="s">
        <v>197</v>
      </c>
      <c r="I38" t="s">
        <v>467</v>
      </c>
      <c r="J38" t="s">
        <v>199</v>
      </c>
      <c r="K38" t="s">
        <v>200</v>
      </c>
      <c r="Y38" t="s">
        <v>1573</v>
      </c>
      <c r="AE38" t="s">
        <v>1925</v>
      </c>
      <c r="AG38" t="s">
        <v>1926</v>
      </c>
      <c r="AH38" t="s">
        <v>1567</v>
      </c>
      <c r="AI38" t="s">
        <v>1926</v>
      </c>
      <c r="AJ38" t="s">
        <v>1927</v>
      </c>
      <c r="AK38" t="s">
        <v>1543</v>
      </c>
      <c r="AL38" t="s">
        <v>1928</v>
      </c>
      <c r="AM38" t="s">
        <v>1809</v>
      </c>
      <c r="AR38" t="s">
        <v>1555</v>
      </c>
      <c r="AV38" t="s">
        <v>1929</v>
      </c>
      <c r="BF38" t="s">
        <v>1930</v>
      </c>
      <c r="BK38" t="s">
        <v>1931</v>
      </c>
      <c r="BT38" t="s">
        <v>1926</v>
      </c>
      <c r="CD38" t="s">
        <v>1932</v>
      </c>
      <c r="CN38" t="s">
        <v>1660</v>
      </c>
      <c r="CS38" t="s">
        <v>430</v>
      </c>
      <c r="CZ38" t="s">
        <v>1407</v>
      </c>
      <c r="DB38" t="s">
        <v>1933</v>
      </c>
    </row>
    <row r="39" spans="1:106">
      <c r="B39" t="s">
        <v>197</v>
      </c>
      <c r="C39" t="s">
        <v>197</v>
      </c>
      <c r="D39" t="s">
        <v>197</v>
      </c>
      <c r="E39" t="s">
        <v>197</v>
      </c>
      <c r="F39" t="s">
        <v>197</v>
      </c>
      <c r="G39" t="s">
        <v>197</v>
      </c>
      <c r="H39" t="s">
        <v>197</v>
      </c>
      <c r="I39" t="s">
        <v>197</v>
      </c>
      <c r="J39" t="s">
        <v>197</v>
      </c>
      <c r="K39" t="s">
        <v>472</v>
      </c>
      <c r="Y39" t="s">
        <v>1631</v>
      </c>
      <c r="AE39" t="s">
        <v>1934</v>
      </c>
      <c r="AG39" t="s">
        <v>1554</v>
      </c>
      <c r="AH39" t="s">
        <v>1697</v>
      </c>
      <c r="AI39" t="s">
        <v>1554</v>
      </c>
      <c r="AJ39" t="s">
        <v>1935</v>
      </c>
      <c r="AK39" t="s">
        <v>1936</v>
      </c>
      <c r="AL39" t="s">
        <v>1937</v>
      </c>
      <c r="AM39" t="s">
        <v>1820</v>
      </c>
      <c r="AR39" t="s">
        <v>1352</v>
      </c>
      <c r="BF39" t="s">
        <v>1390</v>
      </c>
      <c r="BK39" t="s">
        <v>1938</v>
      </c>
      <c r="BT39" t="s">
        <v>1554</v>
      </c>
      <c r="CD39" t="s">
        <v>1939</v>
      </c>
      <c r="CN39" t="s">
        <v>1677</v>
      </c>
      <c r="CS39" t="s">
        <v>1916</v>
      </c>
      <c r="CZ39" t="s">
        <v>1605</v>
      </c>
      <c r="DB39" t="s">
        <v>1940</v>
      </c>
    </row>
    <row r="40" spans="1:106">
      <c r="A40" t="s">
        <v>476</v>
      </c>
      <c r="K40" t="s">
        <v>477</v>
      </c>
      <c r="W40" s="1" t="str">
        <f>HYPERLINK("#2026042015hbase0!AA2","NO 源备存在差异，共28个")</f>
        <v>NO 源备存在差异，共28个</v>
      </c>
      <c r="X40" t="str">
        <f>A40</f>
        <v>info_sdt_dml_batch1_pk_urp2</v>
      </c>
      <c r="Y40" t="s">
        <v>1834</v>
      </c>
      <c r="AE40" t="s">
        <v>1941</v>
      </c>
      <c r="AG40" t="s">
        <v>1578</v>
      </c>
      <c r="AH40" t="s">
        <v>1586</v>
      </c>
      <c r="AI40" t="s">
        <v>1578</v>
      </c>
      <c r="AJ40" t="s">
        <v>1942</v>
      </c>
      <c r="AK40" t="s">
        <v>1943</v>
      </c>
      <c r="AL40" t="s">
        <v>1944</v>
      </c>
      <c r="AM40" t="s">
        <v>1926</v>
      </c>
      <c r="AR40" t="s">
        <v>1434</v>
      </c>
      <c r="BF40" t="s">
        <v>1945</v>
      </c>
      <c r="BK40" t="s">
        <v>1946</v>
      </c>
      <c r="BT40" t="s">
        <v>1578</v>
      </c>
      <c r="CD40" t="s">
        <v>1947</v>
      </c>
      <c r="CN40" t="s">
        <v>1694</v>
      </c>
      <c r="CS40" t="s">
        <v>1924</v>
      </c>
      <c r="CZ40" t="s">
        <v>1948</v>
      </c>
      <c r="DB40" t="s">
        <v>1949</v>
      </c>
    </row>
    <row r="41" spans="1:106">
      <c r="B41" t="s">
        <v>196</v>
      </c>
      <c r="C41" t="s">
        <v>197</v>
      </c>
      <c r="D41" t="s">
        <v>197</v>
      </c>
      <c r="E41" t="s">
        <v>197</v>
      </c>
      <c r="F41" t="s">
        <v>197</v>
      </c>
      <c r="G41" t="s">
        <v>197</v>
      </c>
      <c r="H41" t="s">
        <v>197</v>
      </c>
      <c r="I41" t="s">
        <v>481</v>
      </c>
      <c r="J41" t="s">
        <v>199</v>
      </c>
      <c r="K41" t="s">
        <v>200</v>
      </c>
      <c r="Y41" t="s">
        <v>1846</v>
      </c>
      <c r="AE41" t="s">
        <v>1950</v>
      </c>
      <c r="AG41" t="s">
        <v>1598</v>
      </c>
      <c r="AH41" t="s">
        <v>1951</v>
      </c>
      <c r="AI41" t="s">
        <v>1598</v>
      </c>
      <c r="AJ41" t="s">
        <v>1952</v>
      </c>
      <c r="AK41" t="s">
        <v>1953</v>
      </c>
      <c r="AL41" t="s">
        <v>1954</v>
      </c>
      <c r="AM41" t="s">
        <v>1554</v>
      </c>
      <c r="AR41" t="s">
        <v>1624</v>
      </c>
      <c r="BF41" t="s">
        <v>1955</v>
      </c>
      <c r="BK41" t="s">
        <v>1956</v>
      </c>
      <c r="BT41" t="s">
        <v>1598</v>
      </c>
      <c r="CD41" t="s">
        <v>1957</v>
      </c>
      <c r="CN41" t="s">
        <v>1709</v>
      </c>
      <c r="CS41" t="s">
        <v>1933</v>
      </c>
      <c r="CZ41" t="s">
        <v>1958</v>
      </c>
      <c r="DB41" t="s">
        <v>1959</v>
      </c>
    </row>
    <row r="42" spans="1:106">
      <c r="B42" t="s">
        <v>197</v>
      </c>
      <c r="C42" t="s">
        <v>197</v>
      </c>
      <c r="D42" t="s">
        <v>197</v>
      </c>
      <c r="E42" t="s">
        <v>197</v>
      </c>
      <c r="F42" t="s">
        <v>197</v>
      </c>
      <c r="G42" t="s">
        <v>197</v>
      </c>
      <c r="H42" t="s">
        <v>197</v>
      </c>
      <c r="I42" t="s">
        <v>197</v>
      </c>
      <c r="J42" t="s">
        <v>197</v>
      </c>
      <c r="K42" t="s">
        <v>422</v>
      </c>
      <c r="Y42" t="s">
        <v>1960</v>
      </c>
      <c r="AE42" t="s">
        <v>1961</v>
      </c>
      <c r="AG42" t="s">
        <v>1623</v>
      </c>
      <c r="AH42" t="s">
        <v>1962</v>
      </c>
      <c r="AI42" t="s">
        <v>1623</v>
      </c>
      <c r="AJ42" t="s">
        <v>1963</v>
      </c>
      <c r="AK42" t="s">
        <v>1964</v>
      </c>
      <c r="AL42" t="s">
        <v>1965</v>
      </c>
      <c r="AM42" t="s">
        <v>1578</v>
      </c>
      <c r="AR42" t="s">
        <v>1966</v>
      </c>
      <c r="BF42" t="s">
        <v>1419</v>
      </c>
      <c r="BK42" t="s">
        <v>1967</v>
      </c>
      <c r="BT42" t="s">
        <v>1623</v>
      </c>
      <c r="CD42" t="s">
        <v>1968</v>
      </c>
      <c r="CN42" t="s">
        <v>1736</v>
      </c>
      <c r="CS42" t="s">
        <v>1940</v>
      </c>
      <c r="CZ42" t="s">
        <v>1969</v>
      </c>
      <c r="DB42" t="s">
        <v>1970</v>
      </c>
    </row>
    <row r="43" spans="1:106">
      <c r="A43" t="s">
        <v>486</v>
      </c>
      <c r="K43" t="s">
        <v>487</v>
      </c>
      <c r="W43" t="s">
        <v>171</v>
      </c>
      <c r="X43" t="str">
        <f>A43</f>
        <v>info_varbinary_dml_batch1_pk_urp1</v>
      </c>
      <c r="Y43" t="s">
        <v>1971</v>
      </c>
      <c r="AG43" t="s">
        <v>1972</v>
      </c>
      <c r="AH43" t="s">
        <v>1973</v>
      </c>
      <c r="AI43" t="s">
        <v>1972</v>
      </c>
      <c r="AK43" t="s">
        <v>1974</v>
      </c>
      <c r="AL43" t="s">
        <v>1975</v>
      </c>
      <c r="AM43" t="s">
        <v>1598</v>
      </c>
      <c r="AR43" t="s">
        <v>1976</v>
      </c>
      <c r="BF43" t="s">
        <v>1600</v>
      </c>
      <c r="BK43" t="s">
        <v>1977</v>
      </c>
      <c r="BT43" t="s">
        <v>1972</v>
      </c>
      <c r="CD43" t="s">
        <v>1978</v>
      </c>
      <c r="CN43" t="s">
        <v>1884</v>
      </c>
      <c r="CS43" t="s">
        <v>1949</v>
      </c>
      <c r="CZ43" t="s">
        <v>1439</v>
      </c>
      <c r="DB43" t="s">
        <v>1979</v>
      </c>
    </row>
    <row r="44" spans="1:106">
      <c r="B44" t="s">
        <v>196</v>
      </c>
      <c r="C44" t="s">
        <v>197</v>
      </c>
      <c r="D44" t="s">
        <v>197</v>
      </c>
      <c r="E44" t="s">
        <v>197</v>
      </c>
      <c r="F44" t="s">
        <v>197</v>
      </c>
      <c r="G44" t="s">
        <v>197</v>
      </c>
      <c r="H44" t="s">
        <v>197</v>
      </c>
      <c r="I44" t="s">
        <v>491</v>
      </c>
      <c r="J44" t="s">
        <v>199</v>
      </c>
      <c r="K44" t="s">
        <v>200</v>
      </c>
      <c r="Y44" t="s">
        <v>1980</v>
      </c>
      <c r="AG44" t="s">
        <v>1981</v>
      </c>
      <c r="AH44" t="s">
        <v>1982</v>
      </c>
      <c r="AI44" t="s">
        <v>1981</v>
      </c>
      <c r="AK44" t="s">
        <v>1567</v>
      </c>
      <c r="AL44" t="s">
        <v>1983</v>
      </c>
      <c r="AM44" t="s">
        <v>1623</v>
      </c>
      <c r="AR44" t="s">
        <v>1984</v>
      </c>
      <c r="BF44" t="s">
        <v>1430</v>
      </c>
      <c r="BK44" t="s">
        <v>1985</v>
      </c>
      <c r="BT44" t="s">
        <v>1981</v>
      </c>
      <c r="CD44" t="s">
        <v>1537</v>
      </c>
      <c r="CN44" t="s">
        <v>1986</v>
      </c>
      <c r="CS44" t="s">
        <v>1959</v>
      </c>
      <c r="CZ44" t="s">
        <v>1987</v>
      </c>
      <c r="DB44" t="s">
        <v>1988</v>
      </c>
    </row>
    <row r="45" spans="1:106">
      <c r="B45" t="s">
        <v>197</v>
      </c>
      <c r="C45" t="s">
        <v>197</v>
      </c>
      <c r="D45" t="s">
        <v>197</v>
      </c>
      <c r="E45" t="s">
        <v>197</v>
      </c>
      <c r="F45" t="s">
        <v>197</v>
      </c>
      <c r="G45" t="s">
        <v>197</v>
      </c>
      <c r="H45" t="s">
        <v>197</v>
      </c>
      <c r="I45" t="s">
        <v>197</v>
      </c>
      <c r="J45" t="s">
        <v>197</v>
      </c>
      <c r="K45" t="s">
        <v>495</v>
      </c>
      <c r="Y45" t="s">
        <v>1989</v>
      </c>
      <c r="AG45" t="s">
        <v>1868</v>
      </c>
      <c r="AH45" t="s">
        <v>1990</v>
      </c>
      <c r="AI45" t="s">
        <v>1868</v>
      </c>
      <c r="AK45" t="s">
        <v>1697</v>
      </c>
      <c r="AL45" t="s">
        <v>1991</v>
      </c>
      <c r="AM45" t="s">
        <v>1972</v>
      </c>
      <c r="AR45" t="s">
        <v>1992</v>
      </c>
      <c r="BF45" t="s">
        <v>1647</v>
      </c>
      <c r="BK45" t="s">
        <v>1993</v>
      </c>
      <c r="BT45" t="s">
        <v>1868</v>
      </c>
      <c r="CD45" t="s">
        <v>1395</v>
      </c>
      <c r="CN45" t="s">
        <v>1994</v>
      </c>
      <c r="CS45" t="s">
        <v>1970</v>
      </c>
      <c r="CZ45" t="s">
        <v>1995</v>
      </c>
      <c r="DB45" t="s">
        <v>1996</v>
      </c>
    </row>
    <row r="46" spans="1:106">
      <c r="B46" t="s">
        <v>197</v>
      </c>
      <c r="C46" t="s">
        <v>197</v>
      </c>
      <c r="D46" t="s">
        <v>197</v>
      </c>
      <c r="E46" t="s">
        <v>197</v>
      </c>
      <c r="F46" t="s">
        <v>197</v>
      </c>
      <c r="G46" t="s">
        <v>197</v>
      </c>
      <c r="H46" t="s">
        <v>197</v>
      </c>
      <c r="I46" t="s">
        <v>197</v>
      </c>
      <c r="J46" t="s">
        <v>197</v>
      </c>
      <c r="K46" t="s">
        <v>499</v>
      </c>
      <c r="Y46" t="s">
        <v>1997</v>
      </c>
      <c r="AG46" t="s">
        <v>1876</v>
      </c>
      <c r="AH46" t="s">
        <v>1998</v>
      </c>
      <c r="AI46" t="s">
        <v>1876</v>
      </c>
      <c r="AK46" t="s">
        <v>1586</v>
      </c>
      <c r="AL46" t="s">
        <v>1999</v>
      </c>
      <c r="AM46" t="s">
        <v>2000</v>
      </c>
      <c r="AR46" t="s">
        <v>2001</v>
      </c>
      <c r="BF46" t="s">
        <v>1457</v>
      </c>
      <c r="BK46" t="s">
        <v>2002</v>
      </c>
      <c r="BT46" t="s">
        <v>1876</v>
      </c>
      <c r="CD46" t="s">
        <v>1562</v>
      </c>
      <c r="CN46" t="s">
        <v>2003</v>
      </c>
      <c r="CS46" t="s">
        <v>1979</v>
      </c>
      <c r="CZ46" t="s">
        <v>2004</v>
      </c>
      <c r="DB46" t="s">
        <v>2005</v>
      </c>
    </row>
    <row r="47" spans="1:106">
      <c r="B47" t="s">
        <v>197</v>
      </c>
      <c r="C47" t="s">
        <v>197</v>
      </c>
      <c r="D47" t="s">
        <v>197</v>
      </c>
      <c r="E47" t="s">
        <v>197</v>
      </c>
      <c r="F47" t="s">
        <v>197</v>
      </c>
      <c r="G47" t="s">
        <v>197</v>
      </c>
      <c r="H47" t="s">
        <v>197</v>
      </c>
      <c r="I47" t="s">
        <v>197</v>
      </c>
      <c r="J47" t="s">
        <v>197</v>
      </c>
      <c r="K47" t="s">
        <v>503</v>
      </c>
      <c r="Y47" t="s">
        <v>2006</v>
      </c>
      <c r="AG47" t="s">
        <v>1883</v>
      </c>
      <c r="AH47" t="s">
        <v>2007</v>
      </c>
      <c r="AI47" t="s">
        <v>1883</v>
      </c>
      <c r="AK47" t="s">
        <v>1608</v>
      </c>
      <c r="AL47" t="s">
        <v>2008</v>
      </c>
      <c r="AM47" t="s">
        <v>2009</v>
      </c>
      <c r="AR47" t="s">
        <v>2010</v>
      </c>
      <c r="BF47" t="s">
        <v>1450</v>
      </c>
      <c r="BK47" t="s">
        <v>2011</v>
      </c>
      <c r="BT47" t="s">
        <v>1883</v>
      </c>
      <c r="CD47" t="s">
        <v>1583</v>
      </c>
      <c r="CN47" t="s">
        <v>2012</v>
      </c>
      <c r="CS47" t="s">
        <v>1988</v>
      </c>
      <c r="CZ47" t="s">
        <v>2013</v>
      </c>
    </row>
    <row r="48" spans="1:106">
      <c r="A48" t="s">
        <v>504</v>
      </c>
      <c r="K48" t="s">
        <v>505</v>
      </c>
      <c r="W48" t="s">
        <v>171</v>
      </c>
      <c r="X48" t="str">
        <f>A48</f>
        <v>info_sdt_dml_batch1_pk_drp1</v>
      </c>
      <c r="Y48" t="s">
        <v>2014</v>
      </c>
      <c r="AG48" t="s">
        <v>2015</v>
      </c>
      <c r="AH48" t="s">
        <v>2016</v>
      </c>
      <c r="AI48" t="s">
        <v>2015</v>
      </c>
      <c r="AK48" t="s">
        <v>1742</v>
      </c>
      <c r="AL48" t="s">
        <v>2017</v>
      </c>
      <c r="AM48" t="s">
        <v>2018</v>
      </c>
      <c r="AR48" t="s">
        <v>2019</v>
      </c>
      <c r="BF48" t="s">
        <v>1479</v>
      </c>
      <c r="BK48" t="s">
        <v>2020</v>
      </c>
      <c r="BT48" t="s">
        <v>2015</v>
      </c>
      <c r="CD48" t="s">
        <v>1603</v>
      </c>
      <c r="CN48" t="s">
        <v>2021</v>
      </c>
      <c r="CS48" t="s">
        <v>1996</v>
      </c>
      <c r="CZ48" t="s">
        <v>2022</v>
      </c>
    </row>
    <row r="49" spans="1:104">
      <c r="B49" t="s">
        <v>196</v>
      </c>
      <c r="C49" t="s">
        <v>197</v>
      </c>
      <c r="D49" t="s">
        <v>197</v>
      </c>
      <c r="E49" t="s">
        <v>197</v>
      </c>
      <c r="F49" t="s">
        <v>197</v>
      </c>
      <c r="G49" t="s">
        <v>197</v>
      </c>
      <c r="H49" t="s">
        <v>197</v>
      </c>
      <c r="I49" t="s">
        <v>507</v>
      </c>
      <c r="J49" t="s">
        <v>199</v>
      </c>
      <c r="K49" t="s">
        <v>200</v>
      </c>
      <c r="Y49" t="s">
        <v>2023</v>
      </c>
      <c r="AH49" t="s">
        <v>2024</v>
      </c>
      <c r="AK49" t="s">
        <v>1445</v>
      </c>
      <c r="AL49" t="s">
        <v>2025</v>
      </c>
      <c r="AM49" t="s">
        <v>2026</v>
      </c>
      <c r="AR49" t="s">
        <v>2027</v>
      </c>
      <c r="BF49" t="s">
        <v>1507</v>
      </c>
      <c r="BK49" t="s">
        <v>2028</v>
      </c>
      <c r="CD49" t="s">
        <v>1629</v>
      </c>
      <c r="CN49" t="s">
        <v>2029</v>
      </c>
      <c r="CS49" t="s">
        <v>2005</v>
      </c>
      <c r="CZ49" t="s">
        <v>1485</v>
      </c>
    </row>
    <row r="50" spans="1:104">
      <c r="B50" t="s">
        <v>197</v>
      </c>
      <c r="C50" t="s">
        <v>197</v>
      </c>
      <c r="D50" t="s">
        <v>197</v>
      </c>
      <c r="E50" t="s">
        <v>197</v>
      </c>
      <c r="F50" t="s">
        <v>197</v>
      </c>
      <c r="G50" t="s">
        <v>197</v>
      </c>
      <c r="H50" t="s">
        <v>197</v>
      </c>
      <c r="I50" t="s">
        <v>197</v>
      </c>
      <c r="J50" t="s">
        <v>197</v>
      </c>
      <c r="K50" t="s">
        <v>422</v>
      </c>
      <c r="Y50" t="s">
        <v>2030</v>
      </c>
      <c r="AH50" t="s">
        <v>2031</v>
      </c>
      <c r="AK50" t="s">
        <v>1470</v>
      </c>
      <c r="AL50" t="s">
        <v>2032</v>
      </c>
      <c r="AM50" t="s">
        <v>2033</v>
      </c>
      <c r="AR50" t="s">
        <v>2034</v>
      </c>
      <c r="BF50" t="s">
        <v>1534</v>
      </c>
      <c r="BK50" t="s">
        <v>2035</v>
      </c>
      <c r="CD50" t="s">
        <v>1652</v>
      </c>
      <c r="CN50" t="s">
        <v>2036</v>
      </c>
      <c r="CS50" t="s">
        <v>2037</v>
      </c>
      <c r="CZ50" t="s">
        <v>1600</v>
      </c>
    </row>
    <row r="51" spans="1:104">
      <c r="K51" t="s">
        <v>443</v>
      </c>
      <c r="Y51" t="s">
        <v>2038</v>
      </c>
      <c r="AH51" t="s">
        <v>1608</v>
      </c>
      <c r="AK51" t="s">
        <v>1673</v>
      </c>
      <c r="AR51" t="s">
        <v>2039</v>
      </c>
      <c r="BF51" t="s">
        <v>1745</v>
      </c>
      <c r="BK51" t="s">
        <v>2040</v>
      </c>
      <c r="CD51" t="s">
        <v>1757</v>
      </c>
      <c r="CN51" t="s">
        <v>2041</v>
      </c>
      <c r="CS51" t="s">
        <v>2042</v>
      </c>
      <c r="CZ51" t="s">
        <v>1687</v>
      </c>
    </row>
    <row r="52" spans="1:104">
      <c r="A52" t="s">
        <v>519</v>
      </c>
      <c r="K52" t="s">
        <v>520</v>
      </c>
      <c r="W52" t="s">
        <v>171</v>
      </c>
      <c r="X52" t="str">
        <f>A52</f>
        <v>info_datetimeoffset_dml_single_pk_drp</v>
      </c>
      <c r="Y52" t="s">
        <v>2043</v>
      </c>
      <c r="AH52" t="s">
        <v>2044</v>
      </c>
      <c r="AK52" t="s">
        <v>1689</v>
      </c>
      <c r="AR52" t="s">
        <v>2045</v>
      </c>
      <c r="BF52" t="s">
        <v>1756</v>
      </c>
      <c r="BK52" t="s">
        <v>2046</v>
      </c>
      <c r="CD52" t="s">
        <v>1613</v>
      </c>
      <c r="CN52" t="s">
        <v>2047</v>
      </c>
      <c r="CS52" t="s">
        <v>2048</v>
      </c>
      <c r="CZ52" t="s">
        <v>1466</v>
      </c>
    </row>
    <row r="53" spans="1:104">
      <c r="B53" t="s">
        <v>196</v>
      </c>
      <c r="C53" t="s">
        <v>197</v>
      </c>
      <c r="D53" t="s">
        <v>197</v>
      </c>
      <c r="E53" t="s">
        <v>197</v>
      </c>
      <c r="F53" t="s">
        <v>197</v>
      </c>
      <c r="G53" t="s">
        <v>197</v>
      </c>
      <c r="H53" t="s">
        <v>197</v>
      </c>
      <c r="I53" t="s">
        <v>522</v>
      </c>
      <c r="J53" t="s">
        <v>199</v>
      </c>
      <c r="K53" t="s">
        <v>200</v>
      </c>
      <c r="Y53" t="s">
        <v>2049</v>
      </c>
      <c r="AH53" t="s">
        <v>2050</v>
      </c>
      <c r="AK53" t="s">
        <v>1600</v>
      </c>
      <c r="AR53" t="s">
        <v>2051</v>
      </c>
      <c r="BF53" t="s">
        <v>2052</v>
      </c>
      <c r="CD53" t="s">
        <v>1659</v>
      </c>
      <c r="CN53" t="s">
        <v>2053</v>
      </c>
      <c r="CZ53" t="s">
        <v>1724</v>
      </c>
    </row>
    <row r="54" spans="1:104">
      <c r="B54" t="s">
        <v>197</v>
      </c>
      <c r="C54" t="s">
        <v>197</v>
      </c>
      <c r="D54" t="s">
        <v>197</v>
      </c>
      <c r="E54" t="s">
        <v>197</v>
      </c>
      <c r="F54" t="s">
        <v>197</v>
      </c>
      <c r="G54" t="s">
        <v>197</v>
      </c>
      <c r="H54" t="s">
        <v>197</v>
      </c>
      <c r="I54" t="s">
        <v>197</v>
      </c>
      <c r="J54" t="s">
        <v>197</v>
      </c>
      <c r="K54" t="s">
        <v>301</v>
      </c>
      <c r="Y54" t="s">
        <v>2054</v>
      </c>
      <c r="AH54" t="s">
        <v>2055</v>
      </c>
      <c r="AK54" t="s">
        <v>1706</v>
      </c>
      <c r="AR54" t="s">
        <v>2056</v>
      </c>
      <c r="BF54" t="s">
        <v>2057</v>
      </c>
      <c r="CD54" t="s">
        <v>1660</v>
      </c>
      <c r="CN54" t="s">
        <v>2058</v>
      </c>
      <c r="CZ54" t="s">
        <v>1497</v>
      </c>
    </row>
    <row r="55" spans="1:104">
      <c r="B55" t="s">
        <v>197</v>
      </c>
      <c r="C55" t="s">
        <v>197</v>
      </c>
      <c r="D55" t="s">
        <v>197</v>
      </c>
      <c r="E55" t="s">
        <v>197</v>
      </c>
      <c r="F55" t="s">
        <v>197</v>
      </c>
      <c r="G55" t="s">
        <v>197</v>
      </c>
      <c r="H55" t="s">
        <v>197</v>
      </c>
      <c r="I55" t="s">
        <v>197</v>
      </c>
      <c r="J55" t="s">
        <v>197</v>
      </c>
      <c r="K55" t="s">
        <v>314</v>
      </c>
      <c r="AH55" t="s">
        <v>2059</v>
      </c>
      <c r="AK55" t="s">
        <v>1721</v>
      </c>
      <c r="AR55" t="s">
        <v>2060</v>
      </c>
      <c r="BF55" t="s">
        <v>2061</v>
      </c>
      <c r="CD55" t="s">
        <v>1677</v>
      </c>
      <c r="CZ55" t="s">
        <v>1748</v>
      </c>
    </row>
    <row r="56" spans="1:104">
      <c r="B56" t="s">
        <v>197</v>
      </c>
      <c r="C56" t="s">
        <v>197</v>
      </c>
      <c r="D56" t="s">
        <v>197</v>
      </c>
      <c r="E56" t="s">
        <v>197</v>
      </c>
      <c r="F56" t="s">
        <v>197</v>
      </c>
      <c r="G56" t="s">
        <v>197</v>
      </c>
      <c r="H56" t="s">
        <v>197</v>
      </c>
      <c r="I56" t="s">
        <v>197</v>
      </c>
      <c r="J56" t="s">
        <v>197</v>
      </c>
      <c r="K56" t="s">
        <v>324</v>
      </c>
      <c r="AH56" t="s">
        <v>2062</v>
      </c>
      <c r="AK56" t="s">
        <v>1854</v>
      </c>
      <c r="AR56" t="s">
        <v>2063</v>
      </c>
      <c r="BF56" t="s">
        <v>2064</v>
      </c>
      <c r="CD56" t="s">
        <v>1694</v>
      </c>
      <c r="CZ56" t="s">
        <v>1524</v>
      </c>
    </row>
    <row r="57" spans="1:104">
      <c r="B57" t="s">
        <v>197</v>
      </c>
      <c r="C57" t="s">
        <v>197</v>
      </c>
      <c r="D57" t="s">
        <v>197</v>
      </c>
      <c r="E57" t="s">
        <v>197</v>
      </c>
      <c r="F57" t="s">
        <v>197</v>
      </c>
      <c r="G57" t="s">
        <v>197</v>
      </c>
      <c r="H57" t="s">
        <v>197</v>
      </c>
      <c r="I57" t="s">
        <v>197</v>
      </c>
      <c r="J57" t="s">
        <v>197</v>
      </c>
      <c r="K57" t="s">
        <v>335</v>
      </c>
      <c r="AH57" t="s">
        <v>2065</v>
      </c>
      <c r="AK57" t="s">
        <v>1500</v>
      </c>
      <c r="AR57" t="s">
        <v>2066</v>
      </c>
      <c r="BF57" t="s">
        <v>2067</v>
      </c>
      <c r="CD57" t="s">
        <v>1709</v>
      </c>
      <c r="CZ57" t="s">
        <v>1565</v>
      </c>
    </row>
    <row r="58" spans="1:104">
      <c r="B58" t="s">
        <v>197</v>
      </c>
      <c r="C58" t="s">
        <v>197</v>
      </c>
      <c r="D58" t="s">
        <v>197</v>
      </c>
      <c r="E58" t="s">
        <v>197</v>
      </c>
      <c r="F58" t="s">
        <v>197</v>
      </c>
      <c r="G58" t="s">
        <v>197</v>
      </c>
      <c r="H58" t="s">
        <v>197</v>
      </c>
      <c r="I58" t="s">
        <v>197</v>
      </c>
      <c r="J58" t="s">
        <v>197</v>
      </c>
      <c r="K58" t="s">
        <v>350</v>
      </c>
      <c r="AH58" t="s">
        <v>2068</v>
      </c>
      <c r="AK58" t="s">
        <v>1527</v>
      </c>
      <c r="AR58" t="s">
        <v>2069</v>
      </c>
      <c r="BF58" t="s">
        <v>2070</v>
      </c>
      <c r="CD58" t="s">
        <v>1736</v>
      </c>
      <c r="CZ58" t="s">
        <v>1440</v>
      </c>
    </row>
    <row r="59" spans="1:104">
      <c r="B59" t="s">
        <v>197</v>
      </c>
      <c r="C59" t="s">
        <v>197</v>
      </c>
      <c r="D59" t="s">
        <v>197</v>
      </c>
      <c r="E59" t="s">
        <v>197</v>
      </c>
      <c r="F59" t="s">
        <v>197</v>
      </c>
      <c r="G59" t="s">
        <v>197</v>
      </c>
      <c r="H59" t="s">
        <v>197</v>
      </c>
      <c r="I59" t="s">
        <v>197</v>
      </c>
      <c r="J59" t="s">
        <v>197</v>
      </c>
      <c r="K59" t="s">
        <v>360</v>
      </c>
      <c r="AH59" t="s">
        <v>2071</v>
      </c>
      <c r="AK59" t="s">
        <v>1761</v>
      </c>
      <c r="AR59" t="s">
        <v>2072</v>
      </c>
      <c r="BF59" t="s">
        <v>2073</v>
      </c>
      <c r="CD59" t="s">
        <v>1884</v>
      </c>
      <c r="CZ59" t="s">
        <v>1573</v>
      </c>
    </row>
    <row r="60" spans="1:104">
      <c r="B60" t="s">
        <v>197</v>
      </c>
      <c r="C60" t="s">
        <v>197</v>
      </c>
      <c r="D60" t="s">
        <v>197</v>
      </c>
      <c r="E60" t="s">
        <v>197</v>
      </c>
      <c r="F60" t="s">
        <v>197</v>
      </c>
      <c r="G60" t="s">
        <v>197</v>
      </c>
      <c r="H60" t="s">
        <v>197</v>
      </c>
      <c r="I60" t="s">
        <v>197</v>
      </c>
      <c r="J60" t="s">
        <v>197</v>
      </c>
      <c r="K60" t="s">
        <v>367</v>
      </c>
      <c r="AH60" t="s">
        <v>2074</v>
      </c>
      <c r="AK60" t="s">
        <v>1778</v>
      </c>
      <c r="AR60" t="s">
        <v>2075</v>
      </c>
      <c r="BF60" t="s">
        <v>2076</v>
      </c>
      <c r="CD60" t="s">
        <v>1966</v>
      </c>
      <c r="CZ60" t="s">
        <v>1631</v>
      </c>
    </row>
    <row r="61" spans="1:104">
      <c r="B61" t="s">
        <v>197</v>
      </c>
      <c r="C61" t="s">
        <v>197</v>
      </c>
      <c r="D61" t="s">
        <v>197</v>
      </c>
      <c r="E61" t="s">
        <v>197</v>
      </c>
      <c r="F61" t="s">
        <v>197</v>
      </c>
      <c r="G61" t="s">
        <v>197</v>
      </c>
      <c r="H61" t="s">
        <v>197</v>
      </c>
      <c r="I61" t="s">
        <v>197</v>
      </c>
      <c r="J61" t="s">
        <v>197</v>
      </c>
      <c r="K61" t="s">
        <v>373</v>
      </c>
      <c r="AH61" t="s">
        <v>1445</v>
      </c>
      <c r="AK61" t="s">
        <v>1896</v>
      </c>
      <c r="AR61" t="s">
        <v>2077</v>
      </c>
      <c r="BF61" t="s">
        <v>2078</v>
      </c>
      <c r="CD61" t="s">
        <v>2079</v>
      </c>
      <c r="CZ61" t="s">
        <v>1834</v>
      </c>
    </row>
    <row r="62" spans="1:104">
      <c r="A62" t="s">
        <v>510</v>
      </c>
      <c r="K62" t="s">
        <v>511</v>
      </c>
      <c r="W62" t="s">
        <v>171</v>
      </c>
      <c r="X62" t="str">
        <f>A62</f>
        <v>info_nchar_dml_single_pk_irp</v>
      </c>
      <c r="AH62" t="s">
        <v>2080</v>
      </c>
      <c r="AK62" t="s">
        <v>1793</v>
      </c>
      <c r="AR62" t="s">
        <v>2081</v>
      </c>
      <c r="BF62" t="s">
        <v>2082</v>
      </c>
      <c r="CD62" t="s">
        <v>2083</v>
      </c>
      <c r="CZ62" t="s">
        <v>1846</v>
      </c>
    </row>
    <row r="63" spans="1:104">
      <c r="B63" t="s">
        <v>196</v>
      </c>
      <c r="C63" t="s">
        <v>197</v>
      </c>
      <c r="D63" t="s">
        <v>197</v>
      </c>
      <c r="E63" t="s">
        <v>197</v>
      </c>
      <c r="F63" t="s">
        <v>197</v>
      </c>
      <c r="G63" t="s">
        <v>197</v>
      </c>
      <c r="H63" t="s">
        <v>197</v>
      </c>
      <c r="I63" t="s">
        <v>512</v>
      </c>
      <c r="J63" t="s">
        <v>199</v>
      </c>
      <c r="K63" t="s">
        <v>200</v>
      </c>
      <c r="AH63" t="s">
        <v>2084</v>
      </c>
      <c r="AK63" t="s">
        <v>1809</v>
      </c>
      <c r="AR63" t="s">
        <v>2085</v>
      </c>
      <c r="BF63" t="s">
        <v>2086</v>
      </c>
      <c r="CD63" t="s">
        <v>2087</v>
      </c>
      <c r="CZ63" t="s">
        <v>2052</v>
      </c>
    </row>
    <row r="64" spans="1:104">
      <c r="B64" t="s">
        <v>197</v>
      </c>
      <c r="C64" t="s">
        <v>197</v>
      </c>
      <c r="D64" t="s">
        <v>197</v>
      </c>
      <c r="E64" t="s">
        <v>197</v>
      </c>
      <c r="F64" t="s">
        <v>197</v>
      </c>
      <c r="G64" t="s">
        <v>197</v>
      </c>
      <c r="H64" t="s">
        <v>197</v>
      </c>
      <c r="I64" t="s">
        <v>197</v>
      </c>
      <c r="J64" t="s">
        <v>197</v>
      </c>
      <c r="K64" t="s">
        <v>514</v>
      </c>
      <c r="AH64" t="s">
        <v>2088</v>
      </c>
      <c r="AK64" t="s">
        <v>1820</v>
      </c>
      <c r="AR64" t="s">
        <v>2089</v>
      </c>
      <c r="BF64" t="s">
        <v>2090</v>
      </c>
      <c r="CD64" t="s">
        <v>2091</v>
      </c>
      <c r="CZ64" t="s">
        <v>2092</v>
      </c>
    </row>
    <row r="65" spans="1:104">
      <c r="B65" t="s">
        <v>197</v>
      </c>
      <c r="C65" t="s">
        <v>197</v>
      </c>
      <c r="D65" t="s">
        <v>197</v>
      </c>
      <c r="E65" t="s">
        <v>197</v>
      </c>
      <c r="F65" t="s">
        <v>197</v>
      </c>
      <c r="G65" t="s">
        <v>197</v>
      </c>
      <c r="H65" t="s">
        <v>197</v>
      </c>
      <c r="I65" t="s">
        <v>197</v>
      </c>
      <c r="J65" t="s">
        <v>197</v>
      </c>
      <c r="K65" t="s">
        <v>516</v>
      </c>
      <c r="AH65" t="s">
        <v>2093</v>
      </c>
      <c r="AK65" t="s">
        <v>1926</v>
      </c>
      <c r="AR65" t="s">
        <v>2094</v>
      </c>
      <c r="BF65" t="s">
        <v>2095</v>
      </c>
      <c r="CD65" t="s">
        <v>2096</v>
      </c>
      <c r="CZ65" t="s">
        <v>2097</v>
      </c>
    </row>
    <row r="66" spans="1:104">
      <c r="B66" t="s">
        <v>197</v>
      </c>
      <c r="C66" t="s">
        <v>197</v>
      </c>
      <c r="D66" t="s">
        <v>197</v>
      </c>
      <c r="E66" t="s">
        <v>197</v>
      </c>
      <c r="F66" t="s">
        <v>197</v>
      </c>
      <c r="G66" t="s">
        <v>197</v>
      </c>
      <c r="H66" t="s">
        <v>197</v>
      </c>
      <c r="I66" t="s">
        <v>197</v>
      </c>
      <c r="J66" t="s">
        <v>197</v>
      </c>
      <c r="K66" t="s">
        <v>517</v>
      </c>
      <c r="AH66" t="s">
        <v>2098</v>
      </c>
      <c r="AK66" t="s">
        <v>1554</v>
      </c>
      <c r="AR66" t="s">
        <v>2099</v>
      </c>
      <c r="BF66" t="s">
        <v>2100</v>
      </c>
      <c r="CD66" t="s">
        <v>2101</v>
      </c>
      <c r="CZ66" t="s">
        <v>2102</v>
      </c>
    </row>
    <row r="67" spans="1:104">
      <c r="A67" t="s">
        <v>531</v>
      </c>
      <c r="K67" t="s">
        <v>532</v>
      </c>
      <c r="W67" s="1" t="str">
        <f>HYPERLINK("#2026042015hbase0!AB2","NO 源备存在差异，共6个")</f>
        <v>NO 源备存在差异，共6个</v>
      </c>
      <c r="X67" t="str">
        <f>A67</f>
        <v>info_geometry_dml_single_pk_urp</v>
      </c>
      <c r="AH67" t="s">
        <v>2103</v>
      </c>
      <c r="AK67" t="s">
        <v>1578</v>
      </c>
      <c r="AR67" t="s">
        <v>2104</v>
      </c>
      <c r="BF67" t="s">
        <v>2105</v>
      </c>
      <c r="CD67" t="s">
        <v>2106</v>
      </c>
      <c r="CZ67" t="s">
        <v>2107</v>
      </c>
    </row>
    <row r="68" spans="1:104">
      <c r="B68" t="s">
        <v>196</v>
      </c>
      <c r="C68" t="s">
        <v>197</v>
      </c>
      <c r="D68" t="s">
        <v>197</v>
      </c>
      <c r="E68" t="s">
        <v>197</v>
      </c>
      <c r="F68" t="s">
        <v>197</v>
      </c>
      <c r="G68" t="s">
        <v>197</v>
      </c>
      <c r="H68" t="s">
        <v>197</v>
      </c>
      <c r="I68" t="s">
        <v>533</v>
      </c>
      <c r="J68" t="s">
        <v>199</v>
      </c>
      <c r="K68" t="s">
        <v>200</v>
      </c>
      <c r="AH68" t="s">
        <v>2108</v>
      </c>
      <c r="AK68" t="s">
        <v>1598</v>
      </c>
      <c r="AR68" t="s">
        <v>2109</v>
      </c>
      <c r="BF68" t="s">
        <v>2110</v>
      </c>
      <c r="CD68" t="s">
        <v>2111</v>
      </c>
      <c r="CZ68" t="s">
        <v>1960</v>
      </c>
    </row>
    <row r="69" spans="1:104">
      <c r="B69" t="s">
        <v>197</v>
      </c>
      <c r="C69" t="s">
        <v>197</v>
      </c>
      <c r="D69" t="s">
        <v>197</v>
      </c>
      <c r="E69" t="s">
        <v>197</v>
      </c>
      <c r="F69" t="s">
        <v>197</v>
      </c>
      <c r="G69" t="s">
        <v>197</v>
      </c>
      <c r="H69" t="s">
        <v>197</v>
      </c>
      <c r="I69" t="s">
        <v>197</v>
      </c>
      <c r="J69" t="s">
        <v>197</v>
      </c>
      <c r="K69" t="s">
        <v>393</v>
      </c>
      <c r="AH69" t="s">
        <v>2112</v>
      </c>
      <c r="AK69" t="s">
        <v>1623</v>
      </c>
      <c r="BF69" t="s">
        <v>2113</v>
      </c>
      <c r="CD69" t="s">
        <v>2114</v>
      </c>
      <c r="CZ69" t="s">
        <v>1971</v>
      </c>
    </row>
    <row r="70" spans="1:104">
      <c r="A70" t="s">
        <v>534</v>
      </c>
      <c r="K70" t="s">
        <v>535</v>
      </c>
      <c r="W70" s="1" t="str">
        <f>HYPERLINK("#2026042015hbase0!AC2","NO 源备存在差异，共10个")</f>
        <v>NO 源备存在差异，共10个</v>
      </c>
      <c r="X70" t="str">
        <f>A70</f>
        <v>info_sdt_dml_batch1_pk_drp2</v>
      </c>
      <c r="AH70" t="s">
        <v>2115</v>
      </c>
      <c r="AK70" t="s">
        <v>1972</v>
      </c>
      <c r="BF70" t="s">
        <v>2116</v>
      </c>
      <c r="CD70" t="s">
        <v>2117</v>
      </c>
      <c r="CZ70" t="s">
        <v>1980</v>
      </c>
    </row>
    <row r="71" spans="1:104">
      <c r="B71" t="s">
        <v>196</v>
      </c>
      <c r="C71" t="s">
        <v>197</v>
      </c>
      <c r="D71" t="s">
        <v>197</v>
      </c>
      <c r="E71" t="s">
        <v>197</v>
      </c>
      <c r="F71" t="s">
        <v>197</v>
      </c>
      <c r="G71" t="s">
        <v>197</v>
      </c>
      <c r="H71" t="s">
        <v>197</v>
      </c>
      <c r="I71" t="s">
        <v>536</v>
      </c>
      <c r="J71" t="s">
        <v>199</v>
      </c>
      <c r="K71" t="s">
        <v>200</v>
      </c>
      <c r="AH71" t="s">
        <v>2118</v>
      </c>
      <c r="AK71" t="s">
        <v>1981</v>
      </c>
      <c r="BF71" t="s">
        <v>2119</v>
      </c>
      <c r="CD71" t="s">
        <v>2120</v>
      </c>
      <c r="CZ71" t="s">
        <v>1989</v>
      </c>
    </row>
    <row r="72" spans="1:104">
      <c r="B72" t="s">
        <v>197</v>
      </c>
      <c r="C72" t="s">
        <v>197</v>
      </c>
      <c r="D72" t="s">
        <v>197</v>
      </c>
      <c r="E72" t="s">
        <v>197</v>
      </c>
      <c r="F72" t="s">
        <v>197</v>
      </c>
      <c r="G72" t="s">
        <v>197</v>
      </c>
      <c r="H72" t="s">
        <v>197</v>
      </c>
      <c r="I72" t="s">
        <v>197</v>
      </c>
      <c r="J72" t="s">
        <v>197</v>
      </c>
      <c r="K72" t="s">
        <v>422</v>
      </c>
      <c r="AH72" t="s">
        <v>1470</v>
      </c>
      <c r="AK72" t="s">
        <v>1868</v>
      </c>
      <c r="BF72" t="s">
        <v>2121</v>
      </c>
      <c r="CD72" t="s">
        <v>2122</v>
      </c>
      <c r="CZ72" t="s">
        <v>1997</v>
      </c>
    </row>
    <row r="73" spans="1:104">
      <c r="A73" t="s">
        <v>537</v>
      </c>
      <c r="K73" t="s">
        <v>538</v>
      </c>
      <c r="W73" t="s">
        <v>171</v>
      </c>
      <c r="X73" t="str">
        <f>A73</f>
        <v>info_nvarchar_dml_batch2_pk_urp2</v>
      </c>
      <c r="AH73" t="s">
        <v>2123</v>
      </c>
      <c r="AK73" t="s">
        <v>1876</v>
      </c>
      <c r="BF73" t="s">
        <v>2124</v>
      </c>
      <c r="CD73" t="s">
        <v>2125</v>
      </c>
      <c r="CZ73" t="s">
        <v>2006</v>
      </c>
    </row>
    <row r="74" spans="1:104">
      <c r="B74" t="s">
        <v>196</v>
      </c>
      <c r="C74" t="s">
        <v>197</v>
      </c>
      <c r="D74" t="s">
        <v>197</v>
      </c>
      <c r="E74" t="s">
        <v>197</v>
      </c>
      <c r="F74" t="s">
        <v>197</v>
      </c>
      <c r="G74" t="s">
        <v>197</v>
      </c>
      <c r="H74" t="s">
        <v>197</v>
      </c>
      <c r="I74" t="s">
        <v>539</v>
      </c>
      <c r="J74" t="s">
        <v>199</v>
      </c>
      <c r="K74" t="s">
        <v>200</v>
      </c>
      <c r="AH74" t="s">
        <v>2126</v>
      </c>
      <c r="AK74" t="s">
        <v>1883</v>
      </c>
      <c r="BF74" t="s">
        <v>2127</v>
      </c>
      <c r="CD74" t="s">
        <v>2128</v>
      </c>
      <c r="CZ74" t="s">
        <v>2014</v>
      </c>
    </row>
    <row r="75" spans="1:104">
      <c r="B75" t="s">
        <v>197</v>
      </c>
      <c r="C75" t="s">
        <v>197</v>
      </c>
      <c r="D75" t="s">
        <v>197</v>
      </c>
      <c r="E75" t="s">
        <v>197</v>
      </c>
      <c r="F75" t="s">
        <v>197</v>
      </c>
      <c r="G75" t="s">
        <v>197</v>
      </c>
      <c r="H75" t="s">
        <v>197</v>
      </c>
      <c r="I75" t="s">
        <v>197</v>
      </c>
      <c r="J75" t="s">
        <v>197</v>
      </c>
      <c r="K75" t="s">
        <v>408</v>
      </c>
      <c r="AH75" t="s">
        <v>2129</v>
      </c>
      <c r="AK75" t="s">
        <v>2015</v>
      </c>
      <c r="BF75" t="s">
        <v>2130</v>
      </c>
      <c r="CD75" t="s">
        <v>2131</v>
      </c>
      <c r="CZ75" t="s">
        <v>2023</v>
      </c>
    </row>
    <row r="76" spans="1:104">
      <c r="B76" t="s">
        <v>197</v>
      </c>
      <c r="C76" t="s">
        <v>197</v>
      </c>
      <c r="D76" t="s">
        <v>197</v>
      </c>
      <c r="E76" t="s">
        <v>197</v>
      </c>
      <c r="F76" t="s">
        <v>197</v>
      </c>
      <c r="G76" t="s">
        <v>197</v>
      </c>
      <c r="H76" t="s">
        <v>197</v>
      </c>
      <c r="I76" t="s">
        <v>197</v>
      </c>
      <c r="J76" t="s">
        <v>197</v>
      </c>
      <c r="K76" t="s">
        <v>412</v>
      </c>
      <c r="AH76" t="s">
        <v>2132</v>
      </c>
      <c r="AK76" t="s">
        <v>2133</v>
      </c>
      <c r="BF76" t="s">
        <v>2134</v>
      </c>
      <c r="CD76" t="s">
        <v>2135</v>
      </c>
      <c r="CZ76" t="s">
        <v>2136</v>
      </c>
    </row>
    <row r="77" spans="1:104">
      <c r="B77" t="s">
        <v>197</v>
      </c>
      <c r="C77" t="s">
        <v>197</v>
      </c>
      <c r="D77" t="s">
        <v>197</v>
      </c>
      <c r="E77" t="s">
        <v>197</v>
      </c>
      <c r="F77" t="s">
        <v>197</v>
      </c>
      <c r="G77" t="s">
        <v>197</v>
      </c>
      <c r="H77" t="s">
        <v>197</v>
      </c>
      <c r="I77" t="s">
        <v>197</v>
      </c>
      <c r="J77" t="s">
        <v>197</v>
      </c>
      <c r="K77" t="s">
        <v>416</v>
      </c>
      <c r="AH77" t="s">
        <v>2137</v>
      </c>
      <c r="AK77" t="s">
        <v>2138</v>
      </c>
      <c r="BF77" t="s">
        <v>2139</v>
      </c>
      <c r="CD77" t="s">
        <v>2140</v>
      </c>
      <c r="CZ77" t="s">
        <v>2141</v>
      </c>
    </row>
    <row r="78" spans="1:104">
      <c r="A78" t="s">
        <v>540</v>
      </c>
      <c r="K78" t="s">
        <v>541</v>
      </c>
      <c r="W78" t="s">
        <v>171</v>
      </c>
      <c r="X78" t="str">
        <f>A78</f>
        <v>info_varchar_dml_batch1_pk_drp2</v>
      </c>
      <c r="AH78" t="s">
        <v>1673</v>
      </c>
      <c r="AK78" t="s">
        <v>2142</v>
      </c>
      <c r="BF78" t="s">
        <v>2143</v>
      </c>
      <c r="CD78" t="s">
        <v>2144</v>
      </c>
      <c r="CZ78" t="s">
        <v>2145</v>
      </c>
    </row>
    <row r="79" spans="1:104">
      <c r="B79" t="s">
        <v>196</v>
      </c>
      <c r="C79" t="s">
        <v>197</v>
      </c>
      <c r="D79" t="s">
        <v>197</v>
      </c>
      <c r="E79" t="s">
        <v>197</v>
      </c>
      <c r="F79" t="s">
        <v>197</v>
      </c>
      <c r="G79" t="s">
        <v>197</v>
      </c>
      <c r="H79" t="s">
        <v>197</v>
      </c>
      <c r="I79" t="s">
        <v>542</v>
      </c>
      <c r="J79" t="s">
        <v>199</v>
      </c>
      <c r="K79" t="s">
        <v>200</v>
      </c>
      <c r="AH79" t="s">
        <v>1689</v>
      </c>
      <c r="AK79" t="s">
        <v>2146</v>
      </c>
      <c r="BF79" t="s">
        <v>2147</v>
      </c>
      <c r="CD79" t="s">
        <v>2148</v>
      </c>
      <c r="CZ79" t="s">
        <v>2149</v>
      </c>
    </row>
    <row r="80" spans="1:104">
      <c r="B80" t="s">
        <v>197</v>
      </c>
      <c r="C80" t="s">
        <v>197</v>
      </c>
      <c r="D80" t="s">
        <v>197</v>
      </c>
      <c r="E80" t="s">
        <v>197</v>
      </c>
      <c r="F80" t="s">
        <v>197</v>
      </c>
      <c r="G80" t="s">
        <v>197</v>
      </c>
      <c r="H80" t="s">
        <v>197</v>
      </c>
      <c r="I80" t="s">
        <v>197</v>
      </c>
      <c r="J80" t="s">
        <v>197</v>
      </c>
      <c r="K80" t="s">
        <v>431</v>
      </c>
      <c r="AH80" t="s">
        <v>1600</v>
      </c>
      <c r="AK80" t="s">
        <v>2150</v>
      </c>
      <c r="BF80" t="s">
        <v>2151</v>
      </c>
      <c r="CD80" t="s">
        <v>2152</v>
      </c>
      <c r="CZ80" t="s">
        <v>2153</v>
      </c>
    </row>
    <row r="81" spans="1:104">
      <c r="B81" t="s">
        <v>197</v>
      </c>
      <c r="C81" t="s">
        <v>197</v>
      </c>
      <c r="D81" t="s">
        <v>197</v>
      </c>
      <c r="E81" t="s">
        <v>197</v>
      </c>
      <c r="F81" t="s">
        <v>197</v>
      </c>
      <c r="G81" t="s">
        <v>197</v>
      </c>
      <c r="H81" t="s">
        <v>197</v>
      </c>
      <c r="I81" t="s">
        <v>197</v>
      </c>
      <c r="J81" t="s">
        <v>197</v>
      </c>
      <c r="K81" t="s">
        <v>434</v>
      </c>
      <c r="AH81" t="s">
        <v>1706</v>
      </c>
      <c r="AK81" t="s">
        <v>2154</v>
      </c>
      <c r="BF81" t="s">
        <v>2155</v>
      </c>
      <c r="CD81" t="s">
        <v>2156</v>
      </c>
      <c r="CZ81" t="s">
        <v>2157</v>
      </c>
    </row>
    <row r="82" spans="1:104">
      <c r="B82" t="s">
        <v>197</v>
      </c>
      <c r="C82" t="s">
        <v>197</v>
      </c>
      <c r="D82" t="s">
        <v>197</v>
      </c>
      <c r="E82" t="s">
        <v>197</v>
      </c>
      <c r="F82" t="s">
        <v>197</v>
      </c>
      <c r="G82" t="s">
        <v>197</v>
      </c>
      <c r="H82" t="s">
        <v>197</v>
      </c>
      <c r="I82" t="s">
        <v>197</v>
      </c>
      <c r="J82" t="s">
        <v>197</v>
      </c>
      <c r="K82" t="s">
        <v>439</v>
      </c>
      <c r="AH82" t="s">
        <v>1721</v>
      </c>
      <c r="AK82" t="s">
        <v>2158</v>
      </c>
      <c r="BF82" t="s">
        <v>2159</v>
      </c>
      <c r="CD82" t="s">
        <v>2160</v>
      </c>
      <c r="CZ82" t="s">
        <v>2161</v>
      </c>
    </row>
    <row r="83" spans="1:104">
      <c r="A83" t="s">
        <v>528</v>
      </c>
      <c r="K83" t="s">
        <v>529</v>
      </c>
      <c r="W83" t="s">
        <v>171</v>
      </c>
      <c r="X83" t="str">
        <f>A83</f>
        <v>info_text_dml_single_pk_urp</v>
      </c>
      <c r="AH83" t="s">
        <v>2162</v>
      </c>
      <c r="AK83" t="s">
        <v>2163</v>
      </c>
      <c r="CD83" t="s">
        <v>2164</v>
      </c>
      <c r="CZ83" t="s">
        <v>2165</v>
      </c>
    </row>
    <row r="84" spans="1:104">
      <c r="B84" t="s">
        <v>196</v>
      </c>
      <c r="C84" t="s">
        <v>197</v>
      </c>
      <c r="D84" t="s">
        <v>197</v>
      </c>
      <c r="E84" t="s">
        <v>197</v>
      </c>
      <c r="F84" t="s">
        <v>197</v>
      </c>
      <c r="G84" t="s">
        <v>197</v>
      </c>
      <c r="H84" t="s">
        <v>197</v>
      </c>
      <c r="I84" t="s">
        <v>530</v>
      </c>
      <c r="J84" t="s">
        <v>199</v>
      </c>
      <c r="K84" t="s">
        <v>200</v>
      </c>
      <c r="AH84" t="s">
        <v>1500</v>
      </c>
      <c r="AK84" t="s">
        <v>2166</v>
      </c>
      <c r="CD84" t="s">
        <v>2167</v>
      </c>
      <c r="CZ84" t="s">
        <v>2168</v>
      </c>
    </row>
    <row r="85" spans="1:104">
      <c r="B85" t="s">
        <v>197</v>
      </c>
      <c r="C85" t="s">
        <v>197</v>
      </c>
      <c r="D85" t="s">
        <v>197</v>
      </c>
      <c r="E85" t="s">
        <v>197</v>
      </c>
      <c r="F85" t="s">
        <v>197</v>
      </c>
      <c r="G85" t="s">
        <v>197</v>
      </c>
      <c r="H85" t="s">
        <v>197</v>
      </c>
      <c r="I85" t="s">
        <v>197</v>
      </c>
      <c r="J85" t="s">
        <v>197</v>
      </c>
      <c r="K85" t="s">
        <v>229</v>
      </c>
      <c r="AH85" t="s">
        <v>1527</v>
      </c>
      <c r="AK85" t="s">
        <v>2169</v>
      </c>
      <c r="CD85" t="s">
        <v>2170</v>
      </c>
      <c r="CZ85" t="s">
        <v>2171</v>
      </c>
    </row>
    <row r="86" spans="1:104">
      <c r="B86" t="s">
        <v>197</v>
      </c>
      <c r="C86" t="s">
        <v>197</v>
      </c>
      <c r="D86" t="s">
        <v>197</v>
      </c>
      <c r="E86" t="s">
        <v>197</v>
      </c>
      <c r="F86" t="s">
        <v>197</v>
      </c>
      <c r="G86" t="s">
        <v>197</v>
      </c>
      <c r="H86" t="s">
        <v>197</v>
      </c>
      <c r="I86" t="s">
        <v>197</v>
      </c>
      <c r="J86" t="s">
        <v>197</v>
      </c>
      <c r="K86" t="s">
        <v>251</v>
      </c>
      <c r="AH86" t="s">
        <v>1761</v>
      </c>
      <c r="AK86" t="s">
        <v>2172</v>
      </c>
      <c r="CD86" t="s">
        <v>2173</v>
      </c>
      <c r="CZ86" t="s">
        <v>2174</v>
      </c>
    </row>
    <row r="87" spans="1:104">
      <c r="A87" t="s">
        <v>543</v>
      </c>
      <c r="K87" t="s">
        <v>544</v>
      </c>
      <c r="W87" s="1" t="str">
        <f>HYPERLINK("#2026042015hbase0!AD2","NO 源备存在差异，共6个")</f>
        <v>NO 源备存在差异，共6个</v>
      </c>
      <c r="X87" t="str">
        <f>A87</f>
        <v>info_sdt_dml_batch1_pk</v>
      </c>
      <c r="AH87" t="s">
        <v>1778</v>
      </c>
      <c r="AK87" t="s">
        <v>2175</v>
      </c>
      <c r="CZ87" t="s">
        <v>2176</v>
      </c>
    </row>
    <row r="88" spans="1:104">
      <c r="B88" t="s">
        <v>196</v>
      </c>
      <c r="C88" t="s">
        <v>197</v>
      </c>
      <c r="D88" t="s">
        <v>197</v>
      </c>
      <c r="E88" t="s">
        <v>197</v>
      </c>
      <c r="F88" t="s">
        <v>197</v>
      </c>
      <c r="G88" t="s">
        <v>197</v>
      </c>
      <c r="H88" t="s">
        <v>197</v>
      </c>
      <c r="I88" t="s">
        <v>545</v>
      </c>
      <c r="J88" t="s">
        <v>199</v>
      </c>
      <c r="K88" t="s">
        <v>200</v>
      </c>
      <c r="AH88" t="s">
        <v>1896</v>
      </c>
      <c r="AK88" t="s">
        <v>2177</v>
      </c>
      <c r="CZ88" t="s">
        <v>2178</v>
      </c>
    </row>
    <row r="89" spans="1:104">
      <c r="B89" t="s">
        <v>197</v>
      </c>
      <c r="C89" t="s">
        <v>197</v>
      </c>
      <c r="D89" t="s">
        <v>197</v>
      </c>
      <c r="E89" t="s">
        <v>197</v>
      </c>
      <c r="F89" t="s">
        <v>197</v>
      </c>
      <c r="G89" t="s">
        <v>197</v>
      </c>
      <c r="H89" t="s">
        <v>197</v>
      </c>
      <c r="I89" t="s">
        <v>197</v>
      </c>
      <c r="J89" t="s">
        <v>197</v>
      </c>
      <c r="K89" t="s">
        <v>422</v>
      </c>
      <c r="AH89" t="s">
        <v>1793</v>
      </c>
      <c r="AK89" t="s">
        <v>2179</v>
      </c>
      <c r="CZ89" t="s">
        <v>2180</v>
      </c>
    </row>
    <row r="90" spans="1:104">
      <c r="A90" t="s">
        <v>546</v>
      </c>
      <c r="K90" t="s">
        <v>547</v>
      </c>
      <c r="W90" s="1" t="str">
        <f>HYPERLINK("#2026042015hbase0!AE2","NO 源备存在差异，共40个")</f>
        <v>NO 源备存在差异，共40个</v>
      </c>
      <c r="X90" t="str">
        <f>A90</f>
        <v>info_int_dml_batch1_pk_urp1</v>
      </c>
      <c r="AH90" t="s">
        <v>1809</v>
      </c>
      <c r="AK90" t="s">
        <v>2181</v>
      </c>
      <c r="CZ90" t="s">
        <v>2182</v>
      </c>
    </row>
    <row r="91" spans="1:104">
      <c r="B91" t="s">
        <v>196</v>
      </c>
      <c r="C91" t="s">
        <v>197</v>
      </c>
      <c r="D91" t="s">
        <v>197</v>
      </c>
      <c r="E91" t="s">
        <v>197</v>
      </c>
      <c r="F91" t="s">
        <v>197</v>
      </c>
      <c r="G91" t="s">
        <v>197</v>
      </c>
      <c r="H91" t="s">
        <v>197</v>
      </c>
      <c r="I91" t="s">
        <v>548</v>
      </c>
      <c r="J91" t="s">
        <v>199</v>
      </c>
      <c r="K91" t="s">
        <v>200</v>
      </c>
      <c r="AH91" t="s">
        <v>1820</v>
      </c>
      <c r="AK91" t="s">
        <v>2183</v>
      </c>
      <c r="CZ91" t="s">
        <v>2184</v>
      </c>
    </row>
    <row r="92" spans="1:104">
      <c r="B92" t="s">
        <v>197</v>
      </c>
      <c r="C92" t="s">
        <v>197</v>
      </c>
      <c r="D92" t="s">
        <v>197</v>
      </c>
      <c r="E92" t="s">
        <v>197</v>
      </c>
      <c r="F92" t="s">
        <v>197</v>
      </c>
      <c r="G92" t="s">
        <v>197</v>
      </c>
      <c r="H92" t="s">
        <v>197</v>
      </c>
      <c r="I92" t="s">
        <v>197</v>
      </c>
      <c r="J92" t="s">
        <v>197</v>
      </c>
      <c r="K92" t="s">
        <v>549</v>
      </c>
      <c r="AH92" t="s">
        <v>1926</v>
      </c>
      <c r="AK92" t="s">
        <v>2185</v>
      </c>
      <c r="CZ92" t="s">
        <v>2186</v>
      </c>
    </row>
    <row r="93" spans="1:104">
      <c r="B93" t="s">
        <v>197</v>
      </c>
      <c r="C93" t="s">
        <v>197</v>
      </c>
      <c r="D93" t="s">
        <v>197</v>
      </c>
      <c r="E93" t="s">
        <v>197</v>
      </c>
      <c r="F93" t="s">
        <v>197</v>
      </c>
      <c r="G93" t="s">
        <v>197</v>
      </c>
      <c r="H93" t="s">
        <v>197</v>
      </c>
      <c r="I93" t="s">
        <v>197</v>
      </c>
      <c r="J93" t="s">
        <v>197</v>
      </c>
      <c r="K93" t="s">
        <v>550</v>
      </c>
      <c r="AH93" t="s">
        <v>1554</v>
      </c>
      <c r="AK93" t="s">
        <v>2187</v>
      </c>
      <c r="CZ93" t="s">
        <v>2188</v>
      </c>
    </row>
    <row r="94" spans="1:104">
      <c r="B94" t="s">
        <v>197</v>
      </c>
      <c r="C94" t="s">
        <v>197</v>
      </c>
      <c r="D94" t="s">
        <v>197</v>
      </c>
      <c r="E94" t="s">
        <v>197</v>
      </c>
      <c r="F94" t="s">
        <v>197</v>
      </c>
      <c r="G94" t="s">
        <v>197</v>
      </c>
      <c r="H94" t="s">
        <v>197</v>
      </c>
      <c r="I94" t="s">
        <v>197</v>
      </c>
      <c r="J94" t="s">
        <v>197</v>
      </c>
      <c r="K94" t="s">
        <v>551</v>
      </c>
      <c r="AH94" t="s">
        <v>1578</v>
      </c>
      <c r="AK94" t="s">
        <v>2189</v>
      </c>
      <c r="CZ94" t="s">
        <v>2190</v>
      </c>
    </row>
    <row r="95" spans="1:104">
      <c r="B95" t="s">
        <v>197</v>
      </c>
      <c r="C95" t="s">
        <v>197</v>
      </c>
      <c r="D95" t="s">
        <v>197</v>
      </c>
      <c r="E95" t="s">
        <v>197</v>
      </c>
      <c r="F95" t="s">
        <v>197</v>
      </c>
      <c r="G95" t="s">
        <v>197</v>
      </c>
      <c r="H95" t="s">
        <v>197</v>
      </c>
      <c r="I95" t="s">
        <v>197</v>
      </c>
      <c r="J95" t="s">
        <v>197</v>
      </c>
      <c r="K95" t="s">
        <v>552</v>
      </c>
      <c r="AH95" t="s">
        <v>1598</v>
      </c>
      <c r="AK95" t="s">
        <v>2191</v>
      </c>
      <c r="CZ95" t="s">
        <v>2192</v>
      </c>
    </row>
    <row r="96" spans="1:104">
      <c r="B96" t="s">
        <v>197</v>
      </c>
      <c r="C96" t="s">
        <v>197</v>
      </c>
      <c r="D96" t="s">
        <v>197</v>
      </c>
      <c r="E96" t="s">
        <v>197</v>
      </c>
      <c r="F96" t="s">
        <v>197</v>
      </c>
      <c r="G96" t="s">
        <v>197</v>
      </c>
      <c r="H96" t="s">
        <v>197</v>
      </c>
      <c r="I96" t="s">
        <v>197</v>
      </c>
      <c r="J96" t="s">
        <v>197</v>
      </c>
      <c r="K96" t="s">
        <v>553</v>
      </c>
      <c r="AH96" t="s">
        <v>1623</v>
      </c>
      <c r="AK96" t="s">
        <v>2193</v>
      </c>
      <c r="CZ96" t="s">
        <v>2194</v>
      </c>
    </row>
    <row r="97" spans="1:37">
      <c r="B97" t="s">
        <v>197</v>
      </c>
      <c r="C97" t="s">
        <v>197</v>
      </c>
      <c r="D97" t="s">
        <v>197</v>
      </c>
      <c r="E97" t="s">
        <v>197</v>
      </c>
      <c r="F97" t="s">
        <v>197</v>
      </c>
      <c r="G97" t="s">
        <v>197</v>
      </c>
      <c r="H97" t="s">
        <v>197</v>
      </c>
      <c r="I97" t="s">
        <v>197</v>
      </c>
      <c r="J97" t="s">
        <v>197</v>
      </c>
      <c r="K97" t="s">
        <v>554</v>
      </c>
      <c r="AH97" t="s">
        <v>1972</v>
      </c>
      <c r="AK97" t="s">
        <v>2195</v>
      </c>
    </row>
    <row r="98" spans="1:37">
      <c r="B98" t="s">
        <v>197</v>
      </c>
      <c r="C98" t="s">
        <v>197</v>
      </c>
      <c r="D98" t="s">
        <v>197</v>
      </c>
      <c r="E98" t="s">
        <v>197</v>
      </c>
      <c r="F98" t="s">
        <v>197</v>
      </c>
      <c r="G98" t="s">
        <v>197</v>
      </c>
      <c r="H98" t="s">
        <v>197</v>
      </c>
      <c r="I98" t="s">
        <v>197</v>
      </c>
      <c r="J98" t="s">
        <v>197</v>
      </c>
      <c r="K98" t="s">
        <v>555</v>
      </c>
      <c r="AH98" t="s">
        <v>1981</v>
      </c>
      <c r="AK98" t="s">
        <v>2196</v>
      </c>
    </row>
    <row r="99" spans="1:37">
      <c r="B99" t="s">
        <v>197</v>
      </c>
      <c r="C99" t="s">
        <v>197</v>
      </c>
      <c r="D99" t="s">
        <v>197</v>
      </c>
      <c r="E99" t="s">
        <v>197</v>
      </c>
      <c r="F99" t="s">
        <v>197</v>
      </c>
      <c r="G99" t="s">
        <v>197</v>
      </c>
      <c r="H99" t="s">
        <v>197</v>
      </c>
      <c r="I99" t="s">
        <v>197</v>
      </c>
      <c r="J99" t="s">
        <v>197</v>
      </c>
      <c r="K99" t="s">
        <v>556</v>
      </c>
      <c r="AH99" t="s">
        <v>1868</v>
      </c>
      <c r="AK99" t="s">
        <v>2197</v>
      </c>
    </row>
    <row r="100" spans="1:37">
      <c r="B100" t="s">
        <v>197</v>
      </c>
      <c r="C100" t="s">
        <v>197</v>
      </c>
      <c r="D100" t="s">
        <v>197</v>
      </c>
      <c r="E100" t="s">
        <v>197</v>
      </c>
      <c r="F100" t="s">
        <v>197</v>
      </c>
      <c r="G100" t="s">
        <v>197</v>
      </c>
      <c r="H100" t="s">
        <v>197</v>
      </c>
      <c r="I100" t="s">
        <v>197</v>
      </c>
      <c r="J100" t="s">
        <v>197</v>
      </c>
      <c r="K100" t="s">
        <v>557</v>
      </c>
      <c r="AH100" t="s">
        <v>1876</v>
      </c>
      <c r="AK100" t="s">
        <v>2198</v>
      </c>
    </row>
    <row r="101" spans="1:37">
      <c r="B101" t="s">
        <v>197</v>
      </c>
      <c r="C101" t="s">
        <v>197</v>
      </c>
      <c r="D101" t="s">
        <v>197</v>
      </c>
      <c r="E101" t="s">
        <v>197</v>
      </c>
      <c r="F101" t="s">
        <v>197</v>
      </c>
      <c r="G101" t="s">
        <v>197</v>
      </c>
      <c r="H101" t="s">
        <v>197</v>
      </c>
      <c r="I101" t="s">
        <v>197</v>
      </c>
      <c r="J101" t="s">
        <v>197</v>
      </c>
      <c r="K101" t="s">
        <v>558</v>
      </c>
      <c r="AH101" t="s">
        <v>1883</v>
      </c>
      <c r="AK101" t="s">
        <v>2199</v>
      </c>
    </row>
    <row r="102" spans="1:37">
      <c r="B102" t="s">
        <v>197</v>
      </c>
      <c r="C102" t="s">
        <v>197</v>
      </c>
      <c r="D102" t="s">
        <v>197</v>
      </c>
      <c r="E102" t="s">
        <v>197</v>
      </c>
      <c r="F102" t="s">
        <v>197</v>
      </c>
      <c r="G102" t="s">
        <v>197</v>
      </c>
      <c r="H102" t="s">
        <v>197</v>
      </c>
      <c r="I102" t="s">
        <v>197</v>
      </c>
      <c r="J102" t="s">
        <v>197</v>
      </c>
      <c r="K102" t="s">
        <v>559</v>
      </c>
      <c r="AH102" t="s">
        <v>2015</v>
      </c>
      <c r="AK102" t="s">
        <v>2200</v>
      </c>
    </row>
    <row r="103" spans="1:37">
      <c r="B103" t="s">
        <v>197</v>
      </c>
      <c r="C103" t="s">
        <v>197</v>
      </c>
      <c r="D103" t="s">
        <v>197</v>
      </c>
      <c r="E103" t="s">
        <v>197</v>
      </c>
      <c r="F103" t="s">
        <v>197</v>
      </c>
      <c r="G103" t="s">
        <v>197</v>
      </c>
      <c r="H103" t="s">
        <v>197</v>
      </c>
      <c r="I103" t="s">
        <v>197</v>
      </c>
      <c r="J103" t="s">
        <v>197</v>
      </c>
      <c r="K103" t="s">
        <v>560</v>
      </c>
      <c r="AH103" t="s">
        <v>2201</v>
      </c>
    </row>
    <row r="104" spans="1:37">
      <c r="B104" t="s">
        <v>197</v>
      </c>
      <c r="C104" t="s">
        <v>197</v>
      </c>
      <c r="D104" t="s">
        <v>197</v>
      </c>
      <c r="E104" t="s">
        <v>197</v>
      </c>
      <c r="F104" t="s">
        <v>197</v>
      </c>
      <c r="G104" t="s">
        <v>197</v>
      </c>
      <c r="H104" t="s">
        <v>197</v>
      </c>
      <c r="I104" t="s">
        <v>197</v>
      </c>
      <c r="J104" t="s">
        <v>197</v>
      </c>
      <c r="K104" t="s">
        <v>561</v>
      </c>
      <c r="AH104" t="s">
        <v>2202</v>
      </c>
    </row>
    <row r="105" spans="1:37">
      <c r="B105" t="s">
        <v>197</v>
      </c>
      <c r="C105" t="s">
        <v>197</v>
      </c>
      <c r="D105" t="s">
        <v>197</v>
      </c>
      <c r="E105" t="s">
        <v>197</v>
      </c>
      <c r="F105" t="s">
        <v>197</v>
      </c>
      <c r="G105" t="s">
        <v>197</v>
      </c>
      <c r="H105" t="s">
        <v>197</v>
      </c>
      <c r="I105" t="s">
        <v>197</v>
      </c>
      <c r="J105" t="s">
        <v>197</v>
      </c>
      <c r="K105" t="s">
        <v>562</v>
      </c>
      <c r="AH105" t="s">
        <v>2203</v>
      </c>
    </row>
    <row r="106" spans="1:37">
      <c r="B106" t="s">
        <v>197</v>
      </c>
      <c r="C106" t="s">
        <v>197</v>
      </c>
      <c r="D106" t="s">
        <v>197</v>
      </c>
      <c r="E106" t="s">
        <v>197</v>
      </c>
      <c r="F106" t="s">
        <v>197</v>
      </c>
      <c r="G106" t="s">
        <v>197</v>
      </c>
      <c r="H106" t="s">
        <v>197</v>
      </c>
      <c r="I106" t="s">
        <v>197</v>
      </c>
      <c r="J106" t="s">
        <v>197</v>
      </c>
      <c r="K106" t="s">
        <v>563</v>
      </c>
      <c r="AH106" t="s">
        <v>2204</v>
      </c>
    </row>
    <row r="107" spans="1:37">
      <c r="B107" t="s">
        <v>197</v>
      </c>
      <c r="C107" t="s">
        <v>197</v>
      </c>
      <c r="D107" t="s">
        <v>197</v>
      </c>
      <c r="E107" t="s">
        <v>197</v>
      </c>
      <c r="F107" t="s">
        <v>197</v>
      </c>
      <c r="G107" t="s">
        <v>197</v>
      </c>
      <c r="H107" t="s">
        <v>197</v>
      </c>
      <c r="I107" t="s">
        <v>197</v>
      </c>
      <c r="J107" t="s">
        <v>197</v>
      </c>
      <c r="K107" t="s">
        <v>564</v>
      </c>
      <c r="AH107" t="s">
        <v>2205</v>
      </c>
    </row>
    <row r="108" spans="1:37">
      <c r="B108" t="s">
        <v>197</v>
      </c>
      <c r="C108" t="s">
        <v>197</v>
      </c>
      <c r="D108" t="s">
        <v>197</v>
      </c>
      <c r="E108" t="s">
        <v>197</v>
      </c>
      <c r="F108" t="s">
        <v>197</v>
      </c>
      <c r="G108" t="s">
        <v>197</v>
      </c>
      <c r="H108" t="s">
        <v>197</v>
      </c>
      <c r="I108" t="s">
        <v>197</v>
      </c>
      <c r="J108" t="s">
        <v>197</v>
      </c>
      <c r="K108" t="s">
        <v>565</v>
      </c>
      <c r="AH108" t="s">
        <v>2206</v>
      </c>
    </row>
    <row r="109" spans="1:37">
      <c r="B109" t="s">
        <v>197</v>
      </c>
      <c r="C109" t="s">
        <v>197</v>
      </c>
      <c r="D109" t="s">
        <v>197</v>
      </c>
      <c r="E109" t="s">
        <v>197</v>
      </c>
      <c r="F109" t="s">
        <v>197</v>
      </c>
      <c r="G109" t="s">
        <v>197</v>
      </c>
      <c r="H109" t="s">
        <v>197</v>
      </c>
      <c r="I109" t="s">
        <v>197</v>
      </c>
      <c r="J109" t="s">
        <v>197</v>
      </c>
      <c r="K109" t="s">
        <v>566</v>
      </c>
      <c r="AH109" t="s">
        <v>2207</v>
      </c>
    </row>
    <row r="110" spans="1:37">
      <c r="B110" t="s">
        <v>197</v>
      </c>
      <c r="C110" t="s">
        <v>197</v>
      </c>
      <c r="D110" t="s">
        <v>197</v>
      </c>
      <c r="E110" t="s">
        <v>197</v>
      </c>
      <c r="F110" t="s">
        <v>197</v>
      </c>
      <c r="G110" t="s">
        <v>197</v>
      </c>
      <c r="H110" t="s">
        <v>197</v>
      </c>
      <c r="I110" t="s">
        <v>197</v>
      </c>
      <c r="J110" t="s">
        <v>197</v>
      </c>
      <c r="K110" t="s">
        <v>567</v>
      </c>
      <c r="AH110" t="s">
        <v>2208</v>
      </c>
    </row>
    <row r="111" spans="1:37">
      <c r="A111" t="s">
        <v>568</v>
      </c>
      <c r="K111" t="s">
        <v>569</v>
      </c>
      <c r="W111" s="1" t="str">
        <f>HYPERLINK("#2026042015hbase0!AF2","NO 源备存在差异，共4个")</f>
        <v>NO 源备存在差异，共4个</v>
      </c>
      <c r="X111" t="str">
        <f>A111</f>
        <v>info_xml_dml_single_pk_urp</v>
      </c>
      <c r="AH111" t="s">
        <v>2209</v>
      </c>
    </row>
    <row r="112" spans="1:37">
      <c r="B112" t="s">
        <v>196</v>
      </c>
      <c r="C112" t="s">
        <v>197</v>
      </c>
      <c r="D112" t="s">
        <v>197</v>
      </c>
      <c r="E112" t="s">
        <v>197</v>
      </c>
      <c r="F112" t="s">
        <v>197</v>
      </c>
      <c r="G112" t="s">
        <v>197</v>
      </c>
      <c r="H112" t="s">
        <v>197</v>
      </c>
      <c r="I112" t="s">
        <v>570</v>
      </c>
      <c r="J112" t="s">
        <v>199</v>
      </c>
      <c r="K112" t="s">
        <v>200</v>
      </c>
      <c r="AH112" t="s">
        <v>2210</v>
      </c>
    </row>
    <row r="113" spans="1:34">
      <c r="B113" t="s">
        <v>197</v>
      </c>
      <c r="C113" t="s">
        <v>197</v>
      </c>
      <c r="D113" t="s">
        <v>197</v>
      </c>
      <c r="E113" t="s">
        <v>197</v>
      </c>
      <c r="F113" t="s">
        <v>197</v>
      </c>
      <c r="G113" t="s">
        <v>197</v>
      </c>
      <c r="H113" t="s">
        <v>197</v>
      </c>
      <c r="I113" t="s">
        <v>197</v>
      </c>
      <c r="J113" t="s">
        <v>197</v>
      </c>
      <c r="K113" t="s">
        <v>472</v>
      </c>
      <c r="AH113" t="s">
        <v>2211</v>
      </c>
    </row>
    <row r="114" spans="1:34">
      <c r="A114" t="s">
        <v>571</v>
      </c>
      <c r="K114" t="s">
        <v>572</v>
      </c>
      <c r="W114" s="1" t="str">
        <f>HYPERLINK("#2026042015hbase0!AG2","NO 源备存在差异，共46个")</f>
        <v>NO 源备存在差异，共46个</v>
      </c>
      <c r="X114" t="str">
        <f>A114</f>
        <v>info_datetime_dml_batch1_pk_irp1</v>
      </c>
      <c r="AH114" t="s">
        <v>2212</v>
      </c>
    </row>
    <row r="115" spans="1:34">
      <c r="B115" t="s">
        <v>196</v>
      </c>
      <c r="C115" t="s">
        <v>197</v>
      </c>
      <c r="D115" t="s">
        <v>197</v>
      </c>
      <c r="E115" t="s">
        <v>197</v>
      </c>
      <c r="F115" t="s">
        <v>197</v>
      </c>
      <c r="G115" t="s">
        <v>197</v>
      </c>
      <c r="H115" t="s">
        <v>197</v>
      </c>
      <c r="I115" t="s">
        <v>573</v>
      </c>
      <c r="J115" t="s">
        <v>199</v>
      </c>
      <c r="K115" t="s">
        <v>200</v>
      </c>
      <c r="AH115" t="s">
        <v>2213</v>
      </c>
    </row>
    <row r="116" spans="1:34">
      <c r="B116" t="s">
        <v>197</v>
      </c>
      <c r="C116" t="s">
        <v>197</v>
      </c>
      <c r="D116" t="s">
        <v>197</v>
      </c>
      <c r="E116" t="s">
        <v>197</v>
      </c>
      <c r="F116" t="s">
        <v>197</v>
      </c>
      <c r="G116" t="s">
        <v>197</v>
      </c>
      <c r="H116" t="s">
        <v>197</v>
      </c>
      <c r="I116" t="s">
        <v>197</v>
      </c>
      <c r="J116" t="s">
        <v>197</v>
      </c>
      <c r="K116" t="s">
        <v>574</v>
      </c>
      <c r="AH116" t="s">
        <v>2214</v>
      </c>
    </row>
    <row r="117" spans="1:34">
      <c r="A117" t="s">
        <v>575</v>
      </c>
      <c r="K117" t="s">
        <v>576</v>
      </c>
      <c r="W117" t="s">
        <v>171</v>
      </c>
      <c r="X117" t="str">
        <f>A117</f>
        <v>info_varbinary_dml_batch1_pk_urp2</v>
      </c>
      <c r="AH117" t="s">
        <v>2215</v>
      </c>
    </row>
    <row r="118" spans="1:34">
      <c r="B118" t="s">
        <v>196</v>
      </c>
      <c r="C118" t="s">
        <v>197</v>
      </c>
      <c r="D118" t="s">
        <v>197</v>
      </c>
      <c r="E118" t="s">
        <v>197</v>
      </c>
      <c r="F118" t="s">
        <v>197</v>
      </c>
      <c r="G118" t="s">
        <v>197</v>
      </c>
      <c r="H118" t="s">
        <v>197</v>
      </c>
      <c r="I118" t="s">
        <v>577</v>
      </c>
      <c r="J118" t="s">
        <v>199</v>
      </c>
      <c r="K118" t="s">
        <v>200</v>
      </c>
      <c r="AH118" t="s">
        <v>2216</v>
      </c>
    </row>
    <row r="119" spans="1:34">
      <c r="B119" t="s">
        <v>197</v>
      </c>
      <c r="C119" t="s">
        <v>197</v>
      </c>
      <c r="D119" t="s">
        <v>197</v>
      </c>
      <c r="E119" t="s">
        <v>197</v>
      </c>
      <c r="F119" t="s">
        <v>197</v>
      </c>
      <c r="G119" t="s">
        <v>197</v>
      </c>
      <c r="H119" t="s">
        <v>197</v>
      </c>
      <c r="I119" t="s">
        <v>197</v>
      </c>
      <c r="J119" t="s">
        <v>197</v>
      </c>
      <c r="K119" t="s">
        <v>495</v>
      </c>
      <c r="AH119" t="s">
        <v>2217</v>
      </c>
    </row>
    <row r="120" spans="1:34">
      <c r="B120" t="s">
        <v>197</v>
      </c>
      <c r="C120" t="s">
        <v>197</v>
      </c>
      <c r="D120" t="s">
        <v>197</v>
      </c>
      <c r="E120" t="s">
        <v>197</v>
      </c>
      <c r="F120" t="s">
        <v>197</v>
      </c>
      <c r="G120" t="s">
        <v>197</v>
      </c>
      <c r="H120" t="s">
        <v>197</v>
      </c>
      <c r="I120" t="s">
        <v>197</v>
      </c>
      <c r="J120" t="s">
        <v>197</v>
      </c>
      <c r="K120" t="s">
        <v>499</v>
      </c>
      <c r="AH120" t="s">
        <v>2218</v>
      </c>
    </row>
    <row r="121" spans="1:34">
      <c r="B121" t="s">
        <v>197</v>
      </c>
      <c r="C121" t="s">
        <v>197</v>
      </c>
      <c r="D121" t="s">
        <v>197</v>
      </c>
      <c r="E121" t="s">
        <v>197</v>
      </c>
      <c r="F121" t="s">
        <v>197</v>
      </c>
      <c r="G121" t="s">
        <v>197</v>
      </c>
      <c r="H121" t="s">
        <v>197</v>
      </c>
      <c r="I121" t="s">
        <v>197</v>
      </c>
      <c r="J121" t="s">
        <v>197</v>
      </c>
      <c r="K121" t="s">
        <v>503</v>
      </c>
      <c r="AH121" t="s">
        <v>2219</v>
      </c>
    </row>
    <row r="122" spans="1:34">
      <c r="A122" t="s">
        <v>581</v>
      </c>
      <c r="K122" t="s">
        <v>582</v>
      </c>
      <c r="W122" t="s">
        <v>171</v>
      </c>
      <c r="X122" t="str">
        <f>A122</f>
        <v>info_datetimeoffset_dml_single_pk</v>
      </c>
      <c r="AH122" t="s">
        <v>2220</v>
      </c>
    </row>
    <row r="123" spans="1:34">
      <c r="B123" t="s">
        <v>196</v>
      </c>
      <c r="C123" t="s">
        <v>197</v>
      </c>
      <c r="D123" t="s">
        <v>197</v>
      </c>
      <c r="E123" t="s">
        <v>197</v>
      </c>
      <c r="F123" t="s">
        <v>197</v>
      </c>
      <c r="G123" t="s">
        <v>197</v>
      </c>
      <c r="H123" t="s">
        <v>197</v>
      </c>
      <c r="I123" t="s">
        <v>583</v>
      </c>
      <c r="J123" t="s">
        <v>199</v>
      </c>
      <c r="K123" t="s">
        <v>200</v>
      </c>
      <c r="AH123" t="s">
        <v>2221</v>
      </c>
    </row>
    <row r="124" spans="1:34">
      <c r="B124" t="s">
        <v>197</v>
      </c>
      <c r="C124" t="s">
        <v>197</v>
      </c>
      <c r="D124" t="s">
        <v>197</v>
      </c>
      <c r="E124" t="s">
        <v>197</v>
      </c>
      <c r="F124" t="s">
        <v>197</v>
      </c>
      <c r="G124" t="s">
        <v>197</v>
      </c>
      <c r="H124" t="s">
        <v>197</v>
      </c>
      <c r="I124" t="s">
        <v>197</v>
      </c>
      <c r="J124" t="s">
        <v>197</v>
      </c>
      <c r="K124" t="s">
        <v>301</v>
      </c>
      <c r="AH124" t="s">
        <v>2222</v>
      </c>
    </row>
    <row r="125" spans="1:34">
      <c r="B125" t="s">
        <v>197</v>
      </c>
      <c r="C125" t="s">
        <v>197</v>
      </c>
      <c r="D125" t="s">
        <v>197</v>
      </c>
      <c r="E125" t="s">
        <v>197</v>
      </c>
      <c r="F125" t="s">
        <v>197</v>
      </c>
      <c r="G125" t="s">
        <v>197</v>
      </c>
      <c r="H125" t="s">
        <v>197</v>
      </c>
      <c r="I125" t="s">
        <v>197</v>
      </c>
      <c r="J125" t="s">
        <v>197</v>
      </c>
      <c r="K125" t="s">
        <v>314</v>
      </c>
      <c r="AH125" t="s">
        <v>2223</v>
      </c>
    </row>
    <row r="126" spans="1:34">
      <c r="B126" t="s">
        <v>197</v>
      </c>
      <c r="C126" t="s">
        <v>197</v>
      </c>
      <c r="D126" t="s">
        <v>197</v>
      </c>
      <c r="E126" t="s">
        <v>197</v>
      </c>
      <c r="F126" t="s">
        <v>197</v>
      </c>
      <c r="G126" t="s">
        <v>197</v>
      </c>
      <c r="H126" t="s">
        <v>197</v>
      </c>
      <c r="I126" t="s">
        <v>197</v>
      </c>
      <c r="J126" t="s">
        <v>197</v>
      </c>
      <c r="K126" t="s">
        <v>324</v>
      </c>
      <c r="AH126" t="s">
        <v>2181</v>
      </c>
    </row>
    <row r="127" spans="1:34">
      <c r="B127" t="s">
        <v>197</v>
      </c>
      <c r="C127" t="s">
        <v>197</v>
      </c>
      <c r="D127" t="s">
        <v>197</v>
      </c>
      <c r="E127" t="s">
        <v>197</v>
      </c>
      <c r="F127" t="s">
        <v>197</v>
      </c>
      <c r="G127" t="s">
        <v>197</v>
      </c>
      <c r="H127" t="s">
        <v>197</v>
      </c>
      <c r="I127" t="s">
        <v>197</v>
      </c>
      <c r="J127" t="s">
        <v>197</v>
      </c>
      <c r="K127" t="s">
        <v>335</v>
      </c>
      <c r="AH127" t="s">
        <v>2183</v>
      </c>
    </row>
    <row r="128" spans="1:34">
      <c r="B128" t="s">
        <v>197</v>
      </c>
      <c r="C128" t="s">
        <v>197</v>
      </c>
      <c r="D128" t="s">
        <v>197</v>
      </c>
      <c r="E128" t="s">
        <v>197</v>
      </c>
      <c r="F128" t="s">
        <v>197</v>
      </c>
      <c r="G128" t="s">
        <v>197</v>
      </c>
      <c r="H128" t="s">
        <v>197</v>
      </c>
      <c r="I128" t="s">
        <v>197</v>
      </c>
      <c r="J128" t="s">
        <v>197</v>
      </c>
      <c r="K128" t="s">
        <v>350</v>
      </c>
      <c r="AH128" t="s">
        <v>2185</v>
      </c>
    </row>
    <row r="129" spans="1:34">
      <c r="B129" t="s">
        <v>197</v>
      </c>
      <c r="C129" t="s">
        <v>197</v>
      </c>
      <c r="D129" t="s">
        <v>197</v>
      </c>
      <c r="E129" t="s">
        <v>197</v>
      </c>
      <c r="F129" t="s">
        <v>197</v>
      </c>
      <c r="G129" t="s">
        <v>197</v>
      </c>
      <c r="H129" t="s">
        <v>197</v>
      </c>
      <c r="I129" t="s">
        <v>197</v>
      </c>
      <c r="J129" t="s">
        <v>197</v>
      </c>
      <c r="K129" t="s">
        <v>360</v>
      </c>
      <c r="AH129" t="s">
        <v>2224</v>
      </c>
    </row>
    <row r="130" spans="1:34">
      <c r="B130" t="s">
        <v>197</v>
      </c>
      <c r="C130" t="s">
        <v>197</v>
      </c>
      <c r="D130" t="s">
        <v>197</v>
      </c>
      <c r="E130" t="s">
        <v>197</v>
      </c>
      <c r="F130" t="s">
        <v>197</v>
      </c>
      <c r="G130" t="s">
        <v>197</v>
      </c>
      <c r="H130" t="s">
        <v>197</v>
      </c>
      <c r="I130" t="s">
        <v>197</v>
      </c>
      <c r="J130" t="s">
        <v>197</v>
      </c>
      <c r="K130" t="s">
        <v>367</v>
      </c>
      <c r="AH130" t="s">
        <v>2225</v>
      </c>
    </row>
    <row r="131" spans="1:34">
      <c r="B131" t="s">
        <v>197</v>
      </c>
      <c r="C131" t="s">
        <v>197</v>
      </c>
      <c r="D131" t="s">
        <v>197</v>
      </c>
      <c r="E131" t="s">
        <v>197</v>
      </c>
      <c r="F131" t="s">
        <v>197</v>
      </c>
      <c r="G131" t="s">
        <v>197</v>
      </c>
      <c r="H131" t="s">
        <v>197</v>
      </c>
      <c r="I131" t="s">
        <v>197</v>
      </c>
      <c r="J131" t="s">
        <v>197</v>
      </c>
      <c r="K131" t="s">
        <v>373</v>
      </c>
      <c r="AH131" t="s">
        <v>2226</v>
      </c>
    </row>
    <row r="132" spans="1:34">
      <c r="A132" t="s">
        <v>578</v>
      </c>
      <c r="K132" t="s">
        <v>579</v>
      </c>
      <c r="W132" s="1" t="str">
        <f>HYPERLINK("#2026042015hbase0!AH2","NO 源备存在差异，共154个")</f>
        <v>NO 源备存在差异，共154个</v>
      </c>
      <c r="X132" t="str">
        <f>A132</f>
        <v>info_datetime_dml_batch1_pk_irp2</v>
      </c>
      <c r="AH132" t="s">
        <v>2227</v>
      </c>
    </row>
    <row r="133" spans="1:34">
      <c r="B133" t="s">
        <v>196</v>
      </c>
      <c r="C133" t="s">
        <v>197</v>
      </c>
      <c r="D133" t="s">
        <v>197</v>
      </c>
      <c r="E133" t="s">
        <v>197</v>
      </c>
      <c r="F133" t="s">
        <v>197</v>
      </c>
      <c r="G133" t="s">
        <v>197</v>
      </c>
      <c r="H133" t="s">
        <v>197</v>
      </c>
      <c r="I133" t="s">
        <v>580</v>
      </c>
      <c r="J133" t="s">
        <v>199</v>
      </c>
      <c r="K133" t="s">
        <v>200</v>
      </c>
      <c r="AH133" t="s">
        <v>2228</v>
      </c>
    </row>
    <row r="134" spans="1:34">
      <c r="B134" t="s">
        <v>197</v>
      </c>
      <c r="C134" t="s">
        <v>197</v>
      </c>
      <c r="D134" t="s">
        <v>197</v>
      </c>
      <c r="E134" t="s">
        <v>197</v>
      </c>
      <c r="F134" t="s">
        <v>197</v>
      </c>
      <c r="G134" t="s">
        <v>197</v>
      </c>
      <c r="H134" t="s">
        <v>197</v>
      </c>
      <c r="I134" t="s">
        <v>197</v>
      </c>
      <c r="J134" t="s">
        <v>197</v>
      </c>
      <c r="K134" t="s">
        <v>574</v>
      </c>
      <c r="AH134" t="s">
        <v>2229</v>
      </c>
    </row>
    <row r="135" spans="1:34">
      <c r="A135" t="s">
        <v>587</v>
      </c>
      <c r="K135" t="s">
        <v>588</v>
      </c>
      <c r="W135" s="1" t="str">
        <f>HYPERLINK("#2026042015hbase0!AI2","NO 源备存在差异，共46个")</f>
        <v>NO 源备存在差异，共46个</v>
      </c>
      <c r="X135" t="str">
        <f>A135</f>
        <v>info_datetime_dml_batch2_pk_irp1</v>
      </c>
      <c r="AH135" t="s">
        <v>2230</v>
      </c>
    </row>
    <row r="136" spans="1:34">
      <c r="B136" t="s">
        <v>196</v>
      </c>
      <c r="C136" t="s">
        <v>197</v>
      </c>
      <c r="D136" t="s">
        <v>197</v>
      </c>
      <c r="E136" t="s">
        <v>197</v>
      </c>
      <c r="F136" t="s">
        <v>197</v>
      </c>
      <c r="G136" t="s">
        <v>197</v>
      </c>
      <c r="H136" t="s">
        <v>197</v>
      </c>
      <c r="I136" t="s">
        <v>589</v>
      </c>
      <c r="J136" t="s">
        <v>199</v>
      </c>
      <c r="K136" t="s">
        <v>200</v>
      </c>
      <c r="AH136" t="s">
        <v>2231</v>
      </c>
    </row>
    <row r="137" spans="1:34">
      <c r="B137" t="s">
        <v>197</v>
      </c>
      <c r="C137" t="s">
        <v>197</v>
      </c>
      <c r="D137" t="s">
        <v>197</v>
      </c>
      <c r="E137" t="s">
        <v>197</v>
      </c>
      <c r="F137" t="s">
        <v>197</v>
      </c>
      <c r="G137" t="s">
        <v>197</v>
      </c>
      <c r="H137" t="s">
        <v>197</v>
      </c>
      <c r="I137" t="s">
        <v>197</v>
      </c>
      <c r="J137" t="s">
        <v>197</v>
      </c>
      <c r="K137" t="s">
        <v>574</v>
      </c>
      <c r="AH137" t="s">
        <v>2232</v>
      </c>
    </row>
    <row r="138" spans="1:34">
      <c r="A138" t="s">
        <v>584</v>
      </c>
      <c r="K138" t="s">
        <v>585</v>
      </c>
      <c r="W138" t="s">
        <v>171</v>
      </c>
      <c r="X138" t="str">
        <f>A138</f>
        <v>info_text_dml_single_pk_drp</v>
      </c>
      <c r="AH138" t="s">
        <v>2233</v>
      </c>
    </row>
    <row r="139" spans="1:34">
      <c r="B139" t="s">
        <v>196</v>
      </c>
      <c r="C139" t="s">
        <v>197</v>
      </c>
      <c r="D139" t="s">
        <v>197</v>
      </c>
      <c r="E139" t="s">
        <v>197</v>
      </c>
      <c r="F139" t="s">
        <v>197</v>
      </c>
      <c r="G139" t="s">
        <v>197</v>
      </c>
      <c r="H139" t="s">
        <v>197</v>
      </c>
      <c r="I139" t="s">
        <v>586</v>
      </c>
      <c r="J139" t="s">
        <v>199</v>
      </c>
      <c r="K139" t="s">
        <v>200</v>
      </c>
      <c r="AH139" t="s">
        <v>2234</v>
      </c>
    </row>
    <row r="140" spans="1:34">
      <c r="B140" t="s">
        <v>197</v>
      </c>
      <c r="C140" t="s">
        <v>197</v>
      </c>
      <c r="D140" t="s">
        <v>197</v>
      </c>
      <c r="E140" t="s">
        <v>197</v>
      </c>
      <c r="F140" t="s">
        <v>197</v>
      </c>
      <c r="G140" t="s">
        <v>197</v>
      </c>
      <c r="H140" t="s">
        <v>197</v>
      </c>
      <c r="I140" t="s">
        <v>197</v>
      </c>
      <c r="J140" t="s">
        <v>197</v>
      </c>
      <c r="K140" t="s">
        <v>229</v>
      </c>
      <c r="AH140" t="s">
        <v>2235</v>
      </c>
    </row>
    <row r="141" spans="1:34">
      <c r="B141" t="s">
        <v>197</v>
      </c>
      <c r="C141" t="s">
        <v>197</v>
      </c>
      <c r="D141" t="s">
        <v>197</v>
      </c>
      <c r="E141" t="s">
        <v>197</v>
      </c>
      <c r="F141" t="s">
        <v>197</v>
      </c>
      <c r="G141" t="s">
        <v>197</v>
      </c>
      <c r="H141" t="s">
        <v>197</v>
      </c>
      <c r="I141" t="s">
        <v>197</v>
      </c>
      <c r="J141" t="s">
        <v>197</v>
      </c>
      <c r="K141" t="s">
        <v>251</v>
      </c>
      <c r="AH141" t="s">
        <v>2236</v>
      </c>
    </row>
    <row r="142" spans="1:34">
      <c r="A142" t="s">
        <v>590</v>
      </c>
      <c r="K142" t="s">
        <v>591</v>
      </c>
      <c r="W142" t="s">
        <v>171</v>
      </c>
      <c r="X142" t="str">
        <f>A142</f>
        <v>info_nvarchar_dml_batch1_pk_drp1</v>
      </c>
      <c r="AH142" t="s">
        <v>2237</v>
      </c>
    </row>
    <row r="143" spans="1:34">
      <c r="B143" t="s">
        <v>196</v>
      </c>
      <c r="C143" t="s">
        <v>197</v>
      </c>
      <c r="D143" t="s">
        <v>197</v>
      </c>
      <c r="E143" t="s">
        <v>197</v>
      </c>
      <c r="F143" t="s">
        <v>197</v>
      </c>
      <c r="G143" t="s">
        <v>197</v>
      </c>
      <c r="H143" t="s">
        <v>197</v>
      </c>
      <c r="I143" t="s">
        <v>592</v>
      </c>
      <c r="J143" t="s">
        <v>199</v>
      </c>
      <c r="K143" t="s">
        <v>200</v>
      </c>
      <c r="AH143" t="s">
        <v>2238</v>
      </c>
    </row>
    <row r="144" spans="1:34">
      <c r="B144" t="s">
        <v>197</v>
      </c>
      <c r="C144" t="s">
        <v>197</v>
      </c>
      <c r="D144" t="s">
        <v>197</v>
      </c>
      <c r="E144" t="s">
        <v>197</v>
      </c>
      <c r="F144" t="s">
        <v>197</v>
      </c>
      <c r="G144" t="s">
        <v>197</v>
      </c>
      <c r="H144" t="s">
        <v>197</v>
      </c>
      <c r="I144" t="s">
        <v>197</v>
      </c>
      <c r="J144" t="s">
        <v>197</v>
      </c>
      <c r="K144" t="s">
        <v>408</v>
      </c>
      <c r="AH144" t="s">
        <v>2239</v>
      </c>
    </row>
    <row r="145" spans="1:34">
      <c r="B145" t="s">
        <v>197</v>
      </c>
      <c r="C145" t="s">
        <v>197</v>
      </c>
      <c r="D145" t="s">
        <v>197</v>
      </c>
      <c r="E145" t="s">
        <v>197</v>
      </c>
      <c r="F145" t="s">
        <v>197</v>
      </c>
      <c r="G145" t="s">
        <v>197</v>
      </c>
      <c r="H145" t="s">
        <v>197</v>
      </c>
      <c r="I145" t="s">
        <v>197</v>
      </c>
      <c r="J145" t="s">
        <v>197</v>
      </c>
      <c r="K145" t="s">
        <v>412</v>
      </c>
      <c r="AH145" t="s">
        <v>2240</v>
      </c>
    </row>
    <row r="146" spans="1:34">
      <c r="B146" t="s">
        <v>197</v>
      </c>
      <c r="C146" t="s">
        <v>197</v>
      </c>
      <c r="D146" t="s">
        <v>197</v>
      </c>
      <c r="E146" t="s">
        <v>197</v>
      </c>
      <c r="F146" t="s">
        <v>197</v>
      </c>
      <c r="G146" t="s">
        <v>197</v>
      </c>
      <c r="H146" t="s">
        <v>197</v>
      </c>
      <c r="I146" t="s">
        <v>197</v>
      </c>
      <c r="J146" t="s">
        <v>197</v>
      </c>
      <c r="K146" t="s">
        <v>416</v>
      </c>
      <c r="AH146" t="s">
        <v>2241</v>
      </c>
    </row>
    <row r="147" spans="1:34">
      <c r="K147" t="s">
        <v>443</v>
      </c>
      <c r="AH147" t="s">
        <v>2242</v>
      </c>
    </row>
    <row r="148" spans="1:34">
      <c r="A148" t="s">
        <v>596</v>
      </c>
      <c r="K148" t="s">
        <v>597</v>
      </c>
      <c r="W148" t="s">
        <v>171</v>
      </c>
      <c r="X148" t="str">
        <f>A148</f>
        <v>info_text_dml_single_pk</v>
      </c>
      <c r="AH148" t="s">
        <v>2243</v>
      </c>
    </row>
    <row r="149" spans="1:34">
      <c r="B149" t="s">
        <v>196</v>
      </c>
      <c r="C149" t="s">
        <v>197</v>
      </c>
      <c r="D149" t="s">
        <v>197</v>
      </c>
      <c r="E149" t="s">
        <v>197</v>
      </c>
      <c r="F149" t="s">
        <v>197</v>
      </c>
      <c r="G149" t="s">
        <v>197</v>
      </c>
      <c r="H149" t="s">
        <v>197</v>
      </c>
      <c r="I149" t="s">
        <v>598</v>
      </c>
      <c r="J149" t="s">
        <v>199</v>
      </c>
      <c r="K149" t="s">
        <v>200</v>
      </c>
      <c r="AH149" t="s">
        <v>2244</v>
      </c>
    </row>
    <row r="150" spans="1:34">
      <c r="B150" t="s">
        <v>197</v>
      </c>
      <c r="C150" t="s">
        <v>197</v>
      </c>
      <c r="D150" t="s">
        <v>197</v>
      </c>
      <c r="E150" t="s">
        <v>197</v>
      </c>
      <c r="F150" t="s">
        <v>197</v>
      </c>
      <c r="G150" t="s">
        <v>197</v>
      </c>
      <c r="H150" t="s">
        <v>197</v>
      </c>
      <c r="I150" t="s">
        <v>197</v>
      </c>
      <c r="J150" t="s">
        <v>197</v>
      </c>
      <c r="K150" t="s">
        <v>229</v>
      </c>
      <c r="AH150" t="s">
        <v>2245</v>
      </c>
    </row>
    <row r="151" spans="1:34">
      <c r="B151" t="s">
        <v>197</v>
      </c>
      <c r="C151" t="s">
        <v>197</v>
      </c>
      <c r="D151" t="s">
        <v>197</v>
      </c>
      <c r="E151" t="s">
        <v>197</v>
      </c>
      <c r="F151" t="s">
        <v>197</v>
      </c>
      <c r="G151" t="s">
        <v>197</v>
      </c>
      <c r="H151" t="s">
        <v>197</v>
      </c>
      <c r="I151" t="s">
        <v>197</v>
      </c>
      <c r="J151" t="s">
        <v>197</v>
      </c>
      <c r="K151" t="s">
        <v>251</v>
      </c>
      <c r="AH151" t="s">
        <v>2246</v>
      </c>
    </row>
    <row r="152" spans="1:34">
      <c r="K152" t="s">
        <v>443</v>
      </c>
      <c r="AH152" t="s">
        <v>2247</v>
      </c>
    </row>
    <row r="153" spans="1:34">
      <c r="A153" t="s">
        <v>593</v>
      </c>
      <c r="K153" t="s">
        <v>594</v>
      </c>
      <c r="W153" s="1" t="str">
        <f>HYPERLINK("#2026042015hbase0!AJ2","NO 源备存在差异，共40个")</f>
        <v>NO 源备存在差异，共40个</v>
      </c>
      <c r="X153" t="str">
        <f>A153</f>
        <v>info_int_dml_batch1_pk_urp2</v>
      </c>
      <c r="AH153" t="s">
        <v>2248</v>
      </c>
    </row>
    <row r="154" spans="1:34">
      <c r="B154" t="s">
        <v>196</v>
      </c>
      <c r="C154" t="s">
        <v>197</v>
      </c>
      <c r="D154" t="s">
        <v>197</v>
      </c>
      <c r="E154" t="s">
        <v>197</v>
      </c>
      <c r="F154" t="s">
        <v>197</v>
      </c>
      <c r="G154" t="s">
        <v>197</v>
      </c>
      <c r="H154" t="s">
        <v>197</v>
      </c>
      <c r="I154" t="s">
        <v>595</v>
      </c>
      <c r="J154" t="s">
        <v>199</v>
      </c>
      <c r="K154" t="s">
        <v>200</v>
      </c>
      <c r="AH154" t="s">
        <v>2249</v>
      </c>
    </row>
    <row r="155" spans="1:34">
      <c r="B155" t="s">
        <v>197</v>
      </c>
      <c r="C155" t="s">
        <v>197</v>
      </c>
      <c r="D155" t="s">
        <v>197</v>
      </c>
      <c r="E155" t="s">
        <v>197</v>
      </c>
      <c r="F155" t="s">
        <v>197</v>
      </c>
      <c r="G155" t="s">
        <v>197</v>
      </c>
      <c r="H155" t="s">
        <v>197</v>
      </c>
      <c r="I155" t="s">
        <v>197</v>
      </c>
      <c r="J155" t="s">
        <v>197</v>
      </c>
      <c r="K155" t="s">
        <v>549</v>
      </c>
      <c r="AH155" t="s">
        <v>2250</v>
      </c>
    </row>
    <row r="156" spans="1:34">
      <c r="B156" t="s">
        <v>197</v>
      </c>
      <c r="C156" t="s">
        <v>197</v>
      </c>
      <c r="D156" t="s">
        <v>197</v>
      </c>
      <c r="E156" t="s">
        <v>197</v>
      </c>
      <c r="F156" t="s">
        <v>197</v>
      </c>
      <c r="G156" t="s">
        <v>197</v>
      </c>
      <c r="H156" t="s">
        <v>197</v>
      </c>
      <c r="I156" t="s">
        <v>197</v>
      </c>
      <c r="J156" t="s">
        <v>197</v>
      </c>
      <c r="K156" t="s">
        <v>550</v>
      </c>
      <c r="AH156" t="s">
        <v>2251</v>
      </c>
    </row>
    <row r="157" spans="1:34">
      <c r="B157" t="s">
        <v>197</v>
      </c>
      <c r="C157" t="s">
        <v>197</v>
      </c>
      <c r="D157" t="s">
        <v>197</v>
      </c>
      <c r="E157" t="s">
        <v>197</v>
      </c>
      <c r="F157" t="s">
        <v>197</v>
      </c>
      <c r="G157" t="s">
        <v>197</v>
      </c>
      <c r="H157" t="s">
        <v>197</v>
      </c>
      <c r="I157" t="s">
        <v>197</v>
      </c>
      <c r="J157" t="s">
        <v>197</v>
      </c>
      <c r="K157" t="s">
        <v>551</v>
      </c>
    </row>
    <row r="158" spans="1:34">
      <c r="B158" t="s">
        <v>197</v>
      </c>
      <c r="C158" t="s">
        <v>197</v>
      </c>
      <c r="D158" t="s">
        <v>197</v>
      </c>
      <c r="E158" t="s">
        <v>197</v>
      </c>
      <c r="F158" t="s">
        <v>197</v>
      </c>
      <c r="G158" t="s">
        <v>197</v>
      </c>
      <c r="H158" t="s">
        <v>197</v>
      </c>
      <c r="I158" t="s">
        <v>197</v>
      </c>
      <c r="J158" t="s">
        <v>197</v>
      </c>
      <c r="K158" t="s">
        <v>552</v>
      </c>
    </row>
    <row r="159" spans="1:34">
      <c r="B159" t="s">
        <v>197</v>
      </c>
      <c r="C159" t="s">
        <v>197</v>
      </c>
      <c r="D159" t="s">
        <v>197</v>
      </c>
      <c r="E159" t="s">
        <v>197</v>
      </c>
      <c r="F159" t="s">
        <v>197</v>
      </c>
      <c r="G159" t="s">
        <v>197</v>
      </c>
      <c r="H159" t="s">
        <v>197</v>
      </c>
      <c r="I159" t="s">
        <v>197</v>
      </c>
      <c r="J159" t="s">
        <v>197</v>
      </c>
      <c r="K159" t="s">
        <v>553</v>
      </c>
    </row>
    <row r="160" spans="1:34">
      <c r="B160" t="s">
        <v>197</v>
      </c>
      <c r="C160" t="s">
        <v>197</v>
      </c>
      <c r="D160" t="s">
        <v>197</v>
      </c>
      <c r="E160" t="s">
        <v>197</v>
      </c>
      <c r="F160" t="s">
        <v>197</v>
      </c>
      <c r="G160" t="s">
        <v>197</v>
      </c>
      <c r="H160" t="s">
        <v>197</v>
      </c>
      <c r="I160" t="s">
        <v>197</v>
      </c>
      <c r="J160" t="s">
        <v>197</v>
      </c>
      <c r="K160" t="s">
        <v>554</v>
      </c>
    </row>
    <row r="161" spans="1:24">
      <c r="B161" t="s">
        <v>197</v>
      </c>
      <c r="C161" t="s">
        <v>197</v>
      </c>
      <c r="D161" t="s">
        <v>197</v>
      </c>
      <c r="E161" t="s">
        <v>197</v>
      </c>
      <c r="F161" t="s">
        <v>197</v>
      </c>
      <c r="G161" t="s">
        <v>197</v>
      </c>
      <c r="H161" t="s">
        <v>197</v>
      </c>
      <c r="I161" t="s">
        <v>197</v>
      </c>
      <c r="J161" t="s">
        <v>197</v>
      </c>
      <c r="K161" t="s">
        <v>555</v>
      </c>
    </row>
    <row r="162" spans="1:24">
      <c r="B162" t="s">
        <v>197</v>
      </c>
      <c r="C162" t="s">
        <v>197</v>
      </c>
      <c r="D162" t="s">
        <v>197</v>
      </c>
      <c r="E162" t="s">
        <v>197</v>
      </c>
      <c r="F162" t="s">
        <v>197</v>
      </c>
      <c r="G162" t="s">
        <v>197</v>
      </c>
      <c r="H162" t="s">
        <v>197</v>
      </c>
      <c r="I162" t="s">
        <v>197</v>
      </c>
      <c r="J162" t="s">
        <v>197</v>
      </c>
      <c r="K162" t="s">
        <v>556</v>
      </c>
    </row>
    <row r="163" spans="1:24">
      <c r="B163" t="s">
        <v>197</v>
      </c>
      <c r="C163" t="s">
        <v>197</v>
      </c>
      <c r="D163" t="s">
        <v>197</v>
      </c>
      <c r="E163" t="s">
        <v>197</v>
      </c>
      <c r="F163" t="s">
        <v>197</v>
      </c>
      <c r="G163" t="s">
        <v>197</v>
      </c>
      <c r="H163" t="s">
        <v>197</v>
      </c>
      <c r="I163" t="s">
        <v>197</v>
      </c>
      <c r="J163" t="s">
        <v>197</v>
      </c>
      <c r="K163" t="s">
        <v>557</v>
      </c>
    </row>
    <row r="164" spans="1:24">
      <c r="B164" t="s">
        <v>197</v>
      </c>
      <c r="C164" t="s">
        <v>197</v>
      </c>
      <c r="D164" t="s">
        <v>197</v>
      </c>
      <c r="E164" t="s">
        <v>197</v>
      </c>
      <c r="F164" t="s">
        <v>197</v>
      </c>
      <c r="G164" t="s">
        <v>197</v>
      </c>
      <c r="H164" t="s">
        <v>197</v>
      </c>
      <c r="I164" t="s">
        <v>197</v>
      </c>
      <c r="J164" t="s">
        <v>197</v>
      </c>
      <c r="K164" t="s">
        <v>558</v>
      </c>
    </row>
    <row r="165" spans="1:24">
      <c r="B165" t="s">
        <v>197</v>
      </c>
      <c r="C165" t="s">
        <v>197</v>
      </c>
      <c r="D165" t="s">
        <v>197</v>
      </c>
      <c r="E165" t="s">
        <v>197</v>
      </c>
      <c r="F165" t="s">
        <v>197</v>
      </c>
      <c r="G165" t="s">
        <v>197</v>
      </c>
      <c r="H165" t="s">
        <v>197</v>
      </c>
      <c r="I165" t="s">
        <v>197</v>
      </c>
      <c r="J165" t="s">
        <v>197</v>
      </c>
      <c r="K165" t="s">
        <v>559</v>
      </c>
    </row>
    <row r="166" spans="1:24">
      <c r="B166" t="s">
        <v>197</v>
      </c>
      <c r="C166" t="s">
        <v>197</v>
      </c>
      <c r="D166" t="s">
        <v>197</v>
      </c>
      <c r="E166" t="s">
        <v>197</v>
      </c>
      <c r="F166" t="s">
        <v>197</v>
      </c>
      <c r="G166" t="s">
        <v>197</v>
      </c>
      <c r="H166" t="s">
        <v>197</v>
      </c>
      <c r="I166" t="s">
        <v>197</v>
      </c>
      <c r="J166" t="s">
        <v>197</v>
      </c>
      <c r="K166" t="s">
        <v>560</v>
      </c>
    </row>
    <row r="167" spans="1:24">
      <c r="B167" t="s">
        <v>197</v>
      </c>
      <c r="C167" t="s">
        <v>197</v>
      </c>
      <c r="D167" t="s">
        <v>197</v>
      </c>
      <c r="E167" t="s">
        <v>197</v>
      </c>
      <c r="F167" t="s">
        <v>197</v>
      </c>
      <c r="G167" t="s">
        <v>197</v>
      </c>
      <c r="H167" t="s">
        <v>197</v>
      </c>
      <c r="I167" t="s">
        <v>197</v>
      </c>
      <c r="J167" t="s">
        <v>197</v>
      </c>
      <c r="K167" t="s">
        <v>561</v>
      </c>
    </row>
    <row r="168" spans="1:24">
      <c r="B168" t="s">
        <v>197</v>
      </c>
      <c r="C168" t="s">
        <v>197</v>
      </c>
      <c r="D168" t="s">
        <v>197</v>
      </c>
      <c r="E168" t="s">
        <v>197</v>
      </c>
      <c r="F168" t="s">
        <v>197</v>
      </c>
      <c r="G168" t="s">
        <v>197</v>
      </c>
      <c r="H168" t="s">
        <v>197</v>
      </c>
      <c r="I168" t="s">
        <v>197</v>
      </c>
      <c r="J168" t="s">
        <v>197</v>
      </c>
      <c r="K168" t="s">
        <v>562</v>
      </c>
    </row>
    <row r="169" spans="1:24">
      <c r="B169" t="s">
        <v>197</v>
      </c>
      <c r="C169" t="s">
        <v>197</v>
      </c>
      <c r="D169" t="s">
        <v>197</v>
      </c>
      <c r="E169" t="s">
        <v>197</v>
      </c>
      <c r="F169" t="s">
        <v>197</v>
      </c>
      <c r="G169" t="s">
        <v>197</v>
      </c>
      <c r="H169" t="s">
        <v>197</v>
      </c>
      <c r="I169" t="s">
        <v>197</v>
      </c>
      <c r="J169" t="s">
        <v>197</v>
      </c>
      <c r="K169" t="s">
        <v>563</v>
      </c>
    </row>
    <row r="170" spans="1:24">
      <c r="B170" t="s">
        <v>197</v>
      </c>
      <c r="C170" t="s">
        <v>197</v>
      </c>
      <c r="D170" t="s">
        <v>197</v>
      </c>
      <c r="E170" t="s">
        <v>197</v>
      </c>
      <c r="F170" t="s">
        <v>197</v>
      </c>
      <c r="G170" t="s">
        <v>197</v>
      </c>
      <c r="H170" t="s">
        <v>197</v>
      </c>
      <c r="I170" t="s">
        <v>197</v>
      </c>
      <c r="J170" t="s">
        <v>197</v>
      </c>
      <c r="K170" t="s">
        <v>564</v>
      </c>
    </row>
    <row r="171" spans="1:24">
      <c r="B171" t="s">
        <v>197</v>
      </c>
      <c r="C171" t="s">
        <v>197</v>
      </c>
      <c r="D171" t="s">
        <v>197</v>
      </c>
      <c r="E171" t="s">
        <v>197</v>
      </c>
      <c r="F171" t="s">
        <v>197</v>
      </c>
      <c r="G171" t="s">
        <v>197</v>
      </c>
      <c r="H171" t="s">
        <v>197</v>
      </c>
      <c r="I171" t="s">
        <v>197</v>
      </c>
      <c r="J171" t="s">
        <v>197</v>
      </c>
      <c r="K171" t="s">
        <v>565</v>
      </c>
    </row>
    <row r="172" spans="1:24">
      <c r="B172" t="s">
        <v>197</v>
      </c>
      <c r="C172" t="s">
        <v>197</v>
      </c>
      <c r="D172" t="s">
        <v>197</v>
      </c>
      <c r="E172" t="s">
        <v>197</v>
      </c>
      <c r="F172" t="s">
        <v>197</v>
      </c>
      <c r="G172" t="s">
        <v>197</v>
      </c>
      <c r="H172" t="s">
        <v>197</v>
      </c>
      <c r="I172" t="s">
        <v>197</v>
      </c>
      <c r="J172" t="s">
        <v>197</v>
      </c>
      <c r="K172" t="s">
        <v>566</v>
      </c>
    </row>
    <row r="173" spans="1:24">
      <c r="B173" t="s">
        <v>197</v>
      </c>
      <c r="C173" t="s">
        <v>197</v>
      </c>
      <c r="D173" t="s">
        <v>197</v>
      </c>
      <c r="E173" t="s">
        <v>197</v>
      </c>
      <c r="F173" t="s">
        <v>197</v>
      </c>
      <c r="G173" t="s">
        <v>197</v>
      </c>
      <c r="H173" t="s">
        <v>197</v>
      </c>
      <c r="I173" t="s">
        <v>197</v>
      </c>
      <c r="J173" t="s">
        <v>197</v>
      </c>
      <c r="K173" t="s">
        <v>567</v>
      </c>
    </row>
    <row r="174" spans="1:24">
      <c r="A174" t="s">
        <v>599</v>
      </c>
      <c r="K174" t="s">
        <v>600</v>
      </c>
      <c r="W174" s="1" t="str">
        <f>HYPERLINK("#2026042015hbase0!AK2","NO 源备存在差异，共100个")</f>
        <v>NO 源备存在差异，共100个</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606</v>
      </c>
      <c r="K182" t="s">
        <v>607</v>
      </c>
      <c r="W182" t="s">
        <v>171</v>
      </c>
      <c r="X182" t="str">
        <f>A182</f>
        <v>info_xml_dml_single_pk_drp</v>
      </c>
    </row>
    <row r="183" spans="1:24">
      <c r="B183" t="s">
        <v>196</v>
      </c>
      <c r="C183" t="s">
        <v>197</v>
      </c>
      <c r="D183" t="s">
        <v>197</v>
      </c>
      <c r="E183" t="s">
        <v>197</v>
      </c>
      <c r="F183" t="s">
        <v>197</v>
      </c>
      <c r="G183" t="s">
        <v>197</v>
      </c>
      <c r="H183" t="s">
        <v>197</v>
      </c>
      <c r="I183" t="s">
        <v>608</v>
      </c>
      <c r="J183" t="s">
        <v>199</v>
      </c>
      <c r="K183" t="s">
        <v>200</v>
      </c>
    </row>
    <row r="184" spans="1:24">
      <c r="B184" t="s">
        <v>197</v>
      </c>
      <c r="C184" t="s">
        <v>197</v>
      </c>
      <c r="D184" t="s">
        <v>197</v>
      </c>
      <c r="E184" t="s">
        <v>197</v>
      </c>
      <c r="F184" t="s">
        <v>197</v>
      </c>
      <c r="G184" t="s">
        <v>197</v>
      </c>
      <c r="H184" t="s">
        <v>197</v>
      </c>
      <c r="I184" t="s">
        <v>197</v>
      </c>
      <c r="J184" t="s">
        <v>197</v>
      </c>
      <c r="K184" t="s">
        <v>472</v>
      </c>
    </row>
    <row r="185" spans="1:24">
      <c r="A185" t="s">
        <v>609</v>
      </c>
      <c r="K185" t="s">
        <v>610</v>
      </c>
      <c r="W185" t="s">
        <v>171</v>
      </c>
      <c r="X185" t="str">
        <f>A185</f>
        <v>info_nchar_dml_single_pk_urp</v>
      </c>
    </row>
    <row r="186" spans="1:24">
      <c r="B186" t="s">
        <v>196</v>
      </c>
      <c r="C186" t="s">
        <v>197</v>
      </c>
      <c r="D186" t="s">
        <v>197</v>
      </c>
      <c r="E186" t="s">
        <v>197</v>
      </c>
      <c r="F186" t="s">
        <v>197</v>
      </c>
      <c r="G186" t="s">
        <v>197</v>
      </c>
      <c r="H186" t="s">
        <v>197</v>
      </c>
      <c r="I186" t="s">
        <v>611</v>
      </c>
      <c r="J186" t="s">
        <v>199</v>
      </c>
      <c r="K186" t="s">
        <v>200</v>
      </c>
    </row>
    <row r="187" spans="1:24">
      <c r="B187" t="s">
        <v>197</v>
      </c>
      <c r="C187" t="s">
        <v>197</v>
      </c>
      <c r="D187" t="s">
        <v>197</v>
      </c>
      <c r="E187" t="s">
        <v>197</v>
      </c>
      <c r="F187" t="s">
        <v>197</v>
      </c>
      <c r="G187" t="s">
        <v>197</v>
      </c>
      <c r="H187" t="s">
        <v>197</v>
      </c>
      <c r="I187" t="s">
        <v>197</v>
      </c>
      <c r="J187" t="s">
        <v>197</v>
      </c>
      <c r="K187" t="s">
        <v>514</v>
      </c>
    </row>
    <row r="188" spans="1:24">
      <c r="B188" t="s">
        <v>197</v>
      </c>
      <c r="C188" t="s">
        <v>197</v>
      </c>
      <c r="D188" t="s">
        <v>197</v>
      </c>
      <c r="E188" t="s">
        <v>197</v>
      </c>
      <c r="F188" t="s">
        <v>197</v>
      </c>
      <c r="G188" t="s">
        <v>197</v>
      </c>
      <c r="H188" t="s">
        <v>197</v>
      </c>
      <c r="I188" t="s">
        <v>197</v>
      </c>
      <c r="J188" t="s">
        <v>197</v>
      </c>
      <c r="K188" t="s">
        <v>516</v>
      </c>
    </row>
    <row r="189" spans="1:24">
      <c r="B189" t="s">
        <v>197</v>
      </c>
      <c r="C189" t="s">
        <v>197</v>
      </c>
      <c r="D189" t="s">
        <v>197</v>
      </c>
      <c r="E189" t="s">
        <v>197</v>
      </c>
      <c r="F189" t="s">
        <v>197</v>
      </c>
      <c r="G189" t="s">
        <v>197</v>
      </c>
      <c r="H189" t="s">
        <v>197</v>
      </c>
      <c r="I189" t="s">
        <v>197</v>
      </c>
      <c r="J189" t="s">
        <v>197</v>
      </c>
      <c r="K189" t="s">
        <v>612</v>
      </c>
    </row>
    <row r="190" spans="1:24">
      <c r="A190" t="s">
        <v>613</v>
      </c>
      <c r="K190" t="s">
        <v>614</v>
      </c>
      <c r="W190" s="1" t="str">
        <f>HYPERLINK("#2026042015hbase0!AL2","NO 源备存在差异，共48个")</f>
        <v>NO 源备存在差异，共48个</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s="1" t="str">
        <f>HYPERLINK("#2026042015hbase0!AM2","NO 源备存在差异，共48个")</f>
        <v>NO 源备存在差异，共48个</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1" t="str">
        <f>HYPERLINK("#2026042015hbase0!AN2","NO 源备存在差异，共2个")</f>
        <v>NO 源备存在差异，共2个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646</v>
      </c>
      <c r="K247" t="s">
        <v>647</v>
      </c>
      <c r="W247" t="s">
        <v>171</v>
      </c>
      <c r="X247" t="str">
        <f>A247</f>
        <v>info_nchar_dml_batch1_pk_irp1</v>
      </c>
    </row>
    <row r="248" spans="1:24">
      <c r="B248" t="s">
        <v>196</v>
      </c>
      <c r="C248" t="s">
        <v>197</v>
      </c>
      <c r="D248" t="s">
        <v>197</v>
      </c>
      <c r="E248" t="s">
        <v>197</v>
      </c>
      <c r="F248" t="s">
        <v>197</v>
      </c>
      <c r="G248" t="s">
        <v>197</v>
      </c>
      <c r="H248" t="s">
        <v>197</v>
      </c>
      <c r="I248" t="s">
        <v>648</v>
      </c>
      <c r="J248" t="s">
        <v>199</v>
      </c>
      <c r="K248" t="s">
        <v>200</v>
      </c>
    </row>
    <row r="249" spans="1:24">
      <c r="B249" t="s">
        <v>197</v>
      </c>
      <c r="C249" t="s">
        <v>197</v>
      </c>
      <c r="D249" t="s">
        <v>197</v>
      </c>
      <c r="E249" t="s">
        <v>197</v>
      </c>
      <c r="F249" t="s">
        <v>197</v>
      </c>
      <c r="G249" t="s">
        <v>197</v>
      </c>
      <c r="H249" t="s">
        <v>197</v>
      </c>
      <c r="I249" t="s">
        <v>197</v>
      </c>
      <c r="J249" t="s">
        <v>197</v>
      </c>
      <c r="K249" t="s">
        <v>514</v>
      </c>
    </row>
    <row r="250" spans="1:24">
      <c r="B250" t="s">
        <v>197</v>
      </c>
      <c r="C250" t="s">
        <v>197</v>
      </c>
      <c r="D250" t="s">
        <v>197</v>
      </c>
      <c r="E250" t="s">
        <v>197</v>
      </c>
      <c r="F250" t="s">
        <v>197</v>
      </c>
      <c r="G250" t="s">
        <v>197</v>
      </c>
      <c r="H250" t="s">
        <v>197</v>
      </c>
      <c r="I250" t="s">
        <v>197</v>
      </c>
      <c r="J250" t="s">
        <v>197</v>
      </c>
      <c r="K250" t="s">
        <v>516</v>
      </c>
    </row>
    <row r="251" spans="1:24">
      <c r="B251" t="s">
        <v>197</v>
      </c>
      <c r="C251" t="s">
        <v>197</v>
      </c>
      <c r="D251" t="s">
        <v>197</v>
      </c>
      <c r="E251" t="s">
        <v>197</v>
      </c>
      <c r="F251" t="s">
        <v>197</v>
      </c>
      <c r="G251" t="s">
        <v>197</v>
      </c>
      <c r="H251" t="s">
        <v>197</v>
      </c>
      <c r="I251" t="s">
        <v>197</v>
      </c>
      <c r="J251" t="s">
        <v>197</v>
      </c>
      <c r="K251" t="s">
        <v>517</v>
      </c>
    </row>
    <row r="252" spans="1:24">
      <c r="A252" t="s">
        <v>649</v>
      </c>
      <c r="K252" t="s">
        <v>650</v>
      </c>
      <c r="W252" s="1" t="str">
        <f>HYPERLINK("#2026042015hbase0!AO2","NO 源备存在差异，共12个")</f>
        <v>NO 源备存在差异，共12个</v>
      </c>
      <c r="X252" t="str">
        <f>A252</f>
        <v>info_datetime_dml_batch1_pk_drp2</v>
      </c>
    </row>
    <row r="253" spans="1:24">
      <c r="B253" t="s">
        <v>196</v>
      </c>
      <c r="C253" t="s">
        <v>197</v>
      </c>
      <c r="D253" t="s">
        <v>197</v>
      </c>
      <c r="E253" t="s">
        <v>197</v>
      </c>
      <c r="F253" t="s">
        <v>197</v>
      </c>
      <c r="G253" t="s">
        <v>197</v>
      </c>
      <c r="H253" t="s">
        <v>197</v>
      </c>
      <c r="I253" t="s">
        <v>651</v>
      </c>
      <c r="J253" t="s">
        <v>199</v>
      </c>
      <c r="K253" t="s">
        <v>200</v>
      </c>
    </row>
    <row r="254" spans="1:24">
      <c r="B254" t="s">
        <v>197</v>
      </c>
      <c r="C254" t="s">
        <v>197</v>
      </c>
      <c r="D254" t="s">
        <v>197</v>
      </c>
      <c r="E254" t="s">
        <v>197</v>
      </c>
      <c r="F254" t="s">
        <v>197</v>
      </c>
      <c r="G254" t="s">
        <v>197</v>
      </c>
      <c r="H254" t="s">
        <v>197</v>
      </c>
      <c r="I254" t="s">
        <v>197</v>
      </c>
      <c r="J254" t="s">
        <v>197</v>
      </c>
      <c r="K254" t="s">
        <v>574</v>
      </c>
    </row>
    <row r="255" spans="1:24">
      <c r="A255" t="s">
        <v>652</v>
      </c>
      <c r="K255" t="s">
        <v>653</v>
      </c>
      <c r="W255" t="s">
        <v>171</v>
      </c>
      <c r="X255" t="str">
        <f>A255</f>
        <v>info_nvarchar_dml_batch1_pk</v>
      </c>
    </row>
    <row r="256" spans="1:24">
      <c r="B256" t="s">
        <v>196</v>
      </c>
      <c r="C256" t="s">
        <v>197</v>
      </c>
      <c r="D256" t="s">
        <v>197</v>
      </c>
      <c r="E256" t="s">
        <v>197</v>
      </c>
      <c r="F256" t="s">
        <v>197</v>
      </c>
      <c r="G256" t="s">
        <v>197</v>
      </c>
      <c r="H256" t="s">
        <v>197</v>
      </c>
      <c r="I256" t="s">
        <v>654</v>
      </c>
      <c r="J256" t="s">
        <v>199</v>
      </c>
      <c r="K256" t="s">
        <v>200</v>
      </c>
    </row>
    <row r="257" spans="1:24">
      <c r="B257" t="s">
        <v>197</v>
      </c>
      <c r="C257" t="s">
        <v>197</v>
      </c>
      <c r="D257" t="s">
        <v>197</v>
      </c>
      <c r="E257" t="s">
        <v>197</v>
      </c>
      <c r="F257" t="s">
        <v>197</v>
      </c>
      <c r="G257" t="s">
        <v>197</v>
      </c>
      <c r="H257" t="s">
        <v>197</v>
      </c>
      <c r="I257" t="s">
        <v>197</v>
      </c>
      <c r="J257" t="s">
        <v>197</v>
      </c>
      <c r="K257" t="s">
        <v>408</v>
      </c>
    </row>
    <row r="258" spans="1:24">
      <c r="B258" t="s">
        <v>197</v>
      </c>
      <c r="C258" t="s">
        <v>197</v>
      </c>
      <c r="D258" t="s">
        <v>197</v>
      </c>
      <c r="E258" t="s">
        <v>197</v>
      </c>
      <c r="F258" t="s">
        <v>197</v>
      </c>
      <c r="G258" t="s">
        <v>197</v>
      </c>
      <c r="H258" t="s">
        <v>197</v>
      </c>
      <c r="I258" t="s">
        <v>197</v>
      </c>
      <c r="J258" t="s">
        <v>197</v>
      </c>
      <c r="K258" t="s">
        <v>412</v>
      </c>
    </row>
    <row r="259" spans="1:24">
      <c r="B259" t="s">
        <v>197</v>
      </c>
      <c r="C259" t="s">
        <v>197</v>
      </c>
      <c r="D259" t="s">
        <v>197</v>
      </c>
      <c r="E259" t="s">
        <v>197</v>
      </c>
      <c r="F259" t="s">
        <v>197</v>
      </c>
      <c r="G259" t="s">
        <v>197</v>
      </c>
      <c r="H259" t="s">
        <v>197</v>
      </c>
      <c r="I259" t="s">
        <v>197</v>
      </c>
      <c r="J259" t="s">
        <v>197</v>
      </c>
      <c r="K259" t="s">
        <v>605</v>
      </c>
    </row>
    <row r="260" spans="1:24">
      <c r="A260" t="s">
        <v>655</v>
      </c>
      <c r="K260" t="s">
        <v>656</v>
      </c>
      <c r="W260" s="1" t="str">
        <f>HYPERLINK("#2026042015hbase0!AP2","NO 源备存在差异，共8个")</f>
        <v>NO 源备存在差异，共8个</v>
      </c>
      <c r="X260" t="str">
        <f>A260</f>
        <v>info_datetime_dml_batch1_pk</v>
      </c>
    </row>
    <row r="261" spans="1:24">
      <c r="B261" t="s">
        <v>196</v>
      </c>
      <c r="C261" t="s">
        <v>197</v>
      </c>
      <c r="D261" t="s">
        <v>197</v>
      </c>
      <c r="E261" t="s">
        <v>197</v>
      </c>
      <c r="F261" t="s">
        <v>197</v>
      </c>
      <c r="G261" t="s">
        <v>197</v>
      </c>
      <c r="H261" t="s">
        <v>197</v>
      </c>
      <c r="I261" t="s">
        <v>657</v>
      </c>
      <c r="J261" t="s">
        <v>199</v>
      </c>
      <c r="K261" t="s">
        <v>200</v>
      </c>
    </row>
    <row r="262" spans="1:24">
      <c r="B262" t="s">
        <v>197</v>
      </c>
      <c r="C262" t="s">
        <v>197</v>
      </c>
      <c r="D262" t="s">
        <v>197</v>
      </c>
      <c r="E262" t="s">
        <v>197</v>
      </c>
      <c r="F262" t="s">
        <v>197</v>
      </c>
      <c r="G262" t="s">
        <v>197</v>
      </c>
      <c r="H262" t="s">
        <v>197</v>
      </c>
      <c r="I262" t="s">
        <v>197</v>
      </c>
      <c r="J262" t="s">
        <v>197</v>
      </c>
      <c r="K262" t="s">
        <v>574</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664</v>
      </c>
      <c r="K269" t="s">
        <v>665</v>
      </c>
      <c r="W269" s="1" t="str">
        <f>HYPERLINK("#2026042015hbase0!AQ2","NO 源备存在差异，共12个")</f>
        <v>NO 源备存在差异，共12个</v>
      </c>
      <c r="X269" t="str">
        <f>A269</f>
        <v>info_datetime2_dml_batch1_pk_irp1</v>
      </c>
    </row>
    <row r="270" spans="1:24">
      <c r="B270" t="s">
        <v>196</v>
      </c>
      <c r="C270" t="s">
        <v>197</v>
      </c>
      <c r="D270" t="s">
        <v>197</v>
      </c>
      <c r="E270" t="s">
        <v>197</v>
      </c>
      <c r="F270" t="s">
        <v>197</v>
      </c>
      <c r="G270" t="s">
        <v>197</v>
      </c>
      <c r="H270" t="s">
        <v>197</v>
      </c>
      <c r="I270" t="s">
        <v>666</v>
      </c>
      <c r="J270" t="s">
        <v>199</v>
      </c>
      <c r="K270" t="s">
        <v>200</v>
      </c>
    </row>
    <row r="271" spans="1:24">
      <c r="B271" t="s">
        <v>197</v>
      </c>
      <c r="C271" t="s">
        <v>197</v>
      </c>
      <c r="D271" t="s">
        <v>197</v>
      </c>
      <c r="E271" t="s">
        <v>197</v>
      </c>
      <c r="F271" t="s">
        <v>197</v>
      </c>
      <c r="G271" t="s">
        <v>197</v>
      </c>
      <c r="H271" t="s">
        <v>197</v>
      </c>
      <c r="I271" t="s">
        <v>197</v>
      </c>
      <c r="J271" t="s">
        <v>197</v>
      </c>
      <c r="K271" t="s">
        <v>667</v>
      </c>
    </row>
    <row r="272" spans="1:24">
      <c r="B272" t="s">
        <v>197</v>
      </c>
      <c r="C272" t="s">
        <v>197</v>
      </c>
      <c r="D272" t="s">
        <v>197</v>
      </c>
      <c r="E272" t="s">
        <v>197</v>
      </c>
      <c r="F272" t="s">
        <v>197</v>
      </c>
      <c r="G272" t="s">
        <v>197</v>
      </c>
      <c r="H272" t="s">
        <v>197</v>
      </c>
      <c r="I272" t="s">
        <v>197</v>
      </c>
      <c r="J272" t="s">
        <v>197</v>
      </c>
      <c r="K272" t="s">
        <v>668</v>
      </c>
    </row>
    <row r="273" spans="1:24">
      <c r="B273" t="s">
        <v>197</v>
      </c>
      <c r="C273" t="s">
        <v>197</v>
      </c>
      <c r="D273" t="s">
        <v>197</v>
      </c>
      <c r="E273" t="s">
        <v>197</v>
      </c>
      <c r="F273" t="s">
        <v>197</v>
      </c>
      <c r="G273" t="s">
        <v>197</v>
      </c>
      <c r="H273" t="s">
        <v>197</v>
      </c>
      <c r="I273" t="s">
        <v>197</v>
      </c>
      <c r="J273" t="s">
        <v>197</v>
      </c>
      <c r="K273" t="s">
        <v>669</v>
      </c>
    </row>
    <row r="274" spans="1:24">
      <c r="B274" t="s">
        <v>197</v>
      </c>
      <c r="C274" t="s">
        <v>197</v>
      </c>
      <c r="D274" t="s">
        <v>197</v>
      </c>
      <c r="E274" t="s">
        <v>197</v>
      </c>
      <c r="F274" t="s">
        <v>197</v>
      </c>
      <c r="G274" t="s">
        <v>197</v>
      </c>
      <c r="H274" t="s">
        <v>197</v>
      </c>
      <c r="I274" t="s">
        <v>197</v>
      </c>
      <c r="J274" t="s">
        <v>197</v>
      </c>
      <c r="K274" t="s">
        <v>670</v>
      </c>
    </row>
    <row r="275" spans="1:24">
      <c r="B275" t="s">
        <v>197</v>
      </c>
      <c r="C275" t="s">
        <v>197</v>
      </c>
      <c r="D275" t="s">
        <v>197</v>
      </c>
      <c r="E275" t="s">
        <v>197</v>
      </c>
      <c r="F275" t="s">
        <v>197</v>
      </c>
      <c r="G275" t="s">
        <v>197</v>
      </c>
      <c r="H275" t="s">
        <v>197</v>
      </c>
      <c r="I275" t="s">
        <v>197</v>
      </c>
      <c r="J275" t="s">
        <v>197</v>
      </c>
      <c r="K275" t="s">
        <v>671</v>
      </c>
    </row>
    <row r="276" spans="1:24">
      <c r="B276" t="s">
        <v>197</v>
      </c>
      <c r="C276" t="s">
        <v>197</v>
      </c>
      <c r="D276" t="s">
        <v>197</v>
      </c>
      <c r="E276" t="s">
        <v>197</v>
      </c>
      <c r="F276" t="s">
        <v>197</v>
      </c>
      <c r="G276" t="s">
        <v>197</v>
      </c>
      <c r="H276" t="s">
        <v>197</v>
      </c>
      <c r="I276" t="s">
        <v>197</v>
      </c>
      <c r="J276" t="s">
        <v>197</v>
      </c>
      <c r="K276" t="s">
        <v>672</v>
      </c>
    </row>
    <row r="277" spans="1:24">
      <c r="B277" t="s">
        <v>197</v>
      </c>
      <c r="C277" t="s">
        <v>197</v>
      </c>
      <c r="D277" t="s">
        <v>197</v>
      </c>
      <c r="E277" t="s">
        <v>197</v>
      </c>
      <c r="F277" t="s">
        <v>197</v>
      </c>
      <c r="G277" t="s">
        <v>197</v>
      </c>
      <c r="H277" t="s">
        <v>197</v>
      </c>
      <c r="I277" t="s">
        <v>197</v>
      </c>
      <c r="J277" t="s">
        <v>197</v>
      </c>
      <c r="K277" t="s">
        <v>673</v>
      </c>
    </row>
    <row r="278" spans="1:24">
      <c r="B278" t="s">
        <v>197</v>
      </c>
      <c r="C278" t="s">
        <v>197</v>
      </c>
      <c r="D278" t="s">
        <v>197</v>
      </c>
      <c r="E278" t="s">
        <v>197</v>
      </c>
      <c r="F278" t="s">
        <v>197</v>
      </c>
      <c r="G278" t="s">
        <v>197</v>
      </c>
      <c r="H278" t="s">
        <v>197</v>
      </c>
      <c r="I278" t="s">
        <v>197</v>
      </c>
      <c r="J278" t="s">
        <v>197</v>
      </c>
      <c r="K278" t="s">
        <v>674</v>
      </c>
    </row>
    <row r="279" spans="1:24">
      <c r="A279" t="s">
        <v>679</v>
      </c>
      <c r="K279" t="s">
        <v>680</v>
      </c>
      <c r="W279" s="1" t="str">
        <f>HYPERLINK("#2026042015hbase0!AR2","NO 源备存在差异，共66个")</f>
        <v>NO 源备存在差异，共66个</v>
      </c>
      <c r="X279" t="str">
        <f>A279</f>
        <v>info_datetime2_dml_batch1_pk_irp2</v>
      </c>
    </row>
    <row r="280" spans="1:24">
      <c r="B280" t="s">
        <v>196</v>
      </c>
      <c r="C280" t="s">
        <v>197</v>
      </c>
      <c r="D280" t="s">
        <v>197</v>
      </c>
      <c r="E280" t="s">
        <v>197</v>
      </c>
      <c r="F280" t="s">
        <v>197</v>
      </c>
      <c r="G280" t="s">
        <v>197</v>
      </c>
      <c r="H280" t="s">
        <v>197</v>
      </c>
      <c r="I280" t="s">
        <v>681</v>
      </c>
      <c r="J280" t="s">
        <v>199</v>
      </c>
      <c r="K280" t="s">
        <v>200</v>
      </c>
    </row>
    <row r="281" spans="1:24">
      <c r="B281" t="s">
        <v>197</v>
      </c>
      <c r="C281" t="s">
        <v>197</v>
      </c>
      <c r="D281" t="s">
        <v>197</v>
      </c>
      <c r="E281" t="s">
        <v>197</v>
      </c>
      <c r="F281" t="s">
        <v>197</v>
      </c>
      <c r="G281" t="s">
        <v>197</v>
      </c>
      <c r="H281" t="s">
        <v>197</v>
      </c>
      <c r="I281" t="s">
        <v>197</v>
      </c>
      <c r="J281" t="s">
        <v>197</v>
      </c>
      <c r="K281" t="s">
        <v>667</v>
      </c>
    </row>
    <row r="282" spans="1:24">
      <c r="B282" t="s">
        <v>197</v>
      </c>
      <c r="C282" t="s">
        <v>197</v>
      </c>
      <c r="D282" t="s">
        <v>197</v>
      </c>
      <c r="E282" t="s">
        <v>197</v>
      </c>
      <c r="F282" t="s">
        <v>197</v>
      </c>
      <c r="G282" t="s">
        <v>197</v>
      </c>
      <c r="H282" t="s">
        <v>197</v>
      </c>
      <c r="I282" t="s">
        <v>197</v>
      </c>
      <c r="J282" t="s">
        <v>197</v>
      </c>
      <c r="K282" t="s">
        <v>668</v>
      </c>
    </row>
    <row r="283" spans="1:24">
      <c r="B283" t="s">
        <v>197</v>
      </c>
      <c r="C283" t="s">
        <v>197</v>
      </c>
      <c r="D283" t="s">
        <v>197</v>
      </c>
      <c r="E283" t="s">
        <v>197</v>
      </c>
      <c r="F283" t="s">
        <v>197</v>
      </c>
      <c r="G283" t="s">
        <v>197</v>
      </c>
      <c r="H283" t="s">
        <v>197</v>
      </c>
      <c r="I283" t="s">
        <v>197</v>
      </c>
      <c r="J283" t="s">
        <v>197</v>
      </c>
      <c r="K283" t="s">
        <v>669</v>
      </c>
    </row>
    <row r="284" spans="1:24">
      <c r="B284" t="s">
        <v>197</v>
      </c>
      <c r="C284" t="s">
        <v>197</v>
      </c>
      <c r="D284" t="s">
        <v>197</v>
      </c>
      <c r="E284" t="s">
        <v>197</v>
      </c>
      <c r="F284" t="s">
        <v>197</v>
      </c>
      <c r="G284" t="s">
        <v>197</v>
      </c>
      <c r="H284" t="s">
        <v>197</v>
      </c>
      <c r="I284" t="s">
        <v>197</v>
      </c>
      <c r="J284" t="s">
        <v>197</v>
      </c>
      <c r="K284" t="s">
        <v>670</v>
      </c>
    </row>
    <row r="285" spans="1:24">
      <c r="B285" t="s">
        <v>197</v>
      </c>
      <c r="C285" t="s">
        <v>197</v>
      </c>
      <c r="D285" t="s">
        <v>197</v>
      </c>
      <c r="E285" t="s">
        <v>197</v>
      </c>
      <c r="F285" t="s">
        <v>197</v>
      </c>
      <c r="G285" t="s">
        <v>197</v>
      </c>
      <c r="H285" t="s">
        <v>197</v>
      </c>
      <c r="I285" t="s">
        <v>197</v>
      </c>
      <c r="J285" t="s">
        <v>197</v>
      </c>
      <c r="K285" t="s">
        <v>671</v>
      </c>
    </row>
    <row r="286" spans="1:24">
      <c r="B286" t="s">
        <v>197</v>
      </c>
      <c r="C286" t="s">
        <v>197</v>
      </c>
      <c r="D286" t="s">
        <v>197</v>
      </c>
      <c r="E286" t="s">
        <v>197</v>
      </c>
      <c r="F286" t="s">
        <v>197</v>
      </c>
      <c r="G286" t="s">
        <v>197</v>
      </c>
      <c r="H286" t="s">
        <v>197</v>
      </c>
      <c r="I286" t="s">
        <v>197</v>
      </c>
      <c r="J286" t="s">
        <v>197</v>
      </c>
      <c r="K286" t="s">
        <v>672</v>
      </c>
    </row>
    <row r="287" spans="1:24">
      <c r="B287" t="s">
        <v>197</v>
      </c>
      <c r="C287" t="s">
        <v>197</v>
      </c>
      <c r="D287" t="s">
        <v>197</v>
      </c>
      <c r="E287" t="s">
        <v>197</v>
      </c>
      <c r="F287" t="s">
        <v>197</v>
      </c>
      <c r="G287" t="s">
        <v>197</v>
      </c>
      <c r="H287" t="s">
        <v>197</v>
      </c>
      <c r="I287" t="s">
        <v>197</v>
      </c>
      <c r="J287" t="s">
        <v>197</v>
      </c>
      <c r="K287" t="s">
        <v>673</v>
      </c>
    </row>
    <row r="288" spans="1:24">
      <c r="B288" t="s">
        <v>197</v>
      </c>
      <c r="C288" t="s">
        <v>197</v>
      </c>
      <c r="D288" t="s">
        <v>197</v>
      </c>
      <c r="E288" t="s">
        <v>197</v>
      </c>
      <c r="F288" t="s">
        <v>197</v>
      </c>
      <c r="G288" t="s">
        <v>197</v>
      </c>
      <c r="H288" t="s">
        <v>197</v>
      </c>
      <c r="I288" t="s">
        <v>197</v>
      </c>
      <c r="J288" t="s">
        <v>197</v>
      </c>
      <c r="K288" t="s">
        <v>674</v>
      </c>
    </row>
    <row r="289" spans="1:24">
      <c r="A289" t="s">
        <v>661</v>
      </c>
      <c r="K289" t="s">
        <v>662</v>
      </c>
      <c r="W289" t="s">
        <v>171</v>
      </c>
      <c r="X289" t="str">
        <f>A289</f>
        <v>info_nchar_dml_single_pk</v>
      </c>
    </row>
    <row r="290" spans="1:24">
      <c r="B290" t="s">
        <v>196</v>
      </c>
      <c r="C290" t="s">
        <v>197</v>
      </c>
      <c r="D290" t="s">
        <v>197</v>
      </c>
      <c r="E290" t="s">
        <v>197</v>
      </c>
      <c r="F290" t="s">
        <v>197</v>
      </c>
      <c r="G290" t="s">
        <v>197</v>
      </c>
      <c r="H290" t="s">
        <v>197</v>
      </c>
      <c r="I290" t="s">
        <v>663</v>
      </c>
      <c r="J290" t="s">
        <v>199</v>
      </c>
      <c r="K290" t="s">
        <v>200</v>
      </c>
    </row>
    <row r="291" spans="1:24">
      <c r="B291" t="s">
        <v>197</v>
      </c>
      <c r="C291" t="s">
        <v>197</v>
      </c>
      <c r="D291" t="s">
        <v>197</v>
      </c>
      <c r="E291" t="s">
        <v>197</v>
      </c>
      <c r="F291" t="s">
        <v>197</v>
      </c>
      <c r="G291" t="s">
        <v>197</v>
      </c>
      <c r="H291" t="s">
        <v>197</v>
      </c>
      <c r="I291" t="s">
        <v>197</v>
      </c>
      <c r="J291" t="s">
        <v>197</v>
      </c>
      <c r="K291" t="s">
        <v>514</v>
      </c>
    </row>
    <row r="292" spans="1:24">
      <c r="B292" t="s">
        <v>197</v>
      </c>
      <c r="C292" t="s">
        <v>197</v>
      </c>
      <c r="D292" t="s">
        <v>197</v>
      </c>
      <c r="E292" t="s">
        <v>197</v>
      </c>
      <c r="F292" t="s">
        <v>197</v>
      </c>
      <c r="G292" t="s">
        <v>197</v>
      </c>
      <c r="H292" t="s">
        <v>197</v>
      </c>
      <c r="I292" t="s">
        <v>197</v>
      </c>
      <c r="J292" t="s">
        <v>197</v>
      </c>
      <c r="K292" t="s">
        <v>516</v>
      </c>
    </row>
    <row r="293" spans="1:24">
      <c r="B293" t="s">
        <v>197</v>
      </c>
      <c r="C293" t="s">
        <v>197</v>
      </c>
      <c r="D293" t="s">
        <v>197</v>
      </c>
      <c r="E293" t="s">
        <v>197</v>
      </c>
      <c r="F293" t="s">
        <v>197</v>
      </c>
      <c r="G293" t="s">
        <v>197</v>
      </c>
      <c r="H293" t="s">
        <v>197</v>
      </c>
      <c r="I293" t="s">
        <v>197</v>
      </c>
      <c r="J293" t="s">
        <v>197</v>
      </c>
      <c r="K293" t="s">
        <v>612</v>
      </c>
    </row>
    <row r="294" spans="1:24">
      <c r="A294" t="s">
        <v>682</v>
      </c>
      <c r="K294" t="s">
        <v>683</v>
      </c>
      <c r="W294" s="1" t="str">
        <f>HYPERLINK("#2026042015hbase0!AS2","NO 源备存在差异，共12个")</f>
        <v>NO 源备存在差异，共12个</v>
      </c>
      <c r="X294" t="str">
        <f>A294</f>
        <v>info_datetime2_dml_batch2_pk_irp1</v>
      </c>
    </row>
    <row r="295" spans="1:24">
      <c r="B295" t="s">
        <v>196</v>
      </c>
      <c r="C295" t="s">
        <v>197</v>
      </c>
      <c r="D295" t="s">
        <v>197</v>
      </c>
      <c r="E295" t="s">
        <v>197</v>
      </c>
      <c r="F295" t="s">
        <v>197</v>
      </c>
      <c r="G295" t="s">
        <v>197</v>
      </c>
      <c r="H295" t="s">
        <v>197</v>
      </c>
      <c r="I295" t="s">
        <v>684</v>
      </c>
      <c r="J295" t="s">
        <v>199</v>
      </c>
      <c r="K295" t="s">
        <v>200</v>
      </c>
    </row>
    <row r="296" spans="1:24">
      <c r="B296" t="s">
        <v>197</v>
      </c>
      <c r="C296" t="s">
        <v>197</v>
      </c>
      <c r="D296" t="s">
        <v>197</v>
      </c>
      <c r="E296" t="s">
        <v>197</v>
      </c>
      <c r="F296" t="s">
        <v>197</v>
      </c>
      <c r="G296" t="s">
        <v>197</v>
      </c>
      <c r="H296" t="s">
        <v>197</v>
      </c>
      <c r="I296" t="s">
        <v>197</v>
      </c>
      <c r="J296" t="s">
        <v>197</v>
      </c>
      <c r="K296" t="s">
        <v>667</v>
      </c>
    </row>
    <row r="297" spans="1:24">
      <c r="B297" t="s">
        <v>197</v>
      </c>
      <c r="C297" t="s">
        <v>197</v>
      </c>
      <c r="D297" t="s">
        <v>197</v>
      </c>
      <c r="E297" t="s">
        <v>197</v>
      </c>
      <c r="F297" t="s">
        <v>197</v>
      </c>
      <c r="G297" t="s">
        <v>197</v>
      </c>
      <c r="H297" t="s">
        <v>197</v>
      </c>
      <c r="I297" t="s">
        <v>197</v>
      </c>
      <c r="J297" t="s">
        <v>197</v>
      </c>
      <c r="K297" t="s">
        <v>668</v>
      </c>
    </row>
    <row r="298" spans="1:24">
      <c r="B298" t="s">
        <v>197</v>
      </c>
      <c r="C298" t="s">
        <v>197</v>
      </c>
      <c r="D298" t="s">
        <v>197</v>
      </c>
      <c r="E298" t="s">
        <v>197</v>
      </c>
      <c r="F298" t="s">
        <v>197</v>
      </c>
      <c r="G298" t="s">
        <v>197</v>
      </c>
      <c r="H298" t="s">
        <v>197</v>
      </c>
      <c r="I298" t="s">
        <v>197</v>
      </c>
      <c r="J298" t="s">
        <v>197</v>
      </c>
      <c r="K298" t="s">
        <v>669</v>
      </c>
    </row>
    <row r="299" spans="1:24">
      <c r="B299" t="s">
        <v>197</v>
      </c>
      <c r="C299" t="s">
        <v>197</v>
      </c>
      <c r="D299" t="s">
        <v>197</v>
      </c>
      <c r="E299" t="s">
        <v>197</v>
      </c>
      <c r="F299" t="s">
        <v>197</v>
      </c>
      <c r="G299" t="s">
        <v>197</v>
      </c>
      <c r="H299" t="s">
        <v>197</v>
      </c>
      <c r="I299" t="s">
        <v>197</v>
      </c>
      <c r="J299" t="s">
        <v>197</v>
      </c>
      <c r="K299" t="s">
        <v>670</v>
      </c>
    </row>
    <row r="300" spans="1:24">
      <c r="B300" t="s">
        <v>197</v>
      </c>
      <c r="C300" t="s">
        <v>197</v>
      </c>
      <c r="D300" t="s">
        <v>197</v>
      </c>
      <c r="E300" t="s">
        <v>197</v>
      </c>
      <c r="F300" t="s">
        <v>197</v>
      </c>
      <c r="G300" t="s">
        <v>197</v>
      </c>
      <c r="H300" t="s">
        <v>197</v>
      </c>
      <c r="I300" t="s">
        <v>197</v>
      </c>
      <c r="J300" t="s">
        <v>197</v>
      </c>
      <c r="K300" t="s">
        <v>671</v>
      </c>
    </row>
    <row r="301" spans="1:24">
      <c r="B301" t="s">
        <v>197</v>
      </c>
      <c r="C301" t="s">
        <v>197</v>
      </c>
      <c r="D301" t="s">
        <v>197</v>
      </c>
      <c r="E301" t="s">
        <v>197</v>
      </c>
      <c r="F301" t="s">
        <v>197</v>
      </c>
      <c r="G301" t="s">
        <v>197</v>
      </c>
      <c r="H301" t="s">
        <v>197</v>
      </c>
      <c r="I301" t="s">
        <v>197</v>
      </c>
      <c r="J301" t="s">
        <v>197</v>
      </c>
      <c r="K301" t="s">
        <v>672</v>
      </c>
    </row>
    <row r="302" spans="1:24">
      <c r="B302" t="s">
        <v>197</v>
      </c>
      <c r="C302" t="s">
        <v>197</v>
      </c>
      <c r="D302" t="s">
        <v>197</v>
      </c>
      <c r="E302" t="s">
        <v>197</v>
      </c>
      <c r="F302" t="s">
        <v>197</v>
      </c>
      <c r="G302" t="s">
        <v>197</v>
      </c>
      <c r="H302" t="s">
        <v>197</v>
      </c>
      <c r="I302" t="s">
        <v>197</v>
      </c>
      <c r="J302" t="s">
        <v>197</v>
      </c>
      <c r="K302" t="s">
        <v>673</v>
      </c>
    </row>
    <row r="303" spans="1:24">
      <c r="B303" t="s">
        <v>197</v>
      </c>
      <c r="C303" t="s">
        <v>197</v>
      </c>
      <c r="D303" t="s">
        <v>197</v>
      </c>
      <c r="E303" t="s">
        <v>197</v>
      </c>
      <c r="F303" t="s">
        <v>197</v>
      </c>
      <c r="G303" t="s">
        <v>197</v>
      </c>
      <c r="H303" t="s">
        <v>197</v>
      </c>
      <c r="I303" t="s">
        <v>197</v>
      </c>
      <c r="J303" t="s">
        <v>197</v>
      </c>
      <c r="K303" t="s">
        <v>674</v>
      </c>
    </row>
    <row r="304" spans="1:24">
      <c r="A304" t="s">
        <v>675</v>
      </c>
      <c r="K304" t="s">
        <v>676</v>
      </c>
      <c r="W304" s="1" t="str">
        <f>HYPERLINK("#2026042015hbase0!AT2","NO 源备存在差异，共20个")</f>
        <v>NO 源备存在差异，共20个</v>
      </c>
      <c r="X304" t="str">
        <f>A304</f>
        <v>info_date_dml_single_pk_irp</v>
      </c>
    </row>
    <row r="305" spans="1:24">
      <c r="B305" t="s">
        <v>196</v>
      </c>
      <c r="C305" t="s">
        <v>197</v>
      </c>
      <c r="D305" t="s">
        <v>197</v>
      </c>
      <c r="E305" t="s">
        <v>197</v>
      </c>
      <c r="F305" t="s">
        <v>197</v>
      </c>
      <c r="G305" t="s">
        <v>197</v>
      </c>
      <c r="H305" t="s">
        <v>197</v>
      </c>
      <c r="I305" t="s">
        <v>677</v>
      </c>
      <c r="J305" t="s">
        <v>199</v>
      </c>
      <c r="K305" t="s">
        <v>200</v>
      </c>
    </row>
    <row r="306" spans="1:24">
      <c r="B306" t="s">
        <v>197</v>
      </c>
      <c r="C306" t="s">
        <v>197</v>
      </c>
      <c r="D306" t="s">
        <v>197</v>
      </c>
      <c r="E306" t="s">
        <v>197</v>
      </c>
      <c r="F306" t="s">
        <v>197</v>
      </c>
      <c r="G306" t="s">
        <v>197</v>
      </c>
      <c r="H306" t="s">
        <v>197</v>
      </c>
      <c r="I306" t="s">
        <v>197</v>
      </c>
      <c r="J306" t="s">
        <v>197</v>
      </c>
      <c r="K306" t="s">
        <v>678</v>
      </c>
    </row>
    <row r="307" spans="1:24">
      <c r="A307" t="s">
        <v>685</v>
      </c>
      <c r="K307" t="s">
        <v>686</v>
      </c>
      <c r="W307" s="1" t="str">
        <f>HYPERLINK("#2026042015hbase0!AU2","NO 源备存在差异，共10个")</f>
        <v>NO 源备存在差异，共10个</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t="s">
        <v>171</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s="1" t="str">
        <f>HYPERLINK("#2026042015hbase0!AV2","NO 源备存在差异，共36个")</f>
        <v>NO 源备存在差异，共36个</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700</v>
      </c>
      <c r="K343" t="s">
        <v>701</v>
      </c>
      <c r="W343" t="s">
        <v>171</v>
      </c>
      <c r="X343" t="str">
        <f>A343</f>
        <v>info_char_dml_batch2_pk_irp1</v>
      </c>
    </row>
    <row r="344" spans="1:24">
      <c r="B344" t="s">
        <v>196</v>
      </c>
      <c r="C344" t="s">
        <v>197</v>
      </c>
      <c r="D344" t="s">
        <v>197</v>
      </c>
      <c r="E344" t="s">
        <v>197</v>
      </c>
      <c r="F344" t="s">
        <v>197</v>
      </c>
      <c r="G344" t="s">
        <v>197</v>
      </c>
      <c r="H344" t="s">
        <v>197</v>
      </c>
      <c r="I344" t="s">
        <v>702</v>
      </c>
      <c r="J344" t="s">
        <v>199</v>
      </c>
      <c r="K344" t="s">
        <v>200</v>
      </c>
    </row>
    <row r="345" spans="1:24">
      <c r="B345" t="s">
        <v>197</v>
      </c>
      <c r="C345" t="s">
        <v>197</v>
      </c>
      <c r="D345" t="s">
        <v>197</v>
      </c>
      <c r="E345" t="s">
        <v>197</v>
      </c>
      <c r="F345" t="s">
        <v>197</v>
      </c>
      <c r="G345" t="s">
        <v>197</v>
      </c>
      <c r="H345" t="s">
        <v>197</v>
      </c>
      <c r="I345" t="s">
        <v>197</v>
      </c>
      <c r="J345" t="s">
        <v>197</v>
      </c>
      <c r="K345" t="s">
        <v>622</v>
      </c>
    </row>
    <row r="346" spans="1:24">
      <c r="B346" t="s">
        <v>197</v>
      </c>
      <c r="C346" t="s">
        <v>197</v>
      </c>
      <c r="D346" t="s">
        <v>197</v>
      </c>
      <c r="E346" t="s">
        <v>197</v>
      </c>
      <c r="F346" t="s">
        <v>197</v>
      </c>
      <c r="G346" t="s">
        <v>197</v>
      </c>
      <c r="H346" t="s">
        <v>197</v>
      </c>
      <c r="I346" t="s">
        <v>197</v>
      </c>
      <c r="J346" t="s">
        <v>197</v>
      </c>
      <c r="K346" t="s">
        <v>623</v>
      </c>
    </row>
    <row r="347" spans="1:24">
      <c r="B347" t="s">
        <v>197</v>
      </c>
      <c r="C347" t="s">
        <v>197</v>
      </c>
      <c r="D347" t="s">
        <v>197</v>
      </c>
      <c r="E347" t="s">
        <v>197</v>
      </c>
      <c r="F347" t="s">
        <v>197</v>
      </c>
      <c r="G347" t="s">
        <v>197</v>
      </c>
      <c r="H347" t="s">
        <v>197</v>
      </c>
      <c r="I347" t="s">
        <v>197</v>
      </c>
      <c r="J347" t="s">
        <v>197</v>
      </c>
      <c r="K347" t="s">
        <v>624</v>
      </c>
    </row>
    <row r="348" spans="1:24">
      <c r="K348" t="s">
        <v>443</v>
      </c>
    </row>
    <row r="349" spans="1:24">
      <c r="A349" t="s">
        <v>703</v>
      </c>
      <c r="K349" t="s">
        <v>704</v>
      </c>
      <c r="W349" s="1" t="str">
        <f>HYPERLINK("#2026042015hbase0!AW2","NO 源备存在差异，共4个")</f>
        <v>NO 源备存在差异，共4个</v>
      </c>
      <c r="X349" t="str">
        <f>A349</f>
        <v>info_hierarchyid_dml_single_pk_irp</v>
      </c>
    </row>
    <row r="350" spans="1:24">
      <c r="B350" t="s">
        <v>196</v>
      </c>
      <c r="C350" t="s">
        <v>197</v>
      </c>
      <c r="D350" t="s">
        <v>197</v>
      </c>
      <c r="E350" t="s">
        <v>197</v>
      </c>
      <c r="F350" t="s">
        <v>197</v>
      </c>
      <c r="G350" t="s">
        <v>197</v>
      </c>
      <c r="H350" t="s">
        <v>197</v>
      </c>
      <c r="I350" t="s">
        <v>705</v>
      </c>
      <c r="J350" t="s">
        <v>199</v>
      </c>
      <c r="K350" t="s">
        <v>200</v>
      </c>
    </row>
    <row r="351" spans="1:24">
      <c r="B351" t="s">
        <v>197</v>
      </c>
      <c r="C351" t="s">
        <v>197</v>
      </c>
      <c r="D351" t="s">
        <v>197</v>
      </c>
      <c r="E351" t="s">
        <v>197</v>
      </c>
      <c r="F351" t="s">
        <v>197</v>
      </c>
      <c r="G351" t="s">
        <v>197</v>
      </c>
      <c r="H351" t="s">
        <v>197</v>
      </c>
      <c r="I351" t="s">
        <v>197</v>
      </c>
      <c r="J351" t="s">
        <v>197</v>
      </c>
      <c r="K351" t="s">
        <v>706</v>
      </c>
    </row>
    <row r="352" spans="1:24">
      <c r="A352" t="s">
        <v>707</v>
      </c>
      <c r="K352" t="s">
        <v>708</v>
      </c>
      <c r="W352" s="1" t="str">
        <f>HYPERLINK("#2026042015hbase0!AX2","NO 源备存在差异，共14个")</f>
        <v>NO 源备存在差异，共14个</v>
      </c>
      <c r="X352" t="str">
        <f>A352</f>
        <v>info_datetime2_dml_batch1_pk_urp1</v>
      </c>
    </row>
    <row r="353" spans="1:24">
      <c r="B353" t="s">
        <v>196</v>
      </c>
      <c r="C353" t="s">
        <v>197</v>
      </c>
      <c r="D353" t="s">
        <v>197</v>
      </c>
      <c r="E353" t="s">
        <v>197</v>
      </c>
      <c r="F353" t="s">
        <v>197</v>
      </c>
      <c r="G353" t="s">
        <v>197</v>
      </c>
      <c r="H353" t="s">
        <v>197</v>
      </c>
      <c r="I353" t="s">
        <v>709</v>
      </c>
      <c r="J353" t="s">
        <v>199</v>
      </c>
      <c r="K353" t="s">
        <v>200</v>
      </c>
    </row>
    <row r="354" spans="1:24">
      <c r="B354" t="s">
        <v>197</v>
      </c>
      <c r="C354" t="s">
        <v>197</v>
      </c>
      <c r="D354" t="s">
        <v>197</v>
      </c>
      <c r="E354" t="s">
        <v>197</v>
      </c>
      <c r="F354" t="s">
        <v>197</v>
      </c>
      <c r="G354" t="s">
        <v>197</v>
      </c>
      <c r="H354" t="s">
        <v>197</v>
      </c>
      <c r="I354" t="s">
        <v>197</v>
      </c>
      <c r="J354" t="s">
        <v>197</v>
      </c>
      <c r="K354" t="s">
        <v>667</v>
      </c>
    </row>
    <row r="355" spans="1:24">
      <c r="B355" t="s">
        <v>197</v>
      </c>
      <c r="C355" t="s">
        <v>197</v>
      </c>
      <c r="D355" t="s">
        <v>197</v>
      </c>
      <c r="E355" t="s">
        <v>197</v>
      </c>
      <c r="F355" t="s">
        <v>197</v>
      </c>
      <c r="G355" t="s">
        <v>197</v>
      </c>
      <c r="H355" t="s">
        <v>197</v>
      </c>
      <c r="I355" t="s">
        <v>197</v>
      </c>
      <c r="J355" t="s">
        <v>197</v>
      </c>
      <c r="K355" t="s">
        <v>668</v>
      </c>
    </row>
    <row r="356" spans="1:24">
      <c r="B356" t="s">
        <v>197</v>
      </c>
      <c r="C356" t="s">
        <v>197</v>
      </c>
      <c r="D356" t="s">
        <v>197</v>
      </c>
      <c r="E356" t="s">
        <v>197</v>
      </c>
      <c r="F356" t="s">
        <v>197</v>
      </c>
      <c r="G356" t="s">
        <v>197</v>
      </c>
      <c r="H356" t="s">
        <v>197</v>
      </c>
      <c r="I356" t="s">
        <v>197</v>
      </c>
      <c r="J356" t="s">
        <v>197</v>
      </c>
      <c r="K356" t="s">
        <v>669</v>
      </c>
    </row>
    <row r="357" spans="1:24">
      <c r="B357" t="s">
        <v>197</v>
      </c>
      <c r="C357" t="s">
        <v>197</v>
      </c>
      <c r="D357" t="s">
        <v>197</v>
      </c>
      <c r="E357" t="s">
        <v>197</v>
      </c>
      <c r="F357" t="s">
        <v>197</v>
      </c>
      <c r="G357" t="s">
        <v>197</v>
      </c>
      <c r="H357" t="s">
        <v>197</v>
      </c>
      <c r="I357" t="s">
        <v>197</v>
      </c>
      <c r="J357" t="s">
        <v>197</v>
      </c>
      <c r="K357" t="s">
        <v>670</v>
      </c>
    </row>
    <row r="358" spans="1:24">
      <c r="B358" t="s">
        <v>197</v>
      </c>
      <c r="C358" t="s">
        <v>197</v>
      </c>
      <c r="D358" t="s">
        <v>197</v>
      </c>
      <c r="E358" t="s">
        <v>197</v>
      </c>
      <c r="F358" t="s">
        <v>197</v>
      </c>
      <c r="G358" t="s">
        <v>197</v>
      </c>
      <c r="H358" t="s">
        <v>197</v>
      </c>
      <c r="I358" t="s">
        <v>197</v>
      </c>
      <c r="J358" t="s">
        <v>197</v>
      </c>
      <c r="K358" t="s">
        <v>671</v>
      </c>
    </row>
    <row r="359" spans="1:24">
      <c r="B359" t="s">
        <v>197</v>
      </c>
      <c r="C359" t="s">
        <v>197</v>
      </c>
      <c r="D359" t="s">
        <v>197</v>
      </c>
      <c r="E359" t="s">
        <v>197</v>
      </c>
      <c r="F359" t="s">
        <v>197</v>
      </c>
      <c r="G359" t="s">
        <v>197</v>
      </c>
      <c r="H359" t="s">
        <v>197</v>
      </c>
      <c r="I359" t="s">
        <v>197</v>
      </c>
      <c r="J359" t="s">
        <v>197</v>
      </c>
      <c r="K359" t="s">
        <v>672</v>
      </c>
    </row>
    <row r="360" spans="1:24">
      <c r="B360" t="s">
        <v>197</v>
      </c>
      <c r="C360" t="s">
        <v>197</v>
      </c>
      <c r="D360" t="s">
        <v>197</v>
      </c>
      <c r="E360" t="s">
        <v>197</v>
      </c>
      <c r="F360" t="s">
        <v>197</v>
      </c>
      <c r="G360" t="s">
        <v>197</v>
      </c>
      <c r="H360" t="s">
        <v>197</v>
      </c>
      <c r="I360" t="s">
        <v>197</v>
      </c>
      <c r="J360" t="s">
        <v>197</v>
      </c>
      <c r="K360" t="s">
        <v>673</v>
      </c>
    </row>
    <row r="361" spans="1:24">
      <c r="B361" t="s">
        <v>197</v>
      </c>
      <c r="C361" t="s">
        <v>197</v>
      </c>
      <c r="D361" t="s">
        <v>197</v>
      </c>
      <c r="E361" t="s">
        <v>197</v>
      </c>
      <c r="F361" t="s">
        <v>197</v>
      </c>
      <c r="G361" t="s">
        <v>197</v>
      </c>
      <c r="H361" t="s">
        <v>197</v>
      </c>
      <c r="I361" t="s">
        <v>197</v>
      </c>
      <c r="J361" t="s">
        <v>197</v>
      </c>
      <c r="K361" t="s">
        <v>674</v>
      </c>
    </row>
    <row r="362" spans="1:24">
      <c r="A362" t="s">
        <v>710</v>
      </c>
      <c r="K362" t="s">
        <v>711</v>
      </c>
      <c r="W362" t="s">
        <v>171</v>
      </c>
      <c r="X362" t="str">
        <f>A362</f>
        <v>info_char_dml_batch2_pk_irp2</v>
      </c>
    </row>
    <row r="363" spans="1:24">
      <c r="B363" t="s">
        <v>196</v>
      </c>
      <c r="C363" t="s">
        <v>197</v>
      </c>
      <c r="D363" t="s">
        <v>197</v>
      </c>
      <c r="E363" t="s">
        <v>197</v>
      </c>
      <c r="F363" t="s">
        <v>197</v>
      </c>
      <c r="G363" t="s">
        <v>197</v>
      </c>
      <c r="H363" t="s">
        <v>197</v>
      </c>
      <c r="I363" t="s">
        <v>712</v>
      </c>
      <c r="J363" t="s">
        <v>199</v>
      </c>
      <c r="K363" t="s">
        <v>200</v>
      </c>
    </row>
    <row r="364" spans="1:24">
      <c r="B364" t="s">
        <v>197</v>
      </c>
      <c r="C364" t="s">
        <v>197</v>
      </c>
      <c r="D364" t="s">
        <v>197</v>
      </c>
      <c r="E364" t="s">
        <v>197</v>
      </c>
      <c r="F364" t="s">
        <v>197</v>
      </c>
      <c r="G364" t="s">
        <v>197</v>
      </c>
      <c r="H364" t="s">
        <v>197</v>
      </c>
      <c r="I364" t="s">
        <v>197</v>
      </c>
      <c r="J364" t="s">
        <v>197</v>
      </c>
      <c r="K364" t="s">
        <v>622</v>
      </c>
    </row>
    <row r="365" spans="1:24">
      <c r="B365" t="s">
        <v>197</v>
      </c>
      <c r="C365" t="s">
        <v>197</v>
      </c>
      <c r="D365" t="s">
        <v>197</v>
      </c>
      <c r="E365" t="s">
        <v>197</v>
      </c>
      <c r="F365" t="s">
        <v>197</v>
      </c>
      <c r="G365" t="s">
        <v>197</v>
      </c>
      <c r="H365" t="s">
        <v>197</v>
      </c>
      <c r="I365" t="s">
        <v>197</v>
      </c>
      <c r="J365" t="s">
        <v>197</v>
      </c>
      <c r="K365" t="s">
        <v>623</v>
      </c>
    </row>
    <row r="366" spans="1:24">
      <c r="B366" t="s">
        <v>197</v>
      </c>
      <c r="C366" t="s">
        <v>197</v>
      </c>
      <c r="D366" t="s">
        <v>197</v>
      </c>
      <c r="E366" t="s">
        <v>197</v>
      </c>
      <c r="F366" t="s">
        <v>197</v>
      </c>
      <c r="G366" t="s">
        <v>197</v>
      </c>
      <c r="H366" t="s">
        <v>197</v>
      </c>
      <c r="I366" t="s">
        <v>197</v>
      </c>
      <c r="J366" t="s">
        <v>197</v>
      </c>
      <c r="K366" t="s">
        <v>624</v>
      </c>
    </row>
    <row r="367" spans="1:24">
      <c r="K367" t="s">
        <v>443</v>
      </c>
    </row>
    <row r="368" spans="1:24">
      <c r="A368" t="s">
        <v>716</v>
      </c>
      <c r="K368" t="s">
        <v>717</v>
      </c>
      <c r="W368" s="1" t="str">
        <f>HYPERLINK("#2026042015hbase0!AY2","NO 源备存在差异，共16个")</f>
        <v>NO 源备存在差异，共16个</v>
      </c>
      <c r="X368" t="str">
        <f>A368</f>
        <v>info_date_dml_single_pk_urp</v>
      </c>
    </row>
    <row r="369" spans="1:24">
      <c r="B369" t="s">
        <v>196</v>
      </c>
      <c r="C369" t="s">
        <v>197</v>
      </c>
      <c r="D369" t="s">
        <v>197</v>
      </c>
      <c r="E369" t="s">
        <v>197</v>
      </c>
      <c r="F369" t="s">
        <v>197</v>
      </c>
      <c r="G369" t="s">
        <v>197</v>
      </c>
      <c r="H369" t="s">
        <v>197</v>
      </c>
      <c r="I369" t="s">
        <v>718</v>
      </c>
      <c r="J369" t="s">
        <v>199</v>
      </c>
      <c r="K369" t="s">
        <v>200</v>
      </c>
    </row>
    <row r="370" spans="1:24">
      <c r="B370" t="s">
        <v>197</v>
      </c>
      <c r="C370" t="s">
        <v>197</v>
      </c>
      <c r="D370" t="s">
        <v>197</v>
      </c>
      <c r="E370" t="s">
        <v>197</v>
      </c>
      <c r="F370" t="s">
        <v>197</v>
      </c>
      <c r="G370" t="s">
        <v>197</v>
      </c>
      <c r="H370" t="s">
        <v>197</v>
      </c>
      <c r="I370" t="s">
        <v>197</v>
      </c>
      <c r="J370" t="s">
        <v>197</v>
      </c>
      <c r="K370" t="s">
        <v>678</v>
      </c>
    </row>
    <row r="371" spans="1:24">
      <c r="A371" t="s">
        <v>719</v>
      </c>
      <c r="K371" t="s">
        <v>720</v>
      </c>
      <c r="W371" s="1" t="str">
        <f>HYPERLINK("#2026042015hbase0!AZ2","NO 源备存在差异，共14个")</f>
        <v>NO 源备存在差异，共14个</v>
      </c>
      <c r="X371" t="str">
        <f>A371</f>
        <v>info_datetime2_dml_batch1_pk_urp2</v>
      </c>
    </row>
    <row r="372" spans="1:24">
      <c r="B372" t="s">
        <v>196</v>
      </c>
      <c r="C372" t="s">
        <v>197</v>
      </c>
      <c r="D372" t="s">
        <v>197</v>
      </c>
      <c r="E372" t="s">
        <v>197</v>
      </c>
      <c r="F372" t="s">
        <v>197</v>
      </c>
      <c r="G372" t="s">
        <v>197</v>
      </c>
      <c r="H372" t="s">
        <v>197</v>
      </c>
      <c r="I372" t="s">
        <v>721</v>
      </c>
      <c r="J372" t="s">
        <v>199</v>
      </c>
      <c r="K372" t="s">
        <v>200</v>
      </c>
    </row>
    <row r="373" spans="1:24">
      <c r="B373" t="s">
        <v>197</v>
      </c>
      <c r="C373" t="s">
        <v>197</v>
      </c>
      <c r="D373" t="s">
        <v>197</v>
      </c>
      <c r="E373" t="s">
        <v>197</v>
      </c>
      <c r="F373" t="s">
        <v>197</v>
      </c>
      <c r="G373" t="s">
        <v>197</v>
      </c>
      <c r="H373" t="s">
        <v>197</v>
      </c>
      <c r="I373" t="s">
        <v>197</v>
      </c>
      <c r="J373" t="s">
        <v>197</v>
      </c>
      <c r="K373" t="s">
        <v>667</v>
      </c>
    </row>
    <row r="374" spans="1:24">
      <c r="B374" t="s">
        <v>197</v>
      </c>
      <c r="C374" t="s">
        <v>197</v>
      </c>
      <c r="D374" t="s">
        <v>197</v>
      </c>
      <c r="E374" t="s">
        <v>197</v>
      </c>
      <c r="F374" t="s">
        <v>197</v>
      </c>
      <c r="G374" t="s">
        <v>197</v>
      </c>
      <c r="H374" t="s">
        <v>197</v>
      </c>
      <c r="I374" t="s">
        <v>197</v>
      </c>
      <c r="J374" t="s">
        <v>197</v>
      </c>
      <c r="K374" t="s">
        <v>668</v>
      </c>
    </row>
    <row r="375" spans="1:24">
      <c r="B375" t="s">
        <v>197</v>
      </c>
      <c r="C375" t="s">
        <v>197</v>
      </c>
      <c r="D375" t="s">
        <v>197</v>
      </c>
      <c r="E375" t="s">
        <v>197</v>
      </c>
      <c r="F375" t="s">
        <v>197</v>
      </c>
      <c r="G375" t="s">
        <v>197</v>
      </c>
      <c r="H375" t="s">
        <v>197</v>
      </c>
      <c r="I375" t="s">
        <v>197</v>
      </c>
      <c r="J375" t="s">
        <v>197</v>
      </c>
      <c r="K375" t="s">
        <v>669</v>
      </c>
    </row>
    <row r="376" spans="1:24">
      <c r="B376" t="s">
        <v>197</v>
      </c>
      <c r="C376" t="s">
        <v>197</v>
      </c>
      <c r="D376" t="s">
        <v>197</v>
      </c>
      <c r="E376" t="s">
        <v>197</v>
      </c>
      <c r="F376" t="s">
        <v>197</v>
      </c>
      <c r="G376" t="s">
        <v>197</v>
      </c>
      <c r="H376" t="s">
        <v>197</v>
      </c>
      <c r="I376" t="s">
        <v>197</v>
      </c>
      <c r="J376" t="s">
        <v>197</v>
      </c>
      <c r="K376" t="s">
        <v>670</v>
      </c>
    </row>
    <row r="377" spans="1:24">
      <c r="B377" t="s">
        <v>197</v>
      </c>
      <c r="C377" t="s">
        <v>197</v>
      </c>
      <c r="D377" t="s">
        <v>197</v>
      </c>
      <c r="E377" t="s">
        <v>197</v>
      </c>
      <c r="F377" t="s">
        <v>197</v>
      </c>
      <c r="G377" t="s">
        <v>197</v>
      </c>
      <c r="H377" t="s">
        <v>197</v>
      </c>
      <c r="I377" t="s">
        <v>197</v>
      </c>
      <c r="J377" t="s">
        <v>197</v>
      </c>
      <c r="K377" t="s">
        <v>671</v>
      </c>
    </row>
    <row r="378" spans="1:24">
      <c r="B378" t="s">
        <v>197</v>
      </c>
      <c r="C378" t="s">
        <v>197</v>
      </c>
      <c r="D378" t="s">
        <v>197</v>
      </c>
      <c r="E378" t="s">
        <v>197</v>
      </c>
      <c r="F378" t="s">
        <v>197</v>
      </c>
      <c r="G378" t="s">
        <v>197</v>
      </c>
      <c r="H378" t="s">
        <v>197</v>
      </c>
      <c r="I378" t="s">
        <v>197</v>
      </c>
      <c r="J378" t="s">
        <v>197</v>
      </c>
      <c r="K378" t="s">
        <v>672</v>
      </c>
    </row>
    <row r="379" spans="1:24">
      <c r="B379" t="s">
        <v>197</v>
      </c>
      <c r="C379" t="s">
        <v>197</v>
      </c>
      <c r="D379" t="s">
        <v>197</v>
      </c>
      <c r="E379" t="s">
        <v>197</v>
      </c>
      <c r="F379" t="s">
        <v>197</v>
      </c>
      <c r="G379" t="s">
        <v>197</v>
      </c>
      <c r="H379" t="s">
        <v>197</v>
      </c>
      <c r="I379" t="s">
        <v>197</v>
      </c>
      <c r="J379" t="s">
        <v>197</v>
      </c>
      <c r="K379" t="s">
        <v>673</v>
      </c>
    </row>
    <row r="380" spans="1:24">
      <c r="B380" t="s">
        <v>197</v>
      </c>
      <c r="C380" t="s">
        <v>197</v>
      </c>
      <c r="D380" t="s">
        <v>197</v>
      </c>
      <c r="E380" t="s">
        <v>197</v>
      </c>
      <c r="F380" t="s">
        <v>197</v>
      </c>
      <c r="G380" t="s">
        <v>197</v>
      </c>
      <c r="H380" t="s">
        <v>197</v>
      </c>
      <c r="I380" t="s">
        <v>197</v>
      </c>
      <c r="J380" t="s">
        <v>197</v>
      </c>
      <c r="K380" t="s">
        <v>674</v>
      </c>
    </row>
    <row r="381" spans="1:24">
      <c r="A381" t="s">
        <v>713</v>
      </c>
      <c r="K381" t="s">
        <v>714</v>
      </c>
      <c r="W381" t="s">
        <v>171</v>
      </c>
      <c r="X381" t="str">
        <f>A381</f>
        <v>info_nchar_dml_batch1_pk_irp2</v>
      </c>
    </row>
    <row r="382" spans="1:24">
      <c r="B382" t="s">
        <v>196</v>
      </c>
      <c r="C382" t="s">
        <v>197</v>
      </c>
      <c r="D382" t="s">
        <v>197</v>
      </c>
      <c r="E382" t="s">
        <v>197</v>
      </c>
      <c r="F382" t="s">
        <v>197</v>
      </c>
      <c r="G382" t="s">
        <v>197</v>
      </c>
      <c r="H382" t="s">
        <v>197</v>
      </c>
      <c r="I382" t="s">
        <v>715</v>
      </c>
      <c r="J382" t="s">
        <v>199</v>
      </c>
      <c r="K382" t="s">
        <v>200</v>
      </c>
    </row>
    <row r="383" spans="1:24">
      <c r="B383" t="s">
        <v>197</v>
      </c>
      <c r="C383" t="s">
        <v>197</v>
      </c>
      <c r="D383" t="s">
        <v>197</v>
      </c>
      <c r="E383" t="s">
        <v>197</v>
      </c>
      <c r="F383" t="s">
        <v>197</v>
      </c>
      <c r="G383" t="s">
        <v>197</v>
      </c>
      <c r="H383" t="s">
        <v>197</v>
      </c>
      <c r="I383" t="s">
        <v>197</v>
      </c>
      <c r="J383" t="s">
        <v>197</v>
      </c>
      <c r="K383" t="s">
        <v>514</v>
      </c>
    </row>
    <row r="384" spans="1:24">
      <c r="B384" t="s">
        <v>197</v>
      </c>
      <c r="C384" t="s">
        <v>197</v>
      </c>
      <c r="D384" t="s">
        <v>197</v>
      </c>
      <c r="E384" t="s">
        <v>197</v>
      </c>
      <c r="F384" t="s">
        <v>197</v>
      </c>
      <c r="G384" t="s">
        <v>197</v>
      </c>
      <c r="H384" t="s">
        <v>197</v>
      </c>
      <c r="I384" t="s">
        <v>197</v>
      </c>
      <c r="J384" t="s">
        <v>197</v>
      </c>
      <c r="K384" t="s">
        <v>516</v>
      </c>
    </row>
    <row r="385" spans="1:24">
      <c r="B385" t="s">
        <v>197</v>
      </c>
      <c r="C385" t="s">
        <v>197</v>
      </c>
      <c r="D385" t="s">
        <v>197</v>
      </c>
      <c r="E385" t="s">
        <v>197</v>
      </c>
      <c r="F385" t="s">
        <v>197</v>
      </c>
      <c r="G385" t="s">
        <v>197</v>
      </c>
      <c r="H385" t="s">
        <v>197</v>
      </c>
      <c r="I385" t="s">
        <v>197</v>
      </c>
      <c r="J385" t="s">
        <v>197</v>
      </c>
      <c r="K385" t="s">
        <v>612</v>
      </c>
    </row>
    <row r="386" spans="1:24">
      <c r="A386" t="s">
        <v>722</v>
      </c>
      <c r="K386" t="s">
        <v>723</v>
      </c>
      <c r="W386" t="s">
        <v>171</v>
      </c>
      <c r="X386" t="str">
        <f>A386</f>
        <v>info_varcharmax_dml_batch1_pk_irp1</v>
      </c>
    </row>
    <row r="387" spans="1:24">
      <c r="B387" t="s">
        <v>196</v>
      </c>
      <c r="C387" t="s">
        <v>197</v>
      </c>
      <c r="D387" t="s">
        <v>197</v>
      </c>
      <c r="E387" t="s">
        <v>197</v>
      </c>
      <c r="F387" t="s">
        <v>197</v>
      </c>
      <c r="G387" t="s">
        <v>197</v>
      </c>
      <c r="H387" t="s">
        <v>197</v>
      </c>
      <c r="I387" t="s">
        <v>724</v>
      </c>
      <c r="J387" t="s">
        <v>199</v>
      </c>
      <c r="K387" t="s">
        <v>200</v>
      </c>
    </row>
    <row r="388" spans="1:24">
      <c r="B388" t="s">
        <v>197</v>
      </c>
      <c r="C388" t="s">
        <v>197</v>
      </c>
      <c r="D388" t="s">
        <v>197</v>
      </c>
      <c r="E388" t="s">
        <v>197</v>
      </c>
      <c r="F388" t="s">
        <v>197</v>
      </c>
      <c r="G388" t="s">
        <v>197</v>
      </c>
      <c r="H388" t="s">
        <v>197</v>
      </c>
      <c r="I388" t="s">
        <v>197</v>
      </c>
      <c r="J388" t="s">
        <v>197</v>
      </c>
      <c r="K388" t="s">
        <v>725</v>
      </c>
    </row>
    <row r="389" spans="1:24">
      <c r="B389" t="s">
        <v>197</v>
      </c>
      <c r="C389" t="s">
        <v>197</v>
      </c>
      <c r="D389" t="s">
        <v>197</v>
      </c>
      <c r="E389" t="s">
        <v>197</v>
      </c>
      <c r="F389" t="s">
        <v>197</v>
      </c>
      <c r="G389" t="s">
        <v>197</v>
      </c>
      <c r="H389" t="s">
        <v>197</v>
      </c>
      <c r="I389" t="s">
        <v>197</v>
      </c>
      <c r="J389" t="s">
        <v>197</v>
      </c>
      <c r="K389" t="s">
        <v>726</v>
      </c>
    </row>
    <row r="390" spans="1:24">
      <c r="K390" t="s">
        <v>443</v>
      </c>
    </row>
    <row r="391" spans="1:24">
      <c r="A391" t="s">
        <v>727</v>
      </c>
      <c r="K391" t="s">
        <v>728</v>
      </c>
      <c r="W391" t="s">
        <v>171</v>
      </c>
      <c r="X391" t="str">
        <f>A391</f>
        <v>info_nvarchar_dml_single_pk_irp</v>
      </c>
    </row>
    <row r="392" spans="1:24">
      <c r="B392" t="s">
        <v>196</v>
      </c>
      <c r="C392" t="s">
        <v>197</v>
      </c>
      <c r="D392" t="s">
        <v>197</v>
      </c>
      <c r="E392" t="s">
        <v>197</v>
      </c>
      <c r="F392" t="s">
        <v>197</v>
      </c>
      <c r="G392" t="s">
        <v>197</v>
      </c>
      <c r="H392" t="s">
        <v>197</v>
      </c>
      <c r="I392" t="s">
        <v>729</v>
      </c>
      <c r="J392" t="s">
        <v>199</v>
      </c>
      <c r="K392" t="s">
        <v>200</v>
      </c>
    </row>
    <row r="393" spans="1:24">
      <c r="B393" t="s">
        <v>197</v>
      </c>
      <c r="C393" t="s">
        <v>197</v>
      </c>
      <c r="D393" t="s">
        <v>197</v>
      </c>
      <c r="E393" t="s">
        <v>197</v>
      </c>
      <c r="F393" t="s">
        <v>197</v>
      </c>
      <c r="G393" t="s">
        <v>197</v>
      </c>
      <c r="H393" t="s">
        <v>197</v>
      </c>
      <c r="I393" t="s">
        <v>197</v>
      </c>
      <c r="J393" t="s">
        <v>197</v>
      </c>
      <c r="K393" t="s">
        <v>408</v>
      </c>
    </row>
    <row r="394" spans="1:24">
      <c r="B394" t="s">
        <v>197</v>
      </c>
      <c r="C394" t="s">
        <v>197</v>
      </c>
      <c r="D394" t="s">
        <v>197</v>
      </c>
      <c r="E394" t="s">
        <v>197</v>
      </c>
      <c r="F394" t="s">
        <v>197</v>
      </c>
      <c r="G394" t="s">
        <v>197</v>
      </c>
      <c r="H394" t="s">
        <v>197</v>
      </c>
      <c r="I394" t="s">
        <v>197</v>
      </c>
      <c r="J394" t="s">
        <v>197</v>
      </c>
      <c r="K394" t="s">
        <v>412</v>
      </c>
    </row>
    <row r="395" spans="1:24">
      <c r="B395" t="s">
        <v>197</v>
      </c>
      <c r="C395" t="s">
        <v>197</v>
      </c>
      <c r="D395" t="s">
        <v>197</v>
      </c>
      <c r="E395" t="s">
        <v>197</v>
      </c>
      <c r="F395" t="s">
        <v>197</v>
      </c>
      <c r="G395" t="s">
        <v>197</v>
      </c>
      <c r="H395" t="s">
        <v>197</v>
      </c>
      <c r="I395" t="s">
        <v>197</v>
      </c>
      <c r="J395" t="s">
        <v>197</v>
      </c>
      <c r="K395" t="s">
        <v>730</v>
      </c>
    </row>
    <row r="396" spans="1:24">
      <c r="A396" t="s">
        <v>731</v>
      </c>
      <c r="K396" t="s">
        <v>732</v>
      </c>
      <c r="W396" t="s">
        <v>171</v>
      </c>
      <c r="X396" t="str">
        <f>A396</f>
        <v>info_datetime2_dml_batch1_pk_drp1</v>
      </c>
    </row>
    <row r="397" spans="1:24">
      <c r="B397" t="s">
        <v>196</v>
      </c>
      <c r="C397" t="s">
        <v>197</v>
      </c>
      <c r="D397" t="s">
        <v>197</v>
      </c>
      <c r="E397" t="s">
        <v>197</v>
      </c>
      <c r="F397" t="s">
        <v>197</v>
      </c>
      <c r="G397" t="s">
        <v>197</v>
      </c>
      <c r="H397" t="s">
        <v>197</v>
      </c>
      <c r="I397" t="s">
        <v>733</v>
      </c>
      <c r="J397" t="s">
        <v>199</v>
      </c>
      <c r="K397" t="s">
        <v>200</v>
      </c>
    </row>
    <row r="398" spans="1:24">
      <c r="B398" t="s">
        <v>197</v>
      </c>
      <c r="C398" t="s">
        <v>197</v>
      </c>
      <c r="D398" t="s">
        <v>197</v>
      </c>
      <c r="E398" t="s">
        <v>197</v>
      </c>
      <c r="F398" t="s">
        <v>197</v>
      </c>
      <c r="G398" t="s">
        <v>197</v>
      </c>
      <c r="H398" t="s">
        <v>197</v>
      </c>
      <c r="I398" t="s">
        <v>197</v>
      </c>
      <c r="J398" t="s">
        <v>197</v>
      </c>
      <c r="K398" t="s">
        <v>667</v>
      </c>
    </row>
    <row r="399" spans="1:24">
      <c r="B399" t="s">
        <v>197</v>
      </c>
      <c r="C399" t="s">
        <v>197</v>
      </c>
      <c r="D399" t="s">
        <v>197</v>
      </c>
      <c r="E399" t="s">
        <v>197</v>
      </c>
      <c r="F399" t="s">
        <v>197</v>
      </c>
      <c r="G399" t="s">
        <v>197</v>
      </c>
      <c r="H399" t="s">
        <v>197</v>
      </c>
      <c r="I399" t="s">
        <v>197</v>
      </c>
      <c r="J399" t="s">
        <v>197</v>
      </c>
      <c r="K399" t="s">
        <v>668</v>
      </c>
    </row>
    <row r="400" spans="1:24">
      <c r="B400" t="s">
        <v>197</v>
      </c>
      <c r="C400" t="s">
        <v>197</v>
      </c>
      <c r="D400" t="s">
        <v>197</v>
      </c>
      <c r="E400" t="s">
        <v>197</v>
      </c>
      <c r="F400" t="s">
        <v>197</v>
      </c>
      <c r="G400" t="s">
        <v>197</v>
      </c>
      <c r="H400" t="s">
        <v>197</v>
      </c>
      <c r="I400" t="s">
        <v>197</v>
      </c>
      <c r="J400" t="s">
        <v>197</v>
      </c>
      <c r="K400" t="s">
        <v>669</v>
      </c>
    </row>
    <row r="401" spans="1:24">
      <c r="B401" t="s">
        <v>197</v>
      </c>
      <c r="C401" t="s">
        <v>197</v>
      </c>
      <c r="D401" t="s">
        <v>197</v>
      </c>
      <c r="E401" t="s">
        <v>197</v>
      </c>
      <c r="F401" t="s">
        <v>197</v>
      </c>
      <c r="G401" t="s">
        <v>197</v>
      </c>
      <c r="H401" t="s">
        <v>197</v>
      </c>
      <c r="I401" t="s">
        <v>197</v>
      </c>
      <c r="J401" t="s">
        <v>197</v>
      </c>
      <c r="K401" t="s">
        <v>670</v>
      </c>
    </row>
    <row r="402" spans="1:24">
      <c r="B402" t="s">
        <v>197</v>
      </c>
      <c r="C402" t="s">
        <v>197</v>
      </c>
      <c r="D402" t="s">
        <v>197</v>
      </c>
      <c r="E402" t="s">
        <v>197</v>
      </c>
      <c r="F402" t="s">
        <v>197</v>
      </c>
      <c r="G402" t="s">
        <v>197</v>
      </c>
      <c r="H402" t="s">
        <v>197</v>
      </c>
      <c r="I402" t="s">
        <v>197</v>
      </c>
      <c r="J402" t="s">
        <v>197</v>
      </c>
      <c r="K402" t="s">
        <v>671</v>
      </c>
    </row>
    <row r="403" spans="1:24">
      <c r="B403" t="s">
        <v>197</v>
      </c>
      <c r="C403" t="s">
        <v>197</v>
      </c>
      <c r="D403" t="s">
        <v>197</v>
      </c>
      <c r="E403" t="s">
        <v>197</v>
      </c>
      <c r="F403" t="s">
        <v>197</v>
      </c>
      <c r="G403" t="s">
        <v>197</v>
      </c>
      <c r="H403" t="s">
        <v>197</v>
      </c>
      <c r="I403" t="s">
        <v>197</v>
      </c>
      <c r="J403" t="s">
        <v>197</v>
      </c>
      <c r="K403" t="s">
        <v>672</v>
      </c>
    </row>
    <row r="404" spans="1:24">
      <c r="B404" t="s">
        <v>197</v>
      </c>
      <c r="C404" t="s">
        <v>197</v>
      </c>
      <c r="D404" t="s">
        <v>197</v>
      </c>
      <c r="E404" t="s">
        <v>197</v>
      </c>
      <c r="F404" t="s">
        <v>197</v>
      </c>
      <c r="G404" t="s">
        <v>197</v>
      </c>
      <c r="H404" t="s">
        <v>197</v>
      </c>
      <c r="I404" t="s">
        <v>197</v>
      </c>
      <c r="J404" t="s">
        <v>197</v>
      </c>
      <c r="K404" t="s">
        <v>673</v>
      </c>
    </row>
    <row r="405" spans="1:24">
      <c r="B405" t="s">
        <v>197</v>
      </c>
      <c r="C405" t="s">
        <v>197</v>
      </c>
      <c r="D405" t="s">
        <v>197</v>
      </c>
      <c r="E405" t="s">
        <v>197</v>
      </c>
      <c r="F405" t="s">
        <v>197</v>
      </c>
      <c r="G405" t="s">
        <v>197</v>
      </c>
      <c r="H405" t="s">
        <v>197</v>
      </c>
      <c r="I405" t="s">
        <v>197</v>
      </c>
      <c r="J405" t="s">
        <v>197</v>
      </c>
      <c r="K405" t="s">
        <v>674</v>
      </c>
    </row>
    <row r="406" spans="1:24">
      <c r="K406" t="s">
        <v>443</v>
      </c>
    </row>
    <row r="407" spans="1:24">
      <c r="A407" t="s">
        <v>737</v>
      </c>
      <c r="K407" t="s">
        <v>738</v>
      </c>
      <c r="W407" t="s">
        <v>171</v>
      </c>
      <c r="X407" t="str">
        <f>A407</f>
        <v>info_binary_dml_batch1_pk_irp2</v>
      </c>
    </row>
    <row r="408" spans="1:24">
      <c r="B408" t="s">
        <v>196</v>
      </c>
      <c r="C408" t="s">
        <v>197</v>
      </c>
      <c r="D408" t="s">
        <v>197</v>
      </c>
      <c r="E408" t="s">
        <v>197</v>
      </c>
      <c r="F408" t="s">
        <v>197</v>
      </c>
      <c r="G408" t="s">
        <v>197</v>
      </c>
      <c r="H408" t="s">
        <v>197</v>
      </c>
      <c r="I408" t="s">
        <v>739</v>
      </c>
      <c r="J408" t="s">
        <v>199</v>
      </c>
      <c r="K408" t="s">
        <v>200</v>
      </c>
    </row>
    <row r="409" spans="1:24">
      <c r="B409" t="s">
        <v>197</v>
      </c>
      <c r="C409" t="s">
        <v>197</v>
      </c>
      <c r="D409" t="s">
        <v>197</v>
      </c>
      <c r="E409" t="s">
        <v>197</v>
      </c>
      <c r="F409" t="s">
        <v>197</v>
      </c>
      <c r="G409" t="s">
        <v>197</v>
      </c>
      <c r="H409" t="s">
        <v>197</v>
      </c>
      <c r="I409" t="s">
        <v>197</v>
      </c>
      <c r="J409" t="s">
        <v>197</v>
      </c>
      <c r="K409" t="s">
        <v>691</v>
      </c>
    </row>
    <row r="410" spans="1:24">
      <c r="B410" t="s">
        <v>197</v>
      </c>
      <c r="C410" t="s">
        <v>197</v>
      </c>
      <c r="D410" t="s">
        <v>197</v>
      </c>
      <c r="E410" t="s">
        <v>197</v>
      </c>
      <c r="F410" t="s">
        <v>197</v>
      </c>
      <c r="G410" t="s">
        <v>197</v>
      </c>
      <c r="H410" t="s">
        <v>197</v>
      </c>
      <c r="I410" t="s">
        <v>197</v>
      </c>
      <c r="J410" t="s">
        <v>197</v>
      </c>
      <c r="K410" t="s">
        <v>692</v>
      </c>
    </row>
    <row r="411" spans="1:24">
      <c r="B411" t="s">
        <v>197</v>
      </c>
      <c r="C411" t="s">
        <v>197</v>
      </c>
      <c r="D411" t="s">
        <v>197</v>
      </c>
      <c r="E411" t="s">
        <v>197</v>
      </c>
      <c r="F411" t="s">
        <v>197</v>
      </c>
      <c r="G411" t="s">
        <v>197</v>
      </c>
      <c r="H411" t="s">
        <v>197</v>
      </c>
      <c r="I411" t="s">
        <v>197</v>
      </c>
      <c r="J411" t="s">
        <v>197</v>
      </c>
      <c r="K411" t="s">
        <v>693</v>
      </c>
    </row>
    <row r="412" spans="1:24">
      <c r="A412" t="s">
        <v>734</v>
      </c>
      <c r="K412" t="s">
        <v>735</v>
      </c>
      <c r="W412" t="s">
        <v>171</v>
      </c>
      <c r="X412" t="str">
        <f>A412</f>
        <v>info_varcharmax_dml_batch1_pk_irp2</v>
      </c>
    </row>
    <row r="413" spans="1:24">
      <c r="B413" t="s">
        <v>196</v>
      </c>
      <c r="C413" t="s">
        <v>197</v>
      </c>
      <c r="D413" t="s">
        <v>197</v>
      </c>
      <c r="E413" t="s">
        <v>197</v>
      </c>
      <c r="F413" t="s">
        <v>197</v>
      </c>
      <c r="G413" t="s">
        <v>197</v>
      </c>
      <c r="H413" t="s">
        <v>197</v>
      </c>
      <c r="I413" t="s">
        <v>736</v>
      </c>
      <c r="J413" t="s">
        <v>199</v>
      </c>
      <c r="K413" t="s">
        <v>200</v>
      </c>
    </row>
    <row r="414" spans="1:24">
      <c r="B414" t="s">
        <v>197</v>
      </c>
      <c r="C414" t="s">
        <v>197</v>
      </c>
      <c r="D414" t="s">
        <v>197</v>
      </c>
      <c r="E414" t="s">
        <v>197</v>
      </c>
      <c r="F414" t="s">
        <v>197</v>
      </c>
      <c r="G414" t="s">
        <v>197</v>
      </c>
      <c r="H414" t="s">
        <v>197</v>
      </c>
      <c r="I414" t="s">
        <v>197</v>
      </c>
      <c r="J414" t="s">
        <v>197</v>
      </c>
      <c r="K414" t="s">
        <v>725</v>
      </c>
    </row>
    <row r="415" spans="1:24">
      <c r="B415" t="s">
        <v>197</v>
      </c>
      <c r="C415" t="s">
        <v>197</v>
      </c>
      <c r="D415" t="s">
        <v>197</v>
      </c>
      <c r="E415" t="s">
        <v>197</v>
      </c>
      <c r="F415" t="s">
        <v>197</v>
      </c>
      <c r="G415" t="s">
        <v>197</v>
      </c>
      <c r="H415" t="s">
        <v>197</v>
      </c>
      <c r="I415" t="s">
        <v>197</v>
      </c>
      <c r="J415" t="s">
        <v>197</v>
      </c>
      <c r="K415" t="s">
        <v>726</v>
      </c>
    </row>
    <row r="416" spans="1:24">
      <c r="K416" t="s">
        <v>443</v>
      </c>
    </row>
    <row r="417" spans="1:24">
      <c r="A417" t="s">
        <v>740</v>
      </c>
      <c r="K417" t="s">
        <v>741</v>
      </c>
      <c r="W417" s="1" t="str">
        <f>HYPERLINK("#2026042015hbase0!BA2","NO 源备存在差异，共2个")</f>
        <v>NO 源备存在差异，共2个</v>
      </c>
      <c r="X417" t="str">
        <f>A417</f>
        <v>info_datetime2_dml_batch1_pk_drp2</v>
      </c>
    </row>
    <row r="418" spans="1:24">
      <c r="B418" t="s">
        <v>196</v>
      </c>
      <c r="C418" t="s">
        <v>197</v>
      </c>
      <c r="D418" t="s">
        <v>197</v>
      </c>
      <c r="E418" t="s">
        <v>197</v>
      </c>
      <c r="F418" t="s">
        <v>197</v>
      </c>
      <c r="G418" t="s">
        <v>197</v>
      </c>
      <c r="H418" t="s">
        <v>197</v>
      </c>
      <c r="I418" t="s">
        <v>742</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749</v>
      </c>
      <c r="K435" t="s">
        <v>750</v>
      </c>
      <c r="W435" s="1" t="str">
        <f>HYPERLINK("#2026042015hbase0!BB2","NO 源备存在差异，共6个")</f>
        <v>NO 源备存在差异，共6个</v>
      </c>
      <c r="X435" t="str">
        <f>A435</f>
        <v>info_datetime2_dml_batch1_pk</v>
      </c>
    </row>
    <row r="436" spans="1:24">
      <c r="B436" t="s">
        <v>196</v>
      </c>
      <c r="C436" t="s">
        <v>197</v>
      </c>
      <c r="D436" t="s">
        <v>197</v>
      </c>
      <c r="E436" t="s">
        <v>197</v>
      </c>
      <c r="F436" t="s">
        <v>197</v>
      </c>
      <c r="G436" t="s">
        <v>197</v>
      </c>
      <c r="H436" t="s">
        <v>197</v>
      </c>
      <c r="I436" t="s">
        <v>751</v>
      </c>
      <c r="J436" t="s">
        <v>199</v>
      </c>
      <c r="K436" t="s">
        <v>200</v>
      </c>
    </row>
    <row r="437" spans="1:24">
      <c r="B437" t="s">
        <v>197</v>
      </c>
      <c r="C437" t="s">
        <v>197</v>
      </c>
      <c r="D437" t="s">
        <v>197</v>
      </c>
      <c r="E437" t="s">
        <v>197</v>
      </c>
      <c r="F437" t="s">
        <v>197</v>
      </c>
      <c r="G437" t="s">
        <v>197</v>
      </c>
      <c r="H437" t="s">
        <v>197</v>
      </c>
      <c r="I437" t="s">
        <v>197</v>
      </c>
      <c r="J437" t="s">
        <v>197</v>
      </c>
      <c r="K437" t="s">
        <v>667</v>
      </c>
    </row>
    <row r="438" spans="1:24">
      <c r="B438" t="s">
        <v>197</v>
      </c>
      <c r="C438" t="s">
        <v>197</v>
      </c>
      <c r="D438" t="s">
        <v>197</v>
      </c>
      <c r="E438" t="s">
        <v>197</v>
      </c>
      <c r="F438" t="s">
        <v>197</v>
      </c>
      <c r="G438" t="s">
        <v>197</v>
      </c>
      <c r="H438" t="s">
        <v>197</v>
      </c>
      <c r="I438" t="s">
        <v>197</v>
      </c>
      <c r="J438" t="s">
        <v>197</v>
      </c>
      <c r="K438" t="s">
        <v>668</v>
      </c>
    </row>
    <row r="439" spans="1:24">
      <c r="B439" t="s">
        <v>197</v>
      </c>
      <c r="C439" t="s">
        <v>197</v>
      </c>
      <c r="D439" t="s">
        <v>197</v>
      </c>
      <c r="E439" t="s">
        <v>197</v>
      </c>
      <c r="F439" t="s">
        <v>197</v>
      </c>
      <c r="G439" t="s">
        <v>197</v>
      </c>
      <c r="H439" t="s">
        <v>197</v>
      </c>
      <c r="I439" t="s">
        <v>197</v>
      </c>
      <c r="J439" t="s">
        <v>197</v>
      </c>
      <c r="K439" t="s">
        <v>669</v>
      </c>
    </row>
    <row r="440" spans="1:24">
      <c r="B440" t="s">
        <v>197</v>
      </c>
      <c r="C440" t="s">
        <v>197</v>
      </c>
      <c r="D440" t="s">
        <v>197</v>
      </c>
      <c r="E440" t="s">
        <v>197</v>
      </c>
      <c r="F440" t="s">
        <v>197</v>
      </c>
      <c r="G440" t="s">
        <v>197</v>
      </c>
      <c r="H440" t="s">
        <v>197</v>
      </c>
      <c r="I440" t="s">
        <v>197</v>
      </c>
      <c r="J440" t="s">
        <v>197</v>
      </c>
      <c r="K440" t="s">
        <v>670</v>
      </c>
    </row>
    <row r="441" spans="1:24">
      <c r="B441" t="s">
        <v>197</v>
      </c>
      <c r="C441" t="s">
        <v>197</v>
      </c>
      <c r="D441" t="s">
        <v>197</v>
      </c>
      <c r="E441" t="s">
        <v>197</v>
      </c>
      <c r="F441" t="s">
        <v>197</v>
      </c>
      <c r="G441" t="s">
        <v>197</v>
      </c>
      <c r="H441" t="s">
        <v>197</v>
      </c>
      <c r="I441" t="s">
        <v>197</v>
      </c>
      <c r="J441" t="s">
        <v>197</v>
      </c>
      <c r="K441" t="s">
        <v>671</v>
      </c>
    </row>
    <row r="442" spans="1:24">
      <c r="B442" t="s">
        <v>197</v>
      </c>
      <c r="C442" t="s">
        <v>197</v>
      </c>
      <c r="D442" t="s">
        <v>197</v>
      </c>
      <c r="E442" t="s">
        <v>197</v>
      </c>
      <c r="F442" t="s">
        <v>197</v>
      </c>
      <c r="G442" t="s">
        <v>197</v>
      </c>
      <c r="H442" t="s">
        <v>197</v>
      </c>
      <c r="I442" t="s">
        <v>197</v>
      </c>
      <c r="J442" t="s">
        <v>197</v>
      </c>
      <c r="K442" t="s">
        <v>672</v>
      </c>
    </row>
    <row r="443" spans="1:24">
      <c r="B443" t="s">
        <v>197</v>
      </c>
      <c r="C443" t="s">
        <v>197</v>
      </c>
      <c r="D443" t="s">
        <v>197</v>
      </c>
      <c r="E443" t="s">
        <v>197</v>
      </c>
      <c r="F443" t="s">
        <v>197</v>
      </c>
      <c r="G443" t="s">
        <v>197</v>
      </c>
      <c r="H443" t="s">
        <v>197</v>
      </c>
      <c r="I443" t="s">
        <v>197</v>
      </c>
      <c r="J443" t="s">
        <v>197</v>
      </c>
      <c r="K443" t="s">
        <v>673</v>
      </c>
    </row>
    <row r="444" spans="1:24">
      <c r="B444" t="s">
        <v>197</v>
      </c>
      <c r="C444" t="s">
        <v>197</v>
      </c>
      <c r="D444" t="s">
        <v>197</v>
      </c>
      <c r="E444" t="s">
        <v>197</v>
      </c>
      <c r="F444" t="s">
        <v>197</v>
      </c>
      <c r="G444" t="s">
        <v>197</v>
      </c>
      <c r="H444" t="s">
        <v>197</v>
      </c>
      <c r="I444" t="s">
        <v>197</v>
      </c>
      <c r="J444" t="s">
        <v>197</v>
      </c>
      <c r="K444" t="s">
        <v>674</v>
      </c>
    </row>
    <row r="445" spans="1:24">
      <c r="A445" t="s">
        <v>752</v>
      </c>
      <c r="K445" t="s">
        <v>753</v>
      </c>
      <c r="W445" t="s">
        <v>171</v>
      </c>
      <c r="X445" t="str">
        <f>A445</f>
        <v>info_nchar_dml_batch2_pk_irp1</v>
      </c>
    </row>
    <row r="446" spans="1:24">
      <c r="B446" t="s">
        <v>196</v>
      </c>
      <c r="C446" t="s">
        <v>197</v>
      </c>
      <c r="D446" t="s">
        <v>197</v>
      </c>
      <c r="E446" t="s">
        <v>197</v>
      </c>
      <c r="F446" t="s">
        <v>197</v>
      </c>
      <c r="G446" t="s">
        <v>197</v>
      </c>
      <c r="H446" t="s">
        <v>197</v>
      </c>
      <c r="I446" t="s">
        <v>754</v>
      </c>
      <c r="J446" t="s">
        <v>199</v>
      </c>
      <c r="K446" t="s">
        <v>200</v>
      </c>
    </row>
    <row r="447" spans="1:24">
      <c r="B447" t="s">
        <v>197</v>
      </c>
      <c r="C447" t="s">
        <v>197</v>
      </c>
      <c r="D447" t="s">
        <v>197</v>
      </c>
      <c r="E447" t="s">
        <v>197</v>
      </c>
      <c r="F447" t="s">
        <v>197</v>
      </c>
      <c r="G447" t="s">
        <v>197</v>
      </c>
      <c r="H447" t="s">
        <v>197</v>
      </c>
      <c r="I447" t="s">
        <v>197</v>
      </c>
      <c r="J447" t="s">
        <v>197</v>
      </c>
      <c r="K447" t="s">
        <v>514</v>
      </c>
    </row>
    <row r="448" spans="1:24">
      <c r="B448" t="s">
        <v>197</v>
      </c>
      <c r="C448" t="s">
        <v>197</v>
      </c>
      <c r="D448" t="s">
        <v>197</v>
      </c>
      <c r="E448" t="s">
        <v>197</v>
      </c>
      <c r="F448" t="s">
        <v>197</v>
      </c>
      <c r="G448" t="s">
        <v>197</v>
      </c>
      <c r="H448" t="s">
        <v>197</v>
      </c>
      <c r="I448" t="s">
        <v>197</v>
      </c>
      <c r="J448" t="s">
        <v>197</v>
      </c>
      <c r="K448" t="s">
        <v>516</v>
      </c>
    </row>
    <row r="449" spans="1:24">
      <c r="B449" t="s">
        <v>197</v>
      </c>
      <c r="C449" t="s">
        <v>197</v>
      </c>
      <c r="D449" t="s">
        <v>197</v>
      </c>
      <c r="E449" t="s">
        <v>197</v>
      </c>
      <c r="F449" t="s">
        <v>197</v>
      </c>
      <c r="G449" t="s">
        <v>197</v>
      </c>
      <c r="H449" t="s">
        <v>197</v>
      </c>
      <c r="I449" t="s">
        <v>197</v>
      </c>
      <c r="J449" t="s">
        <v>197</v>
      </c>
      <c r="K449" t="s">
        <v>612</v>
      </c>
    </row>
    <row r="450" spans="1:24">
      <c r="A450" t="s">
        <v>755</v>
      </c>
      <c r="K450" t="s">
        <v>756</v>
      </c>
      <c r="W450" t="s">
        <v>171</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s="1" t="str">
        <f>HYPERLINK("#2026042015hbase0!BC2","NO 源备存在差异，共8个")</f>
        <v>NO 源备存在差异，共8个</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764</v>
      </c>
      <c r="K461" t="s">
        <v>765</v>
      </c>
      <c r="W461" t="s">
        <v>171</v>
      </c>
      <c r="X461" t="str">
        <f>A461</f>
        <v>info_datetimeoffset_dml_batch1_pk_irp1</v>
      </c>
    </row>
    <row r="462" spans="1:24">
      <c r="B462" t="s">
        <v>196</v>
      </c>
      <c r="C462" t="s">
        <v>197</v>
      </c>
      <c r="D462" t="s">
        <v>197</v>
      </c>
      <c r="E462" t="s">
        <v>197</v>
      </c>
      <c r="F462" t="s">
        <v>197</v>
      </c>
      <c r="G462" t="s">
        <v>197</v>
      </c>
      <c r="H462" t="s">
        <v>197</v>
      </c>
      <c r="I462" t="s">
        <v>766</v>
      </c>
      <c r="J462" t="s">
        <v>199</v>
      </c>
      <c r="K462" t="s">
        <v>200</v>
      </c>
    </row>
    <row r="463" spans="1:24">
      <c r="B463" t="s">
        <v>197</v>
      </c>
      <c r="C463" t="s">
        <v>197</v>
      </c>
      <c r="D463" t="s">
        <v>197</v>
      </c>
      <c r="E463" t="s">
        <v>197</v>
      </c>
      <c r="F463" t="s">
        <v>197</v>
      </c>
      <c r="G463" t="s">
        <v>197</v>
      </c>
      <c r="H463" t="s">
        <v>197</v>
      </c>
      <c r="I463" t="s">
        <v>197</v>
      </c>
      <c r="J463" t="s">
        <v>197</v>
      </c>
      <c r="K463" t="s">
        <v>301</v>
      </c>
    </row>
    <row r="464" spans="1:24">
      <c r="B464" t="s">
        <v>197</v>
      </c>
      <c r="C464" t="s">
        <v>197</v>
      </c>
      <c r="D464" t="s">
        <v>197</v>
      </c>
      <c r="E464" t="s">
        <v>197</v>
      </c>
      <c r="F464" t="s">
        <v>197</v>
      </c>
      <c r="G464" t="s">
        <v>197</v>
      </c>
      <c r="H464" t="s">
        <v>197</v>
      </c>
      <c r="I464" t="s">
        <v>197</v>
      </c>
      <c r="J464" t="s">
        <v>197</v>
      </c>
      <c r="K464" t="s">
        <v>314</v>
      </c>
    </row>
    <row r="465" spans="1:24">
      <c r="B465" t="s">
        <v>197</v>
      </c>
      <c r="C465" t="s">
        <v>197</v>
      </c>
      <c r="D465" t="s">
        <v>197</v>
      </c>
      <c r="E465" t="s">
        <v>197</v>
      </c>
      <c r="F465" t="s">
        <v>197</v>
      </c>
      <c r="G465" t="s">
        <v>197</v>
      </c>
      <c r="H465" t="s">
        <v>197</v>
      </c>
      <c r="I465" t="s">
        <v>197</v>
      </c>
      <c r="J465" t="s">
        <v>197</v>
      </c>
      <c r="K465" t="s">
        <v>324</v>
      </c>
    </row>
    <row r="466" spans="1:24">
      <c r="B466" t="s">
        <v>197</v>
      </c>
      <c r="C466" t="s">
        <v>197</v>
      </c>
      <c r="D466" t="s">
        <v>197</v>
      </c>
      <c r="E466" t="s">
        <v>197</v>
      </c>
      <c r="F466" t="s">
        <v>197</v>
      </c>
      <c r="G466" t="s">
        <v>197</v>
      </c>
      <c r="H466" t="s">
        <v>197</v>
      </c>
      <c r="I466" t="s">
        <v>197</v>
      </c>
      <c r="J466" t="s">
        <v>197</v>
      </c>
      <c r="K466" t="s">
        <v>335</v>
      </c>
    </row>
    <row r="467" spans="1:24">
      <c r="B467" t="s">
        <v>197</v>
      </c>
      <c r="C467" t="s">
        <v>197</v>
      </c>
      <c r="D467" t="s">
        <v>197</v>
      </c>
      <c r="E467" t="s">
        <v>197</v>
      </c>
      <c r="F467" t="s">
        <v>197</v>
      </c>
      <c r="G467" t="s">
        <v>197</v>
      </c>
      <c r="H467" t="s">
        <v>197</v>
      </c>
      <c r="I467" t="s">
        <v>197</v>
      </c>
      <c r="J467" t="s">
        <v>197</v>
      </c>
      <c r="K467" t="s">
        <v>350</v>
      </c>
    </row>
    <row r="468" spans="1:24">
      <c r="B468" t="s">
        <v>197</v>
      </c>
      <c r="C468" t="s">
        <v>197</v>
      </c>
      <c r="D468" t="s">
        <v>197</v>
      </c>
      <c r="E468" t="s">
        <v>197</v>
      </c>
      <c r="F468" t="s">
        <v>197</v>
      </c>
      <c r="G468" t="s">
        <v>197</v>
      </c>
      <c r="H468" t="s">
        <v>197</v>
      </c>
      <c r="I468" t="s">
        <v>197</v>
      </c>
      <c r="J468" t="s">
        <v>197</v>
      </c>
      <c r="K468" t="s">
        <v>360</v>
      </c>
    </row>
    <row r="469" spans="1:24">
      <c r="B469" t="s">
        <v>197</v>
      </c>
      <c r="C469" t="s">
        <v>197</v>
      </c>
      <c r="D469" t="s">
        <v>197</v>
      </c>
      <c r="E469" t="s">
        <v>197</v>
      </c>
      <c r="F469" t="s">
        <v>197</v>
      </c>
      <c r="G469" t="s">
        <v>197</v>
      </c>
      <c r="H469" t="s">
        <v>197</v>
      </c>
      <c r="I469" t="s">
        <v>197</v>
      </c>
      <c r="J469" t="s">
        <v>197</v>
      </c>
      <c r="K469" t="s">
        <v>367</v>
      </c>
    </row>
    <row r="470" spans="1:24">
      <c r="B470" t="s">
        <v>197</v>
      </c>
      <c r="C470" t="s">
        <v>197</v>
      </c>
      <c r="D470" t="s">
        <v>197</v>
      </c>
      <c r="E470" t="s">
        <v>197</v>
      </c>
      <c r="F470" t="s">
        <v>197</v>
      </c>
      <c r="G470" t="s">
        <v>197</v>
      </c>
      <c r="H470" t="s">
        <v>197</v>
      </c>
      <c r="I470" t="s">
        <v>197</v>
      </c>
      <c r="J470" t="s">
        <v>197</v>
      </c>
      <c r="K470" t="s">
        <v>373</v>
      </c>
    </row>
    <row r="471" spans="1:24">
      <c r="A471" t="s">
        <v>770</v>
      </c>
      <c r="K471" t="s">
        <v>771</v>
      </c>
      <c r="W471" s="1" t="str">
        <f>HYPERLINK("#2026042015hbase0!BD2","NO 源备存在差异，共6个")</f>
        <v>NO 源备存在差异，共6个</v>
      </c>
      <c r="X471" t="str">
        <f>A471</f>
        <v>info_date_dml_single_pk</v>
      </c>
    </row>
    <row r="472" spans="1:24">
      <c r="B472" t="s">
        <v>196</v>
      </c>
      <c r="C472" t="s">
        <v>197</v>
      </c>
      <c r="D472" t="s">
        <v>197</v>
      </c>
      <c r="E472" t="s">
        <v>197</v>
      </c>
      <c r="F472" t="s">
        <v>197</v>
      </c>
      <c r="G472" t="s">
        <v>197</v>
      </c>
      <c r="H472" t="s">
        <v>197</v>
      </c>
      <c r="I472" t="s">
        <v>772</v>
      </c>
      <c r="J472" t="s">
        <v>199</v>
      </c>
      <c r="K472" t="s">
        <v>200</v>
      </c>
    </row>
    <row r="473" spans="1:24">
      <c r="B473" t="s">
        <v>197</v>
      </c>
      <c r="C473" t="s">
        <v>197</v>
      </c>
      <c r="D473" t="s">
        <v>197</v>
      </c>
      <c r="E473" t="s">
        <v>197</v>
      </c>
      <c r="F473" t="s">
        <v>197</v>
      </c>
      <c r="G473" t="s">
        <v>197</v>
      </c>
      <c r="H473" t="s">
        <v>197</v>
      </c>
      <c r="I473" t="s">
        <v>197</v>
      </c>
      <c r="J473" t="s">
        <v>197</v>
      </c>
      <c r="K473" t="s">
        <v>678</v>
      </c>
    </row>
    <row r="474" spans="1:24">
      <c r="A474" t="s">
        <v>767</v>
      </c>
      <c r="K474" t="s">
        <v>768</v>
      </c>
      <c r="W474" t="s">
        <v>171</v>
      </c>
      <c r="X474" t="str">
        <f>A474</f>
        <v>info_nchar_dml_batch2_pk_irp2</v>
      </c>
    </row>
    <row r="475" spans="1:24">
      <c r="B475" t="s">
        <v>196</v>
      </c>
      <c r="C475" t="s">
        <v>197</v>
      </c>
      <c r="D475" t="s">
        <v>197</v>
      </c>
      <c r="E475" t="s">
        <v>197</v>
      </c>
      <c r="F475" t="s">
        <v>197</v>
      </c>
      <c r="G475" t="s">
        <v>197</v>
      </c>
      <c r="H475" t="s">
        <v>197</v>
      </c>
      <c r="I475" t="s">
        <v>769</v>
      </c>
      <c r="J475" t="s">
        <v>199</v>
      </c>
      <c r="K475" t="s">
        <v>200</v>
      </c>
    </row>
    <row r="476" spans="1:24">
      <c r="B476" t="s">
        <v>197</v>
      </c>
      <c r="C476" t="s">
        <v>197</v>
      </c>
      <c r="D476" t="s">
        <v>197</v>
      </c>
      <c r="E476" t="s">
        <v>197</v>
      </c>
      <c r="F476" t="s">
        <v>197</v>
      </c>
      <c r="G476" t="s">
        <v>197</v>
      </c>
      <c r="H476" t="s">
        <v>197</v>
      </c>
      <c r="I476" t="s">
        <v>197</v>
      </c>
      <c r="J476" t="s">
        <v>197</v>
      </c>
      <c r="K476" t="s">
        <v>514</v>
      </c>
    </row>
    <row r="477" spans="1:24">
      <c r="B477" t="s">
        <v>197</v>
      </c>
      <c r="C477" t="s">
        <v>197</v>
      </c>
      <c r="D477" t="s">
        <v>197</v>
      </c>
      <c r="E477" t="s">
        <v>197</v>
      </c>
      <c r="F477" t="s">
        <v>197</v>
      </c>
      <c r="G477" t="s">
        <v>197</v>
      </c>
      <c r="H477" t="s">
        <v>197</v>
      </c>
      <c r="I477" t="s">
        <v>197</v>
      </c>
      <c r="J477" t="s">
        <v>197</v>
      </c>
      <c r="K477" t="s">
        <v>516</v>
      </c>
    </row>
    <row r="478" spans="1:24">
      <c r="B478" t="s">
        <v>197</v>
      </c>
      <c r="C478" t="s">
        <v>197</v>
      </c>
      <c r="D478" t="s">
        <v>197</v>
      </c>
      <c r="E478" t="s">
        <v>197</v>
      </c>
      <c r="F478" t="s">
        <v>197</v>
      </c>
      <c r="G478" t="s">
        <v>197</v>
      </c>
      <c r="H478" t="s">
        <v>197</v>
      </c>
      <c r="I478" t="s">
        <v>197</v>
      </c>
      <c r="J478" t="s">
        <v>197</v>
      </c>
      <c r="K478" t="s">
        <v>612</v>
      </c>
    </row>
    <row r="479" spans="1:24">
      <c r="A479" t="s">
        <v>776</v>
      </c>
      <c r="K479" t="s">
        <v>777</v>
      </c>
      <c r="W479" t="s">
        <v>171</v>
      </c>
      <c r="X479" t="str">
        <f>A479</f>
        <v>info_datetimeoffset_dml_batch1_pk_irp2</v>
      </c>
    </row>
    <row r="480" spans="1:24">
      <c r="B480" t="s">
        <v>196</v>
      </c>
      <c r="C480" t="s">
        <v>197</v>
      </c>
      <c r="D480" t="s">
        <v>197</v>
      </c>
      <c r="E480" t="s">
        <v>197</v>
      </c>
      <c r="F480" t="s">
        <v>197</v>
      </c>
      <c r="G480" t="s">
        <v>197</v>
      </c>
      <c r="H480" t="s">
        <v>197</v>
      </c>
      <c r="I480" t="s">
        <v>778</v>
      </c>
      <c r="J480" t="s">
        <v>199</v>
      </c>
      <c r="K480" t="s">
        <v>200</v>
      </c>
    </row>
    <row r="481" spans="1:24">
      <c r="B481" t="s">
        <v>197</v>
      </c>
      <c r="C481" t="s">
        <v>197</v>
      </c>
      <c r="D481" t="s">
        <v>197</v>
      </c>
      <c r="E481" t="s">
        <v>197</v>
      </c>
      <c r="F481" t="s">
        <v>197</v>
      </c>
      <c r="G481" t="s">
        <v>197</v>
      </c>
      <c r="H481" t="s">
        <v>197</v>
      </c>
      <c r="I481" t="s">
        <v>197</v>
      </c>
      <c r="J481" t="s">
        <v>197</v>
      </c>
      <c r="K481" t="s">
        <v>301</v>
      </c>
    </row>
    <row r="482" spans="1:24">
      <c r="B482" t="s">
        <v>197</v>
      </c>
      <c r="C482" t="s">
        <v>197</v>
      </c>
      <c r="D482" t="s">
        <v>197</v>
      </c>
      <c r="E482" t="s">
        <v>197</v>
      </c>
      <c r="F482" t="s">
        <v>197</v>
      </c>
      <c r="G482" t="s">
        <v>197</v>
      </c>
      <c r="H482" t="s">
        <v>197</v>
      </c>
      <c r="I482" t="s">
        <v>197</v>
      </c>
      <c r="J482" t="s">
        <v>197</v>
      </c>
      <c r="K482" t="s">
        <v>314</v>
      </c>
    </row>
    <row r="483" spans="1:24">
      <c r="B483" t="s">
        <v>197</v>
      </c>
      <c r="C483" t="s">
        <v>197</v>
      </c>
      <c r="D483" t="s">
        <v>197</v>
      </c>
      <c r="E483" t="s">
        <v>197</v>
      </c>
      <c r="F483" t="s">
        <v>197</v>
      </c>
      <c r="G483" t="s">
        <v>197</v>
      </c>
      <c r="H483" t="s">
        <v>197</v>
      </c>
      <c r="I483" t="s">
        <v>197</v>
      </c>
      <c r="J483" t="s">
        <v>197</v>
      </c>
      <c r="K483" t="s">
        <v>324</v>
      </c>
    </row>
    <row r="484" spans="1:24">
      <c r="B484" t="s">
        <v>197</v>
      </c>
      <c r="C484" t="s">
        <v>197</v>
      </c>
      <c r="D484" t="s">
        <v>197</v>
      </c>
      <c r="E484" t="s">
        <v>197</v>
      </c>
      <c r="F484" t="s">
        <v>197</v>
      </c>
      <c r="G484" t="s">
        <v>197</v>
      </c>
      <c r="H484" t="s">
        <v>197</v>
      </c>
      <c r="I484" t="s">
        <v>197</v>
      </c>
      <c r="J484" t="s">
        <v>197</v>
      </c>
      <c r="K484" t="s">
        <v>335</v>
      </c>
    </row>
    <row r="485" spans="1:24">
      <c r="B485" t="s">
        <v>197</v>
      </c>
      <c r="C485" t="s">
        <v>197</v>
      </c>
      <c r="D485" t="s">
        <v>197</v>
      </c>
      <c r="E485" t="s">
        <v>197</v>
      </c>
      <c r="F485" t="s">
        <v>197</v>
      </c>
      <c r="G485" t="s">
        <v>197</v>
      </c>
      <c r="H485" t="s">
        <v>197</v>
      </c>
      <c r="I485" t="s">
        <v>197</v>
      </c>
      <c r="J485" t="s">
        <v>197</v>
      </c>
      <c r="K485" t="s">
        <v>350</v>
      </c>
    </row>
    <row r="486" spans="1:24">
      <c r="B486" t="s">
        <v>197</v>
      </c>
      <c r="C486" t="s">
        <v>197</v>
      </c>
      <c r="D486" t="s">
        <v>197</v>
      </c>
      <c r="E486" t="s">
        <v>197</v>
      </c>
      <c r="F486" t="s">
        <v>197</v>
      </c>
      <c r="G486" t="s">
        <v>197</v>
      </c>
      <c r="H486" t="s">
        <v>197</v>
      </c>
      <c r="I486" t="s">
        <v>197</v>
      </c>
      <c r="J486" t="s">
        <v>197</v>
      </c>
      <c r="K486" t="s">
        <v>360</v>
      </c>
    </row>
    <row r="487" spans="1:24">
      <c r="B487" t="s">
        <v>197</v>
      </c>
      <c r="C487" t="s">
        <v>197</v>
      </c>
      <c r="D487" t="s">
        <v>197</v>
      </c>
      <c r="E487" t="s">
        <v>197</v>
      </c>
      <c r="F487" t="s">
        <v>197</v>
      </c>
      <c r="G487" t="s">
        <v>197</v>
      </c>
      <c r="H487" t="s">
        <v>197</v>
      </c>
      <c r="I487" t="s">
        <v>197</v>
      </c>
      <c r="J487" t="s">
        <v>197</v>
      </c>
      <c r="K487" t="s">
        <v>367</v>
      </c>
    </row>
    <row r="488" spans="1:24">
      <c r="B488" t="s">
        <v>197</v>
      </c>
      <c r="C488" t="s">
        <v>197</v>
      </c>
      <c r="D488" t="s">
        <v>197</v>
      </c>
      <c r="E488" t="s">
        <v>197</v>
      </c>
      <c r="F488" t="s">
        <v>197</v>
      </c>
      <c r="G488" t="s">
        <v>197</v>
      </c>
      <c r="H488" t="s">
        <v>197</v>
      </c>
      <c r="I488" t="s">
        <v>197</v>
      </c>
      <c r="J488" t="s">
        <v>197</v>
      </c>
      <c r="K488" t="s">
        <v>373</v>
      </c>
    </row>
    <row r="489" spans="1:24">
      <c r="A489" t="s">
        <v>773</v>
      </c>
      <c r="K489" t="s">
        <v>774</v>
      </c>
      <c r="W489" t="s">
        <v>171</v>
      </c>
      <c r="X489" t="str">
        <f>A489</f>
        <v>info_date_dml_batch1_pk_irp1</v>
      </c>
    </row>
    <row r="490" spans="1:24">
      <c r="B490" t="s">
        <v>196</v>
      </c>
      <c r="C490" t="s">
        <v>197</v>
      </c>
      <c r="D490" t="s">
        <v>197</v>
      </c>
      <c r="E490" t="s">
        <v>197</v>
      </c>
      <c r="F490" t="s">
        <v>197</v>
      </c>
      <c r="G490" t="s">
        <v>197</v>
      </c>
      <c r="H490" t="s">
        <v>197</v>
      </c>
      <c r="I490" t="s">
        <v>775</v>
      </c>
      <c r="J490" t="s">
        <v>199</v>
      </c>
      <c r="K490" t="s">
        <v>200</v>
      </c>
    </row>
    <row r="491" spans="1:24">
      <c r="B491" t="s">
        <v>197</v>
      </c>
      <c r="C491" t="s">
        <v>197</v>
      </c>
      <c r="D491" t="s">
        <v>197</v>
      </c>
      <c r="E491" t="s">
        <v>197</v>
      </c>
      <c r="F491" t="s">
        <v>197</v>
      </c>
      <c r="G491" t="s">
        <v>197</v>
      </c>
      <c r="H491" t="s">
        <v>197</v>
      </c>
      <c r="I491" t="s">
        <v>197</v>
      </c>
      <c r="J491" t="s">
        <v>197</v>
      </c>
      <c r="K491" t="s">
        <v>678</v>
      </c>
    </row>
    <row r="492" spans="1:24">
      <c r="K492" t="s">
        <v>443</v>
      </c>
    </row>
    <row r="493" spans="1:24">
      <c r="A493" t="s">
        <v>782</v>
      </c>
      <c r="K493" t="s">
        <v>783</v>
      </c>
      <c r="W493" t="s">
        <v>171</v>
      </c>
      <c r="X493" t="str">
        <f>A493</f>
        <v>info_datetimeoffset_dml_batch2_pk_irp1</v>
      </c>
    </row>
    <row r="494" spans="1:24">
      <c r="B494" t="s">
        <v>196</v>
      </c>
      <c r="C494" t="s">
        <v>197</v>
      </c>
      <c r="D494" t="s">
        <v>197</v>
      </c>
      <c r="E494" t="s">
        <v>197</v>
      </c>
      <c r="F494" t="s">
        <v>197</v>
      </c>
      <c r="G494" t="s">
        <v>197</v>
      </c>
      <c r="H494" t="s">
        <v>197</v>
      </c>
      <c r="I494" t="s">
        <v>784</v>
      </c>
      <c r="J494" t="s">
        <v>199</v>
      </c>
      <c r="K494" t="s">
        <v>200</v>
      </c>
    </row>
    <row r="495" spans="1:24">
      <c r="B495" t="s">
        <v>197</v>
      </c>
      <c r="C495" t="s">
        <v>197</v>
      </c>
      <c r="D495" t="s">
        <v>197</v>
      </c>
      <c r="E495" t="s">
        <v>197</v>
      </c>
      <c r="F495" t="s">
        <v>197</v>
      </c>
      <c r="G495" t="s">
        <v>197</v>
      </c>
      <c r="H495" t="s">
        <v>197</v>
      </c>
      <c r="I495" t="s">
        <v>197</v>
      </c>
      <c r="J495" t="s">
        <v>197</v>
      </c>
      <c r="K495" t="s">
        <v>301</v>
      </c>
    </row>
    <row r="496" spans="1:24">
      <c r="B496" t="s">
        <v>197</v>
      </c>
      <c r="C496" t="s">
        <v>197</v>
      </c>
      <c r="D496" t="s">
        <v>197</v>
      </c>
      <c r="E496" t="s">
        <v>197</v>
      </c>
      <c r="F496" t="s">
        <v>197</v>
      </c>
      <c r="G496" t="s">
        <v>197</v>
      </c>
      <c r="H496" t="s">
        <v>197</v>
      </c>
      <c r="I496" t="s">
        <v>197</v>
      </c>
      <c r="J496" t="s">
        <v>197</v>
      </c>
      <c r="K496" t="s">
        <v>314</v>
      </c>
    </row>
    <row r="497" spans="1:24">
      <c r="B497" t="s">
        <v>197</v>
      </c>
      <c r="C497" t="s">
        <v>197</v>
      </c>
      <c r="D497" t="s">
        <v>197</v>
      </c>
      <c r="E497" t="s">
        <v>197</v>
      </c>
      <c r="F497" t="s">
        <v>197</v>
      </c>
      <c r="G497" t="s">
        <v>197</v>
      </c>
      <c r="H497" t="s">
        <v>197</v>
      </c>
      <c r="I497" t="s">
        <v>197</v>
      </c>
      <c r="J497" t="s">
        <v>197</v>
      </c>
      <c r="K497" t="s">
        <v>324</v>
      </c>
    </row>
    <row r="498" spans="1:24">
      <c r="B498" t="s">
        <v>197</v>
      </c>
      <c r="C498" t="s">
        <v>197</v>
      </c>
      <c r="D498" t="s">
        <v>197</v>
      </c>
      <c r="E498" t="s">
        <v>197</v>
      </c>
      <c r="F498" t="s">
        <v>197</v>
      </c>
      <c r="G498" t="s">
        <v>197</v>
      </c>
      <c r="H498" t="s">
        <v>197</v>
      </c>
      <c r="I498" t="s">
        <v>197</v>
      </c>
      <c r="J498" t="s">
        <v>197</v>
      </c>
      <c r="K498" t="s">
        <v>335</v>
      </c>
    </row>
    <row r="499" spans="1:24">
      <c r="B499" t="s">
        <v>197</v>
      </c>
      <c r="C499" t="s">
        <v>197</v>
      </c>
      <c r="D499" t="s">
        <v>197</v>
      </c>
      <c r="E499" t="s">
        <v>197</v>
      </c>
      <c r="F499" t="s">
        <v>197</v>
      </c>
      <c r="G499" t="s">
        <v>197</v>
      </c>
      <c r="H499" t="s">
        <v>197</v>
      </c>
      <c r="I499" t="s">
        <v>197</v>
      </c>
      <c r="J499" t="s">
        <v>197</v>
      </c>
      <c r="K499" t="s">
        <v>350</v>
      </c>
    </row>
    <row r="500" spans="1:24">
      <c r="B500" t="s">
        <v>197</v>
      </c>
      <c r="C500" t="s">
        <v>197</v>
      </c>
      <c r="D500" t="s">
        <v>197</v>
      </c>
      <c r="E500" t="s">
        <v>197</v>
      </c>
      <c r="F500" t="s">
        <v>197</v>
      </c>
      <c r="G500" t="s">
        <v>197</v>
      </c>
      <c r="H500" t="s">
        <v>197</v>
      </c>
      <c r="I500" t="s">
        <v>197</v>
      </c>
      <c r="J500" t="s">
        <v>197</v>
      </c>
      <c r="K500" t="s">
        <v>360</v>
      </c>
    </row>
    <row r="501" spans="1:24">
      <c r="B501" t="s">
        <v>197</v>
      </c>
      <c r="C501" t="s">
        <v>197</v>
      </c>
      <c r="D501" t="s">
        <v>197</v>
      </c>
      <c r="E501" t="s">
        <v>197</v>
      </c>
      <c r="F501" t="s">
        <v>197</v>
      </c>
      <c r="G501" t="s">
        <v>197</v>
      </c>
      <c r="H501" t="s">
        <v>197</v>
      </c>
      <c r="I501" t="s">
        <v>197</v>
      </c>
      <c r="J501" t="s">
        <v>197</v>
      </c>
      <c r="K501" t="s">
        <v>367</v>
      </c>
    </row>
    <row r="502" spans="1:24">
      <c r="B502" t="s">
        <v>197</v>
      </c>
      <c r="C502" t="s">
        <v>197</v>
      </c>
      <c r="D502" t="s">
        <v>197</v>
      </c>
      <c r="E502" t="s">
        <v>197</v>
      </c>
      <c r="F502" t="s">
        <v>197</v>
      </c>
      <c r="G502" t="s">
        <v>197</v>
      </c>
      <c r="H502" t="s">
        <v>197</v>
      </c>
      <c r="I502" t="s">
        <v>197</v>
      </c>
      <c r="J502" t="s">
        <v>197</v>
      </c>
      <c r="K502" t="s">
        <v>373</v>
      </c>
    </row>
    <row r="503" spans="1:24">
      <c r="A503" t="s">
        <v>779</v>
      </c>
      <c r="K503" t="s">
        <v>780</v>
      </c>
      <c r="W503" t="s">
        <v>171</v>
      </c>
      <c r="X503" t="str">
        <f>A503</f>
        <v>info_binary_dml_batch2_pk_irp2</v>
      </c>
    </row>
    <row r="504" spans="1:24">
      <c r="B504" t="s">
        <v>196</v>
      </c>
      <c r="C504" t="s">
        <v>197</v>
      </c>
      <c r="D504" t="s">
        <v>197</v>
      </c>
      <c r="E504" t="s">
        <v>197</v>
      </c>
      <c r="F504" t="s">
        <v>197</v>
      </c>
      <c r="G504" t="s">
        <v>197</v>
      </c>
      <c r="H504" t="s">
        <v>197</v>
      </c>
      <c r="I504" t="s">
        <v>781</v>
      </c>
      <c r="J504" t="s">
        <v>199</v>
      </c>
      <c r="K504" t="s">
        <v>200</v>
      </c>
    </row>
    <row r="505" spans="1:24">
      <c r="B505" t="s">
        <v>197</v>
      </c>
      <c r="C505" t="s">
        <v>197</v>
      </c>
      <c r="D505" t="s">
        <v>197</v>
      </c>
      <c r="E505" t="s">
        <v>197</v>
      </c>
      <c r="F505" t="s">
        <v>197</v>
      </c>
      <c r="G505" t="s">
        <v>197</v>
      </c>
      <c r="H505" t="s">
        <v>197</v>
      </c>
      <c r="I505" t="s">
        <v>197</v>
      </c>
      <c r="J505" t="s">
        <v>197</v>
      </c>
      <c r="K505" t="s">
        <v>691</v>
      </c>
    </row>
    <row r="506" spans="1:24">
      <c r="B506" t="s">
        <v>197</v>
      </c>
      <c r="C506" t="s">
        <v>197</v>
      </c>
      <c r="D506" t="s">
        <v>197</v>
      </c>
      <c r="E506" t="s">
        <v>197</v>
      </c>
      <c r="F506" t="s">
        <v>197</v>
      </c>
      <c r="G506" t="s">
        <v>197</v>
      </c>
      <c r="H506" t="s">
        <v>197</v>
      </c>
      <c r="I506" t="s">
        <v>197</v>
      </c>
      <c r="J506" t="s">
        <v>197</v>
      </c>
      <c r="K506" t="s">
        <v>692</v>
      </c>
    </row>
    <row r="507" spans="1:24">
      <c r="B507" t="s">
        <v>197</v>
      </c>
      <c r="C507" t="s">
        <v>197</v>
      </c>
      <c r="D507" t="s">
        <v>197</v>
      </c>
      <c r="E507" t="s">
        <v>197</v>
      </c>
      <c r="F507" t="s">
        <v>197</v>
      </c>
      <c r="G507" t="s">
        <v>197</v>
      </c>
      <c r="H507" t="s">
        <v>197</v>
      </c>
      <c r="I507" t="s">
        <v>197</v>
      </c>
      <c r="J507" t="s">
        <v>197</v>
      </c>
      <c r="K507" t="s">
        <v>693</v>
      </c>
    </row>
    <row r="508" spans="1:24">
      <c r="A508" t="s">
        <v>785</v>
      </c>
      <c r="K508" t="s">
        <v>786</v>
      </c>
      <c r="W508" t="s">
        <v>171</v>
      </c>
      <c r="X508" t="str">
        <f>A508</f>
        <v>info_nvarchar_dml_single_pk_drp</v>
      </c>
    </row>
    <row r="509" spans="1:24">
      <c r="B509" t="s">
        <v>196</v>
      </c>
      <c r="C509" t="s">
        <v>197</v>
      </c>
      <c r="D509" t="s">
        <v>197</v>
      </c>
      <c r="E509" t="s">
        <v>197</v>
      </c>
      <c r="F509" t="s">
        <v>197</v>
      </c>
      <c r="G509" t="s">
        <v>197</v>
      </c>
      <c r="H509" t="s">
        <v>197</v>
      </c>
      <c r="I509" t="s">
        <v>787</v>
      </c>
      <c r="J509" t="s">
        <v>199</v>
      </c>
      <c r="K509" t="s">
        <v>200</v>
      </c>
    </row>
    <row r="510" spans="1:24">
      <c r="B510" t="s">
        <v>197</v>
      </c>
      <c r="C510" t="s">
        <v>197</v>
      </c>
      <c r="D510" t="s">
        <v>197</v>
      </c>
      <c r="E510" t="s">
        <v>197</v>
      </c>
      <c r="F510" t="s">
        <v>197</v>
      </c>
      <c r="G510" t="s">
        <v>197</v>
      </c>
      <c r="H510" t="s">
        <v>197</v>
      </c>
      <c r="I510" t="s">
        <v>197</v>
      </c>
      <c r="J510" t="s">
        <v>197</v>
      </c>
      <c r="K510" t="s">
        <v>408</v>
      </c>
    </row>
    <row r="511" spans="1:24">
      <c r="B511" t="s">
        <v>197</v>
      </c>
      <c r="C511" t="s">
        <v>197</v>
      </c>
      <c r="D511" t="s">
        <v>197</v>
      </c>
      <c r="E511" t="s">
        <v>197</v>
      </c>
      <c r="F511" t="s">
        <v>197</v>
      </c>
      <c r="G511" t="s">
        <v>197</v>
      </c>
      <c r="H511" t="s">
        <v>197</v>
      </c>
      <c r="I511" t="s">
        <v>197</v>
      </c>
      <c r="J511" t="s">
        <v>197</v>
      </c>
      <c r="K511" t="s">
        <v>412</v>
      </c>
    </row>
    <row r="512" spans="1:24">
      <c r="B512" t="s">
        <v>197</v>
      </c>
      <c r="C512" t="s">
        <v>197</v>
      </c>
      <c r="D512" t="s">
        <v>197</v>
      </c>
      <c r="E512" t="s">
        <v>197</v>
      </c>
      <c r="F512" t="s">
        <v>197</v>
      </c>
      <c r="G512" t="s">
        <v>197</v>
      </c>
      <c r="H512" t="s">
        <v>197</v>
      </c>
      <c r="I512" t="s">
        <v>197</v>
      </c>
      <c r="J512" t="s">
        <v>197</v>
      </c>
      <c r="K512" t="s">
        <v>730</v>
      </c>
    </row>
    <row r="513" spans="1:24">
      <c r="A513" t="s">
        <v>788</v>
      </c>
      <c r="K513" t="s">
        <v>789</v>
      </c>
      <c r="W513" t="s">
        <v>171</v>
      </c>
      <c r="X513" t="str">
        <f>A513</f>
        <v>info_datetimeoffset_dml_batch2_pk_irp2</v>
      </c>
    </row>
    <row r="514" spans="1:24">
      <c r="B514" t="s">
        <v>196</v>
      </c>
      <c r="C514" t="s">
        <v>197</v>
      </c>
      <c r="D514" t="s">
        <v>197</v>
      </c>
      <c r="E514" t="s">
        <v>197</v>
      </c>
      <c r="F514" t="s">
        <v>197</v>
      </c>
      <c r="G514" t="s">
        <v>197</v>
      </c>
      <c r="H514" t="s">
        <v>197</v>
      </c>
      <c r="I514" t="s">
        <v>790</v>
      </c>
      <c r="J514" t="s">
        <v>199</v>
      </c>
      <c r="K514" t="s">
        <v>200</v>
      </c>
    </row>
    <row r="515" spans="1:24">
      <c r="B515" t="s">
        <v>197</v>
      </c>
      <c r="C515" t="s">
        <v>197</v>
      </c>
      <c r="D515" t="s">
        <v>197</v>
      </c>
      <c r="E515" t="s">
        <v>197</v>
      </c>
      <c r="F515" t="s">
        <v>197</v>
      </c>
      <c r="G515" t="s">
        <v>197</v>
      </c>
      <c r="H515" t="s">
        <v>197</v>
      </c>
      <c r="I515" t="s">
        <v>197</v>
      </c>
      <c r="J515" t="s">
        <v>197</v>
      </c>
      <c r="K515" t="s">
        <v>301</v>
      </c>
    </row>
    <row r="516" spans="1:24">
      <c r="B516" t="s">
        <v>197</v>
      </c>
      <c r="C516" t="s">
        <v>197</v>
      </c>
      <c r="D516" t="s">
        <v>197</v>
      </c>
      <c r="E516" t="s">
        <v>197</v>
      </c>
      <c r="F516" t="s">
        <v>197</v>
      </c>
      <c r="G516" t="s">
        <v>197</v>
      </c>
      <c r="H516" t="s">
        <v>197</v>
      </c>
      <c r="I516" t="s">
        <v>197</v>
      </c>
      <c r="J516" t="s">
        <v>197</v>
      </c>
      <c r="K516" t="s">
        <v>314</v>
      </c>
    </row>
    <row r="517" spans="1:24">
      <c r="B517" t="s">
        <v>197</v>
      </c>
      <c r="C517" t="s">
        <v>197</v>
      </c>
      <c r="D517" t="s">
        <v>197</v>
      </c>
      <c r="E517" t="s">
        <v>197</v>
      </c>
      <c r="F517" t="s">
        <v>197</v>
      </c>
      <c r="G517" t="s">
        <v>197</v>
      </c>
      <c r="H517" t="s">
        <v>197</v>
      </c>
      <c r="I517" t="s">
        <v>197</v>
      </c>
      <c r="J517" t="s">
        <v>197</v>
      </c>
      <c r="K517" t="s">
        <v>324</v>
      </c>
    </row>
    <row r="518" spans="1:24">
      <c r="B518" t="s">
        <v>197</v>
      </c>
      <c r="C518" t="s">
        <v>197</v>
      </c>
      <c r="D518" t="s">
        <v>197</v>
      </c>
      <c r="E518" t="s">
        <v>197</v>
      </c>
      <c r="F518" t="s">
        <v>197</v>
      </c>
      <c r="G518" t="s">
        <v>197</v>
      </c>
      <c r="H518" t="s">
        <v>197</v>
      </c>
      <c r="I518" t="s">
        <v>197</v>
      </c>
      <c r="J518" t="s">
        <v>197</v>
      </c>
      <c r="K518" t="s">
        <v>335</v>
      </c>
    </row>
    <row r="519" spans="1:24">
      <c r="B519" t="s">
        <v>197</v>
      </c>
      <c r="C519" t="s">
        <v>197</v>
      </c>
      <c r="D519" t="s">
        <v>197</v>
      </c>
      <c r="E519" t="s">
        <v>197</v>
      </c>
      <c r="F519" t="s">
        <v>197</v>
      </c>
      <c r="G519" t="s">
        <v>197</v>
      </c>
      <c r="H519" t="s">
        <v>197</v>
      </c>
      <c r="I519" t="s">
        <v>197</v>
      </c>
      <c r="J519" t="s">
        <v>197</v>
      </c>
      <c r="K519" t="s">
        <v>350</v>
      </c>
    </row>
    <row r="520" spans="1:24">
      <c r="B520" t="s">
        <v>197</v>
      </c>
      <c r="C520" t="s">
        <v>197</v>
      </c>
      <c r="D520" t="s">
        <v>197</v>
      </c>
      <c r="E520" t="s">
        <v>197</v>
      </c>
      <c r="F520" t="s">
        <v>197</v>
      </c>
      <c r="G520" t="s">
        <v>197</v>
      </c>
      <c r="H520" t="s">
        <v>197</v>
      </c>
      <c r="I520" t="s">
        <v>197</v>
      </c>
      <c r="J520" t="s">
        <v>197</v>
      </c>
      <c r="K520" t="s">
        <v>360</v>
      </c>
    </row>
    <row r="521" spans="1:24">
      <c r="B521" t="s">
        <v>197</v>
      </c>
      <c r="C521" t="s">
        <v>197</v>
      </c>
      <c r="D521" t="s">
        <v>197</v>
      </c>
      <c r="E521" t="s">
        <v>197</v>
      </c>
      <c r="F521" t="s">
        <v>197</v>
      </c>
      <c r="G521" t="s">
        <v>197</v>
      </c>
      <c r="H521" t="s">
        <v>197</v>
      </c>
      <c r="I521" t="s">
        <v>197</v>
      </c>
      <c r="J521" t="s">
        <v>197</v>
      </c>
      <c r="K521" t="s">
        <v>367</v>
      </c>
    </row>
    <row r="522" spans="1:24">
      <c r="B522" t="s">
        <v>197</v>
      </c>
      <c r="C522" t="s">
        <v>197</v>
      </c>
      <c r="D522" t="s">
        <v>197</v>
      </c>
      <c r="E522" t="s">
        <v>197</v>
      </c>
      <c r="F522" t="s">
        <v>197</v>
      </c>
      <c r="G522" t="s">
        <v>197</v>
      </c>
      <c r="H522" t="s">
        <v>197</v>
      </c>
      <c r="I522" t="s">
        <v>197</v>
      </c>
      <c r="J522" t="s">
        <v>197</v>
      </c>
      <c r="K522" t="s">
        <v>373</v>
      </c>
    </row>
    <row r="523" spans="1:24">
      <c r="A523" t="s">
        <v>791</v>
      </c>
      <c r="K523" t="s">
        <v>792</v>
      </c>
      <c r="W523" t="s">
        <v>171</v>
      </c>
      <c r="X523" t="str">
        <f>A523</f>
        <v>info_varcharmax_dml_batch2_pk_irp1</v>
      </c>
    </row>
    <row r="524" spans="1:24">
      <c r="B524" t="s">
        <v>196</v>
      </c>
      <c r="C524" t="s">
        <v>197</v>
      </c>
      <c r="D524" t="s">
        <v>197</v>
      </c>
      <c r="E524" t="s">
        <v>197</v>
      </c>
      <c r="F524" t="s">
        <v>197</v>
      </c>
      <c r="G524" t="s">
        <v>197</v>
      </c>
      <c r="H524" t="s">
        <v>197</v>
      </c>
      <c r="I524" t="s">
        <v>793</v>
      </c>
      <c r="J524" t="s">
        <v>199</v>
      </c>
      <c r="K524" t="s">
        <v>200</v>
      </c>
    </row>
    <row r="525" spans="1:24">
      <c r="B525" t="s">
        <v>197</v>
      </c>
      <c r="C525" t="s">
        <v>197</v>
      </c>
      <c r="D525" t="s">
        <v>197</v>
      </c>
      <c r="E525" t="s">
        <v>197</v>
      </c>
      <c r="F525" t="s">
        <v>197</v>
      </c>
      <c r="G525" t="s">
        <v>197</v>
      </c>
      <c r="H525" t="s">
        <v>197</v>
      </c>
      <c r="I525" t="s">
        <v>197</v>
      </c>
      <c r="J525" t="s">
        <v>197</v>
      </c>
      <c r="K525" t="s">
        <v>725</v>
      </c>
    </row>
    <row r="526" spans="1:24">
      <c r="B526" t="s">
        <v>197</v>
      </c>
      <c r="C526" t="s">
        <v>197</v>
      </c>
      <c r="D526" t="s">
        <v>197</v>
      </c>
      <c r="E526" t="s">
        <v>197</v>
      </c>
      <c r="F526" t="s">
        <v>197</v>
      </c>
      <c r="G526" t="s">
        <v>197</v>
      </c>
      <c r="H526" t="s">
        <v>197</v>
      </c>
      <c r="I526" t="s">
        <v>197</v>
      </c>
      <c r="J526" t="s">
        <v>197</v>
      </c>
      <c r="K526" t="s">
        <v>726</v>
      </c>
    </row>
    <row r="527" spans="1:24">
      <c r="K527" t="s">
        <v>443</v>
      </c>
    </row>
    <row r="528" spans="1:24">
      <c r="A528" t="s">
        <v>797</v>
      </c>
      <c r="K528" t="s">
        <v>798</v>
      </c>
      <c r="W528" s="1" t="str">
        <f>HYPERLINK("#2026042015hbase0!BE2","NO 源备存在差异，共26个")</f>
        <v>NO 源备存在差异，共26个</v>
      </c>
      <c r="X528" t="str">
        <f>A528</f>
        <v>info_time_dml_single_pk_irp</v>
      </c>
    </row>
    <row r="529" spans="1:24">
      <c r="B529" t="s">
        <v>196</v>
      </c>
      <c r="C529" t="s">
        <v>197</v>
      </c>
      <c r="D529" t="s">
        <v>197</v>
      </c>
      <c r="E529" t="s">
        <v>197</v>
      </c>
      <c r="F529" t="s">
        <v>197</v>
      </c>
      <c r="G529" t="s">
        <v>197</v>
      </c>
      <c r="H529" t="s">
        <v>197</v>
      </c>
      <c r="I529" t="s">
        <v>799</v>
      </c>
      <c r="J529" t="s">
        <v>199</v>
      </c>
      <c r="K529" t="s">
        <v>200</v>
      </c>
    </row>
    <row r="530" spans="1:24">
      <c r="B530" t="s">
        <v>197</v>
      </c>
      <c r="C530" t="s">
        <v>197</v>
      </c>
      <c r="D530" t="s">
        <v>197</v>
      </c>
      <c r="E530" t="s">
        <v>197</v>
      </c>
      <c r="F530" t="s">
        <v>197</v>
      </c>
      <c r="G530" t="s">
        <v>197</v>
      </c>
      <c r="H530" t="s">
        <v>197</v>
      </c>
      <c r="I530" t="s">
        <v>197</v>
      </c>
      <c r="J530" t="s">
        <v>197</v>
      </c>
      <c r="K530" t="s">
        <v>800</v>
      </c>
    </row>
    <row r="531" spans="1:24">
      <c r="B531" t="s">
        <v>197</v>
      </c>
      <c r="C531" t="s">
        <v>197</v>
      </c>
      <c r="D531" t="s">
        <v>197</v>
      </c>
      <c r="E531" t="s">
        <v>197</v>
      </c>
      <c r="F531" t="s">
        <v>197</v>
      </c>
      <c r="G531" t="s">
        <v>197</v>
      </c>
      <c r="H531" t="s">
        <v>197</v>
      </c>
      <c r="I531" t="s">
        <v>197</v>
      </c>
      <c r="J531" t="s">
        <v>197</v>
      </c>
      <c r="K531" t="s">
        <v>801</v>
      </c>
    </row>
    <row r="532" spans="1:24">
      <c r="B532" t="s">
        <v>197</v>
      </c>
      <c r="C532" t="s">
        <v>197</v>
      </c>
      <c r="D532" t="s">
        <v>197</v>
      </c>
      <c r="E532" t="s">
        <v>197</v>
      </c>
      <c r="F532" t="s">
        <v>197</v>
      </c>
      <c r="G532" t="s">
        <v>197</v>
      </c>
      <c r="H532" t="s">
        <v>197</v>
      </c>
      <c r="I532" t="s">
        <v>197</v>
      </c>
      <c r="J532" t="s">
        <v>197</v>
      </c>
      <c r="K532" t="s">
        <v>802</v>
      </c>
    </row>
    <row r="533" spans="1:24">
      <c r="B533" t="s">
        <v>197</v>
      </c>
      <c r="C533" t="s">
        <v>197</v>
      </c>
      <c r="D533" t="s">
        <v>197</v>
      </c>
      <c r="E533" t="s">
        <v>197</v>
      </c>
      <c r="F533" t="s">
        <v>197</v>
      </c>
      <c r="G533" t="s">
        <v>197</v>
      </c>
      <c r="H533" t="s">
        <v>197</v>
      </c>
      <c r="I533" t="s">
        <v>197</v>
      </c>
      <c r="J533" t="s">
        <v>197</v>
      </c>
      <c r="K533" t="s">
        <v>803</v>
      </c>
    </row>
    <row r="534" spans="1:24">
      <c r="B534" t="s">
        <v>197</v>
      </c>
      <c r="C534" t="s">
        <v>197</v>
      </c>
      <c r="D534" t="s">
        <v>197</v>
      </c>
      <c r="E534" t="s">
        <v>197</v>
      </c>
      <c r="F534" t="s">
        <v>197</v>
      </c>
      <c r="G534" t="s">
        <v>197</v>
      </c>
      <c r="H534" t="s">
        <v>197</v>
      </c>
      <c r="I534" t="s">
        <v>197</v>
      </c>
      <c r="J534" t="s">
        <v>197</v>
      </c>
      <c r="K534" t="s">
        <v>804</v>
      </c>
    </row>
    <row r="535" spans="1:24">
      <c r="B535" t="s">
        <v>197</v>
      </c>
      <c r="C535" t="s">
        <v>197</v>
      </c>
      <c r="D535" t="s">
        <v>197</v>
      </c>
      <c r="E535" t="s">
        <v>197</v>
      </c>
      <c r="F535" t="s">
        <v>197</v>
      </c>
      <c r="G535" t="s">
        <v>197</v>
      </c>
      <c r="H535" t="s">
        <v>197</v>
      </c>
      <c r="I535" t="s">
        <v>197</v>
      </c>
      <c r="J535" t="s">
        <v>197</v>
      </c>
      <c r="K535" t="s">
        <v>805</v>
      </c>
    </row>
    <row r="536" spans="1:24">
      <c r="B536" t="s">
        <v>197</v>
      </c>
      <c r="C536" t="s">
        <v>197</v>
      </c>
      <c r="D536" t="s">
        <v>197</v>
      </c>
      <c r="E536" t="s">
        <v>197</v>
      </c>
      <c r="F536" t="s">
        <v>197</v>
      </c>
      <c r="G536" t="s">
        <v>197</v>
      </c>
      <c r="H536" t="s">
        <v>197</v>
      </c>
      <c r="I536" t="s">
        <v>197</v>
      </c>
      <c r="J536" t="s">
        <v>197</v>
      </c>
      <c r="K536" t="s">
        <v>806</v>
      </c>
    </row>
    <row r="537" spans="1:24">
      <c r="B537" t="s">
        <v>197</v>
      </c>
      <c r="C537" t="s">
        <v>197</v>
      </c>
      <c r="D537" t="s">
        <v>197</v>
      </c>
      <c r="E537" t="s">
        <v>197</v>
      </c>
      <c r="F537" t="s">
        <v>197</v>
      </c>
      <c r="G537" t="s">
        <v>197</v>
      </c>
      <c r="H537" t="s">
        <v>197</v>
      </c>
      <c r="I537" t="s">
        <v>197</v>
      </c>
      <c r="J537" t="s">
        <v>197</v>
      </c>
      <c r="K537" t="s">
        <v>807</v>
      </c>
    </row>
    <row r="538" spans="1:24">
      <c r="A538" t="s">
        <v>808</v>
      </c>
      <c r="K538" t="s">
        <v>809</v>
      </c>
      <c r="W538" s="1" t="str">
        <f>HYPERLINK("#2026042015hbase0!BF2","NO 源备存在差异，共80个")</f>
        <v>NO 源备存在差异，共80个</v>
      </c>
      <c r="X538" t="str">
        <f>A538</f>
        <v>info_date_dml_batch1_pk_irp2</v>
      </c>
    </row>
    <row r="539" spans="1:24">
      <c r="B539" t="s">
        <v>196</v>
      </c>
      <c r="C539" t="s">
        <v>197</v>
      </c>
      <c r="D539" t="s">
        <v>197</v>
      </c>
      <c r="E539" t="s">
        <v>197</v>
      </c>
      <c r="F539" t="s">
        <v>197</v>
      </c>
      <c r="G539" t="s">
        <v>197</v>
      </c>
      <c r="H539" t="s">
        <v>197</v>
      </c>
      <c r="I539" t="s">
        <v>810</v>
      </c>
      <c r="J539" t="s">
        <v>199</v>
      </c>
      <c r="K539" t="s">
        <v>200</v>
      </c>
    </row>
    <row r="540" spans="1:24">
      <c r="B540" t="s">
        <v>197</v>
      </c>
      <c r="C540" t="s">
        <v>197</v>
      </c>
      <c r="D540" t="s">
        <v>197</v>
      </c>
      <c r="E540" t="s">
        <v>197</v>
      </c>
      <c r="F540" t="s">
        <v>197</v>
      </c>
      <c r="G540" t="s">
        <v>197</v>
      </c>
      <c r="H540" t="s">
        <v>197</v>
      </c>
      <c r="I540" t="s">
        <v>197</v>
      </c>
      <c r="J540" t="s">
        <v>197</v>
      </c>
      <c r="K540" t="s">
        <v>678</v>
      </c>
    </row>
    <row r="541" spans="1:24">
      <c r="A541" t="s">
        <v>811</v>
      </c>
      <c r="K541" t="s">
        <v>812</v>
      </c>
      <c r="W541" t="s">
        <v>171</v>
      </c>
      <c r="X541" t="str">
        <f>A541</f>
        <v>info_datetimeoffset_dml_batch1_pk_urp2</v>
      </c>
    </row>
    <row r="542" spans="1:24">
      <c r="B542" t="s">
        <v>196</v>
      </c>
      <c r="C542" t="s">
        <v>197</v>
      </c>
      <c r="D542" t="s">
        <v>197</v>
      </c>
      <c r="E542" t="s">
        <v>197</v>
      </c>
      <c r="F542" t="s">
        <v>197</v>
      </c>
      <c r="G542" t="s">
        <v>197</v>
      </c>
      <c r="H542" t="s">
        <v>197</v>
      </c>
      <c r="I542" t="s">
        <v>813</v>
      </c>
      <c r="J542" t="s">
        <v>199</v>
      </c>
      <c r="K542" t="s">
        <v>200</v>
      </c>
    </row>
    <row r="543" spans="1:24">
      <c r="B543" t="s">
        <v>197</v>
      </c>
      <c r="C543" t="s">
        <v>197</v>
      </c>
      <c r="D543" t="s">
        <v>197</v>
      </c>
      <c r="E543" t="s">
        <v>197</v>
      </c>
      <c r="F543" t="s">
        <v>197</v>
      </c>
      <c r="G543" t="s">
        <v>197</v>
      </c>
      <c r="H543" t="s">
        <v>197</v>
      </c>
      <c r="I543" t="s">
        <v>197</v>
      </c>
      <c r="J543" t="s">
        <v>197</v>
      </c>
      <c r="K543" t="s">
        <v>301</v>
      </c>
    </row>
    <row r="544" spans="1:24">
      <c r="B544" t="s">
        <v>197</v>
      </c>
      <c r="C544" t="s">
        <v>197</v>
      </c>
      <c r="D544" t="s">
        <v>197</v>
      </c>
      <c r="E544" t="s">
        <v>197</v>
      </c>
      <c r="F544" t="s">
        <v>197</v>
      </c>
      <c r="G544" t="s">
        <v>197</v>
      </c>
      <c r="H544" t="s">
        <v>197</v>
      </c>
      <c r="I544" t="s">
        <v>197</v>
      </c>
      <c r="J544" t="s">
        <v>197</v>
      </c>
      <c r="K544" t="s">
        <v>314</v>
      </c>
    </row>
    <row r="545" spans="1:24">
      <c r="B545" t="s">
        <v>197</v>
      </c>
      <c r="C545" t="s">
        <v>197</v>
      </c>
      <c r="D545" t="s">
        <v>197</v>
      </c>
      <c r="E545" t="s">
        <v>197</v>
      </c>
      <c r="F545" t="s">
        <v>197</v>
      </c>
      <c r="G545" t="s">
        <v>197</v>
      </c>
      <c r="H545" t="s">
        <v>197</v>
      </c>
      <c r="I545" t="s">
        <v>197</v>
      </c>
      <c r="J545" t="s">
        <v>197</v>
      </c>
      <c r="K545" t="s">
        <v>324</v>
      </c>
    </row>
    <row r="546" spans="1:24">
      <c r="B546" t="s">
        <v>197</v>
      </c>
      <c r="C546" t="s">
        <v>197</v>
      </c>
      <c r="D546" t="s">
        <v>197</v>
      </c>
      <c r="E546" t="s">
        <v>197</v>
      </c>
      <c r="F546" t="s">
        <v>197</v>
      </c>
      <c r="G546" t="s">
        <v>197</v>
      </c>
      <c r="H546" t="s">
        <v>197</v>
      </c>
      <c r="I546" t="s">
        <v>197</v>
      </c>
      <c r="J546" t="s">
        <v>197</v>
      </c>
      <c r="K546" t="s">
        <v>335</v>
      </c>
    </row>
    <row r="547" spans="1:24">
      <c r="B547" t="s">
        <v>197</v>
      </c>
      <c r="C547" t="s">
        <v>197</v>
      </c>
      <c r="D547" t="s">
        <v>197</v>
      </c>
      <c r="E547" t="s">
        <v>197</v>
      </c>
      <c r="F547" t="s">
        <v>197</v>
      </c>
      <c r="G547" t="s">
        <v>197</v>
      </c>
      <c r="H547" t="s">
        <v>197</v>
      </c>
      <c r="I547" t="s">
        <v>197</v>
      </c>
      <c r="J547" t="s">
        <v>197</v>
      </c>
      <c r="K547" t="s">
        <v>350</v>
      </c>
    </row>
    <row r="548" spans="1:24">
      <c r="B548" t="s">
        <v>197</v>
      </c>
      <c r="C548" t="s">
        <v>197</v>
      </c>
      <c r="D548" t="s">
        <v>197</v>
      </c>
      <c r="E548" t="s">
        <v>197</v>
      </c>
      <c r="F548" t="s">
        <v>197</v>
      </c>
      <c r="G548" t="s">
        <v>197</v>
      </c>
      <c r="H548" t="s">
        <v>197</v>
      </c>
      <c r="I548" t="s">
        <v>197</v>
      </c>
      <c r="J548" t="s">
        <v>197</v>
      </c>
      <c r="K548" t="s">
        <v>360</v>
      </c>
    </row>
    <row r="549" spans="1:24">
      <c r="B549" t="s">
        <v>197</v>
      </c>
      <c r="C549" t="s">
        <v>197</v>
      </c>
      <c r="D549" t="s">
        <v>197</v>
      </c>
      <c r="E549" t="s">
        <v>197</v>
      </c>
      <c r="F549" t="s">
        <v>197</v>
      </c>
      <c r="G549" t="s">
        <v>197</v>
      </c>
      <c r="H549" t="s">
        <v>197</v>
      </c>
      <c r="I549" t="s">
        <v>197</v>
      </c>
      <c r="J549" t="s">
        <v>197</v>
      </c>
      <c r="K549" t="s">
        <v>367</v>
      </c>
    </row>
    <row r="550" spans="1:24">
      <c r="B550" t="s">
        <v>197</v>
      </c>
      <c r="C550" t="s">
        <v>197</v>
      </c>
      <c r="D550" t="s">
        <v>197</v>
      </c>
      <c r="E550" t="s">
        <v>197</v>
      </c>
      <c r="F550" t="s">
        <v>197</v>
      </c>
      <c r="G550" t="s">
        <v>197</v>
      </c>
      <c r="H550" t="s">
        <v>197</v>
      </c>
      <c r="I550" t="s">
        <v>197</v>
      </c>
      <c r="J550" t="s">
        <v>197</v>
      </c>
      <c r="K550" t="s">
        <v>373</v>
      </c>
    </row>
    <row r="551" spans="1:24">
      <c r="A551" t="s">
        <v>814</v>
      </c>
      <c r="K551" t="s">
        <v>815</v>
      </c>
      <c r="W551" t="s">
        <v>171</v>
      </c>
      <c r="X551" t="str">
        <f>A551</f>
        <v>info_varcharmax_dml_batch2_pk_irp2</v>
      </c>
    </row>
    <row r="552" spans="1:24">
      <c r="B552" t="s">
        <v>196</v>
      </c>
      <c r="C552" t="s">
        <v>197</v>
      </c>
      <c r="D552" t="s">
        <v>197</v>
      </c>
      <c r="E552" t="s">
        <v>197</v>
      </c>
      <c r="F552" t="s">
        <v>197</v>
      </c>
      <c r="G552" t="s">
        <v>197</v>
      </c>
      <c r="H552" t="s">
        <v>197</v>
      </c>
      <c r="I552" t="s">
        <v>816</v>
      </c>
      <c r="J552" t="s">
        <v>199</v>
      </c>
      <c r="K552" t="s">
        <v>200</v>
      </c>
    </row>
    <row r="553" spans="1:24">
      <c r="B553" t="s">
        <v>197</v>
      </c>
      <c r="C553" t="s">
        <v>197</v>
      </c>
      <c r="D553" t="s">
        <v>197</v>
      </c>
      <c r="E553" t="s">
        <v>197</v>
      </c>
      <c r="F553" t="s">
        <v>197</v>
      </c>
      <c r="G553" t="s">
        <v>197</v>
      </c>
      <c r="H553" t="s">
        <v>197</v>
      </c>
      <c r="I553" t="s">
        <v>197</v>
      </c>
      <c r="J553" t="s">
        <v>197</v>
      </c>
      <c r="K553" t="s">
        <v>725</v>
      </c>
    </row>
    <row r="554" spans="1:24">
      <c r="B554" t="s">
        <v>197</v>
      </c>
      <c r="C554" t="s">
        <v>197</v>
      </c>
      <c r="D554" t="s">
        <v>197</v>
      </c>
      <c r="E554" t="s">
        <v>197</v>
      </c>
      <c r="F554" t="s">
        <v>197</v>
      </c>
      <c r="G554" t="s">
        <v>197</v>
      </c>
      <c r="H554" t="s">
        <v>197</v>
      </c>
      <c r="I554" t="s">
        <v>197</v>
      </c>
      <c r="J554" t="s">
        <v>197</v>
      </c>
      <c r="K554" t="s">
        <v>726</v>
      </c>
    </row>
    <row r="555" spans="1:24">
      <c r="K555" t="s">
        <v>443</v>
      </c>
    </row>
    <row r="556" spans="1:24">
      <c r="A556" t="s">
        <v>794</v>
      </c>
      <c r="K556" t="s">
        <v>795</v>
      </c>
      <c r="W556" t="s">
        <v>171</v>
      </c>
      <c r="X556" t="str">
        <f>A556</f>
        <v>info_datetimeoffset_dml_batch1_pk_urp1</v>
      </c>
    </row>
    <row r="557" spans="1:24">
      <c r="B557" t="s">
        <v>196</v>
      </c>
      <c r="C557" t="s">
        <v>197</v>
      </c>
      <c r="D557" t="s">
        <v>197</v>
      </c>
      <c r="E557" t="s">
        <v>197</v>
      </c>
      <c r="F557" t="s">
        <v>197</v>
      </c>
      <c r="G557" t="s">
        <v>197</v>
      </c>
      <c r="H557" t="s">
        <v>197</v>
      </c>
      <c r="I557" t="s">
        <v>796</v>
      </c>
      <c r="J557" t="s">
        <v>199</v>
      </c>
      <c r="K557" t="s">
        <v>200</v>
      </c>
    </row>
    <row r="558" spans="1:24">
      <c r="B558" t="s">
        <v>197</v>
      </c>
      <c r="C558" t="s">
        <v>197</v>
      </c>
      <c r="D558" t="s">
        <v>197</v>
      </c>
      <c r="E558" t="s">
        <v>197</v>
      </c>
      <c r="F558" t="s">
        <v>197</v>
      </c>
      <c r="G558" t="s">
        <v>197</v>
      </c>
      <c r="H558" t="s">
        <v>197</v>
      </c>
      <c r="I558" t="s">
        <v>197</v>
      </c>
      <c r="J558" t="s">
        <v>197</v>
      </c>
      <c r="K558" t="s">
        <v>301</v>
      </c>
    </row>
    <row r="559" spans="1:24">
      <c r="B559" t="s">
        <v>197</v>
      </c>
      <c r="C559" t="s">
        <v>197</v>
      </c>
      <c r="D559" t="s">
        <v>197</v>
      </c>
      <c r="E559" t="s">
        <v>197</v>
      </c>
      <c r="F559" t="s">
        <v>197</v>
      </c>
      <c r="G559" t="s">
        <v>197</v>
      </c>
      <c r="H559" t="s">
        <v>197</v>
      </c>
      <c r="I559" t="s">
        <v>197</v>
      </c>
      <c r="J559" t="s">
        <v>197</v>
      </c>
      <c r="K559" t="s">
        <v>314</v>
      </c>
    </row>
    <row r="560" spans="1:24">
      <c r="B560" t="s">
        <v>197</v>
      </c>
      <c r="C560" t="s">
        <v>197</v>
      </c>
      <c r="D560" t="s">
        <v>197</v>
      </c>
      <c r="E560" t="s">
        <v>197</v>
      </c>
      <c r="F560" t="s">
        <v>197</v>
      </c>
      <c r="G560" t="s">
        <v>197</v>
      </c>
      <c r="H560" t="s">
        <v>197</v>
      </c>
      <c r="I560" t="s">
        <v>197</v>
      </c>
      <c r="J560" t="s">
        <v>197</v>
      </c>
      <c r="K560" t="s">
        <v>324</v>
      </c>
    </row>
    <row r="561" spans="1:24">
      <c r="B561" t="s">
        <v>197</v>
      </c>
      <c r="C561" t="s">
        <v>197</v>
      </c>
      <c r="D561" t="s">
        <v>197</v>
      </c>
      <c r="E561" t="s">
        <v>197</v>
      </c>
      <c r="F561" t="s">
        <v>197</v>
      </c>
      <c r="G561" t="s">
        <v>197</v>
      </c>
      <c r="H561" t="s">
        <v>197</v>
      </c>
      <c r="I561" t="s">
        <v>197</v>
      </c>
      <c r="J561" t="s">
        <v>197</v>
      </c>
      <c r="K561" t="s">
        <v>335</v>
      </c>
    </row>
    <row r="562" spans="1:24">
      <c r="B562" t="s">
        <v>197</v>
      </c>
      <c r="C562" t="s">
        <v>197</v>
      </c>
      <c r="D562" t="s">
        <v>197</v>
      </c>
      <c r="E562" t="s">
        <v>197</v>
      </c>
      <c r="F562" t="s">
        <v>197</v>
      </c>
      <c r="G562" t="s">
        <v>197</v>
      </c>
      <c r="H562" t="s">
        <v>197</v>
      </c>
      <c r="I562" t="s">
        <v>197</v>
      </c>
      <c r="J562" t="s">
        <v>197</v>
      </c>
      <c r="K562" t="s">
        <v>350</v>
      </c>
    </row>
    <row r="563" spans="1:24">
      <c r="B563" t="s">
        <v>197</v>
      </c>
      <c r="C563" t="s">
        <v>197</v>
      </c>
      <c r="D563" t="s">
        <v>197</v>
      </c>
      <c r="E563" t="s">
        <v>197</v>
      </c>
      <c r="F563" t="s">
        <v>197</v>
      </c>
      <c r="G563" t="s">
        <v>197</v>
      </c>
      <c r="H563" t="s">
        <v>197</v>
      </c>
      <c r="I563" t="s">
        <v>197</v>
      </c>
      <c r="J563" t="s">
        <v>197</v>
      </c>
      <c r="K563" t="s">
        <v>360</v>
      </c>
    </row>
    <row r="564" spans="1:24">
      <c r="B564" t="s">
        <v>197</v>
      </c>
      <c r="C564" t="s">
        <v>197</v>
      </c>
      <c r="D564" t="s">
        <v>197</v>
      </c>
      <c r="E564" t="s">
        <v>197</v>
      </c>
      <c r="F564" t="s">
        <v>197</v>
      </c>
      <c r="G564" t="s">
        <v>197</v>
      </c>
      <c r="H564" t="s">
        <v>197</v>
      </c>
      <c r="I564" t="s">
        <v>197</v>
      </c>
      <c r="J564" t="s">
        <v>197</v>
      </c>
      <c r="K564" t="s">
        <v>367</v>
      </c>
    </row>
    <row r="565" spans="1:24">
      <c r="B565" t="s">
        <v>197</v>
      </c>
      <c r="C565" t="s">
        <v>197</v>
      </c>
      <c r="D565" t="s">
        <v>197</v>
      </c>
      <c r="E565" t="s">
        <v>197</v>
      </c>
      <c r="F565" t="s">
        <v>197</v>
      </c>
      <c r="G565" t="s">
        <v>197</v>
      </c>
      <c r="H565" t="s">
        <v>197</v>
      </c>
      <c r="I565" t="s">
        <v>197</v>
      </c>
      <c r="J565" t="s">
        <v>197</v>
      </c>
      <c r="K565" t="s">
        <v>373</v>
      </c>
    </row>
    <row r="566" spans="1:24">
      <c r="A566" t="s">
        <v>817</v>
      </c>
      <c r="K566" t="s">
        <v>818</v>
      </c>
      <c r="W566" t="s">
        <v>171</v>
      </c>
      <c r="X566" t="str">
        <f>A566</f>
        <v>info_datetimeoffset_dml_batch1_pk_drp1</v>
      </c>
    </row>
    <row r="567" spans="1:24">
      <c r="B567" t="s">
        <v>196</v>
      </c>
      <c r="C567" t="s">
        <v>197</v>
      </c>
      <c r="D567" t="s">
        <v>197</v>
      </c>
      <c r="E567" t="s">
        <v>197</v>
      </c>
      <c r="F567" t="s">
        <v>197</v>
      </c>
      <c r="G567" t="s">
        <v>197</v>
      </c>
      <c r="H567" t="s">
        <v>197</v>
      </c>
      <c r="I567" t="s">
        <v>819</v>
      </c>
      <c r="J567" t="s">
        <v>199</v>
      </c>
      <c r="K567" t="s">
        <v>200</v>
      </c>
    </row>
    <row r="568" spans="1:24">
      <c r="B568" t="s">
        <v>197</v>
      </c>
      <c r="C568" t="s">
        <v>197</v>
      </c>
      <c r="D568" t="s">
        <v>197</v>
      </c>
      <c r="E568" t="s">
        <v>197</v>
      </c>
      <c r="F568" t="s">
        <v>197</v>
      </c>
      <c r="G568" t="s">
        <v>197</v>
      </c>
      <c r="H568" t="s">
        <v>197</v>
      </c>
      <c r="I568" t="s">
        <v>197</v>
      </c>
      <c r="J568" t="s">
        <v>197</v>
      </c>
      <c r="K568" t="s">
        <v>301</v>
      </c>
    </row>
    <row r="569" spans="1:24">
      <c r="B569" t="s">
        <v>197</v>
      </c>
      <c r="C569" t="s">
        <v>197</v>
      </c>
      <c r="D569" t="s">
        <v>197</v>
      </c>
      <c r="E569" t="s">
        <v>197</v>
      </c>
      <c r="F569" t="s">
        <v>197</v>
      </c>
      <c r="G569" t="s">
        <v>197</v>
      </c>
      <c r="H569" t="s">
        <v>197</v>
      </c>
      <c r="I569" t="s">
        <v>197</v>
      </c>
      <c r="J569" t="s">
        <v>197</v>
      </c>
      <c r="K569" t="s">
        <v>314</v>
      </c>
    </row>
    <row r="570" spans="1:24">
      <c r="B570" t="s">
        <v>197</v>
      </c>
      <c r="C570" t="s">
        <v>197</v>
      </c>
      <c r="D570" t="s">
        <v>197</v>
      </c>
      <c r="E570" t="s">
        <v>197</v>
      </c>
      <c r="F570" t="s">
        <v>197</v>
      </c>
      <c r="G570" t="s">
        <v>197</v>
      </c>
      <c r="H570" t="s">
        <v>197</v>
      </c>
      <c r="I570" t="s">
        <v>197</v>
      </c>
      <c r="J570" t="s">
        <v>197</v>
      </c>
      <c r="K570" t="s">
        <v>324</v>
      </c>
    </row>
    <row r="571" spans="1:24">
      <c r="B571" t="s">
        <v>197</v>
      </c>
      <c r="C571" t="s">
        <v>197</v>
      </c>
      <c r="D571" t="s">
        <v>197</v>
      </c>
      <c r="E571" t="s">
        <v>197</v>
      </c>
      <c r="F571" t="s">
        <v>197</v>
      </c>
      <c r="G571" t="s">
        <v>197</v>
      </c>
      <c r="H571" t="s">
        <v>197</v>
      </c>
      <c r="I571" t="s">
        <v>197</v>
      </c>
      <c r="J571" t="s">
        <v>197</v>
      </c>
      <c r="K571" t="s">
        <v>335</v>
      </c>
    </row>
    <row r="572" spans="1:24">
      <c r="B572" t="s">
        <v>197</v>
      </c>
      <c r="C572" t="s">
        <v>197</v>
      </c>
      <c r="D572" t="s">
        <v>197</v>
      </c>
      <c r="E572" t="s">
        <v>197</v>
      </c>
      <c r="F572" t="s">
        <v>197</v>
      </c>
      <c r="G572" t="s">
        <v>197</v>
      </c>
      <c r="H572" t="s">
        <v>197</v>
      </c>
      <c r="I572" t="s">
        <v>197</v>
      </c>
      <c r="J572" t="s">
        <v>197</v>
      </c>
      <c r="K572" t="s">
        <v>350</v>
      </c>
    </row>
    <row r="573" spans="1:24">
      <c r="B573" t="s">
        <v>197</v>
      </c>
      <c r="C573" t="s">
        <v>197</v>
      </c>
      <c r="D573" t="s">
        <v>197</v>
      </c>
      <c r="E573" t="s">
        <v>197</v>
      </c>
      <c r="F573" t="s">
        <v>197</v>
      </c>
      <c r="G573" t="s">
        <v>197</v>
      </c>
      <c r="H573" t="s">
        <v>197</v>
      </c>
      <c r="I573" t="s">
        <v>197</v>
      </c>
      <c r="J573" t="s">
        <v>197</v>
      </c>
      <c r="K573" t="s">
        <v>360</v>
      </c>
    </row>
    <row r="574" spans="1:24">
      <c r="B574" t="s">
        <v>197</v>
      </c>
      <c r="C574" t="s">
        <v>197</v>
      </c>
      <c r="D574" t="s">
        <v>197</v>
      </c>
      <c r="E574" t="s">
        <v>197</v>
      </c>
      <c r="F574" t="s">
        <v>197</v>
      </c>
      <c r="G574" t="s">
        <v>197</v>
      </c>
      <c r="H574" t="s">
        <v>197</v>
      </c>
      <c r="I574" t="s">
        <v>197</v>
      </c>
      <c r="J574" t="s">
        <v>197</v>
      </c>
      <c r="K574" t="s">
        <v>367</v>
      </c>
    </row>
    <row r="575" spans="1:24">
      <c r="B575" t="s">
        <v>197</v>
      </c>
      <c r="C575" t="s">
        <v>197</v>
      </c>
      <c r="D575" t="s">
        <v>197</v>
      </c>
      <c r="E575" t="s">
        <v>197</v>
      </c>
      <c r="F575" t="s">
        <v>197</v>
      </c>
      <c r="G575" t="s">
        <v>197</v>
      </c>
      <c r="H575" t="s">
        <v>197</v>
      </c>
      <c r="I575" t="s">
        <v>197</v>
      </c>
      <c r="J575" t="s">
        <v>197</v>
      </c>
      <c r="K575" t="s">
        <v>373</v>
      </c>
    </row>
    <row r="576" spans="1:24">
      <c r="K576" t="s">
        <v>443</v>
      </c>
    </row>
    <row r="577" spans="1:24">
      <c r="A577" t="s">
        <v>823</v>
      </c>
      <c r="K577" t="s">
        <v>824</v>
      </c>
      <c r="W577" t="s">
        <v>171</v>
      </c>
      <c r="X577" t="str">
        <f>A577</f>
        <v>info_hierarchyid_dml_single_pk</v>
      </c>
    </row>
    <row r="578" spans="1:24">
      <c r="B578" t="s">
        <v>196</v>
      </c>
      <c r="C578" t="s">
        <v>197</v>
      </c>
      <c r="D578" t="s">
        <v>197</v>
      </c>
      <c r="E578" t="s">
        <v>197</v>
      </c>
      <c r="F578" t="s">
        <v>197</v>
      </c>
      <c r="G578" t="s">
        <v>197</v>
      </c>
      <c r="H578" t="s">
        <v>197</v>
      </c>
      <c r="I578" t="s">
        <v>825</v>
      </c>
      <c r="J578" t="s">
        <v>199</v>
      </c>
      <c r="K578" t="s">
        <v>200</v>
      </c>
    </row>
    <row r="579" spans="1:24">
      <c r="B579" t="s">
        <v>197</v>
      </c>
      <c r="C579" t="s">
        <v>197</v>
      </c>
      <c r="D579" t="s">
        <v>197</v>
      </c>
      <c r="E579" t="s">
        <v>197</v>
      </c>
      <c r="F579" t="s">
        <v>197</v>
      </c>
      <c r="G579" t="s">
        <v>197</v>
      </c>
      <c r="H579" t="s">
        <v>197</v>
      </c>
      <c r="I579" t="s">
        <v>197</v>
      </c>
      <c r="J579" t="s">
        <v>197</v>
      </c>
      <c r="K579" t="s">
        <v>706</v>
      </c>
    </row>
    <row r="580" spans="1:24">
      <c r="A580" t="s">
        <v>829</v>
      </c>
      <c r="K580" t="s">
        <v>830</v>
      </c>
      <c r="W580" t="s">
        <v>171</v>
      </c>
      <c r="X580" t="str">
        <f>A580</f>
        <v>info_char_dml_batch1_pk_drp1</v>
      </c>
    </row>
    <row r="581" spans="1:24">
      <c r="B581" t="s">
        <v>196</v>
      </c>
      <c r="C581" t="s">
        <v>197</v>
      </c>
      <c r="D581" t="s">
        <v>197</v>
      </c>
      <c r="E581" t="s">
        <v>197</v>
      </c>
      <c r="F581" t="s">
        <v>197</v>
      </c>
      <c r="G581" t="s">
        <v>197</v>
      </c>
      <c r="H581" t="s">
        <v>197</v>
      </c>
      <c r="I581" t="s">
        <v>831</v>
      </c>
      <c r="J581" t="s">
        <v>199</v>
      </c>
      <c r="K581" t="s">
        <v>200</v>
      </c>
    </row>
    <row r="582" spans="1:24">
      <c r="B582" t="s">
        <v>197</v>
      </c>
      <c r="C582" t="s">
        <v>197</v>
      </c>
      <c r="D582" t="s">
        <v>197</v>
      </c>
      <c r="E582" t="s">
        <v>197</v>
      </c>
      <c r="F582" t="s">
        <v>197</v>
      </c>
      <c r="G582" t="s">
        <v>197</v>
      </c>
      <c r="H582" t="s">
        <v>197</v>
      </c>
      <c r="I582" t="s">
        <v>197</v>
      </c>
      <c r="J582" t="s">
        <v>197</v>
      </c>
      <c r="K582" t="s">
        <v>622</v>
      </c>
    </row>
    <row r="583" spans="1:24">
      <c r="B583" t="s">
        <v>197</v>
      </c>
      <c r="C583" t="s">
        <v>197</v>
      </c>
      <c r="D583" t="s">
        <v>197</v>
      </c>
      <c r="E583" t="s">
        <v>197</v>
      </c>
      <c r="F583" t="s">
        <v>197</v>
      </c>
      <c r="G583" t="s">
        <v>197</v>
      </c>
      <c r="H583" t="s">
        <v>197</v>
      </c>
      <c r="I583" t="s">
        <v>197</v>
      </c>
      <c r="J583" t="s">
        <v>197</v>
      </c>
      <c r="K583" t="s">
        <v>623</v>
      </c>
    </row>
    <row r="584" spans="1:24">
      <c r="B584" t="s">
        <v>197</v>
      </c>
      <c r="C584" t="s">
        <v>197</v>
      </c>
      <c r="D584" t="s">
        <v>197</v>
      </c>
      <c r="E584" t="s">
        <v>197</v>
      </c>
      <c r="F584" t="s">
        <v>197</v>
      </c>
      <c r="G584" t="s">
        <v>197</v>
      </c>
      <c r="H584" t="s">
        <v>197</v>
      </c>
      <c r="I584" t="s">
        <v>197</v>
      </c>
      <c r="J584" t="s">
        <v>197</v>
      </c>
      <c r="K584" t="s">
        <v>832</v>
      </c>
    </row>
    <row r="585" spans="1:24">
      <c r="K585" t="s">
        <v>443</v>
      </c>
    </row>
    <row r="586" spans="1:24">
      <c r="A586" t="s">
        <v>826</v>
      </c>
      <c r="K586" t="s">
        <v>827</v>
      </c>
      <c r="W586" t="s">
        <v>171</v>
      </c>
      <c r="X586" t="str">
        <f>A586</f>
        <v>info_datetimeoffset_dml_batch1_pk_drp2</v>
      </c>
    </row>
    <row r="587" spans="1:24">
      <c r="B587" t="s">
        <v>196</v>
      </c>
      <c r="C587" t="s">
        <v>197</v>
      </c>
      <c r="D587" t="s">
        <v>197</v>
      </c>
      <c r="E587" t="s">
        <v>197</v>
      </c>
      <c r="F587" t="s">
        <v>197</v>
      </c>
      <c r="G587" t="s">
        <v>197</v>
      </c>
      <c r="H587" t="s">
        <v>197</v>
      </c>
      <c r="I587" t="s">
        <v>828</v>
      </c>
      <c r="J587" t="s">
        <v>199</v>
      </c>
      <c r="K587" t="s">
        <v>200</v>
      </c>
    </row>
    <row r="588" spans="1:24">
      <c r="B588" t="s">
        <v>197</v>
      </c>
      <c r="C588" t="s">
        <v>197</v>
      </c>
      <c r="D588" t="s">
        <v>197</v>
      </c>
      <c r="E588" t="s">
        <v>197</v>
      </c>
      <c r="F588" t="s">
        <v>197</v>
      </c>
      <c r="G588" t="s">
        <v>197</v>
      </c>
      <c r="H588" t="s">
        <v>197</v>
      </c>
      <c r="I588" t="s">
        <v>197</v>
      </c>
      <c r="J588" t="s">
        <v>197</v>
      </c>
      <c r="K588" t="s">
        <v>301</v>
      </c>
    </row>
    <row r="589" spans="1:24">
      <c r="B589" t="s">
        <v>197</v>
      </c>
      <c r="C589" t="s">
        <v>197</v>
      </c>
      <c r="D589" t="s">
        <v>197</v>
      </c>
      <c r="E589" t="s">
        <v>197</v>
      </c>
      <c r="F589" t="s">
        <v>197</v>
      </c>
      <c r="G589" t="s">
        <v>197</v>
      </c>
      <c r="H589" t="s">
        <v>197</v>
      </c>
      <c r="I589" t="s">
        <v>197</v>
      </c>
      <c r="J589" t="s">
        <v>197</v>
      </c>
      <c r="K589" t="s">
        <v>314</v>
      </c>
    </row>
    <row r="590" spans="1:24">
      <c r="B590" t="s">
        <v>197</v>
      </c>
      <c r="C590" t="s">
        <v>197</v>
      </c>
      <c r="D590" t="s">
        <v>197</v>
      </c>
      <c r="E590" t="s">
        <v>197</v>
      </c>
      <c r="F590" t="s">
        <v>197</v>
      </c>
      <c r="G590" t="s">
        <v>197</v>
      </c>
      <c r="H590" t="s">
        <v>197</v>
      </c>
      <c r="I590" t="s">
        <v>197</v>
      </c>
      <c r="J590" t="s">
        <v>197</v>
      </c>
      <c r="K590" t="s">
        <v>324</v>
      </c>
    </row>
    <row r="591" spans="1:24">
      <c r="B591" t="s">
        <v>197</v>
      </c>
      <c r="C591" t="s">
        <v>197</v>
      </c>
      <c r="D591" t="s">
        <v>197</v>
      </c>
      <c r="E591" t="s">
        <v>197</v>
      </c>
      <c r="F591" t="s">
        <v>197</v>
      </c>
      <c r="G591" t="s">
        <v>197</v>
      </c>
      <c r="H591" t="s">
        <v>197</v>
      </c>
      <c r="I591" t="s">
        <v>197</v>
      </c>
      <c r="J591" t="s">
        <v>197</v>
      </c>
      <c r="K591" t="s">
        <v>335</v>
      </c>
    </row>
    <row r="592" spans="1:24">
      <c r="B592" t="s">
        <v>197</v>
      </c>
      <c r="C592" t="s">
        <v>197</v>
      </c>
      <c r="D592" t="s">
        <v>197</v>
      </c>
      <c r="E592" t="s">
        <v>197</v>
      </c>
      <c r="F592" t="s">
        <v>197</v>
      </c>
      <c r="G592" t="s">
        <v>197</v>
      </c>
      <c r="H592" t="s">
        <v>197</v>
      </c>
      <c r="I592" t="s">
        <v>197</v>
      </c>
      <c r="J592" t="s">
        <v>197</v>
      </c>
      <c r="K592" t="s">
        <v>350</v>
      </c>
    </row>
    <row r="593" spans="1:24">
      <c r="B593" t="s">
        <v>197</v>
      </c>
      <c r="C593" t="s">
        <v>197</v>
      </c>
      <c r="D593" t="s">
        <v>197</v>
      </c>
      <c r="E593" t="s">
        <v>197</v>
      </c>
      <c r="F593" t="s">
        <v>197</v>
      </c>
      <c r="G593" t="s">
        <v>197</v>
      </c>
      <c r="H593" t="s">
        <v>197</v>
      </c>
      <c r="I593" t="s">
        <v>197</v>
      </c>
      <c r="J593" t="s">
        <v>197</v>
      </c>
      <c r="K593" t="s">
        <v>360</v>
      </c>
    </row>
    <row r="594" spans="1:24">
      <c r="B594" t="s">
        <v>197</v>
      </c>
      <c r="C594" t="s">
        <v>197</v>
      </c>
      <c r="D594" t="s">
        <v>197</v>
      </c>
      <c r="E594" t="s">
        <v>197</v>
      </c>
      <c r="F594" t="s">
        <v>197</v>
      </c>
      <c r="G594" t="s">
        <v>197</v>
      </c>
      <c r="H594" t="s">
        <v>197</v>
      </c>
      <c r="I594" t="s">
        <v>197</v>
      </c>
      <c r="J594" t="s">
        <v>197</v>
      </c>
      <c r="K594" t="s">
        <v>367</v>
      </c>
    </row>
    <row r="595" spans="1:24">
      <c r="B595" t="s">
        <v>197</v>
      </c>
      <c r="C595" t="s">
        <v>197</v>
      </c>
      <c r="D595" t="s">
        <v>197</v>
      </c>
      <c r="E595" t="s">
        <v>197</v>
      </c>
      <c r="F595" t="s">
        <v>197</v>
      </c>
      <c r="G595" t="s">
        <v>197</v>
      </c>
      <c r="H595" t="s">
        <v>197</v>
      </c>
      <c r="I595" t="s">
        <v>197</v>
      </c>
      <c r="J595" t="s">
        <v>197</v>
      </c>
      <c r="K595" t="s">
        <v>373</v>
      </c>
    </row>
    <row r="596" spans="1:24">
      <c r="A596" t="s">
        <v>833</v>
      </c>
      <c r="K596" t="s">
        <v>834</v>
      </c>
      <c r="W596" t="s">
        <v>171</v>
      </c>
      <c r="X596" t="str">
        <f>A596</f>
        <v>info_datetimeoffset_dml_batch1_pk</v>
      </c>
    </row>
    <row r="597" spans="1:24">
      <c r="B597" t="s">
        <v>196</v>
      </c>
      <c r="C597" t="s">
        <v>197</v>
      </c>
      <c r="D597" t="s">
        <v>197</v>
      </c>
      <c r="E597" t="s">
        <v>197</v>
      </c>
      <c r="F597" t="s">
        <v>197</v>
      </c>
      <c r="G597" t="s">
        <v>197</v>
      </c>
      <c r="H597" t="s">
        <v>197</v>
      </c>
      <c r="I597" t="s">
        <v>835</v>
      </c>
      <c r="J597" t="s">
        <v>199</v>
      </c>
      <c r="K597" t="s">
        <v>200</v>
      </c>
    </row>
    <row r="598" spans="1:24">
      <c r="B598" t="s">
        <v>197</v>
      </c>
      <c r="C598" t="s">
        <v>197</v>
      </c>
      <c r="D598" t="s">
        <v>197</v>
      </c>
      <c r="E598" t="s">
        <v>197</v>
      </c>
      <c r="F598" t="s">
        <v>197</v>
      </c>
      <c r="G598" t="s">
        <v>197</v>
      </c>
      <c r="H598" t="s">
        <v>197</v>
      </c>
      <c r="I598" t="s">
        <v>197</v>
      </c>
      <c r="J598" t="s">
        <v>197</v>
      </c>
      <c r="K598" t="s">
        <v>301</v>
      </c>
    </row>
    <row r="599" spans="1:24">
      <c r="B599" t="s">
        <v>197</v>
      </c>
      <c r="C599" t="s">
        <v>197</v>
      </c>
      <c r="D599" t="s">
        <v>197</v>
      </c>
      <c r="E599" t="s">
        <v>197</v>
      </c>
      <c r="F599" t="s">
        <v>197</v>
      </c>
      <c r="G599" t="s">
        <v>197</v>
      </c>
      <c r="H599" t="s">
        <v>197</v>
      </c>
      <c r="I599" t="s">
        <v>197</v>
      </c>
      <c r="J599" t="s">
        <v>197</v>
      </c>
      <c r="K599" t="s">
        <v>314</v>
      </c>
    </row>
    <row r="600" spans="1:24">
      <c r="B600" t="s">
        <v>197</v>
      </c>
      <c r="C600" t="s">
        <v>197</v>
      </c>
      <c r="D600" t="s">
        <v>197</v>
      </c>
      <c r="E600" t="s">
        <v>197</v>
      </c>
      <c r="F600" t="s">
        <v>197</v>
      </c>
      <c r="G600" t="s">
        <v>197</v>
      </c>
      <c r="H600" t="s">
        <v>197</v>
      </c>
      <c r="I600" t="s">
        <v>197</v>
      </c>
      <c r="J600" t="s">
        <v>197</v>
      </c>
      <c r="K600" t="s">
        <v>324</v>
      </c>
    </row>
    <row r="601" spans="1:24">
      <c r="B601" t="s">
        <v>197</v>
      </c>
      <c r="C601" t="s">
        <v>197</v>
      </c>
      <c r="D601" t="s">
        <v>197</v>
      </c>
      <c r="E601" t="s">
        <v>197</v>
      </c>
      <c r="F601" t="s">
        <v>197</v>
      </c>
      <c r="G601" t="s">
        <v>197</v>
      </c>
      <c r="H601" t="s">
        <v>197</v>
      </c>
      <c r="I601" t="s">
        <v>197</v>
      </c>
      <c r="J601" t="s">
        <v>197</v>
      </c>
      <c r="K601" t="s">
        <v>335</v>
      </c>
    </row>
    <row r="602" spans="1:24">
      <c r="B602" t="s">
        <v>197</v>
      </c>
      <c r="C602" t="s">
        <v>197</v>
      </c>
      <c r="D602" t="s">
        <v>197</v>
      </c>
      <c r="E602" t="s">
        <v>197</v>
      </c>
      <c r="F602" t="s">
        <v>197</v>
      </c>
      <c r="G602" t="s">
        <v>197</v>
      </c>
      <c r="H602" t="s">
        <v>197</v>
      </c>
      <c r="I602" t="s">
        <v>197</v>
      </c>
      <c r="J602" t="s">
        <v>197</v>
      </c>
      <c r="K602" t="s">
        <v>350</v>
      </c>
    </row>
    <row r="603" spans="1:24">
      <c r="B603" t="s">
        <v>197</v>
      </c>
      <c r="C603" t="s">
        <v>197</v>
      </c>
      <c r="D603" t="s">
        <v>197</v>
      </c>
      <c r="E603" t="s">
        <v>197</v>
      </c>
      <c r="F603" t="s">
        <v>197</v>
      </c>
      <c r="G603" t="s">
        <v>197</v>
      </c>
      <c r="H603" t="s">
        <v>197</v>
      </c>
      <c r="I603" t="s">
        <v>197</v>
      </c>
      <c r="J603" t="s">
        <v>197</v>
      </c>
      <c r="K603" t="s">
        <v>360</v>
      </c>
    </row>
    <row r="604" spans="1:24">
      <c r="B604" t="s">
        <v>197</v>
      </c>
      <c r="C604" t="s">
        <v>197</v>
      </c>
      <c r="D604" t="s">
        <v>197</v>
      </c>
      <c r="E604" t="s">
        <v>197</v>
      </c>
      <c r="F604" t="s">
        <v>197</v>
      </c>
      <c r="G604" t="s">
        <v>197</v>
      </c>
      <c r="H604" t="s">
        <v>197</v>
      </c>
      <c r="I604" t="s">
        <v>197</v>
      </c>
      <c r="J604" t="s">
        <v>197</v>
      </c>
      <c r="K604" t="s">
        <v>367</v>
      </c>
    </row>
    <row r="605" spans="1:24">
      <c r="B605" t="s">
        <v>197</v>
      </c>
      <c r="C605" t="s">
        <v>197</v>
      </c>
      <c r="D605" t="s">
        <v>197</v>
      </c>
      <c r="E605" t="s">
        <v>197</v>
      </c>
      <c r="F605" t="s">
        <v>197</v>
      </c>
      <c r="G605" t="s">
        <v>197</v>
      </c>
      <c r="H605" t="s">
        <v>197</v>
      </c>
      <c r="I605" t="s">
        <v>197</v>
      </c>
      <c r="J605" t="s">
        <v>197</v>
      </c>
      <c r="K605" t="s">
        <v>373</v>
      </c>
    </row>
    <row r="606" spans="1:24">
      <c r="A606" t="s">
        <v>836</v>
      </c>
      <c r="K606" t="s">
        <v>837</v>
      </c>
      <c r="W606" t="s">
        <v>171</v>
      </c>
      <c r="X606" t="str">
        <f>A606</f>
        <v>info_nchar_dml_batch2_pk_urp2</v>
      </c>
    </row>
    <row r="607" spans="1:24">
      <c r="B607" t="s">
        <v>196</v>
      </c>
      <c r="C607" t="s">
        <v>197</v>
      </c>
      <c r="D607" t="s">
        <v>197</v>
      </c>
      <c r="E607" t="s">
        <v>197</v>
      </c>
      <c r="F607" t="s">
        <v>197</v>
      </c>
      <c r="G607" t="s">
        <v>197</v>
      </c>
      <c r="H607" t="s">
        <v>197</v>
      </c>
      <c r="I607" t="s">
        <v>838</v>
      </c>
      <c r="J607" t="s">
        <v>199</v>
      </c>
      <c r="K607" t="s">
        <v>200</v>
      </c>
    </row>
    <row r="608" spans="1:24">
      <c r="B608" t="s">
        <v>197</v>
      </c>
      <c r="C608" t="s">
        <v>197</v>
      </c>
      <c r="D608" t="s">
        <v>197</v>
      </c>
      <c r="E608" t="s">
        <v>197</v>
      </c>
      <c r="F608" t="s">
        <v>197</v>
      </c>
      <c r="G608" t="s">
        <v>197</v>
      </c>
      <c r="H608" t="s">
        <v>197</v>
      </c>
      <c r="I608" t="s">
        <v>197</v>
      </c>
      <c r="J608" t="s">
        <v>197</v>
      </c>
      <c r="K608" t="s">
        <v>514</v>
      </c>
    </row>
    <row r="609" spans="1:24">
      <c r="B609" t="s">
        <v>197</v>
      </c>
      <c r="C609" t="s">
        <v>197</v>
      </c>
      <c r="D609" t="s">
        <v>197</v>
      </c>
      <c r="E609" t="s">
        <v>197</v>
      </c>
      <c r="F609" t="s">
        <v>197</v>
      </c>
      <c r="G609" t="s">
        <v>197</v>
      </c>
      <c r="H609" t="s">
        <v>197</v>
      </c>
      <c r="I609" t="s">
        <v>197</v>
      </c>
      <c r="J609" t="s">
        <v>197</v>
      </c>
      <c r="K609" t="s">
        <v>516</v>
      </c>
    </row>
    <row r="610" spans="1:24">
      <c r="B610" t="s">
        <v>197</v>
      </c>
      <c r="C610" t="s">
        <v>197</v>
      </c>
      <c r="D610" t="s">
        <v>197</v>
      </c>
      <c r="E610" t="s">
        <v>197</v>
      </c>
      <c r="F610" t="s">
        <v>197</v>
      </c>
      <c r="G610" t="s">
        <v>197</v>
      </c>
      <c r="H610" t="s">
        <v>197</v>
      </c>
      <c r="I610" t="s">
        <v>197</v>
      </c>
      <c r="J610" t="s">
        <v>197</v>
      </c>
      <c r="K610" t="s">
        <v>612</v>
      </c>
    </row>
    <row r="611" spans="1:24">
      <c r="A611" t="s">
        <v>839</v>
      </c>
      <c r="K611" t="s">
        <v>840</v>
      </c>
      <c r="W611" s="1" t="str">
        <f>HYPERLINK("#2026042015hbase0!BG2","NO 源备存在差异，共20个")</f>
        <v>NO 源备存在差异，共20个</v>
      </c>
      <c r="X611" t="str">
        <f>A611</f>
        <v>info_date_dml_batch2_pk_irp1</v>
      </c>
    </row>
    <row r="612" spans="1:24">
      <c r="B612" t="s">
        <v>196</v>
      </c>
      <c r="C612" t="s">
        <v>197</v>
      </c>
      <c r="D612" t="s">
        <v>197</v>
      </c>
      <c r="E612" t="s">
        <v>197</v>
      </c>
      <c r="F612" t="s">
        <v>197</v>
      </c>
      <c r="G612" t="s">
        <v>197</v>
      </c>
      <c r="H612" t="s">
        <v>197</v>
      </c>
      <c r="I612" t="s">
        <v>841</v>
      </c>
      <c r="J612" t="s">
        <v>199</v>
      </c>
      <c r="K612" t="s">
        <v>200</v>
      </c>
    </row>
    <row r="613" spans="1:24">
      <c r="B613" t="s">
        <v>197</v>
      </c>
      <c r="C613" t="s">
        <v>197</v>
      </c>
      <c r="D613" t="s">
        <v>197</v>
      </c>
      <c r="E613" t="s">
        <v>197</v>
      </c>
      <c r="F613" t="s">
        <v>197</v>
      </c>
      <c r="G613" t="s">
        <v>197</v>
      </c>
      <c r="H613" t="s">
        <v>197</v>
      </c>
      <c r="I613" t="s">
        <v>197</v>
      </c>
      <c r="J613" t="s">
        <v>197</v>
      </c>
      <c r="K613" t="s">
        <v>678</v>
      </c>
    </row>
    <row r="614" spans="1:24">
      <c r="A614" t="s">
        <v>842</v>
      </c>
      <c r="K614" t="s">
        <v>843</v>
      </c>
      <c r="W614" s="1" t="str">
        <f>HYPERLINK("#2026042015hbase0!BH2","NO 源备存在差异，共8个")</f>
        <v>NO 源备存在差异，共8个</v>
      </c>
      <c r="X614" t="str">
        <f>A614</f>
        <v>info_time_dml_single_pk_urp</v>
      </c>
    </row>
    <row r="615" spans="1:24">
      <c r="B615" t="s">
        <v>196</v>
      </c>
      <c r="C615" t="s">
        <v>197</v>
      </c>
      <c r="D615" t="s">
        <v>197</v>
      </c>
      <c r="E615" t="s">
        <v>197</v>
      </c>
      <c r="F615" t="s">
        <v>197</v>
      </c>
      <c r="G615" t="s">
        <v>197</v>
      </c>
      <c r="H615" t="s">
        <v>197</v>
      </c>
      <c r="I615" t="s">
        <v>844</v>
      </c>
      <c r="J615" t="s">
        <v>199</v>
      </c>
      <c r="K615" t="s">
        <v>200</v>
      </c>
    </row>
    <row r="616" spans="1:24">
      <c r="B616" t="s">
        <v>197</v>
      </c>
      <c r="C616" t="s">
        <v>197</v>
      </c>
      <c r="D616" t="s">
        <v>197</v>
      </c>
      <c r="E616" t="s">
        <v>197</v>
      </c>
      <c r="F616" t="s">
        <v>197</v>
      </c>
      <c r="G616" t="s">
        <v>197</v>
      </c>
      <c r="H616" t="s">
        <v>197</v>
      </c>
      <c r="I616" t="s">
        <v>197</v>
      </c>
      <c r="J616" t="s">
        <v>197</v>
      </c>
      <c r="K616" t="s">
        <v>800</v>
      </c>
    </row>
    <row r="617" spans="1:24">
      <c r="B617" t="s">
        <v>197</v>
      </c>
      <c r="C617" t="s">
        <v>197</v>
      </c>
      <c r="D617" t="s">
        <v>197</v>
      </c>
      <c r="E617" t="s">
        <v>197</v>
      </c>
      <c r="F617" t="s">
        <v>197</v>
      </c>
      <c r="G617" t="s">
        <v>197</v>
      </c>
      <c r="H617" t="s">
        <v>197</v>
      </c>
      <c r="I617" t="s">
        <v>197</v>
      </c>
      <c r="J617" t="s">
        <v>197</v>
      </c>
      <c r="K617" t="s">
        <v>801</v>
      </c>
    </row>
    <row r="618" spans="1:24">
      <c r="B618" t="s">
        <v>197</v>
      </c>
      <c r="C618" t="s">
        <v>197</v>
      </c>
      <c r="D618" t="s">
        <v>197</v>
      </c>
      <c r="E618" t="s">
        <v>197</v>
      </c>
      <c r="F618" t="s">
        <v>197</v>
      </c>
      <c r="G618" t="s">
        <v>197</v>
      </c>
      <c r="H618" t="s">
        <v>197</v>
      </c>
      <c r="I618" t="s">
        <v>197</v>
      </c>
      <c r="J618" t="s">
        <v>197</v>
      </c>
      <c r="K618" t="s">
        <v>802</v>
      </c>
    </row>
    <row r="619" spans="1:24">
      <c r="B619" t="s">
        <v>197</v>
      </c>
      <c r="C619" t="s">
        <v>197</v>
      </c>
      <c r="D619" t="s">
        <v>197</v>
      </c>
      <c r="E619" t="s">
        <v>197</v>
      </c>
      <c r="F619" t="s">
        <v>197</v>
      </c>
      <c r="G619" t="s">
        <v>197</v>
      </c>
      <c r="H619" t="s">
        <v>197</v>
      </c>
      <c r="I619" t="s">
        <v>197</v>
      </c>
      <c r="J619" t="s">
        <v>197</v>
      </c>
      <c r="K619" t="s">
        <v>803</v>
      </c>
    </row>
    <row r="620" spans="1:24">
      <c r="B620" t="s">
        <v>197</v>
      </c>
      <c r="C620" t="s">
        <v>197</v>
      </c>
      <c r="D620" t="s">
        <v>197</v>
      </c>
      <c r="E620" t="s">
        <v>197</v>
      </c>
      <c r="F620" t="s">
        <v>197</v>
      </c>
      <c r="G620" t="s">
        <v>197</v>
      </c>
      <c r="H620" t="s">
        <v>197</v>
      </c>
      <c r="I620" t="s">
        <v>197</v>
      </c>
      <c r="J620" t="s">
        <v>197</v>
      </c>
      <c r="K620" t="s">
        <v>804</v>
      </c>
    </row>
    <row r="621" spans="1:24">
      <c r="B621" t="s">
        <v>197</v>
      </c>
      <c r="C621" t="s">
        <v>197</v>
      </c>
      <c r="D621" t="s">
        <v>197</v>
      </c>
      <c r="E621" t="s">
        <v>197</v>
      </c>
      <c r="F621" t="s">
        <v>197</v>
      </c>
      <c r="G621" t="s">
        <v>197</v>
      </c>
      <c r="H621" t="s">
        <v>197</v>
      </c>
      <c r="I621" t="s">
        <v>197</v>
      </c>
      <c r="J621" t="s">
        <v>197</v>
      </c>
      <c r="K621" t="s">
        <v>805</v>
      </c>
    </row>
    <row r="622" spans="1:24">
      <c r="B622" t="s">
        <v>197</v>
      </c>
      <c r="C622" t="s">
        <v>197</v>
      </c>
      <c r="D622" t="s">
        <v>197</v>
      </c>
      <c r="E622" t="s">
        <v>197</v>
      </c>
      <c r="F622" t="s">
        <v>197</v>
      </c>
      <c r="G622" t="s">
        <v>197</v>
      </c>
      <c r="H622" t="s">
        <v>197</v>
      </c>
      <c r="I622" t="s">
        <v>197</v>
      </c>
      <c r="J622" t="s">
        <v>197</v>
      </c>
      <c r="K622" t="s">
        <v>806</v>
      </c>
    </row>
    <row r="623" spans="1:24">
      <c r="B623" t="s">
        <v>197</v>
      </c>
      <c r="C623" t="s">
        <v>197</v>
      </c>
      <c r="D623" t="s">
        <v>197</v>
      </c>
      <c r="E623" t="s">
        <v>197</v>
      </c>
      <c r="F623" t="s">
        <v>197</v>
      </c>
      <c r="G623" t="s">
        <v>197</v>
      </c>
      <c r="H623" t="s">
        <v>197</v>
      </c>
      <c r="I623" t="s">
        <v>197</v>
      </c>
      <c r="J623" t="s">
        <v>197</v>
      </c>
      <c r="K623" t="s">
        <v>807</v>
      </c>
    </row>
    <row r="624" spans="1:24">
      <c r="A624" t="s">
        <v>820</v>
      </c>
      <c r="K624" t="s">
        <v>821</v>
      </c>
      <c r="W624" t="s">
        <v>171</v>
      </c>
      <c r="X624" t="str">
        <f>A624</f>
        <v>info_nchar_dml_batch1_pk_urp1</v>
      </c>
    </row>
    <row r="625" spans="1:24">
      <c r="B625" t="s">
        <v>196</v>
      </c>
      <c r="C625" t="s">
        <v>197</v>
      </c>
      <c r="D625" t="s">
        <v>197</v>
      </c>
      <c r="E625" t="s">
        <v>197</v>
      </c>
      <c r="F625" t="s">
        <v>197</v>
      </c>
      <c r="G625" t="s">
        <v>197</v>
      </c>
      <c r="H625" t="s">
        <v>197</v>
      </c>
      <c r="I625" t="s">
        <v>822</v>
      </c>
      <c r="J625" t="s">
        <v>199</v>
      </c>
      <c r="K625" t="s">
        <v>200</v>
      </c>
    </row>
    <row r="626" spans="1:24">
      <c r="B626" t="s">
        <v>197</v>
      </c>
      <c r="C626" t="s">
        <v>197</v>
      </c>
      <c r="D626" t="s">
        <v>197</v>
      </c>
      <c r="E626" t="s">
        <v>197</v>
      </c>
      <c r="F626" t="s">
        <v>197</v>
      </c>
      <c r="G626" t="s">
        <v>197</v>
      </c>
      <c r="H626" t="s">
        <v>197</v>
      </c>
      <c r="I626" t="s">
        <v>197</v>
      </c>
      <c r="J626" t="s">
        <v>197</v>
      </c>
      <c r="K626" t="s">
        <v>514</v>
      </c>
    </row>
    <row r="627" spans="1:24">
      <c r="B627" t="s">
        <v>197</v>
      </c>
      <c r="C627" t="s">
        <v>197</v>
      </c>
      <c r="D627" t="s">
        <v>197</v>
      </c>
      <c r="E627" t="s">
        <v>197</v>
      </c>
      <c r="F627" t="s">
        <v>197</v>
      </c>
      <c r="G627" t="s">
        <v>197</v>
      </c>
      <c r="H627" t="s">
        <v>197</v>
      </c>
      <c r="I627" t="s">
        <v>197</v>
      </c>
      <c r="J627" t="s">
        <v>197</v>
      </c>
      <c r="K627" t="s">
        <v>516</v>
      </c>
    </row>
    <row r="628" spans="1:24">
      <c r="B628" t="s">
        <v>197</v>
      </c>
      <c r="C628" t="s">
        <v>197</v>
      </c>
      <c r="D628" t="s">
        <v>197</v>
      </c>
      <c r="E628" t="s">
        <v>197</v>
      </c>
      <c r="F628" t="s">
        <v>197</v>
      </c>
      <c r="G628" t="s">
        <v>197</v>
      </c>
      <c r="H628" t="s">
        <v>197</v>
      </c>
      <c r="I628" t="s">
        <v>197</v>
      </c>
      <c r="J628" t="s">
        <v>197</v>
      </c>
      <c r="K628" t="s">
        <v>612</v>
      </c>
    </row>
    <row r="629" spans="1:24">
      <c r="A629" t="s">
        <v>845</v>
      </c>
      <c r="K629" t="s">
        <v>846</v>
      </c>
      <c r="W629" t="s">
        <v>171</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848</v>
      </c>
      <c r="K634" t="s">
        <v>849</v>
      </c>
      <c r="W634" s="1" t="str">
        <f>HYPERLINK("#2026042015hbase0!BI2","NO 源备存在差异，共16个")</f>
        <v>NO 源备存在差异，共16个</v>
      </c>
      <c r="X634" t="str">
        <f>A634</f>
        <v>info_time_dml_single_pk_drp</v>
      </c>
    </row>
    <row r="635" spans="1:24">
      <c r="B635" t="s">
        <v>196</v>
      </c>
      <c r="C635" t="s">
        <v>197</v>
      </c>
      <c r="D635" t="s">
        <v>197</v>
      </c>
      <c r="E635" t="s">
        <v>197</v>
      </c>
      <c r="F635" t="s">
        <v>197</v>
      </c>
      <c r="G635" t="s">
        <v>197</v>
      </c>
      <c r="H635" t="s">
        <v>197</v>
      </c>
      <c r="I635" t="s">
        <v>850</v>
      </c>
      <c r="J635" t="s">
        <v>199</v>
      </c>
      <c r="K635" t="s">
        <v>200</v>
      </c>
    </row>
    <row r="636" spans="1:24">
      <c r="B636" t="s">
        <v>197</v>
      </c>
      <c r="C636" t="s">
        <v>197</v>
      </c>
      <c r="D636" t="s">
        <v>197</v>
      </c>
      <c r="E636" t="s">
        <v>197</v>
      </c>
      <c r="F636" t="s">
        <v>197</v>
      </c>
      <c r="G636" t="s">
        <v>197</v>
      </c>
      <c r="H636" t="s">
        <v>197</v>
      </c>
      <c r="I636" t="s">
        <v>197</v>
      </c>
      <c r="J636" t="s">
        <v>197</v>
      </c>
      <c r="K636" t="s">
        <v>800</v>
      </c>
    </row>
    <row r="637" spans="1:24">
      <c r="B637" t="s">
        <v>197</v>
      </c>
      <c r="C637" t="s">
        <v>197</v>
      </c>
      <c r="D637" t="s">
        <v>197</v>
      </c>
      <c r="E637" t="s">
        <v>197</v>
      </c>
      <c r="F637" t="s">
        <v>197</v>
      </c>
      <c r="G637" t="s">
        <v>197</v>
      </c>
      <c r="H637" t="s">
        <v>197</v>
      </c>
      <c r="I637" t="s">
        <v>197</v>
      </c>
      <c r="J637" t="s">
        <v>197</v>
      </c>
      <c r="K637" t="s">
        <v>801</v>
      </c>
    </row>
    <row r="638" spans="1:24">
      <c r="B638" t="s">
        <v>197</v>
      </c>
      <c r="C638" t="s">
        <v>197</v>
      </c>
      <c r="D638" t="s">
        <v>197</v>
      </c>
      <c r="E638" t="s">
        <v>197</v>
      </c>
      <c r="F638" t="s">
        <v>197</v>
      </c>
      <c r="G638" t="s">
        <v>197</v>
      </c>
      <c r="H638" t="s">
        <v>197</v>
      </c>
      <c r="I638" t="s">
        <v>197</v>
      </c>
      <c r="J638" t="s">
        <v>197</v>
      </c>
      <c r="K638" t="s">
        <v>802</v>
      </c>
    </row>
    <row r="639" spans="1:24">
      <c r="B639" t="s">
        <v>197</v>
      </c>
      <c r="C639" t="s">
        <v>197</v>
      </c>
      <c r="D639" t="s">
        <v>197</v>
      </c>
      <c r="E639" t="s">
        <v>197</v>
      </c>
      <c r="F639" t="s">
        <v>197</v>
      </c>
      <c r="G639" t="s">
        <v>197</v>
      </c>
      <c r="H639" t="s">
        <v>197</v>
      </c>
      <c r="I639" t="s">
        <v>197</v>
      </c>
      <c r="J639" t="s">
        <v>197</v>
      </c>
      <c r="K639" t="s">
        <v>803</v>
      </c>
    </row>
    <row r="640" spans="1:24">
      <c r="B640" t="s">
        <v>197</v>
      </c>
      <c r="C640" t="s">
        <v>197</v>
      </c>
      <c r="D640" t="s">
        <v>197</v>
      </c>
      <c r="E640" t="s">
        <v>197</v>
      </c>
      <c r="F640" t="s">
        <v>197</v>
      </c>
      <c r="G640" t="s">
        <v>197</v>
      </c>
      <c r="H640" t="s">
        <v>197</v>
      </c>
      <c r="I640" t="s">
        <v>197</v>
      </c>
      <c r="J640" t="s">
        <v>197</v>
      </c>
      <c r="K640" t="s">
        <v>804</v>
      </c>
    </row>
    <row r="641" spans="1:24">
      <c r="B641" t="s">
        <v>197</v>
      </c>
      <c r="C641" t="s">
        <v>197</v>
      </c>
      <c r="D641" t="s">
        <v>197</v>
      </c>
      <c r="E641" t="s">
        <v>197</v>
      </c>
      <c r="F641" t="s">
        <v>197</v>
      </c>
      <c r="G641" t="s">
        <v>197</v>
      </c>
      <c r="H641" t="s">
        <v>197</v>
      </c>
      <c r="I641" t="s">
        <v>197</v>
      </c>
      <c r="J641" t="s">
        <v>197</v>
      </c>
      <c r="K641" t="s">
        <v>805</v>
      </c>
    </row>
    <row r="642" spans="1:24">
      <c r="B642" t="s">
        <v>197</v>
      </c>
      <c r="C642" t="s">
        <v>197</v>
      </c>
      <c r="D642" t="s">
        <v>197</v>
      </c>
      <c r="E642" t="s">
        <v>197</v>
      </c>
      <c r="F642" t="s">
        <v>197</v>
      </c>
      <c r="G642" t="s">
        <v>197</v>
      </c>
      <c r="H642" t="s">
        <v>197</v>
      </c>
      <c r="I642" t="s">
        <v>197</v>
      </c>
      <c r="J642" t="s">
        <v>197</v>
      </c>
      <c r="K642" t="s">
        <v>806</v>
      </c>
    </row>
    <row r="643" spans="1:24">
      <c r="B643" t="s">
        <v>197</v>
      </c>
      <c r="C643" t="s">
        <v>197</v>
      </c>
      <c r="D643" t="s">
        <v>197</v>
      </c>
      <c r="E643" t="s">
        <v>197</v>
      </c>
      <c r="F643" t="s">
        <v>197</v>
      </c>
      <c r="G643" t="s">
        <v>197</v>
      </c>
      <c r="H643" t="s">
        <v>197</v>
      </c>
      <c r="I643" t="s">
        <v>197</v>
      </c>
      <c r="J643" t="s">
        <v>197</v>
      </c>
      <c r="K643" t="s">
        <v>807</v>
      </c>
    </row>
    <row r="644" spans="1:24">
      <c r="A644" t="s">
        <v>851</v>
      </c>
      <c r="K644" t="s">
        <v>852</v>
      </c>
      <c r="W644" t="s">
        <v>171</v>
      </c>
      <c r="X644" t="str">
        <f>A644</f>
        <v>info_nvarchar_dml_single_pk</v>
      </c>
    </row>
    <row r="645" spans="1:24">
      <c r="B645" t="s">
        <v>196</v>
      </c>
      <c r="C645" t="s">
        <v>197</v>
      </c>
      <c r="D645" t="s">
        <v>197</v>
      </c>
      <c r="E645" t="s">
        <v>197</v>
      </c>
      <c r="F645" t="s">
        <v>197</v>
      </c>
      <c r="G645" t="s">
        <v>197</v>
      </c>
      <c r="H645" t="s">
        <v>197</v>
      </c>
      <c r="I645" t="s">
        <v>853</v>
      </c>
      <c r="J645" t="s">
        <v>199</v>
      </c>
      <c r="K645" t="s">
        <v>200</v>
      </c>
    </row>
    <row r="646" spans="1:24">
      <c r="B646" t="s">
        <v>197</v>
      </c>
      <c r="C646" t="s">
        <v>197</v>
      </c>
      <c r="D646" t="s">
        <v>197</v>
      </c>
      <c r="E646" t="s">
        <v>197</v>
      </c>
      <c r="F646" t="s">
        <v>197</v>
      </c>
      <c r="G646" t="s">
        <v>197</v>
      </c>
      <c r="H646" t="s">
        <v>197</v>
      </c>
      <c r="I646" t="s">
        <v>197</v>
      </c>
      <c r="J646" t="s">
        <v>197</v>
      </c>
      <c r="K646" t="s">
        <v>408</v>
      </c>
    </row>
    <row r="647" spans="1:24">
      <c r="B647" t="s">
        <v>197</v>
      </c>
      <c r="C647" t="s">
        <v>197</v>
      </c>
      <c r="D647" t="s">
        <v>197</v>
      </c>
      <c r="E647" t="s">
        <v>197</v>
      </c>
      <c r="F647" t="s">
        <v>197</v>
      </c>
      <c r="G647" t="s">
        <v>197</v>
      </c>
      <c r="H647" t="s">
        <v>197</v>
      </c>
      <c r="I647" t="s">
        <v>197</v>
      </c>
      <c r="J647" t="s">
        <v>197</v>
      </c>
      <c r="K647" t="s">
        <v>412</v>
      </c>
    </row>
    <row r="648" spans="1:24">
      <c r="B648" t="s">
        <v>197</v>
      </c>
      <c r="C648" t="s">
        <v>197</v>
      </c>
      <c r="D648" t="s">
        <v>197</v>
      </c>
      <c r="E648" t="s">
        <v>197</v>
      </c>
      <c r="F648" t="s">
        <v>197</v>
      </c>
      <c r="G648" t="s">
        <v>197</v>
      </c>
      <c r="H648" t="s">
        <v>197</v>
      </c>
      <c r="I648" t="s">
        <v>197</v>
      </c>
      <c r="J648" t="s">
        <v>197</v>
      </c>
      <c r="K648" t="s">
        <v>730</v>
      </c>
    </row>
    <row r="649" spans="1:24">
      <c r="A649" t="s">
        <v>857</v>
      </c>
      <c r="K649" t="s">
        <v>858</v>
      </c>
      <c r="W649" t="s">
        <v>171</v>
      </c>
      <c r="X649" t="str">
        <f>A649</f>
        <v>info_binary_dml_batch1_pk_urp2</v>
      </c>
    </row>
    <row r="650" spans="1:24">
      <c r="B650" t="s">
        <v>196</v>
      </c>
      <c r="C650" t="s">
        <v>197</v>
      </c>
      <c r="D650" t="s">
        <v>197</v>
      </c>
      <c r="E650" t="s">
        <v>197</v>
      </c>
      <c r="F650" t="s">
        <v>197</v>
      </c>
      <c r="G650" t="s">
        <v>197</v>
      </c>
      <c r="H650" t="s">
        <v>197</v>
      </c>
      <c r="I650" t="s">
        <v>859</v>
      </c>
      <c r="J650" t="s">
        <v>199</v>
      </c>
      <c r="K650" t="s">
        <v>200</v>
      </c>
    </row>
    <row r="651" spans="1:24">
      <c r="B651" t="s">
        <v>197</v>
      </c>
      <c r="C651" t="s">
        <v>197</v>
      </c>
      <c r="D651" t="s">
        <v>197</v>
      </c>
      <c r="E651" t="s">
        <v>197</v>
      </c>
      <c r="F651" t="s">
        <v>197</v>
      </c>
      <c r="G651" t="s">
        <v>197</v>
      </c>
      <c r="H651" t="s">
        <v>197</v>
      </c>
      <c r="I651" t="s">
        <v>197</v>
      </c>
      <c r="J651" t="s">
        <v>197</v>
      </c>
      <c r="K651" t="s">
        <v>691</v>
      </c>
    </row>
    <row r="652" spans="1:24">
      <c r="B652" t="s">
        <v>197</v>
      </c>
      <c r="C652" t="s">
        <v>197</v>
      </c>
      <c r="D652" t="s">
        <v>197</v>
      </c>
      <c r="E652" t="s">
        <v>197</v>
      </c>
      <c r="F652" t="s">
        <v>197</v>
      </c>
      <c r="G652" t="s">
        <v>197</v>
      </c>
      <c r="H652" t="s">
        <v>197</v>
      </c>
      <c r="I652" t="s">
        <v>197</v>
      </c>
      <c r="J652" t="s">
        <v>197</v>
      </c>
      <c r="K652" t="s">
        <v>692</v>
      </c>
    </row>
    <row r="653" spans="1:24">
      <c r="B653" t="s">
        <v>197</v>
      </c>
      <c r="C653" t="s">
        <v>197</v>
      </c>
      <c r="D653" t="s">
        <v>197</v>
      </c>
      <c r="E653" t="s">
        <v>197</v>
      </c>
      <c r="F653" t="s">
        <v>197</v>
      </c>
      <c r="G653" t="s">
        <v>197</v>
      </c>
      <c r="H653" t="s">
        <v>197</v>
      </c>
      <c r="I653" t="s">
        <v>197</v>
      </c>
      <c r="J653" t="s">
        <v>197</v>
      </c>
      <c r="K653" t="s">
        <v>693</v>
      </c>
    </row>
    <row r="654" spans="1:24">
      <c r="A654" t="s">
        <v>860</v>
      </c>
      <c r="K654" t="s">
        <v>861</v>
      </c>
      <c r="W654" s="1" t="str">
        <f>HYPERLINK("#2026042015hbase0!BJ2","NO 源备存在差异，共4个")</f>
        <v>NO 源备存在差异，共4个</v>
      </c>
      <c r="X654" t="str">
        <f>A654</f>
        <v>info_time_dml_single_pk</v>
      </c>
    </row>
    <row r="655" spans="1:24">
      <c r="B655" t="s">
        <v>196</v>
      </c>
      <c r="C655" t="s">
        <v>197</v>
      </c>
      <c r="D655" t="s">
        <v>197</v>
      </c>
      <c r="E655" t="s">
        <v>197</v>
      </c>
      <c r="F655" t="s">
        <v>197</v>
      </c>
      <c r="G655" t="s">
        <v>197</v>
      </c>
      <c r="H655" t="s">
        <v>197</v>
      </c>
      <c r="I655" t="s">
        <v>862</v>
      </c>
      <c r="J655" t="s">
        <v>199</v>
      </c>
      <c r="K655" t="s">
        <v>200</v>
      </c>
    </row>
    <row r="656" spans="1:24">
      <c r="B656" t="s">
        <v>197</v>
      </c>
      <c r="C656" t="s">
        <v>197</v>
      </c>
      <c r="D656" t="s">
        <v>197</v>
      </c>
      <c r="E656" t="s">
        <v>197</v>
      </c>
      <c r="F656" t="s">
        <v>197</v>
      </c>
      <c r="G656" t="s">
        <v>197</v>
      </c>
      <c r="H656" t="s">
        <v>197</v>
      </c>
      <c r="I656" t="s">
        <v>197</v>
      </c>
      <c r="J656" t="s">
        <v>197</v>
      </c>
      <c r="K656" t="s">
        <v>800</v>
      </c>
    </row>
    <row r="657" spans="1:24">
      <c r="B657" t="s">
        <v>197</v>
      </c>
      <c r="C657" t="s">
        <v>197</v>
      </c>
      <c r="D657" t="s">
        <v>197</v>
      </c>
      <c r="E657" t="s">
        <v>197</v>
      </c>
      <c r="F657" t="s">
        <v>197</v>
      </c>
      <c r="G657" t="s">
        <v>197</v>
      </c>
      <c r="H657" t="s">
        <v>197</v>
      </c>
      <c r="I657" t="s">
        <v>197</v>
      </c>
      <c r="J657" t="s">
        <v>197</v>
      </c>
      <c r="K657" t="s">
        <v>801</v>
      </c>
    </row>
    <row r="658" spans="1:24">
      <c r="B658" t="s">
        <v>197</v>
      </c>
      <c r="C658" t="s">
        <v>197</v>
      </c>
      <c r="D658" t="s">
        <v>197</v>
      </c>
      <c r="E658" t="s">
        <v>197</v>
      </c>
      <c r="F658" t="s">
        <v>197</v>
      </c>
      <c r="G658" t="s">
        <v>197</v>
      </c>
      <c r="H658" t="s">
        <v>197</v>
      </c>
      <c r="I658" t="s">
        <v>197</v>
      </c>
      <c r="J658" t="s">
        <v>197</v>
      </c>
      <c r="K658" t="s">
        <v>802</v>
      </c>
    </row>
    <row r="659" spans="1:24">
      <c r="B659" t="s">
        <v>197</v>
      </c>
      <c r="C659" t="s">
        <v>197</v>
      </c>
      <c r="D659" t="s">
        <v>197</v>
      </c>
      <c r="E659" t="s">
        <v>197</v>
      </c>
      <c r="F659" t="s">
        <v>197</v>
      </c>
      <c r="G659" t="s">
        <v>197</v>
      </c>
      <c r="H659" t="s">
        <v>197</v>
      </c>
      <c r="I659" t="s">
        <v>197</v>
      </c>
      <c r="J659" t="s">
        <v>197</v>
      </c>
      <c r="K659" t="s">
        <v>803</v>
      </c>
    </row>
    <row r="660" spans="1:24">
      <c r="B660" t="s">
        <v>197</v>
      </c>
      <c r="C660" t="s">
        <v>197</v>
      </c>
      <c r="D660" t="s">
        <v>197</v>
      </c>
      <c r="E660" t="s">
        <v>197</v>
      </c>
      <c r="F660" t="s">
        <v>197</v>
      </c>
      <c r="G660" t="s">
        <v>197</v>
      </c>
      <c r="H660" t="s">
        <v>197</v>
      </c>
      <c r="I660" t="s">
        <v>197</v>
      </c>
      <c r="J660" t="s">
        <v>197</v>
      </c>
      <c r="K660" t="s">
        <v>804</v>
      </c>
    </row>
    <row r="661" spans="1:24">
      <c r="B661" t="s">
        <v>197</v>
      </c>
      <c r="C661" t="s">
        <v>197</v>
      </c>
      <c r="D661" t="s">
        <v>197</v>
      </c>
      <c r="E661" t="s">
        <v>197</v>
      </c>
      <c r="F661" t="s">
        <v>197</v>
      </c>
      <c r="G661" t="s">
        <v>197</v>
      </c>
      <c r="H661" t="s">
        <v>197</v>
      </c>
      <c r="I661" t="s">
        <v>197</v>
      </c>
      <c r="J661" t="s">
        <v>197</v>
      </c>
      <c r="K661" t="s">
        <v>805</v>
      </c>
    </row>
    <row r="662" spans="1:24">
      <c r="B662" t="s">
        <v>197</v>
      </c>
      <c r="C662" t="s">
        <v>197</v>
      </c>
      <c r="D662" t="s">
        <v>197</v>
      </c>
      <c r="E662" t="s">
        <v>197</v>
      </c>
      <c r="F662" t="s">
        <v>197</v>
      </c>
      <c r="G662" t="s">
        <v>197</v>
      </c>
      <c r="H662" t="s">
        <v>197</v>
      </c>
      <c r="I662" t="s">
        <v>197</v>
      </c>
      <c r="J662" t="s">
        <v>197</v>
      </c>
      <c r="K662" t="s">
        <v>806</v>
      </c>
    </row>
    <row r="663" spans="1:24">
      <c r="B663" t="s">
        <v>197</v>
      </c>
      <c r="C663" t="s">
        <v>197</v>
      </c>
      <c r="D663" t="s">
        <v>197</v>
      </c>
      <c r="E663" t="s">
        <v>197</v>
      </c>
      <c r="F663" t="s">
        <v>197</v>
      </c>
      <c r="G663" t="s">
        <v>197</v>
      </c>
      <c r="H663" t="s">
        <v>197</v>
      </c>
      <c r="I663" t="s">
        <v>197</v>
      </c>
      <c r="J663" t="s">
        <v>197</v>
      </c>
      <c r="K663" t="s">
        <v>807</v>
      </c>
    </row>
    <row r="664" spans="1:24">
      <c r="A664" t="s">
        <v>854</v>
      </c>
      <c r="K664" t="s">
        <v>855</v>
      </c>
      <c r="W664" s="1" t="str">
        <f>HYPERLINK("#2026042015hbase0!BK2","NO 源备存在差异，共50个")</f>
        <v>NO 源备存在差异，共50个</v>
      </c>
      <c r="X664" t="str">
        <f>A664</f>
        <v>info_date_dml_batch2_pk_irp2</v>
      </c>
    </row>
    <row r="665" spans="1:24">
      <c r="B665" t="s">
        <v>196</v>
      </c>
      <c r="C665" t="s">
        <v>197</v>
      </c>
      <c r="D665" t="s">
        <v>197</v>
      </c>
      <c r="E665" t="s">
        <v>197</v>
      </c>
      <c r="F665" t="s">
        <v>197</v>
      </c>
      <c r="G665" t="s">
        <v>197</v>
      </c>
      <c r="H665" t="s">
        <v>197</v>
      </c>
      <c r="I665" t="s">
        <v>856</v>
      </c>
      <c r="J665" t="s">
        <v>199</v>
      </c>
      <c r="K665" t="s">
        <v>200</v>
      </c>
    </row>
    <row r="666" spans="1:24">
      <c r="B666" t="s">
        <v>197</v>
      </c>
      <c r="C666" t="s">
        <v>197</v>
      </c>
      <c r="D666" t="s">
        <v>197</v>
      </c>
      <c r="E666" t="s">
        <v>197</v>
      </c>
      <c r="F666" t="s">
        <v>197</v>
      </c>
      <c r="G666" t="s">
        <v>197</v>
      </c>
      <c r="H666" t="s">
        <v>197</v>
      </c>
      <c r="I666" t="s">
        <v>197</v>
      </c>
      <c r="J666" t="s">
        <v>197</v>
      </c>
      <c r="K666" t="s">
        <v>678</v>
      </c>
    </row>
    <row r="667" spans="1:24">
      <c r="A667" t="s">
        <v>863</v>
      </c>
      <c r="K667" t="s">
        <v>864</v>
      </c>
      <c r="W667" s="1" t="str">
        <f>HYPERLINK("#2026042015hbase0!BL2","NO 源备存在差异，共8个")</f>
        <v>NO 源备存在差异，共8个</v>
      </c>
      <c r="X667" t="str">
        <f>A667</f>
        <v>info_int_dml_single_pk_irp</v>
      </c>
    </row>
    <row r="668" spans="1:24">
      <c r="B668" t="s">
        <v>196</v>
      </c>
      <c r="C668" t="s">
        <v>197</v>
      </c>
      <c r="D668" t="s">
        <v>197</v>
      </c>
      <c r="E668" t="s">
        <v>197</v>
      </c>
      <c r="F668" t="s">
        <v>197</v>
      </c>
      <c r="G668" t="s">
        <v>197</v>
      </c>
      <c r="H668" t="s">
        <v>197</v>
      </c>
      <c r="I668" t="s">
        <v>865</v>
      </c>
      <c r="J668" t="s">
        <v>199</v>
      </c>
      <c r="K668" t="s">
        <v>200</v>
      </c>
    </row>
    <row r="669" spans="1:24">
      <c r="B669" t="s">
        <v>197</v>
      </c>
      <c r="C669" t="s">
        <v>197</v>
      </c>
      <c r="D669" t="s">
        <v>197</v>
      </c>
      <c r="E669" t="s">
        <v>197</v>
      </c>
      <c r="F669" t="s">
        <v>197</v>
      </c>
      <c r="G669" t="s">
        <v>197</v>
      </c>
      <c r="H669" t="s">
        <v>197</v>
      </c>
      <c r="I669" t="s">
        <v>197</v>
      </c>
      <c r="J669" t="s">
        <v>197</v>
      </c>
      <c r="K669" t="s">
        <v>549</v>
      </c>
    </row>
    <row r="670" spans="1:24">
      <c r="B670" t="s">
        <v>197</v>
      </c>
      <c r="C670" t="s">
        <v>197</v>
      </c>
      <c r="D670" t="s">
        <v>197</v>
      </c>
      <c r="E670" t="s">
        <v>197</v>
      </c>
      <c r="F670" t="s">
        <v>197</v>
      </c>
      <c r="G670" t="s">
        <v>197</v>
      </c>
      <c r="H670" t="s">
        <v>197</v>
      </c>
      <c r="I670" t="s">
        <v>197</v>
      </c>
      <c r="J670" t="s">
        <v>197</v>
      </c>
      <c r="K670" t="s">
        <v>550</v>
      </c>
    </row>
    <row r="671" spans="1:24">
      <c r="B671" t="s">
        <v>197</v>
      </c>
      <c r="C671" t="s">
        <v>197</v>
      </c>
      <c r="D671" t="s">
        <v>197</v>
      </c>
      <c r="E671" t="s">
        <v>197</v>
      </c>
      <c r="F671" t="s">
        <v>197</v>
      </c>
      <c r="G671" t="s">
        <v>197</v>
      </c>
      <c r="H671" t="s">
        <v>197</v>
      </c>
      <c r="I671" t="s">
        <v>197</v>
      </c>
      <c r="J671" t="s">
        <v>197</v>
      </c>
      <c r="K671" t="s">
        <v>551</v>
      </c>
    </row>
    <row r="672" spans="1:24">
      <c r="B672" t="s">
        <v>197</v>
      </c>
      <c r="C672" t="s">
        <v>197</v>
      </c>
      <c r="D672" t="s">
        <v>197</v>
      </c>
      <c r="E672" t="s">
        <v>197</v>
      </c>
      <c r="F672" t="s">
        <v>197</v>
      </c>
      <c r="G672" t="s">
        <v>197</v>
      </c>
      <c r="H672" t="s">
        <v>197</v>
      </c>
      <c r="I672" t="s">
        <v>197</v>
      </c>
      <c r="J672" t="s">
        <v>197</v>
      </c>
      <c r="K672" t="s">
        <v>552</v>
      </c>
    </row>
    <row r="673" spans="1:24">
      <c r="B673" t="s">
        <v>197</v>
      </c>
      <c r="C673" t="s">
        <v>197</v>
      </c>
      <c r="D673" t="s">
        <v>197</v>
      </c>
      <c r="E673" t="s">
        <v>197</v>
      </c>
      <c r="F673" t="s">
        <v>197</v>
      </c>
      <c r="G673" t="s">
        <v>197</v>
      </c>
      <c r="H673" t="s">
        <v>197</v>
      </c>
      <c r="I673" t="s">
        <v>197</v>
      </c>
      <c r="J673" t="s">
        <v>197</v>
      </c>
      <c r="K673" t="s">
        <v>553</v>
      </c>
    </row>
    <row r="674" spans="1:24">
      <c r="B674" t="s">
        <v>197</v>
      </c>
      <c r="C674" t="s">
        <v>197</v>
      </c>
      <c r="D674" t="s">
        <v>197</v>
      </c>
      <c r="E674" t="s">
        <v>197</v>
      </c>
      <c r="F674" t="s">
        <v>197</v>
      </c>
      <c r="G674" t="s">
        <v>197</v>
      </c>
      <c r="H674" t="s">
        <v>197</v>
      </c>
      <c r="I674" t="s">
        <v>197</v>
      </c>
      <c r="J674" t="s">
        <v>197</v>
      </c>
      <c r="K674" t="s">
        <v>554</v>
      </c>
    </row>
    <row r="675" spans="1:24">
      <c r="B675" t="s">
        <v>197</v>
      </c>
      <c r="C675" t="s">
        <v>197</v>
      </c>
      <c r="D675" t="s">
        <v>197</v>
      </c>
      <c r="E675" t="s">
        <v>197</v>
      </c>
      <c r="F675" t="s">
        <v>197</v>
      </c>
      <c r="G675" t="s">
        <v>197</v>
      </c>
      <c r="H675" t="s">
        <v>197</v>
      </c>
      <c r="I675" t="s">
        <v>197</v>
      </c>
      <c r="J675" t="s">
        <v>197</v>
      </c>
      <c r="K675" t="s">
        <v>555</v>
      </c>
    </row>
    <row r="676" spans="1:24">
      <c r="B676" t="s">
        <v>197</v>
      </c>
      <c r="C676" t="s">
        <v>197</v>
      </c>
      <c r="D676" t="s">
        <v>197</v>
      </c>
      <c r="E676" t="s">
        <v>197</v>
      </c>
      <c r="F676" t="s">
        <v>197</v>
      </c>
      <c r="G676" t="s">
        <v>197</v>
      </c>
      <c r="H676" t="s">
        <v>197</v>
      </c>
      <c r="I676" t="s">
        <v>197</v>
      </c>
      <c r="J676" t="s">
        <v>197</v>
      </c>
      <c r="K676" t="s">
        <v>556</v>
      </c>
    </row>
    <row r="677" spans="1:24">
      <c r="B677" t="s">
        <v>197</v>
      </c>
      <c r="C677" t="s">
        <v>197</v>
      </c>
      <c r="D677" t="s">
        <v>197</v>
      </c>
      <c r="E677" t="s">
        <v>197</v>
      </c>
      <c r="F677" t="s">
        <v>197</v>
      </c>
      <c r="G677" t="s">
        <v>197</v>
      </c>
      <c r="H677" t="s">
        <v>197</v>
      </c>
      <c r="I677" t="s">
        <v>197</v>
      </c>
      <c r="J677" t="s">
        <v>197</v>
      </c>
      <c r="K677" t="s">
        <v>557</v>
      </c>
    </row>
    <row r="678" spans="1:24">
      <c r="B678" t="s">
        <v>197</v>
      </c>
      <c r="C678" t="s">
        <v>197</v>
      </c>
      <c r="D678" t="s">
        <v>197</v>
      </c>
      <c r="E678" t="s">
        <v>197</v>
      </c>
      <c r="F678" t="s">
        <v>197</v>
      </c>
      <c r="G678" t="s">
        <v>197</v>
      </c>
      <c r="H678" t="s">
        <v>197</v>
      </c>
      <c r="I678" t="s">
        <v>197</v>
      </c>
      <c r="J678" t="s">
        <v>197</v>
      </c>
      <c r="K678" t="s">
        <v>558</v>
      </c>
    </row>
    <row r="679" spans="1:24">
      <c r="B679" t="s">
        <v>197</v>
      </c>
      <c r="C679" t="s">
        <v>197</v>
      </c>
      <c r="D679" t="s">
        <v>197</v>
      </c>
      <c r="E679" t="s">
        <v>197</v>
      </c>
      <c r="F679" t="s">
        <v>197</v>
      </c>
      <c r="G679" t="s">
        <v>197</v>
      </c>
      <c r="H679" t="s">
        <v>197</v>
      </c>
      <c r="I679" t="s">
        <v>197</v>
      </c>
      <c r="J679" t="s">
        <v>197</v>
      </c>
      <c r="K679" t="s">
        <v>559</v>
      </c>
    </row>
    <row r="680" spans="1:24">
      <c r="B680" t="s">
        <v>197</v>
      </c>
      <c r="C680" t="s">
        <v>197</v>
      </c>
      <c r="D680" t="s">
        <v>197</v>
      </c>
      <c r="E680" t="s">
        <v>197</v>
      </c>
      <c r="F680" t="s">
        <v>197</v>
      </c>
      <c r="G680" t="s">
        <v>197</v>
      </c>
      <c r="H680" t="s">
        <v>197</v>
      </c>
      <c r="I680" t="s">
        <v>197</v>
      </c>
      <c r="J680" t="s">
        <v>197</v>
      </c>
      <c r="K680" t="s">
        <v>560</v>
      </c>
    </row>
    <row r="681" spans="1:24">
      <c r="B681" t="s">
        <v>197</v>
      </c>
      <c r="C681" t="s">
        <v>197</v>
      </c>
      <c r="D681" t="s">
        <v>197</v>
      </c>
      <c r="E681" t="s">
        <v>197</v>
      </c>
      <c r="F681" t="s">
        <v>197</v>
      </c>
      <c r="G681" t="s">
        <v>197</v>
      </c>
      <c r="H681" t="s">
        <v>197</v>
      </c>
      <c r="I681" t="s">
        <v>197</v>
      </c>
      <c r="J681" t="s">
        <v>197</v>
      </c>
      <c r="K681" t="s">
        <v>561</v>
      </c>
    </row>
    <row r="682" spans="1:24">
      <c r="B682" t="s">
        <v>197</v>
      </c>
      <c r="C682" t="s">
        <v>197</v>
      </c>
      <c r="D682" t="s">
        <v>197</v>
      </c>
      <c r="E682" t="s">
        <v>197</v>
      </c>
      <c r="F682" t="s">
        <v>197</v>
      </c>
      <c r="G682" t="s">
        <v>197</v>
      </c>
      <c r="H682" t="s">
        <v>197</v>
      </c>
      <c r="I682" t="s">
        <v>197</v>
      </c>
      <c r="J682" t="s">
        <v>197</v>
      </c>
      <c r="K682" t="s">
        <v>562</v>
      </c>
    </row>
    <row r="683" spans="1:24">
      <c r="B683" t="s">
        <v>197</v>
      </c>
      <c r="C683" t="s">
        <v>197</v>
      </c>
      <c r="D683" t="s">
        <v>197</v>
      </c>
      <c r="E683" t="s">
        <v>197</v>
      </c>
      <c r="F683" t="s">
        <v>197</v>
      </c>
      <c r="G683" t="s">
        <v>197</v>
      </c>
      <c r="H683" t="s">
        <v>197</v>
      </c>
      <c r="I683" t="s">
        <v>197</v>
      </c>
      <c r="J683" t="s">
        <v>197</v>
      </c>
      <c r="K683" t="s">
        <v>563</v>
      </c>
    </row>
    <row r="684" spans="1:24">
      <c r="B684" t="s">
        <v>197</v>
      </c>
      <c r="C684" t="s">
        <v>197</v>
      </c>
      <c r="D684" t="s">
        <v>197</v>
      </c>
      <c r="E684" t="s">
        <v>197</v>
      </c>
      <c r="F684" t="s">
        <v>197</v>
      </c>
      <c r="G684" t="s">
        <v>197</v>
      </c>
      <c r="H684" t="s">
        <v>197</v>
      </c>
      <c r="I684" t="s">
        <v>197</v>
      </c>
      <c r="J684" t="s">
        <v>197</v>
      </c>
      <c r="K684" t="s">
        <v>564</v>
      </c>
    </row>
    <row r="685" spans="1:24">
      <c r="B685" t="s">
        <v>197</v>
      </c>
      <c r="C685" t="s">
        <v>197</v>
      </c>
      <c r="D685" t="s">
        <v>197</v>
      </c>
      <c r="E685" t="s">
        <v>197</v>
      </c>
      <c r="F685" t="s">
        <v>197</v>
      </c>
      <c r="G685" t="s">
        <v>197</v>
      </c>
      <c r="H685" t="s">
        <v>197</v>
      </c>
      <c r="I685" t="s">
        <v>197</v>
      </c>
      <c r="J685" t="s">
        <v>197</v>
      </c>
      <c r="K685" t="s">
        <v>565</v>
      </c>
    </row>
    <row r="686" spans="1:24">
      <c r="B686" t="s">
        <v>197</v>
      </c>
      <c r="C686" t="s">
        <v>197</v>
      </c>
      <c r="D686" t="s">
        <v>197</v>
      </c>
      <c r="E686" t="s">
        <v>197</v>
      </c>
      <c r="F686" t="s">
        <v>197</v>
      </c>
      <c r="G686" t="s">
        <v>197</v>
      </c>
      <c r="H686" t="s">
        <v>197</v>
      </c>
      <c r="I686" t="s">
        <v>197</v>
      </c>
      <c r="J686" t="s">
        <v>197</v>
      </c>
      <c r="K686" t="s">
        <v>566</v>
      </c>
    </row>
    <row r="687" spans="1:24">
      <c r="B687" t="s">
        <v>197</v>
      </c>
      <c r="C687" t="s">
        <v>197</v>
      </c>
      <c r="D687" t="s">
        <v>197</v>
      </c>
      <c r="E687" t="s">
        <v>197</v>
      </c>
      <c r="F687" t="s">
        <v>197</v>
      </c>
      <c r="G687" t="s">
        <v>197</v>
      </c>
      <c r="H687" t="s">
        <v>197</v>
      </c>
      <c r="I687" t="s">
        <v>197</v>
      </c>
      <c r="J687" t="s">
        <v>197</v>
      </c>
      <c r="K687" t="s">
        <v>567</v>
      </c>
    </row>
    <row r="688" spans="1:24">
      <c r="A688" t="s">
        <v>866</v>
      </c>
      <c r="K688" t="s">
        <v>867</v>
      </c>
      <c r="W688" s="1" t="str">
        <f>HYPERLINK("#2026042015hbase0!BM2","NO 源备存在差异，共26个")</f>
        <v>NO 源备存在差异，共26个</v>
      </c>
      <c r="X688" t="str">
        <f>A688</f>
        <v>info_sdt_dml_single_pk_irp</v>
      </c>
    </row>
    <row r="689" spans="1:24">
      <c r="B689" t="s">
        <v>196</v>
      </c>
      <c r="C689" t="s">
        <v>197</v>
      </c>
      <c r="D689" t="s">
        <v>197</v>
      </c>
      <c r="E689" t="s">
        <v>197</v>
      </c>
      <c r="F689" t="s">
        <v>197</v>
      </c>
      <c r="G689" t="s">
        <v>197</v>
      </c>
      <c r="H689" t="s">
        <v>197</v>
      </c>
      <c r="I689" t="s">
        <v>868</v>
      </c>
      <c r="J689" t="s">
        <v>199</v>
      </c>
      <c r="K689" t="s">
        <v>200</v>
      </c>
    </row>
    <row r="690" spans="1:24">
      <c r="B690" t="s">
        <v>197</v>
      </c>
      <c r="C690" t="s">
        <v>197</v>
      </c>
      <c r="D690" t="s">
        <v>197</v>
      </c>
      <c r="E690" t="s">
        <v>197</v>
      </c>
      <c r="F690" t="s">
        <v>197</v>
      </c>
      <c r="G690" t="s">
        <v>197</v>
      </c>
      <c r="H690" t="s">
        <v>197</v>
      </c>
      <c r="I690" t="s">
        <v>197</v>
      </c>
      <c r="J690" t="s">
        <v>197</v>
      </c>
      <c r="K690" t="s">
        <v>422</v>
      </c>
    </row>
    <row r="691" spans="1:24">
      <c r="A691" t="s">
        <v>869</v>
      </c>
      <c r="K691" t="s">
        <v>870</v>
      </c>
      <c r="W691" t="s">
        <v>171</v>
      </c>
      <c r="X691" t="str">
        <f>A691</f>
        <v>info_varcharmax_dml_batch1_pk_urp1</v>
      </c>
    </row>
    <row r="692" spans="1:24">
      <c r="B692" t="s">
        <v>196</v>
      </c>
      <c r="C692" t="s">
        <v>197</v>
      </c>
      <c r="D692" t="s">
        <v>197</v>
      </c>
      <c r="E692" t="s">
        <v>197</v>
      </c>
      <c r="F692" t="s">
        <v>197</v>
      </c>
      <c r="G692" t="s">
        <v>197</v>
      </c>
      <c r="H692" t="s">
        <v>197</v>
      </c>
      <c r="I692" t="s">
        <v>871</v>
      </c>
      <c r="J692" t="s">
        <v>199</v>
      </c>
      <c r="K692" t="s">
        <v>200</v>
      </c>
    </row>
    <row r="693" spans="1:24">
      <c r="B693" t="s">
        <v>197</v>
      </c>
      <c r="C693" t="s">
        <v>197</v>
      </c>
      <c r="D693" t="s">
        <v>197</v>
      </c>
      <c r="E693" t="s">
        <v>197</v>
      </c>
      <c r="F693" t="s">
        <v>197</v>
      </c>
      <c r="G693" t="s">
        <v>197</v>
      </c>
      <c r="H693" t="s">
        <v>197</v>
      </c>
      <c r="I693" t="s">
        <v>197</v>
      </c>
      <c r="J693" t="s">
        <v>197</v>
      </c>
      <c r="K693" t="s">
        <v>725</v>
      </c>
    </row>
    <row r="694" spans="1:24">
      <c r="B694" t="s">
        <v>197</v>
      </c>
      <c r="C694" t="s">
        <v>197</v>
      </c>
      <c r="D694" t="s">
        <v>197</v>
      </c>
      <c r="E694" t="s">
        <v>197</v>
      </c>
      <c r="F694" t="s">
        <v>197</v>
      </c>
      <c r="G694" t="s">
        <v>197</v>
      </c>
      <c r="H694" t="s">
        <v>197</v>
      </c>
      <c r="I694" t="s">
        <v>197</v>
      </c>
      <c r="J694" t="s">
        <v>197</v>
      </c>
      <c r="K694" t="s">
        <v>726</v>
      </c>
    </row>
    <row r="695" spans="1:24">
      <c r="K695" t="s">
        <v>443</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s="1" t="str">
        <f>HYPERLINK("#2026042015hbase0!BN2","NO 源备存在差异，共10个")</f>
        <v>NO 源备存在差异，共10个</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884</v>
      </c>
      <c r="K710" t="s">
        <v>885</v>
      </c>
      <c r="W710" s="1" t="str">
        <f>HYPERLINK("#2026042015hbase0!BO2","NO 源备存在差异，共12个")</f>
        <v>NO 源备存在差异，共12个</v>
      </c>
      <c r="X710" t="str">
        <f>A710</f>
        <v>info_sdt_dml_single_pk_drp</v>
      </c>
    </row>
    <row r="711" spans="1:24">
      <c r="B711" t="s">
        <v>196</v>
      </c>
      <c r="C711" t="s">
        <v>197</v>
      </c>
      <c r="D711" t="s">
        <v>197</v>
      </c>
      <c r="E711" t="s">
        <v>197</v>
      </c>
      <c r="F711" t="s">
        <v>197</v>
      </c>
      <c r="G711" t="s">
        <v>197</v>
      </c>
      <c r="H711" t="s">
        <v>197</v>
      </c>
      <c r="I711" t="s">
        <v>886</v>
      </c>
      <c r="J711" t="s">
        <v>199</v>
      </c>
      <c r="K711" t="s">
        <v>200</v>
      </c>
    </row>
    <row r="712" spans="1:24">
      <c r="B712" t="s">
        <v>197</v>
      </c>
      <c r="C712" t="s">
        <v>197</v>
      </c>
      <c r="D712" t="s">
        <v>197</v>
      </c>
      <c r="E712" t="s">
        <v>197</v>
      </c>
      <c r="F712" t="s">
        <v>197</v>
      </c>
      <c r="G712" t="s">
        <v>197</v>
      </c>
      <c r="H712" t="s">
        <v>197</v>
      </c>
      <c r="I712" t="s">
        <v>197</v>
      </c>
      <c r="J712" t="s">
        <v>197</v>
      </c>
      <c r="K712" t="s">
        <v>422</v>
      </c>
    </row>
    <row r="713" spans="1:24">
      <c r="A713" t="s">
        <v>881</v>
      </c>
      <c r="K713" t="s">
        <v>882</v>
      </c>
      <c r="W713" t="s">
        <v>171</v>
      </c>
      <c r="X713" t="str">
        <f>A713</f>
        <v>info_varcharmax_dml_single_pk_irp</v>
      </c>
    </row>
    <row r="714" spans="1:24">
      <c r="B714" t="s">
        <v>196</v>
      </c>
      <c r="C714" t="s">
        <v>197</v>
      </c>
      <c r="D714" t="s">
        <v>197</v>
      </c>
      <c r="E714" t="s">
        <v>197</v>
      </c>
      <c r="F714" t="s">
        <v>197</v>
      </c>
      <c r="G714" t="s">
        <v>197</v>
      </c>
      <c r="H714" t="s">
        <v>197</v>
      </c>
      <c r="I714" t="s">
        <v>883</v>
      </c>
      <c r="J714" t="s">
        <v>199</v>
      </c>
      <c r="K714" t="s">
        <v>200</v>
      </c>
    </row>
    <row r="715" spans="1:24">
      <c r="B715" t="s">
        <v>197</v>
      </c>
      <c r="C715" t="s">
        <v>197</v>
      </c>
      <c r="D715" t="s">
        <v>197</v>
      </c>
      <c r="E715" t="s">
        <v>197</v>
      </c>
      <c r="F715" t="s">
        <v>197</v>
      </c>
      <c r="G715" t="s">
        <v>197</v>
      </c>
      <c r="H715" t="s">
        <v>197</v>
      </c>
      <c r="I715" t="s">
        <v>197</v>
      </c>
      <c r="J715" t="s">
        <v>197</v>
      </c>
      <c r="K715" t="s">
        <v>725</v>
      </c>
    </row>
    <row r="716" spans="1:24">
      <c r="B716" t="s">
        <v>197</v>
      </c>
      <c r="C716" t="s">
        <v>197</v>
      </c>
      <c r="D716" t="s">
        <v>197</v>
      </c>
      <c r="E716" t="s">
        <v>197</v>
      </c>
      <c r="F716" t="s">
        <v>197</v>
      </c>
      <c r="G716" t="s">
        <v>197</v>
      </c>
      <c r="H716" t="s">
        <v>197</v>
      </c>
      <c r="I716" t="s">
        <v>197</v>
      </c>
      <c r="J716" t="s">
        <v>197</v>
      </c>
      <c r="K716" t="s">
        <v>726</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890</v>
      </c>
      <c r="K722" t="s">
        <v>891</v>
      </c>
      <c r="W722" s="1" t="str">
        <f>HYPERLINK("#2026042015hbase0!BP2","NO 源备存在差异，共2个")</f>
        <v>NO 源备存在差异，共2个</v>
      </c>
      <c r="X722" t="str">
        <f>A722</f>
        <v>info_sdt_dml_single_pk</v>
      </c>
    </row>
    <row r="723" spans="1:24">
      <c r="B723" t="s">
        <v>196</v>
      </c>
      <c r="C723" t="s">
        <v>197</v>
      </c>
      <c r="D723" t="s">
        <v>197</v>
      </c>
      <c r="E723" t="s">
        <v>197</v>
      </c>
      <c r="F723" t="s">
        <v>197</v>
      </c>
      <c r="G723" t="s">
        <v>197</v>
      </c>
      <c r="H723" t="s">
        <v>197</v>
      </c>
      <c r="I723" t="s">
        <v>892</v>
      </c>
      <c r="J723" t="s">
        <v>199</v>
      </c>
      <c r="K723" t="s">
        <v>200</v>
      </c>
    </row>
    <row r="724" spans="1:24">
      <c r="B724" t="s">
        <v>197</v>
      </c>
      <c r="C724" t="s">
        <v>197</v>
      </c>
      <c r="D724" t="s">
        <v>197</v>
      </c>
      <c r="E724" t="s">
        <v>197</v>
      </c>
      <c r="F724" t="s">
        <v>197</v>
      </c>
      <c r="G724" t="s">
        <v>197</v>
      </c>
      <c r="H724" t="s">
        <v>197</v>
      </c>
      <c r="I724" t="s">
        <v>197</v>
      </c>
      <c r="J724" t="s">
        <v>197</v>
      </c>
      <c r="K724" t="s">
        <v>422</v>
      </c>
    </row>
    <row r="725" spans="1:24">
      <c r="A725" t="s">
        <v>893</v>
      </c>
      <c r="K725" t="s">
        <v>894</v>
      </c>
      <c r="W725" s="1" t="str">
        <f>HYPERLINK("#2026042015hbase0!BQ2","NO 源备存在差异，共4个")</f>
        <v>NO 源备存在差异，共4个</v>
      </c>
      <c r="X725" t="str">
        <f>A725</f>
        <v>info_int_dml_single_pk_urp</v>
      </c>
    </row>
    <row r="726" spans="1:24">
      <c r="B726" t="s">
        <v>196</v>
      </c>
      <c r="C726" t="s">
        <v>197</v>
      </c>
      <c r="D726" t="s">
        <v>197</v>
      </c>
      <c r="E726" t="s">
        <v>197</v>
      </c>
      <c r="F726" t="s">
        <v>197</v>
      </c>
      <c r="G726" t="s">
        <v>197</v>
      </c>
      <c r="H726" t="s">
        <v>197</v>
      </c>
      <c r="I726" t="s">
        <v>895</v>
      </c>
      <c r="J726" t="s">
        <v>199</v>
      </c>
      <c r="K726" t="s">
        <v>200</v>
      </c>
    </row>
    <row r="727" spans="1:24">
      <c r="B727" t="s">
        <v>197</v>
      </c>
      <c r="C727" t="s">
        <v>197</v>
      </c>
      <c r="D727" t="s">
        <v>197</v>
      </c>
      <c r="E727" t="s">
        <v>197</v>
      </c>
      <c r="F727" t="s">
        <v>197</v>
      </c>
      <c r="G727" t="s">
        <v>197</v>
      </c>
      <c r="H727" t="s">
        <v>197</v>
      </c>
      <c r="I727" t="s">
        <v>197</v>
      </c>
      <c r="J727" t="s">
        <v>197</v>
      </c>
      <c r="K727" t="s">
        <v>549</v>
      </c>
    </row>
    <row r="728" spans="1:24">
      <c r="B728" t="s">
        <v>197</v>
      </c>
      <c r="C728" t="s">
        <v>197</v>
      </c>
      <c r="D728" t="s">
        <v>197</v>
      </c>
      <c r="E728" t="s">
        <v>197</v>
      </c>
      <c r="F728" t="s">
        <v>197</v>
      </c>
      <c r="G728" t="s">
        <v>197</v>
      </c>
      <c r="H728" t="s">
        <v>197</v>
      </c>
      <c r="I728" t="s">
        <v>197</v>
      </c>
      <c r="J728" t="s">
        <v>197</v>
      </c>
      <c r="K728" t="s">
        <v>550</v>
      </c>
    </row>
    <row r="729" spans="1:24">
      <c r="B729" t="s">
        <v>197</v>
      </c>
      <c r="C729" t="s">
        <v>197</v>
      </c>
      <c r="D729" t="s">
        <v>197</v>
      </c>
      <c r="E729" t="s">
        <v>197</v>
      </c>
      <c r="F729" t="s">
        <v>197</v>
      </c>
      <c r="G729" t="s">
        <v>197</v>
      </c>
      <c r="H729" t="s">
        <v>197</v>
      </c>
      <c r="I729" t="s">
        <v>197</v>
      </c>
      <c r="J729" t="s">
        <v>197</v>
      </c>
      <c r="K729" t="s">
        <v>551</v>
      </c>
    </row>
    <row r="730" spans="1:24">
      <c r="B730" t="s">
        <v>197</v>
      </c>
      <c r="C730" t="s">
        <v>197</v>
      </c>
      <c r="D730" t="s">
        <v>197</v>
      </c>
      <c r="E730" t="s">
        <v>197</v>
      </c>
      <c r="F730" t="s">
        <v>197</v>
      </c>
      <c r="G730" t="s">
        <v>197</v>
      </c>
      <c r="H730" t="s">
        <v>197</v>
      </c>
      <c r="I730" t="s">
        <v>197</v>
      </c>
      <c r="J730" t="s">
        <v>197</v>
      </c>
      <c r="K730" t="s">
        <v>552</v>
      </c>
    </row>
    <row r="731" spans="1:24">
      <c r="B731" t="s">
        <v>197</v>
      </c>
      <c r="C731" t="s">
        <v>197</v>
      </c>
      <c r="D731" t="s">
        <v>197</v>
      </c>
      <c r="E731" t="s">
        <v>197</v>
      </c>
      <c r="F731" t="s">
        <v>197</v>
      </c>
      <c r="G731" t="s">
        <v>197</v>
      </c>
      <c r="H731" t="s">
        <v>197</v>
      </c>
      <c r="I731" t="s">
        <v>197</v>
      </c>
      <c r="J731" t="s">
        <v>197</v>
      </c>
      <c r="K731" t="s">
        <v>553</v>
      </c>
    </row>
    <row r="732" spans="1:24">
      <c r="B732" t="s">
        <v>197</v>
      </c>
      <c r="C732" t="s">
        <v>197</v>
      </c>
      <c r="D732" t="s">
        <v>197</v>
      </c>
      <c r="E732" t="s">
        <v>197</v>
      </c>
      <c r="F732" t="s">
        <v>197</v>
      </c>
      <c r="G732" t="s">
        <v>197</v>
      </c>
      <c r="H732" t="s">
        <v>197</v>
      </c>
      <c r="I732" t="s">
        <v>197</v>
      </c>
      <c r="J732" t="s">
        <v>197</v>
      </c>
      <c r="K732" t="s">
        <v>554</v>
      </c>
    </row>
    <row r="733" spans="1:24">
      <c r="B733" t="s">
        <v>197</v>
      </c>
      <c r="C733" t="s">
        <v>197</v>
      </c>
      <c r="D733" t="s">
        <v>197</v>
      </c>
      <c r="E733" t="s">
        <v>197</v>
      </c>
      <c r="F733" t="s">
        <v>197</v>
      </c>
      <c r="G733" t="s">
        <v>197</v>
      </c>
      <c r="H733" t="s">
        <v>197</v>
      </c>
      <c r="I733" t="s">
        <v>197</v>
      </c>
      <c r="J733" t="s">
        <v>197</v>
      </c>
      <c r="K733" t="s">
        <v>555</v>
      </c>
    </row>
    <row r="734" spans="1:24">
      <c r="B734" t="s">
        <v>197</v>
      </c>
      <c r="C734" t="s">
        <v>197</v>
      </c>
      <c r="D734" t="s">
        <v>197</v>
      </c>
      <c r="E734" t="s">
        <v>197</v>
      </c>
      <c r="F734" t="s">
        <v>197</v>
      </c>
      <c r="G734" t="s">
        <v>197</v>
      </c>
      <c r="H734" t="s">
        <v>197</v>
      </c>
      <c r="I734" t="s">
        <v>197</v>
      </c>
      <c r="J734" t="s">
        <v>197</v>
      </c>
      <c r="K734" t="s">
        <v>556</v>
      </c>
    </row>
    <row r="735" spans="1:24">
      <c r="B735" t="s">
        <v>197</v>
      </c>
      <c r="C735" t="s">
        <v>197</v>
      </c>
      <c r="D735" t="s">
        <v>197</v>
      </c>
      <c r="E735" t="s">
        <v>197</v>
      </c>
      <c r="F735" t="s">
        <v>197</v>
      </c>
      <c r="G735" t="s">
        <v>197</v>
      </c>
      <c r="H735" t="s">
        <v>197</v>
      </c>
      <c r="I735" t="s">
        <v>197</v>
      </c>
      <c r="J735" t="s">
        <v>197</v>
      </c>
      <c r="K735" t="s">
        <v>557</v>
      </c>
    </row>
    <row r="736" spans="1:24">
      <c r="B736" t="s">
        <v>197</v>
      </c>
      <c r="C736" t="s">
        <v>197</v>
      </c>
      <c r="D736" t="s">
        <v>197</v>
      </c>
      <c r="E736" t="s">
        <v>197</v>
      </c>
      <c r="F736" t="s">
        <v>197</v>
      </c>
      <c r="G736" t="s">
        <v>197</v>
      </c>
      <c r="H736" t="s">
        <v>197</v>
      </c>
      <c r="I736" t="s">
        <v>197</v>
      </c>
      <c r="J736" t="s">
        <v>197</v>
      </c>
      <c r="K736" t="s">
        <v>558</v>
      </c>
    </row>
    <row r="737" spans="1:24">
      <c r="B737" t="s">
        <v>197</v>
      </c>
      <c r="C737" t="s">
        <v>197</v>
      </c>
      <c r="D737" t="s">
        <v>197</v>
      </c>
      <c r="E737" t="s">
        <v>197</v>
      </c>
      <c r="F737" t="s">
        <v>197</v>
      </c>
      <c r="G737" t="s">
        <v>197</v>
      </c>
      <c r="H737" t="s">
        <v>197</v>
      </c>
      <c r="I737" t="s">
        <v>197</v>
      </c>
      <c r="J737" t="s">
        <v>197</v>
      </c>
      <c r="K737" t="s">
        <v>559</v>
      </c>
    </row>
    <row r="738" spans="1:24">
      <c r="B738" t="s">
        <v>197</v>
      </c>
      <c r="C738" t="s">
        <v>197</v>
      </c>
      <c r="D738" t="s">
        <v>197</v>
      </c>
      <c r="E738" t="s">
        <v>197</v>
      </c>
      <c r="F738" t="s">
        <v>197</v>
      </c>
      <c r="G738" t="s">
        <v>197</v>
      </c>
      <c r="H738" t="s">
        <v>197</v>
      </c>
      <c r="I738" t="s">
        <v>197</v>
      </c>
      <c r="J738" t="s">
        <v>197</v>
      </c>
      <c r="K738" t="s">
        <v>560</v>
      </c>
    </row>
    <row r="739" spans="1:24">
      <c r="B739" t="s">
        <v>197</v>
      </c>
      <c r="C739" t="s">
        <v>197</v>
      </c>
      <c r="D739" t="s">
        <v>197</v>
      </c>
      <c r="E739" t="s">
        <v>197</v>
      </c>
      <c r="F739" t="s">
        <v>197</v>
      </c>
      <c r="G739" t="s">
        <v>197</v>
      </c>
      <c r="H739" t="s">
        <v>197</v>
      </c>
      <c r="I739" t="s">
        <v>197</v>
      </c>
      <c r="J739" t="s">
        <v>197</v>
      </c>
      <c r="K739" t="s">
        <v>561</v>
      </c>
    </row>
    <row r="740" spans="1:24">
      <c r="B740" t="s">
        <v>197</v>
      </c>
      <c r="C740" t="s">
        <v>197</v>
      </c>
      <c r="D740" t="s">
        <v>197</v>
      </c>
      <c r="E740" t="s">
        <v>197</v>
      </c>
      <c r="F740" t="s">
        <v>197</v>
      </c>
      <c r="G740" t="s">
        <v>197</v>
      </c>
      <c r="H740" t="s">
        <v>197</v>
      </c>
      <c r="I740" t="s">
        <v>197</v>
      </c>
      <c r="J740" t="s">
        <v>197</v>
      </c>
      <c r="K740" t="s">
        <v>562</v>
      </c>
    </row>
    <row r="741" spans="1:24">
      <c r="B741" t="s">
        <v>197</v>
      </c>
      <c r="C741" t="s">
        <v>197</v>
      </c>
      <c r="D741" t="s">
        <v>197</v>
      </c>
      <c r="E741" t="s">
        <v>197</v>
      </c>
      <c r="F741" t="s">
        <v>197</v>
      </c>
      <c r="G741" t="s">
        <v>197</v>
      </c>
      <c r="H741" t="s">
        <v>197</v>
      </c>
      <c r="I741" t="s">
        <v>197</v>
      </c>
      <c r="J741" t="s">
        <v>197</v>
      </c>
      <c r="K741" t="s">
        <v>563</v>
      </c>
    </row>
    <row r="742" spans="1:24">
      <c r="B742" t="s">
        <v>197</v>
      </c>
      <c r="C742" t="s">
        <v>197</v>
      </c>
      <c r="D742" t="s">
        <v>197</v>
      </c>
      <c r="E742" t="s">
        <v>197</v>
      </c>
      <c r="F742" t="s">
        <v>197</v>
      </c>
      <c r="G742" t="s">
        <v>197</v>
      </c>
      <c r="H742" t="s">
        <v>197</v>
      </c>
      <c r="I742" t="s">
        <v>197</v>
      </c>
      <c r="J742" t="s">
        <v>197</v>
      </c>
      <c r="K742" t="s">
        <v>564</v>
      </c>
    </row>
    <row r="743" spans="1:24">
      <c r="B743" t="s">
        <v>197</v>
      </c>
      <c r="C743" t="s">
        <v>197</v>
      </c>
      <c r="D743" t="s">
        <v>197</v>
      </c>
      <c r="E743" t="s">
        <v>197</v>
      </c>
      <c r="F743" t="s">
        <v>197</v>
      </c>
      <c r="G743" t="s">
        <v>197</v>
      </c>
      <c r="H743" t="s">
        <v>197</v>
      </c>
      <c r="I743" t="s">
        <v>197</v>
      </c>
      <c r="J743" t="s">
        <v>197</v>
      </c>
      <c r="K743" t="s">
        <v>565</v>
      </c>
    </row>
    <row r="744" spans="1:24">
      <c r="B744" t="s">
        <v>197</v>
      </c>
      <c r="C744" t="s">
        <v>197</v>
      </c>
      <c r="D744" t="s">
        <v>197</v>
      </c>
      <c r="E744" t="s">
        <v>197</v>
      </c>
      <c r="F744" t="s">
        <v>197</v>
      </c>
      <c r="G744" t="s">
        <v>197</v>
      </c>
      <c r="H744" t="s">
        <v>197</v>
      </c>
      <c r="I744" t="s">
        <v>197</v>
      </c>
      <c r="J744" t="s">
        <v>197</v>
      </c>
      <c r="K744" t="s">
        <v>566</v>
      </c>
    </row>
    <row r="745" spans="1:24">
      <c r="B745" t="s">
        <v>197</v>
      </c>
      <c r="C745" t="s">
        <v>197</v>
      </c>
      <c r="D745" t="s">
        <v>197</v>
      </c>
      <c r="E745" t="s">
        <v>197</v>
      </c>
      <c r="F745" t="s">
        <v>197</v>
      </c>
      <c r="G745" t="s">
        <v>197</v>
      </c>
      <c r="H745" t="s">
        <v>197</v>
      </c>
      <c r="I745" t="s">
        <v>197</v>
      </c>
      <c r="J745" t="s">
        <v>197</v>
      </c>
      <c r="K745" t="s">
        <v>567</v>
      </c>
    </row>
    <row r="746" spans="1:24">
      <c r="A746" t="s">
        <v>896</v>
      </c>
      <c r="K746" t="s">
        <v>897</v>
      </c>
      <c r="W746" t="s">
        <v>171</v>
      </c>
      <c r="X746" t="str">
        <f>A746</f>
        <v>info_char_dml_batch1_pk</v>
      </c>
    </row>
    <row r="747" spans="1:24">
      <c r="B747" t="s">
        <v>196</v>
      </c>
      <c r="C747" t="s">
        <v>197</v>
      </c>
      <c r="D747" t="s">
        <v>197</v>
      </c>
      <c r="E747" t="s">
        <v>197</v>
      </c>
      <c r="F747" t="s">
        <v>197</v>
      </c>
      <c r="G747" t="s">
        <v>197</v>
      </c>
      <c r="H747" t="s">
        <v>197</v>
      </c>
      <c r="I747" t="s">
        <v>898</v>
      </c>
      <c r="J747" t="s">
        <v>199</v>
      </c>
      <c r="K747" t="s">
        <v>200</v>
      </c>
    </row>
    <row r="748" spans="1:24">
      <c r="B748" t="s">
        <v>197</v>
      </c>
      <c r="C748" t="s">
        <v>197</v>
      </c>
      <c r="D748" t="s">
        <v>197</v>
      </c>
      <c r="E748" t="s">
        <v>197</v>
      </c>
      <c r="F748" t="s">
        <v>197</v>
      </c>
      <c r="G748" t="s">
        <v>197</v>
      </c>
      <c r="H748" t="s">
        <v>197</v>
      </c>
      <c r="I748" t="s">
        <v>197</v>
      </c>
      <c r="J748" t="s">
        <v>197</v>
      </c>
      <c r="K748" t="s">
        <v>622</v>
      </c>
    </row>
    <row r="749" spans="1:24">
      <c r="B749" t="s">
        <v>197</v>
      </c>
      <c r="C749" t="s">
        <v>197</v>
      </c>
      <c r="D749" t="s">
        <v>197</v>
      </c>
      <c r="E749" t="s">
        <v>197</v>
      </c>
      <c r="F749" t="s">
        <v>197</v>
      </c>
      <c r="G749" t="s">
        <v>197</v>
      </c>
      <c r="H749" t="s">
        <v>197</v>
      </c>
      <c r="I749" t="s">
        <v>197</v>
      </c>
      <c r="J749" t="s">
        <v>197</v>
      </c>
      <c r="K749" t="s">
        <v>623</v>
      </c>
    </row>
    <row r="750" spans="1:24">
      <c r="B750" t="s">
        <v>197</v>
      </c>
      <c r="C750" t="s">
        <v>197</v>
      </c>
      <c r="D750" t="s">
        <v>197</v>
      </c>
      <c r="E750" t="s">
        <v>197</v>
      </c>
      <c r="F750" t="s">
        <v>197</v>
      </c>
      <c r="G750" t="s">
        <v>197</v>
      </c>
      <c r="H750" t="s">
        <v>197</v>
      </c>
      <c r="I750" t="s">
        <v>197</v>
      </c>
      <c r="J750" t="s">
        <v>197</v>
      </c>
      <c r="K750" t="s">
        <v>832</v>
      </c>
    </row>
    <row r="751" spans="1:24">
      <c r="A751" t="s">
        <v>899</v>
      </c>
      <c r="K751" t="s">
        <v>900</v>
      </c>
      <c r="W751" t="s">
        <v>171</v>
      </c>
      <c r="X751" t="str">
        <f>A751</f>
        <v>info_varcharmax_dml_single_pk_urp</v>
      </c>
    </row>
    <row r="752" spans="1:24">
      <c r="B752" t="s">
        <v>196</v>
      </c>
      <c r="C752" t="s">
        <v>197</v>
      </c>
      <c r="D752" t="s">
        <v>197</v>
      </c>
      <c r="E752" t="s">
        <v>197</v>
      </c>
      <c r="F752" t="s">
        <v>197</v>
      </c>
      <c r="G752" t="s">
        <v>197</v>
      </c>
      <c r="H752" t="s">
        <v>197</v>
      </c>
      <c r="I752" t="s">
        <v>901</v>
      </c>
      <c r="J752" t="s">
        <v>199</v>
      </c>
      <c r="K752" t="s">
        <v>200</v>
      </c>
    </row>
    <row r="753" spans="1:24">
      <c r="B753" t="s">
        <v>197</v>
      </c>
      <c r="C753" t="s">
        <v>197</v>
      </c>
      <c r="D753" t="s">
        <v>197</v>
      </c>
      <c r="E753" t="s">
        <v>197</v>
      </c>
      <c r="F753" t="s">
        <v>197</v>
      </c>
      <c r="G753" t="s">
        <v>197</v>
      </c>
      <c r="H753" t="s">
        <v>197</v>
      </c>
      <c r="I753" t="s">
        <v>197</v>
      </c>
      <c r="J753" t="s">
        <v>197</v>
      </c>
      <c r="K753" t="s">
        <v>725</v>
      </c>
    </row>
    <row r="754" spans="1:24">
      <c r="B754" t="s">
        <v>197</v>
      </c>
      <c r="C754" t="s">
        <v>197</v>
      </c>
      <c r="D754" t="s">
        <v>197</v>
      </c>
      <c r="E754" t="s">
        <v>197</v>
      </c>
      <c r="F754" t="s">
        <v>197</v>
      </c>
      <c r="G754" t="s">
        <v>197</v>
      </c>
      <c r="H754" t="s">
        <v>197</v>
      </c>
      <c r="I754" t="s">
        <v>197</v>
      </c>
      <c r="J754" t="s">
        <v>197</v>
      </c>
      <c r="K754" t="s">
        <v>726</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914</v>
      </c>
      <c r="K766" t="s">
        <v>915</v>
      </c>
      <c r="W766" s="1" t="str">
        <f>HYPERLINK("#2026042015hbase0!BR2","NO 源备存在差异，共22个")</f>
        <v>NO 源备存在差异，共22个</v>
      </c>
      <c r="X766" t="str">
        <f>A766</f>
        <v>info_date_dml_batch1_pk_urp1</v>
      </c>
    </row>
    <row r="767" spans="1:24">
      <c r="B767" t="s">
        <v>196</v>
      </c>
      <c r="C767" t="s">
        <v>197</v>
      </c>
      <c r="D767" t="s">
        <v>197</v>
      </c>
      <c r="E767" t="s">
        <v>197</v>
      </c>
      <c r="F767" t="s">
        <v>197</v>
      </c>
      <c r="G767" t="s">
        <v>197</v>
      </c>
      <c r="H767" t="s">
        <v>197</v>
      </c>
      <c r="I767" t="s">
        <v>916</v>
      </c>
      <c r="J767" t="s">
        <v>199</v>
      </c>
      <c r="K767" t="s">
        <v>200</v>
      </c>
    </row>
    <row r="768" spans="1:24">
      <c r="B768" t="s">
        <v>197</v>
      </c>
      <c r="C768" t="s">
        <v>197</v>
      </c>
      <c r="D768" t="s">
        <v>197</v>
      </c>
      <c r="E768" t="s">
        <v>197</v>
      </c>
      <c r="F768" t="s">
        <v>197</v>
      </c>
      <c r="G768" t="s">
        <v>197</v>
      </c>
      <c r="H768" t="s">
        <v>197</v>
      </c>
      <c r="I768" t="s">
        <v>197</v>
      </c>
      <c r="J768" t="s">
        <v>197</v>
      </c>
      <c r="K768" t="s">
        <v>678</v>
      </c>
    </row>
    <row r="769" spans="1:24">
      <c r="A769" t="s">
        <v>908</v>
      </c>
      <c r="K769" t="s">
        <v>909</v>
      </c>
      <c r="W769" t="s">
        <v>171</v>
      </c>
      <c r="X769" t="str">
        <f>A769</f>
        <v>info_binary_dml_batch1_pk_drp1</v>
      </c>
    </row>
    <row r="770" spans="1:24">
      <c r="B770" t="s">
        <v>196</v>
      </c>
      <c r="C770" t="s">
        <v>197</v>
      </c>
      <c r="D770" t="s">
        <v>197</v>
      </c>
      <c r="E770" t="s">
        <v>197</v>
      </c>
      <c r="F770" t="s">
        <v>197</v>
      </c>
      <c r="G770" t="s">
        <v>197</v>
      </c>
      <c r="H770" t="s">
        <v>197</v>
      </c>
      <c r="I770" t="s">
        <v>910</v>
      </c>
      <c r="J770" t="s">
        <v>199</v>
      </c>
      <c r="K770" t="s">
        <v>200</v>
      </c>
    </row>
    <row r="771" spans="1:24">
      <c r="B771" t="s">
        <v>197</v>
      </c>
      <c r="C771" t="s">
        <v>197</v>
      </c>
      <c r="D771" t="s">
        <v>197</v>
      </c>
      <c r="E771" t="s">
        <v>197</v>
      </c>
      <c r="F771" t="s">
        <v>197</v>
      </c>
      <c r="G771" t="s">
        <v>197</v>
      </c>
      <c r="H771" t="s">
        <v>197</v>
      </c>
      <c r="I771" t="s">
        <v>197</v>
      </c>
      <c r="J771" t="s">
        <v>197</v>
      </c>
      <c r="K771" t="s">
        <v>691</v>
      </c>
    </row>
    <row r="772" spans="1:24">
      <c r="B772" t="s">
        <v>197</v>
      </c>
      <c r="C772" t="s">
        <v>197</v>
      </c>
      <c r="D772" t="s">
        <v>197</v>
      </c>
      <c r="E772" t="s">
        <v>197</v>
      </c>
      <c r="F772" t="s">
        <v>197</v>
      </c>
      <c r="G772" t="s">
        <v>197</v>
      </c>
      <c r="H772" t="s">
        <v>197</v>
      </c>
      <c r="I772" t="s">
        <v>197</v>
      </c>
      <c r="J772" t="s">
        <v>197</v>
      </c>
      <c r="K772" t="s">
        <v>692</v>
      </c>
    </row>
    <row r="773" spans="1:24">
      <c r="B773" t="s">
        <v>197</v>
      </c>
      <c r="C773" t="s">
        <v>197</v>
      </c>
      <c r="D773" t="s">
        <v>197</v>
      </c>
      <c r="E773" t="s">
        <v>197</v>
      </c>
      <c r="F773" t="s">
        <v>197</v>
      </c>
      <c r="G773" t="s">
        <v>197</v>
      </c>
      <c r="H773" t="s">
        <v>197</v>
      </c>
      <c r="I773" t="s">
        <v>197</v>
      </c>
      <c r="J773" t="s">
        <v>197</v>
      </c>
      <c r="K773" t="s">
        <v>693</v>
      </c>
    </row>
    <row r="774" spans="1:24">
      <c r="K774" t="s">
        <v>443</v>
      </c>
    </row>
    <row r="775" spans="1:24">
      <c r="A775" t="s">
        <v>917</v>
      </c>
      <c r="K775" t="s">
        <v>918</v>
      </c>
      <c r="W775" s="1" t="str">
        <f>HYPERLINK("#2026042015hbase0!BS2","NO 源备存在差异，共22个")</f>
        <v>NO 源备存在差异，共22个</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s="1" t="str">
        <f>HYPERLINK("#2026042015hbase0!BT2","NO 源备存在差异，共46个")</f>
        <v>NO 源备存在差异，共46个</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s="1" t="str">
        <f>HYPERLINK("#2026042015hbase0!BU2","NO 源备存在差异，共6个")</f>
        <v>NO 源备存在差异，共6个</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935</v>
      </c>
      <c r="K811" t="s">
        <v>936</v>
      </c>
      <c r="W811" t="s">
        <v>171</v>
      </c>
      <c r="X811" t="str">
        <f>A811</f>
        <v>info_int_dml_single_pk</v>
      </c>
    </row>
    <row r="812" spans="1:24">
      <c r="B812" t="s">
        <v>196</v>
      </c>
      <c r="C812" t="s">
        <v>197</v>
      </c>
      <c r="D812" t="s">
        <v>197</v>
      </c>
      <c r="E812" t="s">
        <v>197</v>
      </c>
      <c r="F812" t="s">
        <v>197</v>
      </c>
      <c r="G812" t="s">
        <v>197</v>
      </c>
      <c r="H812" t="s">
        <v>197</v>
      </c>
      <c r="I812" t="s">
        <v>937</v>
      </c>
      <c r="J812" t="s">
        <v>199</v>
      </c>
      <c r="K812" t="s">
        <v>200</v>
      </c>
    </row>
    <row r="813" spans="1:24">
      <c r="B813" t="s">
        <v>197</v>
      </c>
      <c r="C813" t="s">
        <v>197</v>
      </c>
      <c r="D813" t="s">
        <v>197</v>
      </c>
      <c r="E813" t="s">
        <v>197</v>
      </c>
      <c r="F813" t="s">
        <v>197</v>
      </c>
      <c r="G813" t="s">
        <v>197</v>
      </c>
      <c r="H813" t="s">
        <v>197</v>
      </c>
      <c r="I813" t="s">
        <v>197</v>
      </c>
      <c r="J813" t="s">
        <v>197</v>
      </c>
      <c r="K813" t="s">
        <v>549</v>
      </c>
    </row>
    <row r="814" spans="1:24">
      <c r="B814" t="s">
        <v>197</v>
      </c>
      <c r="C814" t="s">
        <v>197</v>
      </c>
      <c r="D814" t="s">
        <v>197</v>
      </c>
      <c r="E814" t="s">
        <v>197</v>
      </c>
      <c r="F814" t="s">
        <v>197</v>
      </c>
      <c r="G814" t="s">
        <v>197</v>
      </c>
      <c r="H814" t="s">
        <v>197</v>
      </c>
      <c r="I814" t="s">
        <v>197</v>
      </c>
      <c r="J814" t="s">
        <v>197</v>
      </c>
      <c r="K814" t="s">
        <v>550</v>
      </c>
    </row>
    <row r="815" spans="1:24">
      <c r="B815" t="s">
        <v>197</v>
      </c>
      <c r="C815" t="s">
        <v>197</v>
      </c>
      <c r="D815" t="s">
        <v>197</v>
      </c>
      <c r="E815" t="s">
        <v>197</v>
      </c>
      <c r="F815" t="s">
        <v>197</v>
      </c>
      <c r="G815" t="s">
        <v>197</v>
      </c>
      <c r="H815" t="s">
        <v>197</v>
      </c>
      <c r="I815" t="s">
        <v>197</v>
      </c>
      <c r="J815" t="s">
        <v>197</v>
      </c>
      <c r="K815" t="s">
        <v>551</v>
      </c>
    </row>
    <row r="816" spans="1:24">
      <c r="B816" t="s">
        <v>197</v>
      </c>
      <c r="C816" t="s">
        <v>197</v>
      </c>
      <c r="D816" t="s">
        <v>197</v>
      </c>
      <c r="E816" t="s">
        <v>197</v>
      </c>
      <c r="F816" t="s">
        <v>197</v>
      </c>
      <c r="G816" t="s">
        <v>197</v>
      </c>
      <c r="H816" t="s">
        <v>197</v>
      </c>
      <c r="I816" t="s">
        <v>197</v>
      </c>
      <c r="J816" t="s">
        <v>197</v>
      </c>
      <c r="K816" t="s">
        <v>552</v>
      </c>
    </row>
    <row r="817" spans="1:24">
      <c r="B817" t="s">
        <v>197</v>
      </c>
      <c r="C817" t="s">
        <v>197</v>
      </c>
      <c r="D817" t="s">
        <v>197</v>
      </c>
      <c r="E817" t="s">
        <v>197</v>
      </c>
      <c r="F817" t="s">
        <v>197</v>
      </c>
      <c r="G817" t="s">
        <v>197</v>
      </c>
      <c r="H817" t="s">
        <v>197</v>
      </c>
      <c r="I817" t="s">
        <v>197</v>
      </c>
      <c r="J817" t="s">
        <v>197</v>
      </c>
      <c r="K817" t="s">
        <v>553</v>
      </c>
    </row>
    <row r="818" spans="1:24">
      <c r="B818" t="s">
        <v>197</v>
      </c>
      <c r="C818" t="s">
        <v>197</v>
      </c>
      <c r="D818" t="s">
        <v>197</v>
      </c>
      <c r="E818" t="s">
        <v>197</v>
      </c>
      <c r="F818" t="s">
        <v>197</v>
      </c>
      <c r="G818" t="s">
        <v>197</v>
      </c>
      <c r="H818" t="s">
        <v>197</v>
      </c>
      <c r="I818" t="s">
        <v>197</v>
      </c>
      <c r="J818" t="s">
        <v>197</v>
      </c>
      <c r="K818" t="s">
        <v>554</v>
      </c>
    </row>
    <row r="819" spans="1:24">
      <c r="B819" t="s">
        <v>197</v>
      </c>
      <c r="C819" t="s">
        <v>197</v>
      </c>
      <c r="D819" t="s">
        <v>197</v>
      </c>
      <c r="E819" t="s">
        <v>197</v>
      </c>
      <c r="F819" t="s">
        <v>197</v>
      </c>
      <c r="G819" t="s">
        <v>197</v>
      </c>
      <c r="H819" t="s">
        <v>197</v>
      </c>
      <c r="I819" t="s">
        <v>197</v>
      </c>
      <c r="J819" t="s">
        <v>197</v>
      </c>
      <c r="K819" t="s">
        <v>555</v>
      </c>
    </row>
    <row r="820" spans="1:24">
      <c r="B820" t="s">
        <v>197</v>
      </c>
      <c r="C820" t="s">
        <v>197</v>
      </c>
      <c r="D820" t="s">
        <v>197</v>
      </c>
      <c r="E820" t="s">
        <v>197</v>
      </c>
      <c r="F820" t="s">
        <v>197</v>
      </c>
      <c r="G820" t="s">
        <v>197</v>
      </c>
      <c r="H820" t="s">
        <v>197</v>
      </c>
      <c r="I820" t="s">
        <v>197</v>
      </c>
      <c r="J820" t="s">
        <v>197</v>
      </c>
      <c r="K820" t="s">
        <v>556</v>
      </c>
    </row>
    <row r="821" spans="1:24">
      <c r="B821" t="s">
        <v>197</v>
      </c>
      <c r="C821" t="s">
        <v>197</v>
      </c>
      <c r="D821" t="s">
        <v>197</v>
      </c>
      <c r="E821" t="s">
        <v>197</v>
      </c>
      <c r="F821" t="s">
        <v>197</v>
      </c>
      <c r="G821" t="s">
        <v>197</v>
      </c>
      <c r="H821" t="s">
        <v>197</v>
      </c>
      <c r="I821" t="s">
        <v>197</v>
      </c>
      <c r="J821" t="s">
        <v>197</v>
      </c>
      <c r="K821" t="s">
        <v>557</v>
      </c>
    </row>
    <row r="822" spans="1:24">
      <c r="B822" t="s">
        <v>197</v>
      </c>
      <c r="C822" t="s">
        <v>197</v>
      </c>
      <c r="D822" t="s">
        <v>197</v>
      </c>
      <c r="E822" t="s">
        <v>197</v>
      </c>
      <c r="F822" t="s">
        <v>197</v>
      </c>
      <c r="G822" t="s">
        <v>197</v>
      </c>
      <c r="H822" t="s">
        <v>197</v>
      </c>
      <c r="I822" t="s">
        <v>197</v>
      </c>
      <c r="J822" t="s">
        <v>197</v>
      </c>
      <c r="K822" t="s">
        <v>558</v>
      </c>
    </row>
    <row r="823" spans="1:24">
      <c r="B823" t="s">
        <v>197</v>
      </c>
      <c r="C823" t="s">
        <v>197</v>
      </c>
      <c r="D823" t="s">
        <v>197</v>
      </c>
      <c r="E823" t="s">
        <v>197</v>
      </c>
      <c r="F823" t="s">
        <v>197</v>
      </c>
      <c r="G823" t="s">
        <v>197</v>
      </c>
      <c r="H823" t="s">
        <v>197</v>
      </c>
      <c r="I823" t="s">
        <v>197</v>
      </c>
      <c r="J823" t="s">
        <v>197</v>
      </c>
      <c r="K823" t="s">
        <v>559</v>
      </c>
    </row>
    <row r="824" spans="1:24">
      <c r="B824" t="s">
        <v>197</v>
      </c>
      <c r="C824" t="s">
        <v>197</v>
      </c>
      <c r="D824" t="s">
        <v>197</v>
      </c>
      <c r="E824" t="s">
        <v>197</v>
      </c>
      <c r="F824" t="s">
        <v>197</v>
      </c>
      <c r="G824" t="s">
        <v>197</v>
      </c>
      <c r="H824" t="s">
        <v>197</v>
      </c>
      <c r="I824" t="s">
        <v>197</v>
      </c>
      <c r="J824" t="s">
        <v>197</v>
      </c>
      <c r="K824" t="s">
        <v>560</v>
      </c>
    </row>
    <row r="825" spans="1:24">
      <c r="B825" t="s">
        <v>197</v>
      </c>
      <c r="C825" t="s">
        <v>197</v>
      </c>
      <c r="D825" t="s">
        <v>197</v>
      </c>
      <c r="E825" t="s">
        <v>197</v>
      </c>
      <c r="F825" t="s">
        <v>197</v>
      </c>
      <c r="G825" t="s">
        <v>197</v>
      </c>
      <c r="H825" t="s">
        <v>197</v>
      </c>
      <c r="I825" t="s">
        <v>197</v>
      </c>
      <c r="J825" t="s">
        <v>197</v>
      </c>
      <c r="K825" t="s">
        <v>561</v>
      </c>
    </row>
    <row r="826" spans="1:24">
      <c r="B826" t="s">
        <v>197</v>
      </c>
      <c r="C826" t="s">
        <v>197</v>
      </c>
      <c r="D826" t="s">
        <v>197</v>
      </c>
      <c r="E826" t="s">
        <v>197</v>
      </c>
      <c r="F826" t="s">
        <v>197</v>
      </c>
      <c r="G826" t="s">
        <v>197</v>
      </c>
      <c r="H826" t="s">
        <v>197</v>
      </c>
      <c r="I826" t="s">
        <v>197</v>
      </c>
      <c r="J826" t="s">
        <v>197</v>
      </c>
      <c r="K826" t="s">
        <v>562</v>
      </c>
    </row>
    <row r="827" spans="1:24">
      <c r="B827" t="s">
        <v>197</v>
      </c>
      <c r="C827" t="s">
        <v>197</v>
      </c>
      <c r="D827" t="s">
        <v>197</v>
      </c>
      <c r="E827" t="s">
        <v>197</v>
      </c>
      <c r="F827" t="s">
        <v>197</v>
      </c>
      <c r="G827" t="s">
        <v>197</v>
      </c>
      <c r="H827" t="s">
        <v>197</v>
      </c>
      <c r="I827" t="s">
        <v>197</v>
      </c>
      <c r="J827" t="s">
        <v>197</v>
      </c>
      <c r="K827" t="s">
        <v>563</v>
      </c>
    </row>
    <row r="828" spans="1:24">
      <c r="B828" t="s">
        <v>197</v>
      </c>
      <c r="C828" t="s">
        <v>197</v>
      </c>
      <c r="D828" t="s">
        <v>197</v>
      </c>
      <c r="E828" t="s">
        <v>197</v>
      </c>
      <c r="F828" t="s">
        <v>197</v>
      </c>
      <c r="G828" t="s">
        <v>197</v>
      </c>
      <c r="H828" t="s">
        <v>197</v>
      </c>
      <c r="I828" t="s">
        <v>197</v>
      </c>
      <c r="J828" t="s">
        <v>197</v>
      </c>
      <c r="K828" t="s">
        <v>564</v>
      </c>
    </row>
    <row r="829" spans="1:24">
      <c r="B829" t="s">
        <v>197</v>
      </c>
      <c r="C829" t="s">
        <v>197</v>
      </c>
      <c r="D829" t="s">
        <v>197</v>
      </c>
      <c r="E829" t="s">
        <v>197</v>
      </c>
      <c r="F829" t="s">
        <v>197</v>
      </c>
      <c r="G829" t="s">
        <v>197</v>
      </c>
      <c r="H829" t="s">
        <v>197</v>
      </c>
      <c r="I829" t="s">
        <v>197</v>
      </c>
      <c r="J829" t="s">
        <v>197</v>
      </c>
      <c r="K829" t="s">
        <v>565</v>
      </c>
    </row>
    <row r="830" spans="1:24">
      <c r="B830" t="s">
        <v>197</v>
      </c>
      <c r="C830" t="s">
        <v>197</v>
      </c>
      <c r="D830" t="s">
        <v>197</v>
      </c>
      <c r="E830" t="s">
        <v>197</v>
      </c>
      <c r="F830" t="s">
        <v>197</v>
      </c>
      <c r="G830" t="s">
        <v>197</v>
      </c>
      <c r="H830" t="s">
        <v>197</v>
      </c>
      <c r="I830" t="s">
        <v>197</v>
      </c>
      <c r="J830" t="s">
        <v>197</v>
      </c>
      <c r="K830" t="s">
        <v>566</v>
      </c>
    </row>
    <row r="831" spans="1:24">
      <c r="B831" t="s">
        <v>197</v>
      </c>
      <c r="C831" t="s">
        <v>197</v>
      </c>
      <c r="D831" t="s">
        <v>197</v>
      </c>
      <c r="E831" t="s">
        <v>197</v>
      </c>
      <c r="F831" t="s">
        <v>197</v>
      </c>
      <c r="G831" t="s">
        <v>197</v>
      </c>
      <c r="H831" t="s">
        <v>197</v>
      </c>
      <c r="I831" t="s">
        <v>197</v>
      </c>
      <c r="J831" t="s">
        <v>197</v>
      </c>
      <c r="K831" t="s">
        <v>567</v>
      </c>
    </row>
    <row r="832" spans="1:24">
      <c r="A832" t="s">
        <v>932</v>
      </c>
      <c r="K832" t="s">
        <v>933</v>
      </c>
      <c r="W832" t="s">
        <v>171</v>
      </c>
      <c r="X832" t="str">
        <f>A832</f>
        <v>info_char_dml_batch1_pk_urp1</v>
      </c>
    </row>
    <row r="833" spans="1:24">
      <c r="B833" t="s">
        <v>196</v>
      </c>
      <c r="C833" t="s">
        <v>197</v>
      </c>
      <c r="D833" t="s">
        <v>197</v>
      </c>
      <c r="E833" t="s">
        <v>197</v>
      </c>
      <c r="F833" t="s">
        <v>197</v>
      </c>
      <c r="G833" t="s">
        <v>197</v>
      </c>
      <c r="H833" t="s">
        <v>197</v>
      </c>
      <c r="I833" t="s">
        <v>934</v>
      </c>
      <c r="J833" t="s">
        <v>199</v>
      </c>
      <c r="K833" t="s">
        <v>200</v>
      </c>
    </row>
    <row r="834" spans="1:24">
      <c r="B834" t="s">
        <v>197</v>
      </c>
      <c r="C834" t="s">
        <v>197</v>
      </c>
      <c r="D834" t="s">
        <v>197</v>
      </c>
      <c r="E834" t="s">
        <v>197</v>
      </c>
      <c r="F834" t="s">
        <v>197</v>
      </c>
      <c r="G834" t="s">
        <v>197</v>
      </c>
      <c r="H834" t="s">
        <v>197</v>
      </c>
      <c r="I834" t="s">
        <v>197</v>
      </c>
      <c r="J834" t="s">
        <v>197</v>
      </c>
      <c r="K834" t="s">
        <v>622</v>
      </c>
    </row>
    <row r="835" spans="1:24">
      <c r="B835" t="s">
        <v>197</v>
      </c>
      <c r="C835" t="s">
        <v>197</v>
      </c>
      <c r="D835" t="s">
        <v>197</v>
      </c>
      <c r="E835" t="s">
        <v>197</v>
      </c>
      <c r="F835" t="s">
        <v>197</v>
      </c>
      <c r="G835" t="s">
        <v>197</v>
      </c>
      <c r="H835" t="s">
        <v>197</v>
      </c>
      <c r="I835" t="s">
        <v>197</v>
      </c>
      <c r="J835" t="s">
        <v>197</v>
      </c>
      <c r="K835" t="s">
        <v>623</v>
      </c>
    </row>
    <row r="836" spans="1:24">
      <c r="B836" t="s">
        <v>197</v>
      </c>
      <c r="C836" t="s">
        <v>197</v>
      </c>
      <c r="D836" t="s">
        <v>197</v>
      </c>
      <c r="E836" t="s">
        <v>197</v>
      </c>
      <c r="F836" t="s">
        <v>197</v>
      </c>
      <c r="G836" t="s">
        <v>197</v>
      </c>
      <c r="H836" t="s">
        <v>197</v>
      </c>
      <c r="I836" t="s">
        <v>197</v>
      </c>
      <c r="J836" t="s">
        <v>197</v>
      </c>
      <c r="K836" t="s">
        <v>832</v>
      </c>
    </row>
    <row r="837" spans="1:24">
      <c r="A837" t="s">
        <v>938</v>
      </c>
      <c r="K837" t="s">
        <v>939</v>
      </c>
      <c r="W837" t="s">
        <v>171</v>
      </c>
      <c r="X837" t="str">
        <f>A837</f>
        <v>info_varcharmax_dml_batch1_pk_drp1</v>
      </c>
    </row>
    <row r="838" spans="1:24">
      <c r="B838" t="s">
        <v>196</v>
      </c>
      <c r="C838" t="s">
        <v>197</v>
      </c>
      <c r="D838" t="s">
        <v>197</v>
      </c>
      <c r="E838" t="s">
        <v>197</v>
      </c>
      <c r="F838" t="s">
        <v>197</v>
      </c>
      <c r="G838" t="s">
        <v>197</v>
      </c>
      <c r="H838" t="s">
        <v>197</v>
      </c>
      <c r="I838" t="s">
        <v>940</v>
      </c>
      <c r="J838" t="s">
        <v>199</v>
      </c>
      <c r="K838" t="s">
        <v>200</v>
      </c>
    </row>
    <row r="839" spans="1:24">
      <c r="B839" t="s">
        <v>197</v>
      </c>
      <c r="C839" t="s">
        <v>197</v>
      </c>
      <c r="D839" t="s">
        <v>197</v>
      </c>
      <c r="E839" t="s">
        <v>197</v>
      </c>
      <c r="F839" t="s">
        <v>197</v>
      </c>
      <c r="G839" t="s">
        <v>197</v>
      </c>
      <c r="H839" t="s">
        <v>197</v>
      </c>
      <c r="I839" t="s">
        <v>197</v>
      </c>
      <c r="J839" t="s">
        <v>197</v>
      </c>
      <c r="K839" t="s">
        <v>725</v>
      </c>
    </row>
    <row r="840" spans="1:24">
      <c r="B840" t="s">
        <v>197</v>
      </c>
      <c r="C840" t="s">
        <v>197</v>
      </c>
      <c r="D840" t="s">
        <v>197</v>
      </c>
      <c r="E840" t="s">
        <v>197</v>
      </c>
      <c r="F840" t="s">
        <v>197</v>
      </c>
      <c r="G840" t="s">
        <v>197</v>
      </c>
      <c r="H840" t="s">
        <v>197</v>
      </c>
      <c r="I840" t="s">
        <v>197</v>
      </c>
      <c r="J840" t="s">
        <v>197</v>
      </c>
      <c r="K840" t="s">
        <v>726</v>
      </c>
    </row>
    <row r="841" spans="1:24">
      <c r="K841" t="s">
        <v>443</v>
      </c>
    </row>
    <row r="842" spans="1:24">
      <c r="A842" t="s">
        <v>941</v>
      </c>
      <c r="K842" t="s">
        <v>942</v>
      </c>
      <c r="W842" s="1" t="str">
        <f>HYPERLINK("#2026042015hbase0!BV2","NO 源备存在差异，共4个")</f>
        <v>NO 源备存在差异，共4个</v>
      </c>
      <c r="X842" t="str">
        <f>A842</f>
        <v>info_timestamp_dml_single_pk_irp</v>
      </c>
    </row>
    <row r="843" spans="1:24">
      <c r="B843" t="s">
        <v>196</v>
      </c>
      <c r="C843" t="s">
        <v>197</v>
      </c>
      <c r="D843" t="s">
        <v>197</v>
      </c>
      <c r="E843" t="s">
        <v>197</v>
      </c>
      <c r="F843" t="s">
        <v>197</v>
      </c>
      <c r="G843" t="s">
        <v>197</v>
      </c>
      <c r="H843" t="s">
        <v>197</v>
      </c>
      <c r="I843" t="s">
        <v>943</v>
      </c>
      <c r="J843" t="s">
        <v>199</v>
      </c>
      <c r="K843" t="s">
        <v>200</v>
      </c>
    </row>
    <row r="844" spans="1:24">
      <c r="B844" t="s">
        <v>197</v>
      </c>
      <c r="C844" t="s">
        <v>197</v>
      </c>
      <c r="D844" t="s">
        <v>197</v>
      </c>
      <c r="E844" t="s">
        <v>197</v>
      </c>
      <c r="F844" t="s">
        <v>197</v>
      </c>
      <c r="G844" t="s">
        <v>197</v>
      </c>
      <c r="H844" t="s">
        <v>197</v>
      </c>
      <c r="I844" t="s">
        <v>197</v>
      </c>
      <c r="J844" t="s">
        <v>197</v>
      </c>
      <c r="K844" t="s">
        <v>944</v>
      </c>
    </row>
    <row r="845" spans="1:24">
      <c r="A845" t="s">
        <v>951</v>
      </c>
      <c r="K845" t="s">
        <v>952</v>
      </c>
      <c r="W845" t="s">
        <v>171</v>
      </c>
      <c r="X845" t="str">
        <f>A845</f>
        <v>info_varcharmax_dml_batch1_pk_drp2</v>
      </c>
    </row>
    <row r="846" spans="1:24">
      <c r="B846" t="s">
        <v>196</v>
      </c>
      <c r="C846" t="s">
        <v>197</v>
      </c>
      <c r="D846" t="s">
        <v>197</v>
      </c>
      <c r="E846" t="s">
        <v>197</v>
      </c>
      <c r="F846" t="s">
        <v>197</v>
      </c>
      <c r="G846" t="s">
        <v>197</v>
      </c>
      <c r="H846" t="s">
        <v>197</v>
      </c>
      <c r="I846" t="s">
        <v>953</v>
      </c>
      <c r="J846" t="s">
        <v>199</v>
      </c>
      <c r="K846" t="s">
        <v>200</v>
      </c>
    </row>
    <row r="847" spans="1:24">
      <c r="B847" t="s">
        <v>197</v>
      </c>
      <c r="C847" t="s">
        <v>197</v>
      </c>
      <c r="D847" t="s">
        <v>197</v>
      </c>
      <c r="E847" t="s">
        <v>197</v>
      </c>
      <c r="F847" t="s">
        <v>197</v>
      </c>
      <c r="G847" t="s">
        <v>197</v>
      </c>
      <c r="H847" t="s">
        <v>197</v>
      </c>
      <c r="I847" t="s">
        <v>197</v>
      </c>
      <c r="J847" t="s">
        <v>197</v>
      </c>
      <c r="K847" t="s">
        <v>725</v>
      </c>
    </row>
    <row r="848" spans="1:24">
      <c r="B848" t="s">
        <v>197</v>
      </c>
      <c r="C848" t="s">
        <v>197</v>
      </c>
      <c r="D848" t="s">
        <v>197</v>
      </c>
      <c r="E848" t="s">
        <v>197</v>
      </c>
      <c r="F848" t="s">
        <v>197</v>
      </c>
      <c r="G848" t="s">
        <v>197</v>
      </c>
      <c r="H848" t="s">
        <v>197</v>
      </c>
      <c r="I848" t="s">
        <v>197</v>
      </c>
      <c r="J848" t="s">
        <v>197</v>
      </c>
      <c r="K848" t="s">
        <v>726</v>
      </c>
    </row>
    <row r="849" spans="1:24">
      <c r="K849" t="s">
        <v>443</v>
      </c>
    </row>
    <row r="850" spans="1:24">
      <c r="A850" t="s">
        <v>945</v>
      </c>
      <c r="K850" t="s">
        <v>946</v>
      </c>
      <c r="W850" t="s">
        <v>171</v>
      </c>
      <c r="X850" t="str">
        <f>A850</f>
        <v>info_char_dml_batch1_pk_urp2</v>
      </c>
    </row>
    <row r="851" spans="1:24">
      <c r="B851" t="s">
        <v>196</v>
      </c>
      <c r="C851" t="s">
        <v>197</v>
      </c>
      <c r="D851" t="s">
        <v>197</v>
      </c>
      <c r="E851" t="s">
        <v>197</v>
      </c>
      <c r="F851" t="s">
        <v>197</v>
      </c>
      <c r="G851" t="s">
        <v>197</v>
      </c>
      <c r="H851" t="s">
        <v>197</v>
      </c>
      <c r="I851" t="s">
        <v>947</v>
      </c>
      <c r="J851" t="s">
        <v>199</v>
      </c>
      <c r="K851" t="s">
        <v>200</v>
      </c>
    </row>
    <row r="852" spans="1:24">
      <c r="B852" t="s">
        <v>197</v>
      </c>
      <c r="C852" t="s">
        <v>197</v>
      </c>
      <c r="D852" t="s">
        <v>197</v>
      </c>
      <c r="E852" t="s">
        <v>197</v>
      </c>
      <c r="F852" t="s">
        <v>197</v>
      </c>
      <c r="G852" t="s">
        <v>197</v>
      </c>
      <c r="H852" t="s">
        <v>197</v>
      </c>
      <c r="I852" t="s">
        <v>197</v>
      </c>
      <c r="J852" t="s">
        <v>197</v>
      </c>
      <c r="K852" t="s">
        <v>622</v>
      </c>
    </row>
    <row r="853" spans="1:24">
      <c r="B853" t="s">
        <v>197</v>
      </c>
      <c r="C853" t="s">
        <v>197</v>
      </c>
      <c r="D853" t="s">
        <v>197</v>
      </c>
      <c r="E853" t="s">
        <v>197</v>
      </c>
      <c r="F853" t="s">
        <v>197</v>
      </c>
      <c r="G853" t="s">
        <v>197</v>
      </c>
      <c r="H853" t="s">
        <v>197</v>
      </c>
      <c r="I853" t="s">
        <v>197</v>
      </c>
      <c r="J853" t="s">
        <v>197</v>
      </c>
      <c r="K853" t="s">
        <v>623</v>
      </c>
    </row>
    <row r="854" spans="1:24">
      <c r="B854" t="s">
        <v>197</v>
      </c>
      <c r="C854" t="s">
        <v>197</v>
      </c>
      <c r="D854" t="s">
        <v>197</v>
      </c>
      <c r="E854" t="s">
        <v>197</v>
      </c>
      <c r="F854" t="s">
        <v>197</v>
      </c>
      <c r="G854" t="s">
        <v>197</v>
      </c>
      <c r="H854" t="s">
        <v>197</v>
      </c>
      <c r="I854" t="s">
        <v>197</v>
      </c>
      <c r="J854" t="s">
        <v>197</v>
      </c>
      <c r="K854" t="s">
        <v>832</v>
      </c>
    </row>
    <row r="855" spans="1:24">
      <c r="A855" t="s">
        <v>948</v>
      </c>
      <c r="K855" t="s">
        <v>949</v>
      </c>
      <c r="W855" t="s">
        <v>171</v>
      </c>
      <c r="X855" t="str">
        <f>A855</f>
        <v>info_char_dml_single_pk_urp</v>
      </c>
    </row>
    <row r="856" spans="1:24">
      <c r="B856" t="s">
        <v>196</v>
      </c>
      <c r="C856" t="s">
        <v>197</v>
      </c>
      <c r="D856" t="s">
        <v>197</v>
      </c>
      <c r="E856" t="s">
        <v>197</v>
      </c>
      <c r="F856" t="s">
        <v>197</v>
      </c>
      <c r="G856" t="s">
        <v>197</v>
      </c>
      <c r="H856" t="s">
        <v>197</v>
      </c>
      <c r="I856" t="s">
        <v>950</v>
      </c>
      <c r="J856" t="s">
        <v>199</v>
      </c>
      <c r="K856" t="s">
        <v>200</v>
      </c>
    </row>
    <row r="857" spans="1:24">
      <c r="B857" t="s">
        <v>197</v>
      </c>
      <c r="C857" t="s">
        <v>197</v>
      </c>
      <c r="D857" t="s">
        <v>197</v>
      </c>
      <c r="E857" t="s">
        <v>197</v>
      </c>
      <c r="F857" t="s">
        <v>197</v>
      </c>
      <c r="G857" t="s">
        <v>197</v>
      </c>
      <c r="H857" t="s">
        <v>197</v>
      </c>
      <c r="I857" t="s">
        <v>197</v>
      </c>
      <c r="J857" t="s">
        <v>197</v>
      </c>
      <c r="K857" t="s">
        <v>622</v>
      </c>
    </row>
    <row r="858" spans="1:24">
      <c r="B858" t="s">
        <v>197</v>
      </c>
      <c r="C858" t="s">
        <v>197</v>
      </c>
      <c r="D858" t="s">
        <v>197</v>
      </c>
      <c r="E858" t="s">
        <v>197</v>
      </c>
      <c r="F858" t="s">
        <v>197</v>
      </c>
      <c r="G858" t="s">
        <v>197</v>
      </c>
      <c r="H858" t="s">
        <v>197</v>
      </c>
      <c r="I858" t="s">
        <v>197</v>
      </c>
      <c r="J858" t="s">
        <v>197</v>
      </c>
      <c r="K858" t="s">
        <v>623</v>
      </c>
    </row>
    <row r="859" spans="1:24">
      <c r="B859" t="s">
        <v>197</v>
      </c>
      <c r="C859" t="s">
        <v>197</v>
      </c>
      <c r="D859" t="s">
        <v>197</v>
      </c>
      <c r="E859" t="s">
        <v>197</v>
      </c>
      <c r="F859" t="s">
        <v>197</v>
      </c>
      <c r="G859" t="s">
        <v>197</v>
      </c>
      <c r="H859" t="s">
        <v>197</v>
      </c>
      <c r="I859" t="s">
        <v>197</v>
      </c>
      <c r="J859" t="s">
        <v>197</v>
      </c>
      <c r="K859" t="s">
        <v>832</v>
      </c>
    </row>
    <row r="860" spans="1:24">
      <c r="A860" t="s">
        <v>954</v>
      </c>
      <c r="K860" t="s">
        <v>955</v>
      </c>
      <c r="W860" t="s">
        <v>171</v>
      </c>
      <c r="X860" t="str">
        <f>A860</f>
        <v>info_char_dml_single_pk_drp</v>
      </c>
    </row>
    <row r="861" spans="1:24">
      <c r="B861" t="s">
        <v>196</v>
      </c>
      <c r="C861" t="s">
        <v>197</v>
      </c>
      <c r="D861" t="s">
        <v>197</v>
      </c>
      <c r="E861" t="s">
        <v>197</v>
      </c>
      <c r="F861" t="s">
        <v>197</v>
      </c>
      <c r="G861" t="s">
        <v>197</v>
      </c>
      <c r="H861" t="s">
        <v>197</v>
      </c>
      <c r="I861" t="s">
        <v>956</v>
      </c>
      <c r="J861" t="s">
        <v>199</v>
      </c>
      <c r="K861" t="s">
        <v>200</v>
      </c>
    </row>
    <row r="862" spans="1:24">
      <c r="B862" t="s">
        <v>197</v>
      </c>
      <c r="C862" t="s">
        <v>197</v>
      </c>
      <c r="D862" t="s">
        <v>197</v>
      </c>
      <c r="E862" t="s">
        <v>197</v>
      </c>
      <c r="F862" t="s">
        <v>197</v>
      </c>
      <c r="G862" t="s">
        <v>197</v>
      </c>
      <c r="H862" t="s">
        <v>197</v>
      </c>
      <c r="I862" t="s">
        <v>197</v>
      </c>
      <c r="J862" t="s">
        <v>197</v>
      </c>
      <c r="K862" t="s">
        <v>622</v>
      </c>
    </row>
    <row r="863" spans="1:24">
      <c r="B863" t="s">
        <v>197</v>
      </c>
      <c r="C863" t="s">
        <v>197</v>
      </c>
      <c r="D863" t="s">
        <v>197</v>
      </c>
      <c r="E863" t="s">
        <v>197</v>
      </c>
      <c r="F863" t="s">
        <v>197</v>
      </c>
      <c r="G863" t="s">
        <v>197</v>
      </c>
      <c r="H863" t="s">
        <v>197</v>
      </c>
      <c r="I863" t="s">
        <v>197</v>
      </c>
      <c r="J863" t="s">
        <v>197</v>
      </c>
      <c r="K863" t="s">
        <v>623</v>
      </c>
    </row>
    <row r="864" spans="1:24">
      <c r="B864" t="s">
        <v>197</v>
      </c>
      <c r="C864" t="s">
        <v>197</v>
      </c>
      <c r="D864" t="s">
        <v>197</v>
      </c>
      <c r="E864" t="s">
        <v>197</v>
      </c>
      <c r="F864" t="s">
        <v>197</v>
      </c>
      <c r="G864" t="s">
        <v>197</v>
      </c>
      <c r="H864" t="s">
        <v>197</v>
      </c>
      <c r="I864" t="s">
        <v>197</v>
      </c>
      <c r="J864" t="s">
        <v>197</v>
      </c>
      <c r="K864" t="s">
        <v>832</v>
      </c>
    </row>
    <row r="865" spans="1:24">
      <c r="A865" t="s">
        <v>957</v>
      </c>
      <c r="K865" t="s">
        <v>958</v>
      </c>
      <c r="W865" t="s">
        <v>171</v>
      </c>
      <c r="X865" t="str">
        <f>A865</f>
        <v>info_date_dml_batch1_pk_drp1</v>
      </c>
    </row>
    <row r="866" spans="1:24">
      <c r="B866" t="s">
        <v>196</v>
      </c>
      <c r="C866" t="s">
        <v>197</v>
      </c>
      <c r="D866" t="s">
        <v>197</v>
      </c>
      <c r="E866" t="s">
        <v>197</v>
      </c>
      <c r="F866" t="s">
        <v>197</v>
      </c>
      <c r="G866" t="s">
        <v>197</v>
      </c>
      <c r="H866" t="s">
        <v>197</v>
      </c>
      <c r="I866" t="s">
        <v>959</v>
      </c>
      <c r="J866" t="s">
        <v>199</v>
      </c>
      <c r="K866" t="s">
        <v>200</v>
      </c>
    </row>
    <row r="867" spans="1:24">
      <c r="B867" t="s">
        <v>197</v>
      </c>
      <c r="C867" t="s">
        <v>197</v>
      </c>
      <c r="D867" t="s">
        <v>197</v>
      </c>
      <c r="E867" t="s">
        <v>197</v>
      </c>
      <c r="F867" t="s">
        <v>197</v>
      </c>
      <c r="G867" t="s">
        <v>197</v>
      </c>
      <c r="H867" t="s">
        <v>197</v>
      </c>
      <c r="I867" t="s">
        <v>197</v>
      </c>
      <c r="J867" t="s">
        <v>197</v>
      </c>
      <c r="K867" t="s">
        <v>678</v>
      </c>
    </row>
    <row r="868" spans="1:24">
      <c r="K868" t="s">
        <v>443</v>
      </c>
    </row>
    <row r="869" spans="1:24">
      <c r="A869" t="s">
        <v>964</v>
      </c>
      <c r="K869" t="s">
        <v>965</v>
      </c>
      <c r="W869" s="1" t="str">
        <f>HYPERLINK("#2026042015hbase0!BW2","NO 源备存在差异，共12个")</f>
        <v>NO 源备存在差异，共12个</v>
      </c>
      <c r="X869" t="str">
        <f>A869</f>
        <v>info_datetime_dml_single_pk_urp</v>
      </c>
    </row>
    <row r="870" spans="1:24">
      <c r="B870" t="s">
        <v>196</v>
      </c>
      <c r="C870" t="s">
        <v>197</v>
      </c>
      <c r="D870" t="s">
        <v>197</v>
      </c>
      <c r="E870" t="s">
        <v>197</v>
      </c>
      <c r="F870" t="s">
        <v>197</v>
      </c>
      <c r="G870" t="s">
        <v>197</v>
      </c>
      <c r="H870" t="s">
        <v>197</v>
      </c>
      <c r="I870" t="s">
        <v>966</v>
      </c>
      <c r="J870" t="s">
        <v>199</v>
      </c>
      <c r="K870" t="s">
        <v>200</v>
      </c>
    </row>
    <row r="871" spans="1:24">
      <c r="B871" t="s">
        <v>197</v>
      </c>
      <c r="C871" t="s">
        <v>197</v>
      </c>
      <c r="D871" t="s">
        <v>197</v>
      </c>
      <c r="E871" t="s">
        <v>197</v>
      </c>
      <c r="F871" t="s">
        <v>197</v>
      </c>
      <c r="G871" t="s">
        <v>197</v>
      </c>
      <c r="H871" t="s">
        <v>197</v>
      </c>
      <c r="I871" t="s">
        <v>197</v>
      </c>
      <c r="J871" t="s">
        <v>197</v>
      </c>
      <c r="K871" t="s">
        <v>574</v>
      </c>
    </row>
    <row r="872" spans="1:24">
      <c r="A872" t="s">
        <v>967</v>
      </c>
      <c r="K872" t="s">
        <v>968</v>
      </c>
      <c r="W872" t="s">
        <v>171</v>
      </c>
      <c r="X872" t="str">
        <f>A872</f>
        <v>info_nchar_dml_batch1_pk</v>
      </c>
    </row>
    <row r="873" spans="1:24">
      <c r="B873" t="s">
        <v>196</v>
      </c>
      <c r="C873" t="s">
        <v>197</v>
      </c>
      <c r="D873" t="s">
        <v>197</v>
      </c>
      <c r="E873" t="s">
        <v>197</v>
      </c>
      <c r="F873" t="s">
        <v>197</v>
      </c>
      <c r="G873" t="s">
        <v>197</v>
      </c>
      <c r="H873" t="s">
        <v>197</v>
      </c>
      <c r="I873" t="s">
        <v>969</v>
      </c>
      <c r="J873" t="s">
        <v>199</v>
      </c>
      <c r="K873" t="s">
        <v>200</v>
      </c>
    </row>
    <row r="874" spans="1:24">
      <c r="B874" t="s">
        <v>197</v>
      </c>
      <c r="C874" t="s">
        <v>197</v>
      </c>
      <c r="D874" t="s">
        <v>197</v>
      </c>
      <c r="E874" t="s">
        <v>197</v>
      </c>
      <c r="F874" t="s">
        <v>197</v>
      </c>
      <c r="G874" t="s">
        <v>197</v>
      </c>
      <c r="H874" t="s">
        <v>197</v>
      </c>
      <c r="I874" t="s">
        <v>197</v>
      </c>
      <c r="J874" t="s">
        <v>197</v>
      </c>
      <c r="K874" t="s">
        <v>514</v>
      </c>
    </row>
    <row r="875" spans="1:24">
      <c r="B875" t="s">
        <v>197</v>
      </c>
      <c r="C875" t="s">
        <v>197</v>
      </c>
      <c r="D875" t="s">
        <v>197</v>
      </c>
      <c r="E875" t="s">
        <v>197</v>
      </c>
      <c r="F875" t="s">
        <v>197</v>
      </c>
      <c r="G875" t="s">
        <v>197</v>
      </c>
      <c r="H875" t="s">
        <v>197</v>
      </c>
      <c r="I875" t="s">
        <v>197</v>
      </c>
      <c r="J875" t="s">
        <v>197</v>
      </c>
      <c r="K875" t="s">
        <v>516</v>
      </c>
    </row>
    <row r="876" spans="1:24">
      <c r="B876" t="s">
        <v>197</v>
      </c>
      <c r="C876" t="s">
        <v>197</v>
      </c>
      <c r="D876" t="s">
        <v>197</v>
      </c>
      <c r="E876" t="s">
        <v>197</v>
      </c>
      <c r="F876" t="s">
        <v>197</v>
      </c>
      <c r="G876" t="s">
        <v>197</v>
      </c>
      <c r="H876" t="s">
        <v>197</v>
      </c>
      <c r="I876" t="s">
        <v>197</v>
      </c>
      <c r="J876" t="s">
        <v>197</v>
      </c>
      <c r="K876" t="s">
        <v>612</v>
      </c>
    </row>
    <row r="877" spans="1:24">
      <c r="A877" t="s">
        <v>960</v>
      </c>
      <c r="K877" t="s">
        <v>961</v>
      </c>
      <c r="W877" t="s">
        <v>171</v>
      </c>
      <c r="X877" t="str">
        <f>A877</f>
        <v>info_varchar_dml_batch1_pk_irp1</v>
      </c>
    </row>
    <row r="878" spans="1:24">
      <c r="B878" t="s">
        <v>196</v>
      </c>
      <c r="C878" t="s">
        <v>197</v>
      </c>
      <c r="D878" t="s">
        <v>197</v>
      </c>
      <c r="E878" t="s">
        <v>197</v>
      </c>
      <c r="F878" t="s">
        <v>197</v>
      </c>
      <c r="G878" t="s">
        <v>197</v>
      </c>
      <c r="H878" t="s">
        <v>197</v>
      </c>
      <c r="I878" t="s">
        <v>962</v>
      </c>
      <c r="J878" t="s">
        <v>199</v>
      </c>
      <c r="K878" t="s">
        <v>200</v>
      </c>
    </row>
    <row r="879" spans="1:24">
      <c r="B879" t="s">
        <v>197</v>
      </c>
      <c r="C879" t="s">
        <v>197</v>
      </c>
      <c r="D879" t="s">
        <v>197</v>
      </c>
      <c r="E879" t="s">
        <v>197</v>
      </c>
      <c r="F879" t="s">
        <v>197</v>
      </c>
      <c r="G879" t="s">
        <v>197</v>
      </c>
      <c r="H879" t="s">
        <v>197</v>
      </c>
      <c r="I879" t="s">
        <v>197</v>
      </c>
      <c r="J879" t="s">
        <v>197</v>
      </c>
      <c r="K879" t="s">
        <v>431</v>
      </c>
    </row>
    <row r="880" spans="1:24">
      <c r="B880" t="s">
        <v>197</v>
      </c>
      <c r="C880" t="s">
        <v>197</v>
      </c>
      <c r="D880" t="s">
        <v>197</v>
      </c>
      <c r="E880" t="s">
        <v>197</v>
      </c>
      <c r="F880" t="s">
        <v>197</v>
      </c>
      <c r="G880" t="s">
        <v>197</v>
      </c>
      <c r="H880" t="s">
        <v>197</v>
      </c>
      <c r="I880" t="s">
        <v>197</v>
      </c>
      <c r="J880" t="s">
        <v>197</v>
      </c>
      <c r="K880" t="s">
        <v>434</v>
      </c>
    </row>
    <row r="881" spans="1:24">
      <c r="B881" t="s">
        <v>197</v>
      </c>
      <c r="C881" t="s">
        <v>197</v>
      </c>
      <c r="D881" t="s">
        <v>197</v>
      </c>
      <c r="E881" t="s">
        <v>197</v>
      </c>
      <c r="F881" t="s">
        <v>197</v>
      </c>
      <c r="G881" t="s">
        <v>197</v>
      </c>
      <c r="H881" t="s">
        <v>197</v>
      </c>
      <c r="I881" t="s">
        <v>197</v>
      </c>
      <c r="J881" t="s">
        <v>197</v>
      </c>
      <c r="K881" t="s">
        <v>963</v>
      </c>
    </row>
    <row r="882" spans="1:24">
      <c r="K882" t="s">
        <v>443</v>
      </c>
    </row>
    <row r="883" spans="1:24">
      <c r="A883" t="s">
        <v>970</v>
      </c>
      <c r="K883" t="s">
        <v>971</v>
      </c>
      <c r="W883" t="s">
        <v>171</v>
      </c>
      <c r="X883" t="str">
        <f>A883</f>
        <v>info_varcharmax_dml_single_pk</v>
      </c>
    </row>
    <row r="884" spans="1:24">
      <c r="B884" t="s">
        <v>196</v>
      </c>
      <c r="C884" t="s">
        <v>197</v>
      </c>
      <c r="D884" t="s">
        <v>197</v>
      </c>
      <c r="E884" t="s">
        <v>197</v>
      </c>
      <c r="F884" t="s">
        <v>197</v>
      </c>
      <c r="G884" t="s">
        <v>197</v>
      </c>
      <c r="H884" t="s">
        <v>197</v>
      </c>
      <c r="I884" t="s">
        <v>972</v>
      </c>
      <c r="J884" t="s">
        <v>199</v>
      </c>
      <c r="K884" t="s">
        <v>200</v>
      </c>
    </row>
    <row r="885" spans="1:24">
      <c r="B885" t="s">
        <v>197</v>
      </c>
      <c r="C885" t="s">
        <v>197</v>
      </c>
      <c r="D885" t="s">
        <v>197</v>
      </c>
      <c r="E885" t="s">
        <v>197</v>
      </c>
      <c r="F885" t="s">
        <v>197</v>
      </c>
      <c r="G885" t="s">
        <v>197</v>
      </c>
      <c r="H885" t="s">
        <v>197</v>
      </c>
      <c r="I885" t="s">
        <v>197</v>
      </c>
      <c r="J885" t="s">
        <v>197</v>
      </c>
      <c r="K885" t="s">
        <v>725</v>
      </c>
    </row>
    <row r="886" spans="1:24">
      <c r="B886" t="s">
        <v>197</v>
      </c>
      <c r="C886" t="s">
        <v>197</v>
      </c>
      <c r="D886" t="s">
        <v>197</v>
      </c>
      <c r="E886" t="s">
        <v>197</v>
      </c>
      <c r="F886" t="s">
        <v>197</v>
      </c>
      <c r="G886" t="s">
        <v>197</v>
      </c>
      <c r="H886" t="s">
        <v>197</v>
      </c>
      <c r="I886" t="s">
        <v>197</v>
      </c>
      <c r="J886" t="s">
        <v>197</v>
      </c>
      <c r="K886" t="s">
        <v>726</v>
      </c>
    </row>
    <row r="887" spans="1:24">
      <c r="A887" t="s">
        <v>973</v>
      </c>
      <c r="K887" t="s">
        <v>974</v>
      </c>
      <c r="W887" s="1" t="str">
        <f>HYPERLINK("#2026042015hbase0!BX2","NO 源备存在差异，共6个")</f>
        <v>NO 源备存在差异，共6个</v>
      </c>
      <c r="X887" t="str">
        <f>A887</f>
        <v>info_date_dml_batch1_pk_drp2</v>
      </c>
    </row>
    <row r="888" spans="1:24">
      <c r="B888" t="s">
        <v>196</v>
      </c>
      <c r="C888" t="s">
        <v>197</v>
      </c>
      <c r="D888" t="s">
        <v>197</v>
      </c>
      <c r="E888" t="s">
        <v>197</v>
      </c>
      <c r="F888" t="s">
        <v>197</v>
      </c>
      <c r="G888" t="s">
        <v>197</v>
      </c>
      <c r="H888" t="s">
        <v>197</v>
      </c>
      <c r="I888" t="s">
        <v>975</v>
      </c>
      <c r="J888" t="s">
        <v>199</v>
      </c>
      <c r="K888" t="s">
        <v>200</v>
      </c>
    </row>
    <row r="889" spans="1:24">
      <c r="B889" t="s">
        <v>197</v>
      </c>
      <c r="C889" t="s">
        <v>197</v>
      </c>
      <c r="D889" t="s">
        <v>197</v>
      </c>
      <c r="E889" t="s">
        <v>197</v>
      </c>
      <c r="F889" t="s">
        <v>197</v>
      </c>
      <c r="G889" t="s">
        <v>197</v>
      </c>
      <c r="H889" t="s">
        <v>197</v>
      </c>
      <c r="I889" t="s">
        <v>197</v>
      </c>
      <c r="J889" t="s">
        <v>197</v>
      </c>
      <c r="K889" t="s">
        <v>678</v>
      </c>
    </row>
    <row r="890" spans="1:24">
      <c r="A890" t="s">
        <v>976</v>
      </c>
      <c r="K890" t="s">
        <v>977</v>
      </c>
      <c r="W890" s="1" t="str">
        <f>HYPERLINK("#2026042015hbase0!BY2","NO 源备存在差异，共30个")</f>
        <v>NO 源备存在差异，共30个</v>
      </c>
      <c r="X890" t="str">
        <f>A890</f>
        <v>info_datetime_dml_single_pk_drp</v>
      </c>
    </row>
    <row r="891" spans="1:24">
      <c r="B891" t="s">
        <v>196</v>
      </c>
      <c r="C891" t="s">
        <v>197</v>
      </c>
      <c r="D891" t="s">
        <v>197</v>
      </c>
      <c r="E891" t="s">
        <v>197</v>
      </c>
      <c r="F891" t="s">
        <v>197</v>
      </c>
      <c r="G891" t="s">
        <v>197</v>
      </c>
      <c r="H891" t="s">
        <v>197</v>
      </c>
      <c r="I891" t="s">
        <v>978</v>
      </c>
      <c r="J891" t="s">
        <v>199</v>
      </c>
      <c r="K891" t="s">
        <v>200</v>
      </c>
    </row>
    <row r="892" spans="1:24">
      <c r="B892" t="s">
        <v>197</v>
      </c>
      <c r="C892" t="s">
        <v>197</v>
      </c>
      <c r="D892" t="s">
        <v>197</v>
      </c>
      <c r="E892" t="s">
        <v>197</v>
      </c>
      <c r="F892" t="s">
        <v>197</v>
      </c>
      <c r="G892" t="s">
        <v>197</v>
      </c>
      <c r="H892" t="s">
        <v>197</v>
      </c>
      <c r="I892" t="s">
        <v>197</v>
      </c>
      <c r="J892" t="s">
        <v>197</v>
      </c>
      <c r="K892" t="s">
        <v>574</v>
      </c>
    </row>
    <row r="893" spans="1:24">
      <c r="A893" t="s">
        <v>985</v>
      </c>
      <c r="K893" t="s">
        <v>986</v>
      </c>
      <c r="W893" s="1" t="str">
        <f>HYPERLINK("#2026042015hbase0!BZ2","NO 源备存在差异，共2个")</f>
        <v>NO 源备存在差异，共2个</v>
      </c>
      <c r="X893" t="str">
        <f>A893</f>
        <v>info_timestamp_dml_single_pk_drp</v>
      </c>
    </row>
    <row r="894" spans="1:24">
      <c r="B894" t="s">
        <v>196</v>
      </c>
      <c r="C894" t="s">
        <v>197</v>
      </c>
      <c r="D894" t="s">
        <v>197</v>
      </c>
      <c r="E894" t="s">
        <v>197</v>
      </c>
      <c r="F894" t="s">
        <v>197</v>
      </c>
      <c r="G894" t="s">
        <v>197</v>
      </c>
      <c r="H894" t="s">
        <v>197</v>
      </c>
      <c r="I894" t="s">
        <v>987</v>
      </c>
      <c r="J894" t="s">
        <v>199</v>
      </c>
      <c r="K894" t="s">
        <v>200</v>
      </c>
    </row>
    <row r="895" spans="1:24">
      <c r="B895" t="s">
        <v>197</v>
      </c>
      <c r="C895" t="s">
        <v>197</v>
      </c>
      <c r="D895" t="s">
        <v>197</v>
      </c>
      <c r="E895" t="s">
        <v>197</v>
      </c>
      <c r="F895" t="s">
        <v>197</v>
      </c>
      <c r="G895" t="s">
        <v>197</v>
      </c>
      <c r="H895" t="s">
        <v>197</v>
      </c>
      <c r="I895" t="s">
        <v>197</v>
      </c>
      <c r="J895" t="s">
        <v>197</v>
      </c>
      <c r="K895" t="s">
        <v>944</v>
      </c>
    </row>
    <row r="896" spans="1:24">
      <c r="A896" t="s">
        <v>979</v>
      </c>
      <c r="K896" t="s">
        <v>980</v>
      </c>
      <c r="W896" s="1" t="str">
        <f>HYPERLINK("#2026042015hbase0!CA2","NO 源备存在差异，共12个")</f>
        <v>NO 源备存在差异，共12个</v>
      </c>
      <c r="X896" t="str">
        <f>A896</f>
        <v>info_date_dml_batch1_pk</v>
      </c>
    </row>
    <row r="897" spans="1:24">
      <c r="B897" t="s">
        <v>196</v>
      </c>
      <c r="C897" t="s">
        <v>197</v>
      </c>
      <c r="D897" t="s">
        <v>197</v>
      </c>
      <c r="E897" t="s">
        <v>197</v>
      </c>
      <c r="F897" t="s">
        <v>197</v>
      </c>
      <c r="G897" t="s">
        <v>197</v>
      </c>
      <c r="H897" t="s">
        <v>197</v>
      </c>
      <c r="I897" t="s">
        <v>981</v>
      </c>
      <c r="J897" t="s">
        <v>199</v>
      </c>
      <c r="K897" t="s">
        <v>200</v>
      </c>
    </row>
    <row r="898" spans="1:24">
      <c r="B898" t="s">
        <v>197</v>
      </c>
      <c r="C898" t="s">
        <v>197</v>
      </c>
      <c r="D898" t="s">
        <v>197</v>
      </c>
      <c r="E898" t="s">
        <v>197</v>
      </c>
      <c r="F898" t="s">
        <v>197</v>
      </c>
      <c r="G898" t="s">
        <v>197</v>
      </c>
      <c r="H898" t="s">
        <v>197</v>
      </c>
      <c r="I898" t="s">
        <v>197</v>
      </c>
      <c r="J898" t="s">
        <v>197</v>
      </c>
      <c r="K898" t="s">
        <v>678</v>
      </c>
    </row>
    <row r="899" spans="1:24">
      <c r="A899" t="s">
        <v>988</v>
      </c>
      <c r="K899" t="s">
        <v>989</v>
      </c>
      <c r="W899" s="1" t="str">
        <f>HYPERLINK("#2026042015hbase0!CB2","NO 源备存在差异，共30个")</f>
        <v>NO 源备存在差异，共30个</v>
      </c>
      <c r="X899" t="str">
        <f>A899</f>
        <v>info_time_dml_batch1_pk_irp1</v>
      </c>
    </row>
    <row r="900" spans="1:24">
      <c r="B900" t="s">
        <v>196</v>
      </c>
      <c r="C900" t="s">
        <v>197</v>
      </c>
      <c r="D900" t="s">
        <v>197</v>
      </c>
      <c r="E900" t="s">
        <v>197</v>
      </c>
      <c r="F900" t="s">
        <v>197</v>
      </c>
      <c r="G900" t="s">
        <v>197</v>
      </c>
      <c r="H900" t="s">
        <v>197</v>
      </c>
      <c r="I900" t="s">
        <v>990</v>
      </c>
      <c r="J900" t="s">
        <v>199</v>
      </c>
      <c r="K900" t="s">
        <v>200</v>
      </c>
    </row>
    <row r="901" spans="1:24">
      <c r="B901" t="s">
        <v>197</v>
      </c>
      <c r="C901" t="s">
        <v>197</v>
      </c>
      <c r="D901" t="s">
        <v>197</v>
      </c>
      <c r="E901" t="s">
        <v>197</v>
      </c>
      <c r="F901" t="s">
        <v>197</v>
      </c>
      <c r="G901" t="s">
        <v>197</v>
      </c>
      <c r="H901" t="s">
        <v>197</v>
      </c>
      <c r="I901" t="s">
        <v>197</v>
      </c>
      <c r="J901" t="s">
        <v>197</v>
      </c>
      <c r="K901" t="s">
        <v>800</v>
      </c>
    </row>
    <row r="902" spans="1:24">
      <c r="B902" t="s">
        <v>197</v>
      </c>
      <c r="C902" t="s">
        <v>197</v>
      </c>
      <c r="D902" t="s">
        <v>197</v>
      </c>
      <c r="E902" t="s">
        <v>197</v>
      </c>
      <c r="F902" t="s">
        <v>197</v>
      </c>
      <c r="G902" t="s">
        <v>197</v>
      </c>
      <c r="H902" t="s">
        <v>197</v>
      </c>
      <c r="I902" t="s">
        <v>197</v>
      </c>
      <c r="J902" t="s">
        <v>197</v>
      </c>
      <c r="K902" t="s">
        <v>801</v>
      </c>
    </row>
    <row r="903" spans="1:24">
      <c r="B903" t="s">
        <v>197</v>
      </c>
      <c r="C903" t="s">
        <v>197</v>
      </c>
      <c r="D903" t="s">
        <v>197</v>
      </c>
      <c r="E903" t="s">
        <v>197</v>
      </c>
      <c r="F903" t="s">
        <v>197</v>
      </c>
      <c r="G903" t="s">
        <v>197</v>
      </c>
      <c r="H903" t="s">
        <v>197</v>
      </c>
      <c r="I903" t="s">
        <v>197</v>
      </c>
      <c r="J903" t="s">
        <v>197</v>
      </c>
      <c r="K903" t="s">
        <v>802</v>
      </c>
    </row>
    <row r="904" spans="1:24">
      <c r="B904" t="s">
        <v>197</v>
      </c>
      <c r="C904" t="s">
        <v>197</v>
      </c>
      <c r="D904" t="s">
        <v>197</v>
      </c>
      <c r="E904" t="s">
        <v>197</v>
      </c>
      <c r="F904" t="s">
        <v>197</v>
      </c>
      <c r="G904" t="s">
        <v>197</v>
      </c>
      <c r="H904" t="s">
        <v>197</v>
      </c>
      <c r="I904" t="s">
        <v>197</v>
      </c>
      <c r="J904" t="s">
        <v>197</v>
      </c>
      <c r="K904" t="s">
        <v>803</v>
      </c>
    </row>
    <row r="905" spans="1:24">
      <c r="B905" t="s">
        <v>197</v>
      </c>
      <c r="C905" t="s">
        <v>197</v>
      </c>
      <c r="D905" t="s">
        <v>197</v>
      </c>
      <c r="E905" t="s">
        <v>197</v>
      </c>
      <c r="F905" t="s">
        <v>197</v>
      </c>
      <c r="G905" t="s">
        <v>197</v>
      </c>
      <c r="H905" t="s">
        <v>197</v>
      </c>
      <c r="I905" t="s">
        <v>197</v>
      </c>
      <c r="J905" t="s">
        <v>197</v>
      </c>
      <c r="K905" t="s">
        <v>804</v>
      </c>
    </row>
    <row r="906" spans="1:24">
      <c r="B906" t="s">
        <v>197</v>
      </c>
      <c r="C906" t="s">
        <v>197</v>
      </c>
      <c r="D906" t="s">
        <v>197</v>
      </c>
      <c r="E906" t="s">
        <v>197</v>
      </c>
      <c r="F906" t="s">
        <v>197</v>
      </c>
      <c r="G906" t="s">
        <v>197</v>
      </c>
      <c r="H906" t="s">
        <v>197</v>
      </c>
      <c r="I906" t="s">
        <v>197</v>
      </c>
      <c r="J906" t="s">
        <v>197</v>
      </c>
      <c r="K906" t="s">
        <v>805</v>
      </c>
    </row>
    <row r="907" spans="1:24">
      <c r="B907" t="s">
        <v>197</v>
      </c>
      <c r="C907" t="s">
        <v>197</v>
      </c>
      <c r="D907" t="s">
        <v>197</v>
      </c>
      <c r="E907" t="s">
        <v>197</v>
      </c>
      <c r="F907" t="s">
        <v>197</v>
      </c>
      <c r="G907" t="s">
        <v>197</v>
      </c>
      <c r="H907" t="s">
        <v>197</v>
      </c>
      <c r="I907" t="s">
        <v>197</v>
      </c>
      <c r="J907" t="s">
        <v>197</v>
      </c>
      <c r="K907" t="s">
        <v>806</v>
      </c>
    </row>
    <row r="908" spans="1:24">
      <c r="B908" t="s">
        <v>197</v>
      </c>
      <c r="C908" t="s">
        <v>197</v>
      </c>
      <c r="D908" t="s">
        <v>197</v>
      </c>
      <c r="E908" t="s">
        <v>197</v>
      </c>
      <c r="F908" t="s">
        <v>197</v>
      </c>
      <c r="G908" t="s">
        <v>197</v>
      </c>
      <c r="H908" t="s">
        <v>197</v>
      </c>
      <c r="I908" t="s">
        <v>197</v>
      </c>
      <c r="J908" t="s">
        <v>197</v>
      </c>
      <c r="K908" t="s">
        <v>807</v>
      </c>
    </row>
    <row r="909" spans="1:24">
      <c r="A909" t="s">
        <v>994</v>
      </c>
      <c r="K909" t="s">
        <v>995</v>
      </c>
      <c r="W909" t="s">
        <v>171</v>
      </c>
      <c r="X909" t="str">
        <f>A909</f>
        <v>info_varchar_dml_batch1_pk_irp2</v>
      </c>
    </row>
    <row r="910" spans="1:24">
      <c r="B910" t="s">
        <v>196</v>
      </c>
      <c r="C910" t="s">
        <v>197</v>
      </c>
      <c r="D910" t="s">
        <v>197</v>
      </c>
      <c r="E910" t="s">
        <v>197</v>
      </c>
      <c r="F910" t="s">
        <v>197</v>
      </c>
      <c r="G910" t="s">
        <v>197</v>
      </c>
      <c r="H910" t="s">
        <v>197</v>
      </c>
      <c r="I910" t="s">
        <v>996</v>
      </c>
      <c r="J910" t="s">
        <v>199</v>
      </c>
      <c r="K910" t="s">
        <v>200</v>
      </c>
    </row>
    <row r="911" spans="1:24">
      <c r="B911" t="s">
        <v>197</v>
      </c>
      <c r="C911" t="s">
        <v>197</v>
      </c>
      <c r="D911" t="s">
        <v>197</v>
      </c>
      <c r="E911" t="s">
        <v>197</v>
      </c>
      <c r="F911" t="s">
        <v>197</v>
      </c>
      <c r="G911" t="s">
        <v>197</v>
      </c>
      <c r="H911" t="s">
        <v>197</v>
      </c>
      <c r="I911" t="s">
        <v>197</v>
      </c>
      <c r="J911" t="s">
        <v>197</v>
      </c>
      <c r="K911" t="s">
        <v>431</v>
      </c>
    </row>
    <row r="912" spans="1:24">
      <c r="B912" t="s">
        <v>197</v>
      </c>
      <c r="C912" t="s">
        <v>197</v>
      </c>
      <c r="D912" t="s">
        <v>197</v>
      </c>
      <c r="E912" t="s">
        <v>197</v>
      </c>
      <c r="F912" t="s">
        <v>197</v>
      </c>
      <c r="G912" t="s">
        <v>197</v>
      </c>
      <c r="H912" t="s">
        <v>197</v>
      </c>
      <c r="I912" t="s">
        <v>197</v>
      </c>
      <c r="J912" t="s">
        <v>197</v>
      </c>
      <c r="K912" t="s">
        <v>434</v>
      </c>
    </row>
    <row r="913" spans="1:24">
      <c r="B913" t="s">
        <v>197</v>
      </c>
      <c r="C913" t="s">
        <v>197</v>
      </c>
      <c r="D913" t="s">
        <v>197</v>
      </c>
      <c r="E913" t="s">
        <v>197</v>
      </c>
      <c r="F913" t="s">
        <v>197</v>
      </c>
      <c r="G913" t="s">
        <v>197</v>
      </c>
      <c r="H913" t="s">
        <v>197</v>
      </c>
      <c r="I913" t="s">
        <v>197</v>
      </c>
      <c r="J913" t="s">
        <v>197</v>
      </c>
      <c r="K913" t="s">
        <v>963</v>
      </c>
    </row>
    <row r="914" spans="1:24">
      <c r="K914" t="s">
        <v>443</v>
      </c>
    </row>
    <row r="915" spans="1:24">
      <c r="A915" t="s">
        <v>991</v>
      </c>
      <c r="K915" t="s">
        <v>992</v>
      </c>
      <c r="W915" t="s">
        <v>171</v>
      </c>
      <c r="X915" t="str">
        <f>A915</f>
        <v>info_binary_dml_batch1_pk</v>
      </c>
    </row>
    <row r="916" spans="1:24">
      <c r="B916" t="s">
        <v>196</v>
      </c>
      <c r="C916" t="s">
        <v>197</v>
      </c>
      <c r="D916" t="s">
        <v>197</v>
      </c>
      <c r="E916" t="s">
        <v>197</v>
      </c>
      <c r="F916" t="s">
        <v>197</v>
      </c>
      <c r="G916" t="s">
        <v>197</v>
      </c>
      <c r="H916" t="s">
        <v>197</v>
      </c>
      <c r="I916" t="s">
        <v>993</v>
      </c>
      <c r="J916" t="s">
        <v>199</v>
      </c>
      <c r="K916" t="s">
        <v>200</v>
      </c>
    </row>
    <row r="917" spans="1:24">
      <c r="B917" t="s">
        <v>197</v>
      </c>
      <c r="C917" t="s">
        <v>197</v>
      </c>
      <c r="D917" t="s">
        <v>197</v>
      </c>
      <c r="E917" t="s">
        <v>197</v>
      </c>
      <c r="F917" t="s">
        <v>197</v>
      </c>
      <c r="G917" t="s">
        <v>197</v>
      </c>
      <c r="H917" t="s">
        <v>197</v>
      </c>
      <c r="I917" t="s">
        <v>197</v>
      </c>
      <c r="J917" t="s">
        <v>197</v>
      </c>
      <c r="K917" t="s">
        <v>691</v>
      </c>
    </row>
    <row r="918" spans="1:24">
      <c r="B918" t="s">
        <v>197</v>
      </c>
      <c r="C918" t="s">
        <v>197</v>
      </c>
      <c r="D918" t="s">
        <v>197</v>
      </c>
      <c r="E918" t="s">
        <v>197</v>
      </c>
      <c r="F918" t="s">
        <v>197</v>
      </c>
      <c r="G918" t="s">
        <v>197</v>
      </c>
      <c r="H918" t="s">
        <v>197</v>
      </c>
      <c r="I918" t="s">
        <v>197</v>
      </c>
      <c r="J918" t="s">
        <v>197</v>
      </c>
      <c r="K918" t="s">
        <v>692</v>
      </c>
    </row>
    <row r="919" spans="1:24">
      <c r="B919" t="s">
        <v>197</v>
      </c>
      <c r="C919" t="s">
        <v>197</v>
      </c>
      <c r="D919" t="s">
        <v>197</v>
      </c>
      <c r="E919" t="s">
        <v>197</v>
      </c>
      <c r="F919" t="s">
        <v>197</v>
      </c>
      <c r="G919" t="s">
        <v>197</v>
      </c>
      <c r="H919" t="s">
        <v>197</v>
      </c>
      <c r="I919" t="s">
        <v>197</v>
      </c>
      <c r="J919" t="s">
        <v>197</v>
      </c>
      <c r="K919" t="s">
        <v>693</v>
      </c>
    </row>
    <row r="920" spans="1:24">
      <c r="A920" t="s">
        <v>1003</v>
      </c>
      <c r="K920" t="s">
        <v>1004</v>
      </c>
      <c r="W920" s="1" t="str">
        <f>HYPERLINK("#2026042015hbase0!CC2","NO 源备存在差异，共4个")</f>
        <v>NO 源备存在差异，共4个</v>
      </c>
      <c r="X920" t="str">
        <f>A920</f>
        <v>info_sql_variant_dml_single_pk_irp</v>
      </c>
    </row>
    <row r="921" spans="1:24">
      <c r="B921" t="s">
        <v>196</v>
      </c>
      <c r="C921" t="s">
        <v>197</v>
      </c>
      <c r="D921" t="s">
        <v>197</v>
      </c>
      <c r="E921" t="s">
        <v>197</v>
      </c>
      <c r="F921" t="s">
        <v>197</v>
      </c>
      <c r="G921" t="s">
        <v>197</v>
      </c>
      <c r="H921" t="s">
        <v>197</v>
      </c>
      <c r="I921" t="s">
        <v>1005</v>
      </c>
      <c r="J921" t="s">
        <v>199</v>
      </c>
      <c r="K921" t="s">
        <v>200</v>
      </c>
    </row>
    <row r="922" spans="1:24">
      <c r="B922" t="s">
        <v>197</v>
      </c>
      <c r="C922" t="s">
        <v>197</v>
      </c>
      <c r="D922" t="s">
        <v>197</v>
      </c>
      <c r="E922" t="s">
        <v>197</v>
      </c>
      <c r="F922" t="s">
        <v>197</v>
      </c>
      <c r="G922" t="s">
        <v>197</v>
      </c>
      <c r="H922" t="s">
        <v>197</v>
      </c>
      <c r="I922" t="s">
        <v>197</v>
      </c>
      <c r="J922" t="s">
        <v>197</v>
      </c>
      <c r="K922" t="s">
        <v>1006</v>
      </c>
    </row>
    <row r="923" spans="1:24">
      <c r="B923" t="s">
        <v>197</v>
      </c>
      <c r="C923" t="s">
        <v>197</v>
      </c>
      <c r="D923" t="s">
        <v>197</v>
      </c>
      <c r="E923" t="s">
        <v>197</v>
      </c>
      <c r="F923" t="s">
        <v>197</v>
      </c>
      <c r="G923" t="s">
        <v>197</v>
      </c>
      <c r="H923" t="s">
        <v>197</v>
      </c>
      <c r="I923" t="s">
        <v>197</v>
      </c>
      <c r="J923" t="s">
        <v>197</v>
      </c>
      <c r="K923" t="s">
        <v>1007</v>
      </c>
    </row>
    <row r="924" spans="1:24">
      <c r="B924" t="s">
        <v>197</v>
      </c>
      <c r="C924" t="s">
        <v>197</v>
      </c>
      <c r="D924" t="s">
        <v>197</v>
      </c>
      <c r="E924" t="s">
        <v>197</v>
      </c>
      <c r="F924" t="s">
        <v>197</v>
      </c>
      <c r="G924" t="s">
        <v>197</v>
      </c>
      <c r="H924" t="s">
        <v>197</v>
      </c>
      <c r="I924" t="s">
        <v>197</v>
      </c>
      <c r="J924" t="s">
        <v>197</v>
      </c>
      <c r="K924" t="s">
        <v>1008</v>
      </c>
    </row>
    <row r="925" spans="1:24">
      <c r="B925" t="s">
        <v>197</v>
      </c>
      <c r="C925" t="s">
        <v>197</v>
      </c>
      <c r="D925" t="s">
        <v>197</v>
      </c>
      <c r="E925" t="s">
        <v>197</v>
      </c>
      <c r="F925" t="s">
        <v>197</v>
      </c>
      <c r="G925" t="s">
        <v>197</v>
      </c>
      <c r="H925" t="s">
        <v>197</v>
      </c>
      <c r="I925" t="s">
        <v>197</v>
      </c>
      <c r="J925" t="s">
        <v>197</v>
      </c>
      <c r="K925" t="s">
        <v>1009</v>
      </c>
    </row>
    <row r="926" spans="1:24">
      <c r="B926" t="s">
        <v>197</v>
      </c>
      <c r="C926" t="s">
        <v>197</v>
      </c>
      <c r="D926" t="s">
        <v>197</v>
      </c>
      <c r="E926" t="s">
        <v>197</v>
      </c>
      <c r="F926" t="s">
        <v>197</v>
      </c>
      <c r="G926" t="s">
        <v>197</v>
      </c>
      <c r="H926" t="s">
        <v>197</v>
      </c>
      <c r="I926" t="s">
        <v>197</v>
      </c>
      <c r="J926" t="s">
        <v>197</v>
      </c>
      <c r="K926" t="s">
        <v>1010</v>
      </c>
    </row>
    <row r="927" spans="1:24">
      <c r="B927" t="s">
        <v>197</v>
      </c>
      <c r="C927" t="s">
        <v>197</v>
      </c>
      <c r="D927" t="s">
        <v>197</v>
      </c>
      <c r="E927" t="s">
        <v>197</v>
      </c>
      <c r="F927" t="s">
        <v>197</v>
      </c>
      <c r="G927" t="s">
        <v>197</v>
      </c>
      <c r="H927" t="s">
        <v>197</v>
      </c>
      <c r="I927" t="s">
        <v>197</v>
      </c>
      <c r="J927" t="s">
        <v>197</v>
      </c>
      <c r="K927" t="s">
        <v>1011</v>
      </c>
    </row>
    <row r="928" spans="1:24">
      <c r="B928" t="s">
        <v>197</v>
      </c>
      <c r="C928" t="s">
        <v>197</v>
      </c>
      <c r="D928" t="s">
        <v>197</v>
      </c>
      <c r="E928" t="s">
        <v>197</v>
      </c>
      <c r="F928" t="s">
        <v>197</v>
      </c>
      <c r="G928" t="s">
        <v>197</v>
      </c>
      <c r="H928" t="s">
        <v>197</v>
      </c>
      <c r="I928" t="s">
        <v>197</v>
      </c>
      <c r="J928" t="s">
        <v>197</v>
      </c>
      <c r="K928" t="s">
        <v>1012</v>
      </c>
    </row>
    <row r="929" spans="2:11">
      <c r="B929" t="s">
        <v>197</v>
      </c>
      <c r="C929" t="s">
        <v>197</v>
      </c>
      <c r="D929" t="s">
        <v>197</v>
      </c>
      <c r="E929" t="s">
        <v>197</v>
      </c>
      <c r="F929" t="s">
        <v>197</v>
      </c>
      <c r="G929" t="s">
        <v>197</v>
      </c>
      <c r="H929" t="s">
        <v>197</v>
      </c>
      <c r="I929" t="s">
        <v>197</v>
      </c>
      <c r="J929" t="s">
        <v>197</v>
      </c>
      <c r="K929" t="s">
        <v>1013</v>
      </c>
    </row>
    <row r="930" spans="2:11">
      <c r="B930" t="s">
        <v>197</v>
      </c>
      <c r="C930" t="s">
        <v>197</v>
      </c>
      <c r="D930" t="s">
        <v>197</v>
      </c>
      <c r="E930" t="s">
        <v>197</v>
      </c>
      <c r="F930" t="s">
        <v>197</v>
      </c>
      <c r="G930" t="s">
        <v>197</v>
      </c>
      <c r="H930" t="s">
        <v>197</v>
      </c>
      <c r="I930" t="s">
        <v>197</v>
      </c>
      <c r="J930" t="s">
        <v>197</v>
      </c>
      <c r="K930" t="s">
        <v>1014</v>
      </c>
    </row>
    <row r="931" spans="2:11">
      <c r="B931" t="s">
        <v>197</v>
      </c>
      <c r="C931" t="s">
        <v>197</v>
      </c>
      <c r="D931" t="s">
        <v>197</v>
      </c>
      <c r="E931" t="s">
        <v>197</v>
      </c>
      <c r="F931" t="s">
        <v>197</v>
      </c>
      <c r="G931" t="s">
        <v>197</v>
      </c>
      <c r="H931" t="s">
        <v>197</v>
      </c>
      <c r="I931" t="s">
        <v>197</v>
      </c>
      <c r="J931" t="s">
        <v>197</v>
      </c>
      <c r="K931" t="s">
        <v>1015</v>
      </c>
    </row>
    <row r="932" spans="2:11">
      <c r="B932" t="s">
        <v>197</v>
      </c>
      <c r="C932" t="s">
        <v>197</v>
      </c>
      <c r="D932" t="s">
        <v>197</v>
      </c>
      <c r="E932" t="s">
        <v>197</v>
      </c>
      <c r="F932" t="s">
        <v>197</v>
      </c>
      <c r="G932" t="s">
        <v>197</v>
      </c>
      <c r="H932" t="s">
        <v>197</v>
      </c>
      <c r="I932" t="s">
        <v>197</v>
      </c>
      <c r="J932" t="s">
        <v>197</v>
      </c>
      <c r="K932" t="s">
        <v>1016</v>
      </c>
    </row>
    <row r="933" spans="2:11">
      <c r="B933" t="s">
        <v>197</v>
      </c>
      <c r="C933" t="s">
        <v>197</v>
      </c>
      <c r="D933" t="s">
        <v>197</v>
      </c>
      <c r="E933" t="s">
        <v>197</v>
      </c>
      <c r="F933" t="s">
        <v>197</v>
      </c>
      <c r="G933" t="s">
        <v>197</v>
      </c>
      <c r="H933" t="s">
        <v>197</v>
      </c>
      <c r="I933" t="s">
        <v>197</v>
      </c>
      <c r="J933" t="s">
        <v>197</v>
      </c>
      <c r="K933" t="s">
        <v>1017</v>
      </c>
    </row>
    <row r="934" spans="2:11">
      <c r="B934" t="s">
        <v>197</v>
      </c>
      <c r="C934" t="s">
        <v>197</v>
      </c>
      <c r="D934" t="s">
        <v>197</v>
      </c>
      <c r="E934" t="s">
        <v>197</v>
      </c>
      <c r="F934" t="s">
        <v>197</v>
      </c>
      <c r="G934" t="s">
        <v>197</v>
      </c>
      <c r="H934" t="s">
        <v>197</v>
      </c>
      <c r="I934" t="s">
        <v>197</v>
      </c>
      <c r="J934" t="s">
        <v>197</v>
      </c>
      <c r="K934" t="s">
        <v>1018</v>
      </c>
    </row>
    <row r="935" spans="2:11">
      <c r="B935" t="s">
        <v>197</v>
      </c>
      <c r="C935" t="s">
        <v>197</v>
      </c>
      <c r="D935" t="s">
        <v>197</v>
      </c>
      <c r="E935" t="s">
        <v>197</v>
      </c>
      <c r="F935" t="s">
        <v>197</v>
      </c>
      <c r="G935" t="s">
        <v>197</v>
      </c>
      <c r="H935" t="s">
        <v>197</v>
      </c>
      <c r="I935" t="s">
        <v>197</v>
      </c>
      <c r="J935" t="s">
        <v>197</v>
      </c>
      <c r="K935" t="s">
        <v>1019</v>
      </c>
    </row>
    <row r="936" spans="2:11">
      <c r="B936" t="s">
        <v>197</v>
      </c>
      <c r="C936" t="s">
        <v>197</v>
      </c>
      <c r="D936" t="s">
        <v>197</v>
      </c>
      <c r="E936" t="s">
        <v>197</v>
      </c>
      <c r="F936" t="s">
        <v>197</v>
      </c>
      <c r="G936" t="s">
        <v>197</v>
      </c>
      <c r="H936" t="s">
        <v>197</v>
      </c>
      <c r="I936" t="s">
        <v>197</v>
      </c>
      <c r="J936" t="s">
        <v>197</v>
      </c>
      <c r="K936" t="s">
        <v>1020</v>
      </c>
    </row>
    <row r="937" spans="2:11">
      <c r="B937" t="s">
        <v>197</v>
      </c>
      <c r="C937" t="s">
        <v>197</v>
      </c>
      <c r="D937" t="s">
        <v>197</v>
      </c>
      <c r="E937" t="s">
        <v>197</v>
      </c>
      <c r="F937" t="s">
        <v>197</v>
      </c>
      <c r="G937" t="s">
        <v>197</v>
      </c>
      <c r="H937" t="s">
        <v>197</v>
      </c>
      <c r="I937" t="s">
        <v>197</v>
      </c>
      <c r="J937" t="s">
        <v>197</v>
      </c>
      <c r="K937" t="s">
        <v>1021</v>
      </c>
    </row>
    <row r="938" spans="2:11">
      <c r="B938" t="s">
        <v>197</v>
      </c>
      <c r="C938" t="s">
        <v>197</v>
      </c>
      <c r="D938" t="s">
        <v>197</v>
      </c>
      <c r="E938" t="s">
        <v>197</v>
      </c>
      <c r="F938" t="s">
        <v>197</v>
      </c>
      <c r="G938" t="s">
        <v>197</v>
      </c>
      <c r="H938" t="s">
        <v>197</v>
      </c>
      <c r="I938" t="s">
        <v>197</v>
      </c>
      <c r="J938" t="s">
        <v>197</v>
      </c>
      <c r="K938" t="s">
        <v>1022</v>
      </c>
    </row>
    <row r="939" spans="2:11">
      <c r="B939" t="s">
        <v>197</v>
      </c>
      <c r="C939" t="s">
        <v>197</v>
      </c>
      <c r="D939" t="s">
        <v>197</v>
      </c>
      <c r="E939" t="s">
        <v>197</v>
      </c>
      <c r="F939" t="s">
        <v>197</v>
      </c>
      <c r="G939" t="s">
        <v>197</v>
      </c>
      <c r="H939" t="s">
        <v>197</v>
      </c>
      <c r="I939" t="s">
        <v>197</v>
      </c>
      <c r="J939" t="s">
        <v>197</v>
      </c>
      <c r="K939" t="s">
        <v>1023</v>
      </c>
    </row>
    <row r="940" spans="2:11">
      <c r="B940" t="s">
        <v>197</v>
      </c>
      <c r="C940" t="s">
        <v>197</v>
      </c>
      <c r="D940" t="s">
        <v>197</v>
      </c>
      <c r="E940" t="s">
        <v>197</v>
      </c>
      <c r="F940" t="s">
        <v>197</v>
      </c>
      <c r="G940" t="s">
        <v>197</v>
      </c>
      <c r="H940" t="s">
        <v>197</v>
      </c>
      <c r="I940" t="s">
        <v>197</v>
      </c>
      <c r="J940" t="s">
        <v>197</v>
      </c>
      <c r="K940" t="s">
        <v>1024</v>
      </c>
    </row>
    <row r="941" spans="2:11">
      <c r="B941" t="s">
        <v>197</v>
      </c>
      <c r="C941" t="s">
        <v>197</v>
      </c>
      <c r="D941" t="s">
        <v>197</v>
      </c>
      <c r="E941" t="s">
        <v>197</v>
      </c>
      <c r="F941" t="s">
        <v>197</v>
      </c>
      <c r="G941" t="s">
        <v>197</v>
      </c>
      <c r="H941" t="s">
        <v>197</v>
      </c>
      <c r="I941" t="s">
        <v>197</v>
      </c>
      <c r="J941" t="s">
        <v>197</v>
      </c>
      <c r="K941" t="s">
        <v>1025</v>
      </c>
    </row>
    <row r="942" spans="2:11">
      <c r="B942" t="s">
        <v>197</v>
      </c>
      <c r="C942" t="s">
        <v>197</v>
      </c>
      <c r="D942" t="s">
        <v>197</v>
      </c>
      <c r="E942" t="s">
        <v>197</v>
      </c>
      <c r="F942" t="s">
        <v>197</v>
      </c>
      <c r="G942" t="s">
        <v>197</v>
      </c>
      <c r="H942" t="s">
        <v>197</v>
      </c>
      <c r="I942" t="s">
        <v>197</v>
      </c>
      <c r="J942" t="s">
        <v>197</v>
      </c>
      <c r="K942" t="s">
        <v>1026</v>
      </c>
    </row>
    <row r="943" spans="2:11">
      <c r="B943" t="s">
        <v>197</v>
      </c>
      <c r="C943" t="s">
        <v>197</v>
      </c>
      <c r="D943" t="s">
        <v>197</v>
      </c>
      <c r="E943" t="s">
        <v>197</v>
      </c>
      <c r="F943" t="s">
        <v>197</v>
      </c>
      <c r="G943" t="s">
        <v>197</v>
      </c>
      <c r="H943" t="s">
        <v>197</v>
      </c>
      <c r="I943" t="s">
        <v>197</v>
      </c>
      <c r="J943" t="s">
        <v>197</v>
      </c>
      <c r="K943" t="s">
        <v>1027</v>
      </c>
    </row>
    <row r="944" spans="2:11">
      <c r="B944" t="s">
        <v>197</v>
      </c>
      <c r="C944" t="s">
        <v>197</v>
      </c>
      <c r="D944" t="s">
        <v>197</v>
      </c>
      <c r="E944" t="s">
        <v>197</v>
      </c>
      <c r="F944" t="s">
        <v>197</v>
      </c>
      <c r="G944" t="s">
        <v>197</v>
      </c>
      <c r="H944" t="s">
        <v>197</v>
      </c>
      <c r="I944" t="s">
        <v>197</v>
      </c>
      <c r="J944" t="s">
        <v>197</v>
      </c>
      <c r="K944" t="s">
        <v>1028</v>
      </c>
    </row>
    <row r="945" spans="1:24">
      <c r="B945" t="s">
        <v>197</v>
      </c>
      <c r="C945" t="s">
        <v>197</v>
      </c>
      <c r="D945" t="s">
        <v>197</v>
      </c>
      <c r="E945" t="s">
        <v>197</v>
      </c>
      <c r="F945" t="s">
        <v>197</v>
      </c>
      <c r="G945" t="s">
        <v>197</v>
      </c>
      <c r="H945" t="s">
        <v>197</v>
      </c>
      <c r="I945" t="s">
        <v>197</v>
      </c>
      <c r="J945" t="s">
        <v>197</v>
      </c>
      <c r="K945" t="s">
        <v>1029</v>
      </c>
    </row>
    <row r="946" spans="1:24">
      <c r="A946" t="s">
        <v>997</v>
      </c>
      <c r="K946" t="s">
        <v>998</v>
      </c>
      <c r="W946" s="1" t="str">
        <f>HYPERLINK("#2026042015hbase0!CD2","NO 源备存在差异，共84个")</f>
        <v>NO 源备存在差异，共84个</v>
      </c>
      <c r="X946" t="str">
        <f>A946</f>
        <v>info_time_dml_batch1_pk_irp2</v>
      </c>
    </row>
    <row r="947" spans="1:24">
      <c r="B947" t="s">
        <v>196</v>
      </c>
      <c r="C947" t="s">
        <v>197</v>
      </c>
      <c r="D947" t="s">
        <v>197</v>
      </c>
      <c r="E947" t="s">
        <v>197</v>
      </c>
      <c r="F947" t="s">
        <v>197</v>
      </c>
      <c r="G947" t="s">
        <v>197</v>
      </c>
      <c r="H947" t="s">
        <v>197</v>
      </c>
      <c r="I947" t="s">
        <v>999</v>
      </c>
      <c r="J947" t="s">
        <v>199</v>
      </c>
      <c r="K947" t="s">
        <v>200</v>
      </c>
    </row>
    <row r="948" spans="1:24">
      <c r="B948" t="s">
        <v>197</v>
      </c>
      <c r="C948" t="s">
        <v>197</v>
      </c>
      <c r="D948" t="s">
        <v>197</v>
      </c>
      <c r="E948" t="s">
        <v>197</v>
      </c>
      <c r="F948" t="s">
        <v>197</v>
      </c>
      <c r="G948" t="s">
        <v>197</v>
      </c>
      <c r="H948" t="s">
        <v>197</v>
      </c>
      <c r="I948" t="s">
        <v>197</v>
      </c>
      <c r="J948" t="s">
        <v>197</v>
      </c>
      <c r="K948" t="s">
        <v>800</v>
      </c>
    </row>
    <row r="949" spans="1:24">
      <c r="B949" t="s">
        <v>197</v>
      </c>
      <c r="C949" t="s">
        <v>197</v>
      </c>
      <c r="D949" t="s">
        <v>197</v>
      </c>
      <c r="E949" t="s">
        <v>197</v>
      </c>
      <c r="F949" t="s">
        <v>197</v>
      </c>
      <c r="G949" t="s">
        <v>197</v>
      </c>
      <c r="H949" t="s">
        <v>197</v>
      </c>
      <c r="I949" t="s">
        <v>197</v>
      </c>
      <c r="J949" t="s">
        <v>197</v>
      </c>
      <c r="K949" t="s">
        <v>801</v>
      </c>
    </row>
    <row r="950" spans="1:24">
      <c r="B950" t="s">
        <v>197</v>
      </c>
      <c r="C950" t="s">
        <v>197</v>
      </c>
      <c r="D950" t="s">
        <v>197</v>
      </c>
      <c r="E950" t="s">
        <v>197</v>
      </c>
      <c r="F950" t="s">
        <v>197</v>
      </c>
      <c r="G950" t="s">
        <v>197</v>
      </c>
      <c r="H950" t="s">
        <v>197</v>
      </c>
      <c r="I950" t="s">
        <v>197</v>
      </c>
      <c r="J950" t="s">
        <v>197</v>
      </c>
      <c r="K950" t="s">
        <v>802</v>
      </c>
    </row>
    <row r="951" spans="1:24">
      <c r="B951" t="s">
        <v>197</v>
      </c>
      <c r="C951" t="s">
        <v>197</v>
      </c>
      <c r="D951" t="s">
        <v>197</v>
      </c>
      <c r="E951" t="s">
        <v>197</v>
      </c>
      <c r="F951" t="s">
        <v>197</v>
      </c>
      <c r="G951" t="s">
        <v>197</v>
      </c>
      <c r="H951" t="s">
        <v>197</v>
      </c>
      <c r="I951" t="s">
        <v>197</v>
      </c>
      <c r="J951" t="s">
        <v>197</v>
      </c>
      <c r="K951" t="s">
        <v>803</v>
      </c>
    </row>
    <row r="952" spans="1:24">
      <c r="B952" t="s">
        <v>197</v>
      </c>
      <c r="C952" t="s">
        <v>197</v>
      </c>
      <c r="D952" t="s">
        <v>197</v>
      </c>
      <c r="E952" t="s">
        <v>197</v>
      </c>
      <c r="F952" t="s">
        <v>197</v>
      </c>
      <c r="G952" t="s">
        <v>197</v>
      </c>
      <c r="H952" t="s">
        <v>197</v>
      </c>
      <c r="I952" t="s">
        <v>197</v>
      </c>
      <c r="J952" t="s">
        <v>197</v>
      </c>
      <c r="K952" t="s">
        <v>804</v>
      </c>
    </row>
    <row r="953" spans="1:24">
      <c r="B953" t="s">
        <v>197</v>
      </c>
      <c r="C953" t="s">
        <v>197</v>
      </c>
      <c r="D953" t="s">
        <v>197</v>
      </c>
      <c r="E953" t="s">
        <v>197</v>
      </c>
      <c r="F953" t="s">
        <v>197</v>
      </c>
      <c r="G953" t="s">
        <v>197</v>
      </c>
      <c r="H953" t="s">
        <v>197</v>
      </c>
      <c r="I953" t="s">
        <v>197</v>
      </c>
      <c r="J953" t="s">
        <v>197</v>
      </c>
      <c r="K953" t="s">
        <v>805</v>
      </c>
    </row>
    <row r="954" spans="1:24">
      <c r="B954" t="s">
        <v>197</v>
      </c>
      <c r="C954" t="s">
        <v>197</v>
      </c>
      <c r="D954" t="s">
        <v>197</v>
      </c>
      <c r="E954" t="s">
        <v>197</v>
      </c>
      <c r="F954" t="s">
        <v>197</v>
      </c>
      <c r="G954" t="s">
        <v>197</v>
      </c>
      <c r="H954" t="s">
        <v>197</v>
      </c>
      <c r="I954" t="s">
        <v>197</v>
      </c>
      <c r="J954" t="s">
        <v>197</v>
      </c>
      <c r="K954" t="s">
        <v>806</v>
      </c>
    </row>
    <row r="955" spans="1:24">
      <c r="B955" t="s">
        <v>197</v>
      </c>
      <c r="C955" t="s">
        <v>197</v>
      </c>
      <c r="D955" t="s">
        <v>197</v>
      </c>
      <c r="E955" t="s">
        <v>197</v>
      </c>
      <c r="F955" t="s">
        <v>197</v>
      </c>
      <c r="G955" t="s">
        <v>197</v>
      </c>
      <c r="H955" t="s">
        <v>197</v>
      </c>
      <c r="I955" t="s">
        <v>197</v>
      </c>
      <c r="J955" t="s">
        <v>197</v>
      </c>
      <c r="K955" t="s">
        <v>807</v>
      </c>
    </row>
    <row r="956" spans="1:24">
      <c r="A956" t="s">
        <v>1000</v>
      </c>
      <c r="K956" t="s">
        <v>1001</v>
      </c>
      <c r="W956" s="1" t="str">
        <f>HYPERLINK("#2026042015hbase0!CE2","NO 源备存在差异，共2个")</f>
        <v>NO 源备存在差异，共2个</v>
      </c>
      <c r="X956" t="str">
        <f>A956</f>
        <v>info_datetime_dml_single_pk</v>
      </c>
    </row>
    <row r="957" spans="1:24">
      <c r="B957" t="s">
        <v>196</v>
      </c>
      <c r="C957" t="s">
        <v>197</v>
      </c>
      <c r="D957" t="s">
        <v>197</v>
      </c>
      <c r="E957" t="s">
        <v>197</v>
      </c>
      <c r="F957" t="s">
        <v>197</v>
      </c>
      <c r="G957" t="s">
        <v>197</v>
      </c>
      <c r="H957" t="s">
        <v>197</v>
      </c>
      <c r="I957" t="s">
        <v>1002</v>
      </c>
      <c r="J957" t="s">
        <v>199</v>
      </c>
      <c r="K957" t="s">
        <v>200</v>
      </c>
    </row>
    <row r="958" spans="1:24">
      <c r="B958" t="s">
        <v>197</v>
      </c>
      <c r="C958" t="s">
        <v>197</v>
      </c>
      <c r="D958" t="s">
        <v>197</v>
      </c>
      <c r="E958" t="s">
        <v>197</v>
      </c>
      <c r="F958" t="s">
        <v>197</v>
      </c>
      <c r="G958" t="s">
        <v>197</v>
      </c>
      <c r="H958" t="s">
        <v>197</v>
      </c>
      <c r="I958" t="s">
        <v>197</v>
      </c>
      <c r="J958" t="s">
        <v>197</v>
      </c>
      <c r="K958" t="s">
        <v>574</v>
      </c>
    </row>
    <row r="959" spans="1:24">
      <c r="A959" t="s">
        <v>1030</v>
      </c>
      <c r="K959" t="s">
        <v>1031</v>
      </c>
      <c r="W959" t="s">
        <v>171</v>
      </c>
      <c r="X959" t="str">
        <f>A959</f>
        <v>info_varcharmax_dml_batch1_pk</v>
      </c>
    </row>
    <row r="960" spans="1:24">
      <c r="B960" t="s">
        <v>196</v>
      </c>
      <c r="C960" t="s">
        <v>197</v>
      </c>
      <c r="D960" t="s">
        <v>197</v>
      </c>
      <c r="E960" t="s">
        <v>197</v>
      </c>
      <c r="F960" t="s">
        <v>197</v>
      </c>
      <c r="G960" t="s">
        <v>197</v>
      </c>
      <c r="H960" t="s">
        <v>197</v>
      </c>
      <c r="I960" t="s">
        <v>1032</v>
      </c>
      <c r="J960" t="s">
        <v>199</v>
      </c>
      <c r="K960" t="s">
        <v>200</v>
      </c>
    </row>
    <row r="961" spans="1:24">
      <c r="B961" t="s">
        <v>197</v>
      </c>
      <c r="C961" t="s">
        <v>197</v>
      </c>
      <c r="D961" t="s">
        <v>197</v>
      </c>
      <c r="E961" t="s">
        <v>197</v>
      </c>
      <c r="F961" t="s">
        <v>197</v>
      </c>
      <c r="G961" t="s">
        <v>197</v>
      </c>
      <c r="H961" t="s">
        <v>197</v>
      </c>
      <c r="I961" t="s">
        <v>197</v>
      </c>
      <c r="J961" t="s">
        <v>197</v>
      </c>
      <c r="K961" t="s">
        <v>725</v>
      </c>
    </row>
    <row r="962" spans="1:24">
      <c r="B962" t="s">
        <v>197</v>
      </c>
      <c r="C962" t="s">
        <v>197</v>
      </c>
      <c r="D962" t="s">
        <v>197</v>
      </c>
      <c r="E962" t="s">
        <v>197</v>
      </c>
      <c r="F962" t="s">
        <v>197</v>
      </c>
      <c r="G962" t="s">
        <v>197</v>
      </c>
      <c r="H962" t="s">
        <v>197</v>
      </c>
      <c r="I962" t="s">
        <v>197</v>
      </c>
      <c r="J962" t="s">
        <v>197</v>
      </c>
      <c r="K962" t="s">
        <v>726</v>
      </c>
    </row>
    <row r="963" spans="1:24">
      <c r="K963" t="s">
        <v>443</v>
      </c>
    </row>
    <row r="964" spans="1:24">
      <c r="A964" t="s">
        <v>1033</v>
      </c>
      <c r="K964" t="s">
        <v>1034</v>
      </c>
      <c r="W964" t="s">
        <v>171</v>
      </c>
      <c r="X964" t="str">
        <f>A964</f>
        <v>info_nvarchar_dml_batch1_pk_irp2</v>
      </c>
    </row>
    <row r="965" spans="1:24">
      <c r="B965" t="s">
        <v>196</v>
      </c>
      <c r="C965" t="s">
        <v>197</v>
      </c>
      <c r="D965" t="s">
        <v>197</v>
      </c>
      <c r="E965" t="s">
        <v>197</v>
      </c>
      <c r="F965" t="s">
        <v>197</v>
      </c>
      <c r="G965" t="s">
        <v>197</v>
      </c>
      <c r="H965" t="s">
        <v>197</v>
      </c>
      <c r="I965" t="s">
        <v>1035</v>
      </c>
      <c r="J965" t="s">
        <v>199</v>
      </c>
      <c r="K965" t="s">
        <v>200</v>
      </c>
    </row>
    <row r="966" spans="1:24">
      <c r="B966" t="s">
        <v>197</v>
      </c>
      <c r="C966" t="s">
        <v>197</v>
      </c>
      <c r="D966" t="s">
        <v>197</v>
      </c>
      <c r="E966" t="s">
        <v>197</v>
      </c>
      <c r="F966" t="s">
        <v>197</v>
      </c>
      <c r="G966" t="s">
        <v>197</v>
      </c>
      <c r="H966" t="s">
        <v>197</v>
      </c>
      <c r="I966" t="s">
        <v>197</v>
      </c>
      <c r="J966" t="s">
        <v>197</v>
      </c>
      <c r="K966" t="s">
        <v>408</v>
      </c>
    </row>
    <row r="967" spans="1:24">
      <c r="B967" t="s">
        <v>197</v>
      </c>
      <c r="C967" t="s">
        <v>197</v>
      </c>
      <c r="D967" t="s">
        <v>197</v>
      </c>
      <c r="E967" t="s">
        <v>197</v>
      </c>
      <c r="F967" t="s">
        <v>197</v>
      </c>
      <c r="G967" t="s">
        <v>197</v>
      </c>
      <c r="H967" t="s">
        <v>197</v>
      </c>
      <c r="I967" t="s">
        <v>197</v>
      </c>
      <c r="J967" t="s">
        <v>197</v>
      </c>
      <c r="K967" t="s">
        <v>412</v>
      </c>
    </row>
    <row r="968" spans="1:24">
      <c r="B968" t="s">
        <v>197</v>
      </c>
      <c r="C968" t="s">
        <v>197</v>
      </c>
      <c r="D968" t="s">
        <v>197</v>
      </c>
      <c r="E968" t="s">
        <v>197</v>
      </c>
      <c r="F968" t="s">
        <v>197</v>
      </c>
      <c r="G968" t="s">
        <v>197</v>
      </c>
      <c r="H968" t="s">
        <v>197</v>
      </c>
      <c r="I968" t="s">
        <v>197</v>
      </c>
      <c r="J968" t="s">
        <v>197</v>
      </c>
      <c r="K968" t="s">
        <v>416</v>
      </c>
    </row>
    <row r="969" spans="1:24">
      <c r="A969" t="s">
        <v>1036</v>
      </c>
      <c r="K969" t="s">
        <v>1037</v>
      </c>
      <c r="W969" t="s">
        <v>171</v>
      </c>
      <c r="X969" t="str">
        <f>A969</f>
        <v>info_uniqueidentifier_dml_single_pk_irp</v>
      </c>
    </row>
    <row r="970" spans="1:24">
      <c r="B970" t="s">
        <v>196</v>
      </c>
      <c r="C970" t="s">
        <v>197</v>
      </c>
      <c r="D970" t="s">
        <v>197</v>
      </c>
      <c r="E970" t="s">
        <v>197</v>
      </c>
      <c r="F970" t="s">
        <v>197</v>
      </c>
      <c r="G970" t="s">
        <v>197</v>
      </c>
      <c r="H970" t="s">
        <v>197</v>
      </c>
      <c r="I970" t="s">
        <v>1038</v>
      </c>
      <c r="J970" t="s">
        <v>199</v>
      </c>
      <c r="K970" t="s">
        <v>200</v>
      </c>
    </row>
    <row r="971" spans="1:24">
      <c r="B971" t="s">
        <v>197</v>
      </c>
      <c r="C971" t="s">
        <v>197</v>
      </c>
      <c r="D971" t="s">
        <v>197</v>
      </c>
      <c r="E971" t="s">
        <v>197</v>
      </c>
      <c r="F971" t="s">
        <v>197</v>
      </c>
      <c r="G971" t="s">
        <v>197</v>
      </c>
      <c r="H971" t="s">
        <v>197</v>
      </c>
      <c r="I971" t="s">
        <v>197</v>
      </c>
      <c r="J971" t="s">
        <v>197</v>
      </c>
      <c r="K971" t="s">
        <v>1039</v>
      </c>
    </row>
    <row r="972" spans="1:24">
      <c r="A972" t="s">
        <v>1040</v>
      </c>
      <c r="K972" t="s">
        <v>1041</v>
      </c>
      <c r="W972" s="1" t="str">
        <f>HYPERLINK("#2026042015hbase0!CF2","NO 源备存在差异，共12个")</f>
        <v>NO 源备存在差异，共12个</v>
      </c>
      <c r="X972" t="str">
        <f>A972</f>
        <v>info_datetime2_dml_single_pk_irp</v>
      </c>
    </row>
    <row r="973" spans="1:24">
      <c r="B973" t="s">
        <v>196</v>
      </c>
      <c r="C973" t="s">
        <v>197</v>
      </c>
      <c r="D973" t="s">
        <v>197</v>
      </c>
      <c r="E973" t="s">
        <v>197</v>
      </c>
      <c r="F973" t="s">
        <v>197</v>
      </c>
      <c r="G973" t="s">
        <v>197</v>
      </c>
      <c r="H973" t="s">
        <v>197</v>
      </c>
      <c r="I973" t="s">
        <v>1042</v>
      </c>
      <c r="J973" t="s">
        <v>199</v>
      </c>
      <c r="K973" t="s">
        <v>200</v>
      </c>
    </row>
    <row r="974" spans="1:24">
      <c r="B974" t="s">
        <v>197</v>
      </c>
      <c r="C974" t="s">
        <v>197</v>
      </c>
      <c r="D974" t="s">
        <v>197</v>
      </c>
      <c r="E974" t="s">
        <v>197</v>
      </c>
      <c r="F974" t="s">
        <v>197</v>
      </c>
      <c r="G974" t="s">
        <v>197</v>
      </c>
      <c r="H974" t="s">
        <v>197</v>
      </c>
      <c r="I974" t="s">
        <v>197</v>
      </c>
      <c r="J974" t="s">
        <v>197</v>
      </c>
      <c r="K974" t="s">
        <v>667</v>
      </c>
    </row>
    <row r="975" spans="1:24">
      <c r="B975" t="s">
        <v>197</v>
      </c>
      <c r="C975" t="s">
        <v>197</v>
      </c>
      <c r="D975" t="s">
        <v>197</v>
      </c>
      <c r="E975" t="s">
        <v>197</v>
      </c>
      <c r="F975" t="s">
        <v>197</v>
      </c>
      <c r="G975" t="s">
        <v>197</v>
      </c>
      <c r="H975" t="s">
        <v>197</v>
      </c>
      <c r="I975" t="s">
        <v>197</v>
      </c>
      <c r="J975" t="s">
        <v>197</v>
      </c>
      <c r="K975" t="s">
        <v>668</v>
      </c>
    </row>
    <row r="976" spans="1:24">
      <c r="B976" t="s">
        <v>197</v>
      </c>
      <c r="C976" t="s">
        <v>197</v>
      </c>
      <c r="D976" t="s">
        <v>197</v>
      </c>
      <c r="E976" t="s">
        <v>197</v>
      </c>
      <c r="F976" t="s">
        <v>197</v>
      </c>
      <c r="G976" t="s">
        <v>197</v>
      </c>
      <c r="H976" t="s">
        <v>197</v>
      </c>
      <c r="I976" t="s">
        <v>197</v>
      </c>
      <c r="J976" t="s">
        <v>197</v>
      </c>
      <c r="K976" t="s">
        <v>669</v>
      </c>
    </row>
    <row r="977" spans="1:24">
      <c r="B977" t="s">
        <v>197</v>
      </c>
      <c r="C977" t="s">
        <v>197</v>
      </c>
      <c r="D977" t="s">
        <v>197</v>
      </c>
      <c r="E977" t="s">
        <v>197</v>
      </c>
      <c r="F977" t="s">
        <v>197</v>
      </c>
      <c r="G977" t="s">
        <v>197</v>
      </c>
      <c r="H977" t="s">
        <v>197</v>
      </c>
      <c r="I977" t="s">
        <v>197</v>
      </c>
      <c r="J977" t="s">
        <v>197</v>
      </c>
      <c r="K977" t="s">
        <v>670</v>
      </c>
    </row>
    <row r="978" spans="1:24">
      <c r="B978" t="s">
        <v>197</v>
      </c>
      <c r="C978" t="s">
        <v>197</v>
      </c>
      <c r="D978" t="s">
        <v>197</v>
      </c>
      <c r="E978" t="s">
        <v>197</v>
      </c>
      <c r="F978" t="s">
        <v>197</v>
      </c>
      <c r="G978" t="s">
        <v>197</v>
      </c>
      <c r="H978" t="s">
        <v>197</v>
      </c>
      <c r="I978" t="s">
        <v>197</v>
      </c>
      <c r="J978" t="s">
        <v>197</v>
      </c>
      <c r="K978" t="s">
        <v>671</v>
      </c>
    </row>
    <row r="979" spans="1:24">
      <c r="B979" t="s">
        <v>197</v>
      </c>
      <c r="C979" t="s">
        <v>197</v>
      </c>
      <c r="D979" t="s">
        <v>197</v>
      </c>
      <c r="E979" t="s">
        <v>197</v>
      </c>
      <c r="F979" t="s">
        <v>197</v>
      </c>
      <c r="G979" t="s">
        <v>197</v>
      </c>
      <c r="H979" t="s">
        <v>197</v>
      </c>
      <c r="I979" t="s">
        <v>197</v>
      </c>
      <c r="J979" t="s">
        <v>197</v>
      </c>
      <c r="K979" t="s">
        <v>672</v>
      </c>
    </row>
    <row r="980" spans="1:24">
      <c r="B980" t="s">
        <v>197</v>
      </c>
      <c r="C980" t="s">
        <v>197</v>
      </c>
      <c r="D980" t="s">
        <v>197</v>
      </c>
      <c r="E980" t="s">
        <v>197</v>
      </c>
      <c r="F980" t="s">
        <v>197</v>
      </c>
      <c r="G980" t="s">
        <v>197</v>
      </c>
      <c r="H980" t="s">
        <v>197</v>
      </c>
      <c r="I980" t="s">
        <v>197</v>
      </c>
      <c r="J980" t="s">
        <v>197</v>
      </c>
      <c r="K980" t="s">
        <v>673</v>
      </c>
    </row>
    <row r="981" spans="1:24">
      <c r="B981" t="s">
        <v>197</v>
      </c>
      <c r="C981" t="s">
        <v>197</v>
      </c>
      <c r="D981" t="s">
        <v>197</v>
      </c>
      <c r="E981" t="s">
        <v>197</v>
      </c>
      <c r="F981" t="s">
        <v>197</v>
      </c>
      <c r="G981" t="s">
        <v>197</v>
      </c>
      <c r="H981" t="s">
        <v>197</v>
      </c>
      <c r="I981" t="s">
        <v>197</v>
      </c>
      <c r="J981" t="s">
        <v>197</v>
      </c>
      <c r="K981" t="s">
        <v>674</v>
      </c>
    </row>
    <row r="982" spans="1:24">
      <c r="A982" t="s">
        <v>982</v>
      </c>
      <c r="K982" t="s">
        <v>983</v>
      </c>
      <c r="W982" t="s">
        <v>171</v>
      </c>
      <c r="X982" t="str">
        <f>A982</f>
        <v>info_nvarchar_dml_batch1_pk_irp1</v>
      </c>
    </row>
    <row r="983" spans="1:24">
      <c r="B983" t="s">
        <v>196</v>
      </c>
      <c r="C983" t="s">
        <v>197</v>
      </c>
      <c r="D983" t="s">
        <v>197</v>
      </c>
      <c r="E983" t="s">
        <v>197</v>
      </c>
      <c r="F983" t="s">
        <v>197</v>
      </c>
      <c r="G983" t="s">
        <v>197</v>
      </c>
      <c r="H983" t="s">
        <v>197</v>
      </c>
      <c r="I983" t="s">
        <v>984</v>
      </c>
      <c r="J983" t="s">
        <v>199</v>
      </c>
      <c r="K983" t="s">
        <v>200</v>
      </c>
    </row>
    <row r="984" spans="1:24">
      <c r="B984" t="s">
        <v>197</v>
      </c>
      <c r="C984" t="s">
        <v>197</v>
      </c>
      <c r="D984" t="s">
        <v>197</v>
      </c>
      <c r="E984" t="s">
        <v>197</v>
      </c>
      <c r="F984" t="s">
        <v>197</v>
      </c>
      <c r="G984" t="s">
        <v>197</v>
      </c>
      <c r="H984" t="s">
        <v>197</v>
      </c>
      <c r="I984" t="s">
        <v>197</v>
      </c>
      <c r="J984" t="s">
        <v>197</v>
      </c>
      <c r="K984" t="s">
        <v>408</v>
      </c>
    </row>
    <row r="985" spans="1:24">
      <c r="B985" t="s">
        <v>197</v>
      </c>
      <c r="C985" t="s">
        <v>197</v>
      </c>
      <c r="D985" t="s">
        <v>197</v>
      </c>
      <c r="E985" t="s">
        <v>197</v>
      </c>
      <c r="F985" t="s">
        <v>197</v>
      </c>
      <c r="G985" t="s">
        <v>197</v>
      </c>
      <c r="H985" t="s">
        <v>197</v>
      </c>
      <c r="I985" t="s">
        <v>197</v>
      </c>
      <c r="J985" t="s">
        <v>197</v>
      </c>
      <c r="K985" t="s">
        <v>412</v>
      </c>
    </row>
    <row r="986" spans="1:24">
      <c r="B986" t="s">
        <v>197</v>
      </c>
      <c r="C986" t="s">
        <v>197</v>
      </c>
      <c r="D986" t="s">
        <v>197</v>
      </c>
      <c r="E986" t="s">
        <v>197</v>
      </c>
      <c r="F986" t="s">
        <v>197</v>
      </c>
      <c r="G986" t="s">
        <v>197</v>
      </c>
      <c r="H986" t="s">
        <v>197</v>
      </c>
      <c r="I986" t="s">
        <v>197</v>
      </c>
      <c r="J986" t="s">
        <v>197</v>
      </c>
      <c r="K986" t="s">
        <v>730</v>
      </c>
    </row>
    <row r="987" spans="1:24">
      <c r="A987" t="s">
        <v>1043</v>
      </c>
      <c r="K987" t="s">
        <v>1044</v>
      </c>
      <c r="W987" t="s">
        <v>171</v>
      </c>
      <c r="X987" t="str">
        <f>A987</f>
        <v>info_char_dml_single_pk</v>
      </c>
    </row>
    <row r="988" spans="1:24">
      <c r="B988" t="s">
        <v>196</v>
      </c>
      <c r="C988" t="s">
        <v>197</v>
      </c>
      <c r="D988" t="s">
        <v>197</v>
      </c>
      <c r="E988" t="s">
        <v>197</v>
      </c>
      <c r="F988" t="s">
        <v>197</v>
      </c>
      <c r="G988" t="s">
        <v>197</v>
      </c>
      <c r="H988" t="s">
        <v>197</v>
      </c>
      <c r="I988" t="s">
        <v>1045</v>
      </c>
      <c r="J988" t="s">
        <v>199</v>
      </c>
      <c r="K988" t="s">
        <v>200</v>
      </c>
    </row>
    <row r="989" spans="1:24">
      <c r="B989" t="s">
        <v>197</v>
      </c>
      <c r="C989" t="s">
        <v>197</v>
      </c>
      <c r="D989" t="s">
        <v>197</v>
      </c>
      <c r="E989" t="s">
        <v>197</v>
      </c>
      <c r="F989" t="s">
        <v>197</v>
      </c>
      <c r="G989" t="s">
        <v>197</v>
      </c>
      <c r="H989" t="s">
        <v>197</v>
      </c>
      <c r="I989" t="s">
        <v>197</v>
      </c>
      <c r="J989" t="s">
        <v>197</v>
      </c>
      <c r="K989" t="s">
        <v>622</v>
      </c>
    </row>
    <row r="990" spans="1:24">
      <c r="B990" t="s">
        <v>197</v>
      </c>
      <c r="C990" t="s">
        <v>197</v>
      </c>
      <c r="D990" t="s">
        <v>197</v>
      </c>
      <c r="E990" t="s">
        <v>197</v>
      </c>
      <c r="F990" t="s">
        <v>197</v>
      </c>
      <c r="G990" t="s">
        <v>197</v>
      </c>
      <c r="H990" t="s">
        <v>197</v>
      </c>
      <c r="I990" t="s">
        <v>197</v>
      </c>
      <c r="J990" t="s">
        <v>197</v>
      </c>
      <c r="K990" t="s">
        <v>623</v>
      </c>
    </row>
    <row r="991" spans="1:24">
      <c r="B991" t="s">
        <v>197</v>
      </c>
      <c r="C991" t="s">
        <v>197</v>
      </c>
      <c r="D991" t="s">
        <v>197</v>
      </c>
      <c r="E991" t="s">
        <v>197</v>
      </c>
      <c r="F991" t="s">
        <v>197</v>
      </c>
      <c r="G991" t="s">
        <v>197</v>
      </c>
      <c r="H991" t="s">
        <v>197</v>
      </c>
      <c r="I991" t="s">
        <v>197</v>
      </c>
      <c r="J991" t="s">
        <v>197</v>
      </c>
      <c r="K991" t="s">
        <v>832</v>
      </c>
    </row>
    <row r="992" spans="1:24">
      <c r="A992" t="s">
        <v>1046</v>
      </c>
      <c r="K992" t="s">
        <v>1047</v>
      </c>
      <c r="W992" t="s">
        <v>171</v>
      </c>
      <c r="X992" t="str">
        <f>A992</f>
        <v>info_varbinary_dml_batch1_pk_irp1</v>
      </c>
    </row>
    <row r="993" spans="1:24">
      <c r="B993" t="s">
        <v>196</v>
      </c>
      <c r="C993" t="s">
        <v>197</v>
      </c>
      <c r="D993" t="s">
        <v>197</v>
      </c>
      <c r="E993" t="s">
        <v>197</v>
      </c>
      <c r="F993" t="s">
        <v>197</v>
      </c>
      <c r="G993" t="s">
        <v>197</v>
      </c>
      <c r="H993" t="s">
        <v>197</v>
      </c>
      <c r="I993" t="s">
        <v>1048</v>
      </c>
      <c r="J993" t="s">
        <v>199</v>
      </c>
      <c r="K993" t="s">
        <v>200</v>
      </c>
    </row>
    <row r="994" spans="1:24">
      <c r="B994" t="s">
        <v>197</v>
      </c>
      <c r="C994" t="s">
        <v>197</v>
      </c>
      <c r="D994" t="s">
        <v>197</v>
      </c>
      <c r="E994" t="s">
        <v>197</v>
      </c>
      <c r="F994" t="s">
        <v>197</v>
      </c>
      <c r="G994" t="s">
        <v>197</v>
      </c>
      <c r="H994" t="s">
        <v>197</v>
      </c>
      <c r="I994" t="s">
        <v>197</v>
      </c>
      <c r="J994" t="s">
        <v>197</v>
      </c>
      <c r="K994" t="s">
        <v>495</v>
      </c>
    </row>
    <row r="995" spans="1:24">
      <c r="B995" t="s">
        <v>197</v>
      </c>
      <c r="C995" t="s">
        <v>197</v>
      </c>
      <c r="D995" t="s">
        <v>197</v>
      </c>
      <c r="E995" t="s">
        <v>197</v>
      </c>
      <c r="F995" t="s">
        <v>197</v>
      </c>
      <c r="G995" t="s">
        <v>197</v>
      </c>
      <c r="H995" t="s">
        <v>197</v>
      </c>
      <c r="I995" t="s">
        <v>197</v>
      </c>
      <c r="J995" t="s">
        <v>197</v>
      </c>
      <c r="K995" t="s">
        <v>499</v>
      </c>
    </row>
    <row r="996" spans="1:24">
      <c r="B996" t="s">
        <v>197</v>
      </c>
      <c r="C996" t="s">
        <v>197</v>
      </c>
      <c r="D996" t="s">
        <v>197</v>
      </c>
      <c r="E996" t="s">
        <v>197</v>
      </c>
      <c r="F996" t="s">
        <v>197</v>
      </c>
      <c r="G996" t="s">
        <v>197</v>
      </c>
      <c r="H996" t="s">
        <v>197</v>
      </c>
      <c r="I996" t="s">
        <v>197</v>
      </c>
      <c r="J996" t="s">
        <v>197</v>
      </c>
      <c r="K996" t="s">
        <v>503</v>
      </c>
    </row>
    <row r="997" spans="1:24">
      <c r="A997" t="s">
        <v>1049</v>
      </c>
      <c r="K997" t="s">
        <v>1050</v>
      </c>
      <c r="W997" s="1" t="str">
        <f>HYPERLINK("#2026042015hbase0!CG2","NO 源备存在差异，共8个")</f>
        <v>NO 源备存在差异，共8个</v>
      </c>
      <c r="X997" t="str">
        <f>A997</f>
        <v>info_geography_dml_single_pk_irp</v>
      </c>
    </row>
    <row r="998" spans="1:24">
      <c r="B998" t="s">
        <v>196</v>
      </c>
      <c r="C998" t="s">
        <v>197</v>
      </c>
      <c r="D998" t="s">
        <v>197</v>
      </c>
      <c r="E998" t="s">
        <v>197</v>
      </c>
      <c r="F998" t="s">
        <v>197</v>
      </c>
      <c r="G998" t="s">
        <v>197</v>
      </c>
      <c r="H998" t="s">
        <v>197</v>
      </c>
      <c r="I998" t="s">
        <v>1051</v>
      </c>
      <c r="J998" t="s">
        <v>199</v>
      </c>
      <c r="K998" t="s">
        <v>200</v>
      </c>
    </row>
    <row r="999" spans="1:24">
      <c r="B999" t="s">
        <v>197</v>
      </c>
      <c r="C999" t="s">
        <v>197</v>
      </c>
      <c r="D999" t="s">
        <v>197</v>
      </c>
      <c r="E999" t="s">
        <v>197</v>
      </c>
      <c r="F999" t="s">
        <v>197</v>
      </c>
      <c r="G999" t="s">
        <v>197</v>
      </c>
      <c r="H999" t="s">
        <v>197</v>
      </c>
      <c r="I999" t="s">
        <v>197</v>
      </c>
      <c r="J999" t="s">
        <v>197</v>
      </c>
      <c r="K999" t="s">
        <v>1052</v>
      </c>
    </row>
    <row r="1000" spans="1:24">
      <c r="A1000" t="s">
        <v>1053</v>
      </c>
      <c r="K1000" t="s">
        <v>1054</v>
      </c>
      <c r="W1000" t="s">
        <v>171</v>
      </c>
      <c r="X1000" t="str">
        <f>A1000</f>
        <v>info_varchar_dml_single_pk_irp</v>
      </c>
    </row>
    <row r="1001" spans="1:24">
      <c r="B1001" t="s">
        <v>196</v>
      </c>
      <c r="C1001" t="s">
        <v>197</v>
      </c>
      <c r="D1001" t="s">
        <v>197</v>
      </c>
      <c r="E1001" t="s">
        <v>197</v>
      </c>
      <c r="F1001" t="s">
        <v>197</v>
      </c>
      <c r="G1001" t="s">
        <v>197</v>
      </c>
      <c r="H1001" t="s">
        <v>197</v>
      </c>
      <c r="I1001" t="s">
        <v>1055</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1056</v>
      </c>
    </row>
    <row r="1004" spans="1:24">
      <c r="B1004" t="s">
        <v>197</v>
      </c>
      <c r="C1004" t="s">
        <v>197</v>
      </c>
      <c r="D1004" t="s">
        <v>197</v>
      </c>
      <c r="E1004" t="s">
        <v>197</v>
      </c>
      <c r="F1004" t="s">
        <v>197</v>
      </c>
      <c r="G1004" t="s">
        <v>197</v>
      </c>
      <c r="H1004" t="s">
        <v>197</v>
      </c>
      <c r="I1004" t="s">
        <v>197</v>
      </c>
      <c r="J1004" t="s">
        <v>197</v>
      </c>
      <c r="K1004" t="s">
        <v>963</v>
      </c>
    </row>
    <row r="1005" spans="1:24">
      <c r="A1005" t="s">
        <v>1057</v>
      </c>
      <c r="K1005" t="s">
        <v>1058</v>
      </c>
      <c r="W1005" s="1" t="str">
        <f>HYPERLINK("#2026042015hbase0!CH2","NO 源备存在差异，共30个")</f>
        <v>NO 源备存在差异，共30个</v>
      </c>
      <c r="X1005" t="str">
        <f>A1005</f>
        <v>info_time_dml_batch2_pk_irp1</v>
      </c>
    </row>
    <row r="1006" spans="1:24">
      <c r="B1006" t="s">
        <v>196</v>
      </c>
      <c r="C1006" t="s">
        <v>197</v>
      </c>
      <c r="D1006" t="s">
        <v>197</v>
      </c>
      <c r="E1006" t="s">
        <v>197</v>
      </c>
      <c r="F1006" t="s">
        <v>197</v>
      </c>
      <c r="G1006" t="s">
        <v>197</v>
      </c>
      <c r="H1006" t="s">
        <v>197</v>
      </c>
      <c r="I1006" t="s">
        <v>1059</v>
      </c>
      <c r="J1006" t="s">
        <v>199</v>
      </c>
      <c r="K1006" t="s">
        <v>200</v>
      </c>
    </row>
    <row r="1007" spans="1:24">
      <c r="B1007" t="s">
        <v>197</v>
      </c>
      <c r="C1007" t="s">
        <v>197</v>
      </c>
      <c r="D1007" t="s">
        <v>197</v>
      </c>
      <c r="E1007" t="s">
        <v>197</v>
      </c>
      <c r="F1007" t="s">
        <v>197</v>
      </c>
      <c r="G1007" t="s">
        <v>197</v>
      </c>
      <c r="H1007" t="s">
        <v>197</v>
      </c>
      <c r="I1007" t="s">
        <v>197</v>
      </c>
      <c r="J1007" t="s">
        <v>197</v>
      </c>
      <c r="K1007" t="s">
        <v>800</v>
      </c>
    </row>
    <row r="1008" spans="1:24">
      <c r="B1008" t="s">
        <v>197</v>
      </c>
      <c r="C1008" t="s">
        <v>197</v>
      </c>
      <c r="D1008" t="s">
        <v>197</v>
      </c>
      <c r="E1008" t="s">
        <v>197</v>
      </c>
      <c r="F1008" t="s">
        <v>197</v>
      </c>
      <c r="G1008" t="s">
        <v>197</v>
      </c>
      <c r="H1008" t="s">
        <v>197</v>
      </c>
      <c r="I1008" t="s">
        <v>197</v>
      </c>
      <c r="J1008" t="s">
        <v>197</v>
      </c>
      <c r="K1008" t="s">
        <v>801</v>
      </c>
    </row>
    <row r="1009" spans="1:24">
      <c r="B1009" t="s">
        <v>197</v>
      </c>
      <c r="C1009" t="s">
        <v>197</v>
      </c>
      <c r="D1009" t="s">
        <v>197</v>
      </c>
      <c r="E1009" t="s">
        <v>197</v>
      </c>
      <c r="F1009" t="s">
        <v>197</v>
      </c>
      <c r="G1009" t="s">
        <v>197</v>
      </c>
      <c r="H1009" t="s">
        <v>197</v>
      </c>
      <c r="I1009" t="s">
        <v>197</v>
      </c>
      <c r="J1009" t="s">
        <v>197</v>
      </c>
      <c r="K1009" t="s">
        <v>802</v>
      </c>
    </row>
    <row r="1010" spans="1:24">
      <c r="B1010" t="s">
        <v>197</v>
      </c>
      <c r="C1010" t="s">
        <v>197</v>
      </c>
      <c r="D1010" t="s">
        <v>197</v>
      </c>
      <c r="E1010" t="s">
        <v>197</v>
      </c>
      <c r="F1010" t="s">
        <v>197</v>
      </c>
      <c r="G1010" t="s">
        <v>197</v>
      </c>
      <c r="H1010" t="s">
        <v>197</v>
      </c>
      <c r="I1010" t="s">
        <v>197</v>
      </c>
      <c r="J1010" t="s">
        <v>197</v>
      </c>
      <c r="K1010" t="s">
        <v>803</v>
      </c>
    </row>
    <row r="1011" spans="1:24">
      <c r="B1011" t="s">
        <v>197</v>
      </c>
      <c r="C1011" t="s">
        <v>197</v>
      </c>
      <c r="D1011" t="s">
        <v>197</v>
      </c>
      <c r="E1011" t="s">
        <v>197</v>
      </c>
      <c r="F1011" t="s">
        <v>197</v>
      </c>
      <c r="G1011" t="s">
        <v>197</v>
      </c>
      <c r="H1011" t="s">
        <v>197</v>
      </c>
      <c r="I1011" t="s">
        <v>197</v>
      </c>
      <c r="J1011" t="s">
        <v>197</v>
      </c>
      <c r="K1011" t="s">
        <v>804</v>
      </c>
    </row>
    <row r="1012" spans="1:24">
      <c r="B1012" t="s">
        <v>197</v>
      </c>
      <c r="C1012" t="s">
        <v>197</v>
      </c>
      <c r="D1012" t="s">
        <v>197</v>
      </c>
      <c r="E1012" t="s">
        <v>197</v>
      </c>
      <c r="F1012" t="s">
        <v>197</v>
      </c>
      <c r="G1012" t="s">
        <v>197</v>
      </c>
      <c r="H1012" t="s">
        <v>197</v>
      </c>
      <c r="I1012" t="s">
        <v>197</v>
      </c>
      <c r="J1012" t="s">
        <v>197</v>
      </c>
      <c r="K1012" t="s">
        <v>805</v>
      </c>
    </row>
    <row r="1013" spans="1:24">
      <c r="B1013" t="s">
        <v>197</v>
      </c>
      <c r="C1013" t="s">
        <v>197</v>
      </c>
      <c r="D1013" t="s">
        <v>197</v>
      </c>
      <c r="E1013" t="s">
        <v>197</v>
      </c>
      <c r="F1013" t="s">
        <v>197</v>
      </c>
      <c r="G1013" t="s">
        <v>197</v>
      </c>
      <c r="H1013" t="s">
        <v>197</v>
      </c>
      <c r="I1013" t="s">
        <v>197</v>
      </c>
      <c r="J1013" t="s">
        <v>197</v>
      </c>
      <c r="K1013" t="s">
        <v>806</v>
      </c>
    </row>
    <row r="1014" spans="1:24">
      <c r="B1014" t="s">
        <v>197</v>
      </c>
      <c r="C1014" t="s">
        <v>197</v>
      </c>
      <c r="D1014" t="s">
        <v>197</v>
      </c>
      <c r="E1014" t="s">
        <v>197</v>
      </c>
      <c r="F1014" t="s">
        <v>197</v>
      </c>
      <c r="G1014" t="s">
        <v>197</v>
      </c>
      <c r="H1014" t="s">
        <v>197</v>
      </c>
      <c r="I1014" t="s">
        <v>197</v>
      </c>
      <c r="J1014" t="s">
        <v>197</v>
      </c>
      <c r="K1014" t="s">
        <v>807</v>
      </c>
    </row>
    <row r="1015" spans="1:24">
      <c r="A1015" t="s">
        <v>1060</v>
      </c>
      <c r="K1015" t="s">
        <v>1061</v>
      </c>
      <c r="W1015" t="s">
        <v>171</v>
      </c>
      <c r="X1015" t="str">
        <f>A1015</f>
        <v>info_varchar_dml_batch2_pk_irp1</v>
      </c>
    </row>
    <row r="1016" spans="1:24">
      <c r="B1016" t="s">
        <v>196</v>
      </c>
      <c r="C1016" t="s">
        <v>197</v>
      </c>
      <c r="D1016" t="s">
        <v>197</v>
      </c>
      <c r="E1016" t="s">
        <v>197</v>
      </c>
      <c r="F1016" t="s">
        <v>197</v>
      </c>
      <c r="G1016" t="s">
        <v>197</v>
      </c>
      <c r="H1016" t="s">
        <v>197</v>
      </c>
      <c r="I1016" t="s">
        <v>1062</v>
      </c>
      <c r="J1016" t="s">
        <v>199</v>
      </c>
      <c r="K1016" t="s">
        <v>200</v>
      </c>
    </row>
    <row r="1017" spans="1:24">
      <c r="B1017" t="s">
        <v>197</v>
      </c>
      <c r="C1017" t="s">
        <v>197</v>
      </c>
      <c r="D1017" t="s">
        <v>197</v>
      </c>
      <c r="E1017" t="s">
        <v>197</v>
      </c>
      <c r="F1017" t="s">
        <v>197</v>
      </c>
      <c r="G1017" t="s">
        <v>197</v>
      </c>
      <c r="H1017" t="s">
        <v>197</v>
      </c>
      <c r="I1017" t="s">
        <v>197</v>
      </c>
      <c r="J1017" t="s">
        <v>197</v>
      </c>
      <c r="K1017" t="s">
        <v>431</v>
      </c>
    </row>
    <row r="1018" spans="1:24">
      <c r="B1018" t="s">
        <v>197</v>
      </c>
      <c r="C1018" t="s">
        <v>197</v>
      </c>
      <c r="D1018" t="s">
        <v>197</v>
      </c>
      <c r="E1018" t="s">
        <v>197</v>
      </c>
      <c r="F1018" t="s">
        <v>197</v>
      </c>
      <c r="G1018" t="s">
        <v>197</v>
      </c>
      <c r="H1018" t="s">
        <v>197</v>
      </c>
      <c r="I1018" t="s">
        <v>197</v>
      </c>
      <c r="J1018" t="s">
        <v>197</v>
      </c>
      <c r="K1018" t="s">
        <v>434</v>
      </c>
    </row>
    <row r="1019" spans="1:24">
      <c r="B1019" t="s">
        <v>197</v>
      </c>
      <c r="C1019" t="s">
        <v>197</v>
      </c>
      <c r="D1019" t="s">
        <v>197</v>
      </c>
      <c r="E1019" t="s">
        <v>197</v>
      </c>
      <c r="F1019" t="s">
        <v>197</v>
      </c>
      <c r="G1019" t="s">
        <v>197</v>
      </c>
      <c r="H1019" t="s">
        <v>197</v>
      </c>
      <c r="I1019" t="s">
        <v>197</v>
      </c>
      <c r="J1019" t="s">
        <v>197</v>
      </c>
      <c r="K1019" t="s">
        <v>963</v>
      </c>
    </row>
    <row r="1020" spans="1:24">
      <c r="K1020" t="s">
        <v>443</v>
      </c>
    </row>
    <row r="1021" spans="1:24">
      <c r="A1021" t="s">
        <v>1063</v>
      </c>
      <c r="K1021" t="s">
        <v>1064</v>
      </c>
      <c r="W1021" t="s">
        <v>171</v>
      </c>
      <c r="X1021" t="str">
        <f>A1021</f>
        <v>info_varbinary_dml_batch1_pk_irp2</v>
      </c>
    </row>
    <row r="1022" spans="1:24">
      <c r="B1022" t="s">
        <v>196</v>
      </c>
      <c r="C1022" t="s">
        <v>197</v>
      </c>
      <c r="D1022" t="s">
        <v>197</v>
      </c>
      <c r="E1022" t="s">
        <v>197</v>
      </c>
      <c r="F1022" t="s">
        <v>197</v>
      </c>
      <c r="G1022" t="s">
        <v>197</v>
      </c>
      <c r="H1022" t="s">
        <v>197</v>
      </c>
      <c r="I1022" t="s">
        <v>1065</v>
      </c>
      <c r="J1022" t="s">
        <v>199</v>
      </c>
      <c r="K1022" t="s">
        <v>200</v>
      </c>
    </row>
    <row r="1023" spans="1:24">
      <c r="B1023" t="s">
        <v>197</v>
      </c>
      <c r="C1023" t="s">
        <v>197</v>
      </c>
      <c r="D1023" t="s">
        <v>197</v>
      </c>
      <c r="E1023" t="s">
        <v>197</v>
      </c>
      <c r="F1023" t="s">
        <v>197</v>
      </c>
      <c r="G1023" t="s">
        <v>197</v>
      </c>
      <c r="H1023" t="s">
        <v>197</v>
      </c>
      <c r="I1023" t="s">
        <v>197</v>
      </c>
      <c r="J1023" t="s">
        <v>197</v>
      </c>
      <c r="K1023" t="s">
        <v>495</v>
      </c>
    </row>
    <row r="1024" spans="1:24">
      <c r="B1024" t="s">
        <v>197</v>
      </c>
      <c r="C1024" t="s">
        <v>197</v>
      </c>
      <c r="D1024" t="s">
        <v>197</v>
      </c>
      <c r="E1024" t="s">
        <v>197</v>
      </c>
      <c r="F1024" t="s">
        <v>197</v>
      </c>
      <c r="G1024" t="s">
        <v>197</v>
      </c>
      <c r="H1024" t="s">
        <v>197</v>
      </c>
      <c r="I1024" t="s">
        <v>197</v>
      </c>
      <c r="J1024" t="s">
        <v>197</v>
      </c>
      <c r="K1024" t="s">
        <v>499</v>
      </c>
    </row>
    <row r="1025" spans="1:24">
      <c r="B1025" t="s">
        <v>197</v>
      </c>
      <c r="C1025" t="s">
        <v>197</v>
      </c>
      <c r="D1025" t="s">
        <v>197</v>
      </c>
      <c r="E1025" t="s">
        <v>197</v>
      </c>
      <c r="F1025" t="s">
        <v>197</v>
      </c>
      <c r="G1025" t="s">
        <v>197</v>
      </c>
      <c r="H1025" t="s">
        <v>197</v>
      </c>
      <c r="I1025" t="s">
        <v>197</v>
      </c>
      <c r="J1025" t="s">
        <v>197</v>
      </c>
      <c r="K1025" t="s">
        <v>503</v>
      </c>
    </row>
    <row r="1026" spans="1:24">
      <c r="A1026" t="s">
        <v>1069</v>
      </c>
      <c r="K1026" t="s">
        <v>1070</v>
      </c>
      <c r="W1026" t="s">
        <v>171</v>
      </c>
      <c r="X1026" t="str">
        <f>A1026</f>
        <v>info_varchar_dml_batch2_pk_irp2</v>
      </c>
    </row>
    <row r="1027" spans="1:24">
      <c r="B1027" t="s">
        <v>196</v>
      </c>
      <c r="C1027" t="s">
        <v>197</v>
      </c>
      <c r="D1027" t="s">
        <v>197</v>
      </c>
      <c r="E1027" t="s">
        <v>197</v>
      </c>
      <c r="F1027" t="s">
        <v>197</v>
      </c>
      <c r="G1027" t="s">
        <v>197</v>
      </c>
      <c r="H1027" t="s">
        <v>197</v>
      </c>
      <c r="I1027" t="s">
        <v>1071</v>
      </c>
      <c r="J1027" t="s">
        <v>199</v>
      </c>
      <c r="K1027" t="s">
        <v>200</v>
      </c>
    </row>
    <row r="1028" spans="1:24">
      <c r="B1028" t="s">
        <v>197</v>
      </c>
      <c r="C1028" t="s">
        <v>197</v>
      </c>
      <c r="D1028" t="s">
        <v>197</v>
      </c>
      <c r="E1028" t="s">
        <v>197</v>
      </c>
      <c r="F1028" t="s">
        <v>197</v>
      </c>
      <c r="G1028" t="s">
        <v>197</v>
      </c>
      <c r="H1028" t="s">
        <v>197</v>
      </c>
      <c r="I1028" t="s">
        <v>197</v>
      </c>
      <c r="J1028" t="s">
        <v>197</v>
      </c>
      <c r="K1028" t="s">
        <v>431</v>
      </c>
    </row>
    <row r="1029" spans="1:24">
      <c r="B1029" t="s">
        <v>197</v>
      </c>
      <c r="C1029" t="s">
        <v>197</v>
      </c>
      <c r="D1029" t="s">
        <v>197</v>
      </c>
      <c r="E1029" t="s">
        <v>197</v>
      </c>
      <c r="F1029" t="s">
        <v>197</v>
      </c>
      <c r="G1029" t="s">
        <v>197</v>
      </c>
      <c r="H1029" t="s">
        <v>197</v>
      </c>
      <c r="I1029" t="s">
        <v>197</v>
      </c>
      <c r="J1029" t="s">
        <v>197</v>
      </c>
      <c r="K1029" t="s">
        <v>434</v>
      </c>
    </row>
    <row r="1030" spans="1:24">
      <c r="B1030" t="s">
        <v>197</v>
      </c>
      <c r="C1030" t="s">
        <v>197</v>
      </c>
      <c r="D1030" t="s">
        <v>197</v>
      </c>
      <c r="E1030" t="s">
        <v>197</v>
      </c>
      <c r="F1030" t="s">
        <v>197</v>
      </c>
      <c r="G1030" t="s">
        <v>197</v>
      </c>
      <c r="H1030" t="s">
        <v>197</v>
      </c>
      <c r="I1030" t="s">
        <v>197</v>
      </c>
      <c r="J1030" t="s">
        <v>197</v>
      </c>
      <c r="K1030" t="s">
        <v>963</v>
      </c>
    </row>
    <row r="1031" spans="1:24">
      <c r="K1031" t="s">
        <v>443</v>
      </c>
    </row>
    <row r="1032" spans="1:24">
      <c r="A1032" t="s">
        <v>1072</v>
      </c>
      <c r="K1032" t="s">
        <v>1073</v>
      </c>
      <c r="W1032" s="1" t="str">
        <f>HYPERLINK("#2026042015hbase0!CI2","NO 源备存在差异，共2个")</f>
        <v>NO 源备存在差异，共2个</v>
      </c>
      <c r="X1032" t="str">
        <f>A1032</f>
        <v>info_sql_variant_dml_single_pk_drp</v>
      </c>
    </row>
    <row r="1033" spans="1:24">
      <c r="B1033" t="s">
        <v>196</v>
      </c>
      <c r="C1033" t="s">
        <v>197</v>
      </c>
      <c r="D1033" t="s">
        <v>197</v>
      </c>
      <c r="E1033" t="s">
        <v>197</v>
      </c>
      <c r="F1033" t="s">
        <v>197</v>
      </c>
      <c r="G1033" t="s">
        <v>197</v>
      </c>
      <c r="H1033" t="s">
        <v>197</v>
      </c>
      <c r="I1033" t="s">
        <v>1074</v>
      </c>
      <c r="J1033" t="s">
        <v>199</v>
      </c>
      <c r="K1033" t="s">
        <v>200</v>
      </c>
    </row>
    <row r="1034" spans="1:24">
      <c r="B1034" t="s">
        <v>197</v>
      </c>
      <c r="C1034" t="s">
        <v>197</v>
      </c>
      <c r="D1034" t="s">
        <v>197</v>
      </c>
      <c r="E1034" t="s">
        <v>197</v>
      </c>
      <c r="F1034" t="s">
        <v>197</v>
      </c>
      <c r="G1034" t="s">
        <v>197</v>
      </c>
      <c r="H1034" t="s">
        <v>197</v>
      </c>
      <c r="I1034" t="s">
        <v>197</v>
      </c>
      <c r="J1034" t="s">
        <v>197</v>
      </c>
      <c r="K1034" t="s">
        <v>1006</v>
      </c>
    </row>
    <row r="1035" spans="1:24">
      <c r="B1035" t="s">
        <v>197</v>
      </c>
      <c r="C1035" t="s">
        <v>197</v>
      </c>
      <c r="D1035" t="s">
        <v>197</v>
      </c>
      <c r="E1035" t="s">
        <v>197</v>
      </c>
      <c r="F1035" t="s">
        <v>197</v>
      </c>
      <c r="G1035" t="s">
        <v>197</v>
      </c>
      <c r="H1035" t="s">
        <v>197</v>
      </c>
      <c r="I1035" t="s">
        <v>197</v>
      </c>
      <c r="J1035" t="s">
        <v>197</v>
      </c>
      <c r="K1035" t="s">
        <v>1007</v>
      </c>
    </row>
    <row r="1036" spans="1:24">
      <c r="B1036" t="s">
        <v>197</v>
      </c>
      <c r="C1036" t="s">
        <v>197</v>
      </c>
      <c r="D1036" t="s">
        <v>197</v>
      </c>
      <c r="E1036" t="s">
        <v>197</v>
      </c>
      <c r="F1036" t="s">
        <v>197</v>
      </c>
      <c r="G1036" t="s">
        <v>197</v>
      </c>
      <c r="H1036" t="s">
        <v>197</v>
      </c>
      <c r="I1036" t="s">
        <v>197</v>
      </c>
      <c r="J1036" t="s">
        <v>197</v>
      </c>
      <c r="K1036" t="s">
        <v>1008</v>
      </c>
    </row>
    <row r="1037" spans="1:24">
      <c r="B1037" t="s">
        <v>197</v>
      </c>
      <c r="C1037" t="s">
        <v>197</v>
      </c>
      <c r="D1037" t="s">
        <v>197</v>
      </c>
      <c r="E1037" t="s">
        <v>197</v>
      </c>
      <c r="F1037" t="s">
        <v>197</v>
      </c>
      <c r="G1037" t="s">
        <v>197</v>
      </c>
      <c r="H1037" t="s">
        <v>197</v>
      </c>
      <c r="I1037" t="s">
        <v>197</v>
      </c>
      <c r="J1037" t="s">
        <v>197</v>
      </c>
      <c r="K1037" t="s">
        <v>1009</v>
      </c>
    </row>
    <row r="1038" spans="1:24">
      <c r="B1038" t="s">
        <v>197</v>
      </c>
      <c r="C1038" t="s">
        <v>197</v>
      </c>
      <c r="D1038" t="s">
        <v>197</v>
      </c>
      <c r="E1038" t="s">
        <v>197</v>
      </c>
      <c r="F1038" t="s">
        <v>197</v>
      </c>
      <c r="G1038" t="s">
        <v>197</v>
      </c>
      <c r="H1038" t="s">
        <v>197</v>
      </c>
      <c r="I1038" t="s">
        <v>197</v>
      </c>
      <c r="J1038" t="s">
        <v>197</v>
      </c>
      <c r="K1038" t="s">
        <v>1010</v>
      </c>
    </row>
    <row r="1039" spans="1:24">
      <c r="B1039" t="s">
        <v>197</v>
      </c>
      <c r="C1039" t="s">
        <v>197</v>
      </c>
      <c r="D1039" t="s">
        <v>197</v>
      </c>
      <c r="E1039" t="s">
        <v>197</v>
      </c>
      <c r="F1039" t="s">
        <v>197</v>
      </c>
      <c r="G1039" t="s">
        <v>197</v>
      </c>
      <c r="H1039" t="s">
        <v>197</v>
      </c>
      <c r="I1039" t="s">
        <v>197</v>
      </c>
      <c r="J1039" t="s">
        <v>197</v>
      </c>
      <c r="K1039" t="s">
        <v>1011</v>
      </c>
    </row>
    <row r="1040" spans="1:24">
      <c r="B1040" t="s">
        <v>197</v>
      </c>
      <c r="C1040" t="s">
        <v>197</v>
      </c>
      <c r="D1040" t="s">
        <v>197</v>
      </c>
      <c r="E1040" t="s">
        <v>197</v>
      </c>
      <c r="F1040" t="s">
        <v>197</v>
      </c>
      <c r="G1040" t="s">
        <v>197</v>
      </c>
      <c r="H1040" t="s">
        <v>197</v>
      </c>
      <c r="I1040" t="s">
        <v>197</v>
      </c>
      <c r="J1040" t="s">
        <v>197</v>
      </c>
      <c r="K1040" t="s">
        <v>1012</v>
      </c>
    </row>
    <row r="1041" spans="2:11">
      <c r="B1041" t="s">
        <v>197</v>
      </c>
      <c r="C1041" t="s">
        <v>197</v>
      </c>
      <c r="D1041" t="s">
        <v>197</v>
      </c>
      <c r="E1041" t="s">
        <v>197</v>
      </c>
      <c r="F1041" t="s">
        <v>197</v>
      </c>
      <c r="G1041" t="s">
        <v>197</v>
      </c>
      <c r="H1041" t="s">
        <v>197</v>
      </c>
      <c r="I1041" t="s">
        <v>197</v>
      </c>
      <c r="J1041" t="s">
        <v>197</v>
      </c>
      <c r="K1041" t="s">
        <v>1013</v>
      </c>
    </row>
    <row r="1042" spans="2:11">
      <c r="B1042" t="s">
        <v>197</v>
      </c>
      <c r="C1042" t="s">
        <v>197</v>
      </c>
      <c r="D1042" t="s">
        <v>197</v>
      </c>
      <c r="E1042" t="s">
        <v>197</v>
      </c>
      <c r="F1042" t="s">
        <v>197</v>
      </c>
      <c r="G1042" t="s">
        <v>197</v>
      </c>
      <c r="H1042" t="s">
        <v>197</v>
      </c>
      <c r="I1042" t="s">
        <v>197</v>
      </c>
      <c r="J1042" t="s">
        <v>197</v>
      </c>
      <c r="K1042" t="s">
        <v>1014</v>
      </c>
    </row>
    <row r="1043" spans="2:11">
      <c r="B1043" t="s">
        <v>197</v>
      </c>
      <c r="C1043" t="s">
        <v>197</v>
      </c>
      <c r="D1043" t="s">
        <v>197</v>
      </c>
      <c r="E1043" t="s">
        <v>197</v>
      </c>
      <c r="F1043" t="s">
        <v>197</v>
      </c>
      <c r="G1043" t="s">
        <v>197</v>
      </c>
      <c r="H1043" t="s">
        <v>197</v>
      </c>
      <c r="I1043" t="s">
        <v>197</v>
      </c>
      <c r="J1043" t="s">
        <v>197</v>
      </c>
      <c r="K1043" t="s">
        <v>1015</v>
      </c>
    </row>
    <row r="1044" spans="2:11">
      <c r="B1044" t="s">
        <v>197</v>
      </c>
      <c r="C1044" t="s">
        <v>197</v>
      </c>
      <c r="D1044" t="s">
        <v>197</v>
      </c>
      <c r="E1044" t="s">
        <v>197</v>
      </c>
      <c r="F1044" t="s">
        <v>197</v>
      </c>
      <c r="G1044" t="s">
        <v>197</v>
      </c>
      <c r="H1044" t="s">
        <v>197</v>
      </c>
      <c r="I1044" t="s">
        <v>197</v>
      </c>
      <c r="J1044" t="s">
        <v>197</v>
      </c>
      <c r="K1044" t="s">
        <v>1016</v>
      </c>
    </row>
    <row r="1045" spans="2:11">
      <c r="B1045" t="s">
        <v>197</v>
      </c>
      <c r="C1045" t="s">
        <v>197</v>
      </c>
      <c r="D1045" t="s">
        <v>197</v>
      </c>
      <c r="E1045" t="s">
        <v>197</v>
      </c>
      <c r="F1045" t="s">
        <v>197</v>
      </c>
      <c r="G1045" t="s">
        <v>197</v>
      </c>
      <c r="H1045" t="s">
        <v>197</v>
      </c>
      <c r="I1045" t="s">
        <v>197</v>
      </c>
      <c r="J1045" t="s">
        <v>197</v>
      </c>
      <c r="K1045" t="s">
        <v>1017</v>
      </c>
    </row>
    <row r="1046" spans="2:11">
      <c r="B1046" t="s">
        <v>197</v>
      </c>
      <c r="C1046" t="s">
        <v>197</v>
      </c>
      <c r="D1046" t="s">
        <v>197</v>
      </c>
      <c r="E1046" t="s">
        <v>197</v>
      </c>
      <c r="F1046" t="s">
        <v>197</v>
      </c>
      <c r="G1046" t="s">
        <v>197</v>
      </c>
      <c r="H1046" t="s">
        <v>197</v>
      </c>
      <c r="I1046" t="s">
        <v>197</v>
      </c>
      <c r="J1046" t="s">
        <v>197</v>
      </c>
      <c r="K1046" t="s">
        <v>1018</v>
      </c>
    </row>
    <row r="1047" spans="2:11">
      <c r="B1047" t="s">
        <v>197</v>
      </c>
      <c r="C1047" t="s">
        <v>197</v>
      </c>
      <c r="D1047" t="s">
        <v>197</v>
      </c>
      <c r="E1047" t="s">
        <v>197</v>
      </c>
      <c r="F1047" t="s">
        <v>197</v>
      </c>
      <c r="G1047" t="s">
        <v>197</v>
      </c>
      <c r="H1047" t="s">
        <v>197</v>
      </c>
      <c r="I1047" t="s">
        <v>197</v>
      </c>
      <c r="J1047" t="s">
        <v>197</v>
      </c>
      <c r="K1047" t="s">
        <v>1019</v>
      </c>
    </row>
    <row r="1048" spans="2:11">
      <c r="B1048" t="s">
        <v>197</v>
      </c>
      <c r="C1048" t="s">
        <v>197</v>
      </c>
      <c r="D1048" t="s">
        <v>197</v>
      </c>
      <c r="E1048" t="s">
        <v>197</v>
      </c>
      <c r="F1048" t="s">
        <v>197</v>
      </c>
      <c r="G1048" t="s">
        <v>197</v>
      </c>
      <c r="H1048" t="s">
        <v>197</v>
      </c>
      <c r="I1048" t="s">
        <v>197</v>
      </c>
      <c r="J1048" t="s">
        <v>197</v>
      </c>
      <c r="K1048" t="s">
        <v>1020</v>
      </c>
    </row>
    <row r="1049" spans="2:11">
      <c r="B1049" t="s">
        <v>197</v>
      </c>
      <c r="C1049" t="s">
        <v>197</v>
      </c>
      <c r="D1049" t="s">
        <v>197</v>
      </c>
      <c r="E1049" t="s">
        <v>197</v>
      </c>
      <c r="F1049" t="s">
        <v>197</v>
      </c>
      <c r="G1049" t="s">
        <v>197</v>
      </c>
      <c r="H1049" t="s">
        <v>197</v>
      </c>
      <c r="I1049" t="s">
        <v>197</v>
      </c>
      <c r="J1049" t="s">
        <v>197</v>
      </c>
      <c r="K1049" t="s">
        <v>1021</v>
      </c>
    </row>
    <row r="1050" spans="2:11">
      <c r="B1050" t="s">
        <v>197</v>
      </c>
      <c r="C1050" t="s">
        <v>197</v>
      </c>
      <c r="D1050" t="s">
        <v>197</v>
      </c>
      <c r="E1050" t="s">
        <v>197</v>
      </c>
      <c r="F1050" t="s">
        <v>197</v>
      </c>
      <c r="G1050" t="s">
        <v>197</v>
      </c>
      <c r="H1050" t="s">
        <v>197</v>
      </c>
      <c r="I1050" t="s">
        <v>197</v>
      </c>
      <c r="J1050" t="s">
        <v>197</v>
      </c>
      <c r="K1050" t="s">
        <v>1022</v>
      </c>
    </row>
    <row r="1051" spans="2:11">
      <c r="B1051" t="s">
        <v>197</v>
      </c>
      <c r="C1051" t="s">
        <v>197</v>
      </c>
      <c r="D1051" t="s">
        <v>197</v>
      </c>
      <c r="E1051" t="s">
        <v>197</v>
      </c>
      <c r="F1051" t="s">
        <v>197</v>
      </c>
      <c r="G1051" t="s">
        <v>197</v>
      </c>
      <c r="H1051" t="s">
        <v>197</v>
      </c>
      <c r="I1051" t="s">
        <v>197</v>
      </c>
      <c r="J1051" t="s">
        <v>197</v>
      </c>
      <c r="K1051" t="s">
        <v>1023</v>
      </c>
    </row>
    <row r="1052" spans="2:11">
      <c r="B1052" t="s">
        <v>197</v>
      </c>
      <c r="C1052" t="s">
        <v>197</v>
      </c>
      <c r="D1052" t="s">
        <v>197</v>
      </c>
      <c r="E1052" t="s">
        <v>197</v>
      </c>
      <c r="F1052" t="s">
        <v>197</v>
      </c>
      <c r="G1052" t="s">
        <v>197</v>
      </c>
      <c r="H1052" t="s">
        <v>197</v>
      </c>
      <c r="I1052" t="s">
        <v>197</v>
      </c>
      <c r="J1052" t="s">
        <v>197</v>
      </c>
      <c r="K1052" t="s">
        <v>1024</v>
      </c>
    </row>
    <row r="1053" spans="2:11">
      <c r="B1053" t="s">
        <v>197</v>
      </c>
      <c r="C1053" t="s">
        <v>197</v>
      </c>
      <c r="D1053" t="s">
        <v>197</v>
      </c>
      <c r="E1053" t="s">
        <v>197</v>
      </c>
      <c r="F1053" t="s">
        <v>197</v>
      </c>
      <c r="G1053" t="s">
        <v>197</v>
      </c>
      <c r="H1053" t="s">
        <v>197</v>
      </c>
      <c r="I1053" t="s">
        <v>197</v>
      </c>
      <c r="J1053" t="s">
        <v>197</v>
      </c>
      <c r="K1053" t="s">
        <v>1025</v>
      </c>
    </row>
    <row r="1054" spans="2:11">
      <c r="B1054" t="s">
        <v>197</v>
      </c>
      <c r="C1054" t="s">
        <v>197</v>
      </c>
      <c r="D1054" t="s">
        <v>197</v>
      </c>
      <c r="E1054" t="s">
        <v>197</v>
      </c>
      <c r="F1054" t="s">
        <v>197</v>
      </c>
      <c r="G1054" t="s">
        <v>197</v>
      </c>
      <c r="H1054" t="s">
        <v>197</v>
      </c>
      <c r="I1054" t="s">
        <v>197</v>
      </c>
      <c r="J1054" t="s">
        <v>197</v>
      </c>
      <c r="K1054" t="s">
        <v>1026</v>
      </c>
    </row>
    <row r="1055" spans="2:11">
      <c r="B1055" t="s">
        <v>197</v>
      </c>
      <c r="C1055" t="s">
        <v>197</v>
      </c>
      <c r="D1055" t="s">
        <v>197</v>
      </c>
      <c r="E1055" t="s">
        <v>197</v>
      </c>
      <c r="F1055" t="s">
        <v>197</v>
      </c>
      <c r="G1055" t="s">
        <v>197</v>
      </c>
      <c r="H1055" t="s">
        <v>197</v>
      </c>
      <c r="I1055" t="s">
        <v>197</v>
      </c>
      <c r="J1055" t="s">
        <v>197</v>
      </c>
      <c r="K1055" t="s">
        <v>1027</v>
      </c>
    </row>
    <row r="1056" spans="2:11">
      <c r="B1056" t="s">
        <v>197</v>
      </c>
      <c r="C1056" t="s">
        <v>197</v>
      </c>
      <c r="D1056" t="s">
        <v>197</v>
      </c>
      <c r="E1056" t="s">
        <v>197</v>
      </c>
      <c r="F1056" t="s">
        <v>197</v>
      </c>
      <c r="G1056" t="s">
        <v>197</v>
      </c>
      <c r="H1056" t="s">
        <v>197</v>
      </c>
      <c r="I1056" t="s">
        <v>197</v>
      </c>
      <c r="J1056" t="s">
        <v>197</v>
      </c>
      <c r="K1056" t="s">
        <v>1028</v>
      </c>
    </row>
    <row r="1057" spans="1:24">
      <c r="B1057" t="s">
        <v>197</v>
      </c>
      <c r="C1057" t="s">
        <v>197</v>
      </c>
      <c r="D1057" t="s">
        <v>197</v>
      </c>
      <c r="E1057" t="s">
        <v>197</v>
      </c>
      <c r="F1057" t="s">
        <v>197</v>
      </c>
      <c r="G1057" t="s">
        <v>197</v>
      </c>
      <c r="H1057" t="s">
        <v>197</v>
      </c>
      <c r="I1057" t="s">
        <v>197</v>
      </c>
      <c r="J1057" t="s">
        <v>197</v>
      </c>
      <c r="K1057" t="s">
        <v>1029</v>
      </c>
    </row>
    <row r="1058" spans="1:24">
      <c r="A1058" t="s">
        <v>1066</v>
      </c>
      <c r="K1058" t="s">
        <v>1067</v>
      </c>
      <c r="W1058" s="1" t="str">
        <f>HYPERLINK("#2026042015hbase0!CJ2","NO 源备存在差异，共4个")</f>
        <v>NO 源备存在差异，共4个</v>
      </c>
      <c r="X1058" t="str">
        <f>A1058</f>
        <v>info_sql_variant_dml_single_pk_urp</v>
      </c>
    </row>
    <row r="1059" spans="1:24">
      <c r="B1059" t="s">
        <v>196</v>
      </c>
      <c r="C1059" t="s">
        <v>197</v>
      </c>
      <c r="D1059" t="s">
        <v>197</v>
      </c>
      <c r="E1059" t="s">
        <v>197</v>
      </c>
      <c r="F1059" t="s">
        <v>197</v>
      </c>
      <c r="G1059" t="s">
        <v>197</v>
      </c>
      <c r="H1059" t="s">
        <v>197</v>
      </c>
      <c r="I1059" t="s">
        <v>1068</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1075</v>
      </c>
      <c r="K1084" t="s">
        <v>1076</v>
      </c>
      <c r="W1084" s="1" t="str">
        <f>HYPERLINK("#2026042015hbase0!CK2","NO 源备存在差异，共18个")</f>
        <v>NO 源备存在差异，共18个</v>
      </c>
      <c r="X1084" t="str">
        <f>A1084</f>
        <v>info_int_dml_batch1_pk_irp1</v>
      </c>
    </row>
    <row r="1085" spans="1:24">
      <c r="B1085" t="s">
        <v>196</v>
      </c>
      <c r="C1085" t="s">
        <v>197</v>
      </c>
      <c r="D1085" t="s">
        <v>197</v>
      </c>
      <c r="E1085" t="s">
        <v>197</v>
      </c>
      <c r="F1085" t="s">
        <v>197</v>
      </c>
      <c r="G1085" t="s">
        <v>197</v>
      </c>
      <c r="H1085" t="s">
        <v>197</v>
      </c>
      <c r="I1085" t="s">
        <v>1077</v>
      </c>
      <c r="J1085" t="s">
        <v>199</v>
      </c>
      <c r="K1085" t="s">
        <v>200</v>
      </c>
    </row>
    <row r="1086" spans="1:24">
      <c r="B1086" t="s">
        <v>197</v>
      </c>
      <c r="C1086" t="s">
        <v>197</v>
      </c>
      <c r="D1086" t="s">
        <v>197</v>
      </c>
      <c r="E1086" t="s">
        <v>197</v>
      </c>
      <c r="F1086" t="s">
        <v>197</v>
      </c>
      <c r="G1086" t="s">
        <v>197</v>
      </c>
      <c r="H1086" t="s">
        <v>197</v>
      </c>
      <c r="I1086" t="s">
        <v>197</v>
      </c>
      <c r="J1086" t="s">
        <v>197</v>
      </c>
      <c r="K1086" t="s">
        <v>549</v>
      </c>
    </row>
    <row r="1087" spans="1:24">
      <c r="B1087" t="s">
        <v>197</v>
      </c>
      <c r="C1087" t="s">
        <v>197</v>
      </c>
      <c r="D1087" t="s">
        <v>197</v>
      </c>
      <c r="E1087" t="s">
        <v>197</v>
      </c>
      <c r="F1087" t="s">
        <v>197</v>
      </c>
      <c r="G1087" t="s">
        <v>197</v>
      </c>
      <c r="H1087" t="s">
        <v>197</v>
      </c>
      <c r="I1087" t="s">
        <v>197</v>
      </c>
      <c r="J1087" t="s">
        <v>197</v>
      </c>
      <c r="K1087" t="s">
        <v>550</v>
      </c>
    </row>
    <row r="1088" spans="1:24">
      <c r="B1088" t="s">
        <v>197</v>
      </c>
      <c r="C1088" t="s">
        <v>197</v>
      </c>
      <c r="D1088" t="s">
        <v>197</v>
      </c>
      <c r="E1088" t="s">
        <v>197</v>
      </c>
      <c r="F1088" t="s">
        <v>197</v>
      </c>
      <c r="G1088" t="s">
        <v>197</v>
      </c>
      <c r="H1088" t="s">
        <v>197</v>
      </c>
      <c r="I1088" t="s">
        <v>197</v>
      </c>
      <c r="J1088" t="s">
        <v>197</v>
      </c>
      <c r="K1088" t="s">
        <v>551</v>
      </c>
    </row>
    <row r="1089" spans="2:11">
      <c r="B1089" t="s">
        <v>197</v>
      </c>
      <c r="C1089" t="s">
        <v>197</v>
      </c>
      <c r="D1089" t="s">
        <v>197</v>
      </c>
      <c r="E1089" t="s">
        <v>197</v>
      </c>
      <c r="F1089" t="s">
        <v>197</v>
      </c>
      <c r="G1089" t="s">
        <v>197</v>
      </c>
      <c r="H1089" t="s">
        <v>197</v>
      </c>
      <c r="I1089" t="s">
        <v>197</v>
      </c>
      <c r="J1089" t="s">
        <v>197</v>
      </c>
      <c r="K1089" t="s">
        <v>552</v>
      </c>
    </row>
    <row r="1090" spans="2:11">
      <c r="B1090" t="s">
        <v>197</v>
      </c>
      <c r="C1090" t="s">
        <v>197</v>
      </c>
      <c r="D1090" t="s">
        <v>197</v>
      </c>
      <c r="E1090" t="s">
        <v>197</v>
      </c>
      <c r="F1090" t="s">
        <v>197</v>
      </c>
      <c r="G1090" t="s">
        <v>197</v>
      </c>
      <c r="H1090" t="s">
        <v>197</v>
      </c>
      <c r="I1090" t="s">
        <v>197</v>
      </c>
      <c r="J1090" t="s">
        <v>197</v>
      </c>
      <c r="K1090" t="s">
        <v>553</v>
      </c>
    </row>
    <row r="1091" spans="2:11">
      <c r="B1091" t="s">
        <v>197</v>
      </c>
      <c r="C1091" t="s">
        <v>197</v>
      </c>
      <c r="D1091" t="s">
        <v>197</v>
      </c>
      <c r="E1091" t="s">
        <v>197</v>
      </c>
      <c r="F1091" t="s">
        <v>197</v>
      </c>
      <c r="G1091" t="s">
        <v>197</v>
      </c>
      <c r="H1091" t="s">
        <v>197</v>
      </c>
      <c r="I1091" t="s">
        <v>197</v>
      </c>
      <c r="J1091" t="s">
        <v>197</v>
      </c>
      <c r="K1091" t="s">
        <v>554</v>
      </c>
    </row>
    <row r="1092" spans="2:11">
      <c r="B1092" t="s">
        <v>197</v>
      </c>
      <c r="C1092" t="s">
        <v>197</v>
      </c>
      <c r="D1092" t="s">
        <v>197</v>
      </c>
      <c r="E1092" t="s">
        <v>197</v>
      </c>
      <c r="F1092" t="s">
        <v>197</v>
      </c>
      <c r="G1092" t="s">
        <v>197</v>
      </c>
      <c r="H1092" t="s">
        <v>197</v>
      </c>
      <c r="I1092" t="s">
        <v>197</v>
      </c>
      <c r="J1092" t="s">
        <v>197</v>
      </c>
      <c r="K1092" t="s">
        <v>555</v>
      </c>
    </row>
    <row r="1093" spans="2:11">
      <c r="B1093" t="s">
        <v>197</v>
      </c>
      <c r="C1093" t="s">
        <v>197</v>
      </c>
      <c r="D1093" t="s">
        <v>197</v>
      </c>
      <c r="E1093" t="s">
        <v>197</v>
      </c>
      <c r="F1093" t="s">
        <v>197</v>
      </c>
      <c r="G1093" t="s">
        <v>197</v>
      </c>
      <c r="H1093" t="s">
        <v>197</v>
      </c>
      <c r="I1093" t="s">
        <v>197</v>
      </c>
      <c r="J1093" t="s">
        <v>197</v>
      </c>
      <c r="K1093" t="s">
        <v>556</v>
      </c>
    </row>
    <row r="1094" spans="2:11">
      <c r="B1094" t="s">
        <v>197</v>
      </c>
      <c r="C1094" t="s">
        <v>197</v>
      </c>
      <c r="D1094" t="s">
        <v>197</v>
      </c>
      <c r="E1094" t="s">
        <v>197</v>
      </c>
      <c r="F1094" t="s">
        <v>197</v>
      </c>
      <c r="G1094" t="s">
        <v>197</v>
      </c>
      <c r="H1094" t="s">
        <v>197</v>
      </c>
      <c r="I1094" t="s">
        <v>197</v>
      </c>
      <c r="J1094" t="s">
        <v>197</v>
      </c>
      <c r="K1094" t="s">
        <v>557</v>
      </c>
    </row>
    <row r="1095" spans="2:11">
      <c r="B1095" t="s">
        <v>197</v>
      </c>
      <c r="C1095" t="s">
        <v>197</v>
      </c>
      <c r="D1095" t="s">
        <v>197</v>
      </c>
      <c r="E1095" t="s">
        <v>197</v>
      </c>
      <c r="F1095" t="s">
        <v>197</v>
      </c>
      <c r="G1095" t="s">
        <v>197</v>
      </c>
      <c r="H1095" t="s">
        <v>197</v>
      </c>
      <c r="I1095" t="s">
        <v>197</v>
      </c>
      <c r="J1095" t="s">
        <v>197</v>
      </c>
      <c r="K1095" t="s">
        <v>558</v>
      </c>
    </row>
    <row r="1096" spans="2:11">
      <c r="B1096" t="s">
        <v>197</v>
      </c>
      <c r="C1096" t="s">
        <v>197</v>
      </c>
      <c r="D1096" t="s">
        <v>197</v>
      </c>
      <c r="E1096" t="s">
        <v>197</v>
      </c>
      <c r="F1096" t="s">
        <v>197</v>
      </c>
      <c r="G1096" t="s">
        <v>197</v>
      </c>
      <c r="H1096" t="s">
        <v>197</v>
      </c>
      <c r="I1096" t="s">
        <v>197</v>
      </c>
      <c r="J1096" t="s">
        <v>197</v>
      </c>
      <c r="K1096" t="s">
        <v>559</v>
      </c>
    </row>
    <row r="1097" spans="2:11">
      <c r="B1097" t="s">
        <v>197</v>
      </c>
      <c r="C1097" t="s">
        <v>197</v>
      </c>
      <c r="D1097" t="s">
        <v>197</v>
      </c>
      <c r="E1097" t="s">
        <v>197</v>
      </c>
      <c r="F1097" t="s">
        <v>197</v>
      </c>
      <c r="G1097" t="s">
        <v>197</v>
      </c>
      <c r="H1097" t="s">
        <v>197</v>
      </c>
      <c r="I1097" t="s">
        <v>197</v>
      </c>
      <c r="J1097" t="s">
        <v>197</v>
      </c>
      <c r="K1097" t="s">
        <v>560</v>
      </c>
    </row>
    <row r="1098" spans="2:11">
      <c r="B1098" t="s">
        <v>197</v>
      </c>
      <c r="C1098" t="s">
        <v>197</v>
      </c>
      <c r="D1098" t="s">
        <v>197</v>
      </c>
      <c r="E1098" t="s">
        <v>197</v>
      </c>
      <c r="F1098" t="s">
        <v>197</v>
      </c>
      <c r="G1098" t="s">
        <v>197</v>
      </c>
      <c r="H1098" t="s">
        <v>197</v>
      </c>
      <c r="I1098" t="s">
        <v>197</v>
      </c>
      <c r="J1098" t="s">
        <v>197</v>
      </c>
      <c r="K1098" t="s">
        <v>561</v>
      </c>
    </row>
    <row r="1099" spans="2:11">
      <c r="B1099" t="s">
        <v>197</v>
      </c>
      <c r="C1099" t="s">
        <v>197</v>
      </c>
      <c r="D1099" t="s">
        <v>197</v>
      </c>
      <c r="E1099" t="s">
        <v>197</v>
      </c>
      <c r="F1099" t="s">
        <v>197</v>
      </c>
      <c r="G1099" t="s">
        <v>197</v>
      </c>
      <c r="H1099" t="s">
        <v>197</v>
      </c>
      <c r="I1099" t="s">
        <v>197</v>
      </c>
      <c r="J1099" t="s">
        <v>197</v>
      </c>
      <c r="K1099" t="s">
        <v>562</v>
      </c>
    </row>
    <row r="1100" spans="2:11">
      <c r="B1100" t="s">
        <v>197</v>
      </c>
      <c r="C1100" t="s">
        <v>197</v>
      </c>
      <c r="D1100" t="s">
        <v>197</v>
      </c>
      <c r="E1100" t="s">
        <v>197</v>
      </c>
      <c r="F1100" t="s">
        <v>197</v>
      </c>
      <c r="G1100" t="s">
        <v>197</v>
      </c>
      <c r="H1100" t="s">
        <v>197</v>
      </c>
      <c r="I1100" t="s">
        <v>197</v>
      </c>
      <c r="J1100" t="s">
        <v>197</v>
      </c>
      <c r="K1100" t="s">
        <v>563</v>
      </c>
    </row>
    <row r="1101" spans="2:11">
      <c r="B1101" t="s">
        <v>197</v>
      </c>
      <c r="C1101" t="s">
        <v>197</v>
      </c>
      <c r="D1101" t="s">
        <v>197</v>
      </c>
      <c r="E1101" t="s">
        <v>197</v>
      </c>
      <c r="F1101" t="s">
        <v>197</v>
      </c>
      <c r="G1101" t="s">
        <v>197</v>
      </c>
      <c r="H1101" t="s">
        <v>197</v>
      </c>
      <c r="I1101" t="s">
        <v>197</v>
      </c>
      <c r="J1101" t="s">
        <v>197</v>
      </c>
      <c r="K1101" t="s">
        <v>564</v>
      </c>
    </row>
    <row r="1102" spans="2:11">
      <c r="B1102" t="s">
        <v>197</v>
      </c>
      <c r="C1102" t="s">
        <v>197</v>
      </c>
      <c r="D1102" t="s">
        <v>197</v>
      </c>
      <c r="E1102" t="s">
        <v>197</v>
      </c>
      <c r="F1102" t="s">
        <v>197</v>
      </c>
      <c r="G1102" t="s">
        <v>197</v>
      </c>
      <c r="H1102" t="s">
        <v>197</v>
      </c>
      <c r="I1102" t="s">
        <v>197</v>
      </c>
      <c r="J1102" t="s">
        <v>197</v>
      </c>
      <c r="K1102" t="s">
        <v>565</v>
      </c>
    </row>
    <row r="1103" spans="2:11">
      <c r="B1103" t="s">
        <v>197</v>
      </c>
      <c r="C1103" t="s">
        <v>197</v>
      </c>
      <c r="D1103" t="s">
        <v>197</v>
      </c>
      <c r="E1103" t="s">
        <v>197</v>
      </c>
      <c r="F1103" t="s">
        <v>197</v>
      </c>
      <c r="G1103" t="s">
        <v>197</v>
      </c>
      <c r="H1103" t="s">
        <v>197</v>
      </c>
      <c r="I1103" t="s">
        <v>197</v>
      </c>
      <c r="J1103" t="s">
        <v>197</v>
      </c>
      <c r="K1103" t="s">
        <v>566</v>
      </c>
    </row>
    <row r="1104" spans="2:11">
      <c r="B1104" t="s">
        <v>197</v>
      </c>
      <c r="C1104" t="s">
        <v>197</v>
      </c>
      <c r="D1104" t="s">
        <v>197</v>
      </c>
      <c r="E1104" t="s">
        <v>197</v>
      </c>
      <c r="F1104" t="s">
        <v>197</v>
      </c>
      <c r="G1104" t="s">
        <v>197</v>
      </c>
      <c r="H1104" t="s">
        <v>197</v>
      </c>
      <c r="I1104" t="s">
        <v>197</v>
      </c>
      <c r="J1104" t="s">
        <v>197</v>
      </c>
      <c r="K1104" t="s">
        <v>567</v>
      </c>
    </row>
    <row r="1105" spans="1:24">
      <c r="A1105" t="s">
        <v>1081</v>
      </c>
      <c r="K1105" t="s">
        <v>1082</v>
      </c>
      <c r="W1105" t="s">
        <v>171</v>
      </c>
      <c r="X1105" t="str">
        <f>A1105</f>
        <v>info_nvarchar_dml_batch2_pk_irp1</v>
      </c>
    </row>
    <row r="1106" spans="1:24">
      <c r="B1106" t="s">
        <v>196</v>
      </c>
      <c r="C1106" t="s">
        <v>197</v>
      </c>
      <c r="D1106" t="s">
        <v>197</v>
      </c>
      <c r="E1106" t="s">
        <v>197</v>
      </c>
      <c r="F1106" t="s">
        <v>197</v>
      </c>
      <c r="G1106" t="s">
        <v>197</v>
      </c>
      <c r="H1106" t="s">
        <v>197</v>
      </c>
      <c r="I1106" t="s">
        <v>1083</v>
      </c>
      <c r="J1106" t="s">
        <v>199</v>
      </c>
      <c r="K1106" t="s">
        <v>200</v>
      </c>
    </row>
    <row r="1107" spans="1:24">
      <c r="B1107" t="s">
        <v>197</v>
      </c>
      <c r="C1107" t="s">
        <v>197</v>
      </c>
      <c r="D1107" t="s">
        <v>197</v>
      </c>
      <c r="E1107" t="s">
        <v>197</v>
      </c>
      <c r="F1107" t="s">
        <v>197</v>
      </c>
      <c r="G1107" t="s">
        <v>197</v>
      </c>
      <c r="H1107" t="s">
        <v>197</v>
      </c>
      <c r="I1107" t="s">
        <v>197</v>
      </c>
      <c r="J1107" t="s">
        <v>197</v>
      </c>
      <c r="K1107" t="s">
        <v>408</v>
      </c>
    </row>
    <row r="1108" spans="1:24">
      <c r="B1108" t="s">
        <v>197</v>
      </c>
      <c r="C1108" t="s">
        <v>197</v>
      </c>
      <c r="D1108" t="s">
        <v>197</v>
      </c>
      <c r="E1108" t="s">
        <v>197</v>
      </c>
      <c r="F1108" t="s">
        <v>197</v>
      </c>
      <c r="G1108" t="s">
        <v>197</v>
      </c>
      <c r="H1108" t="s">
        <v>197</v>
      </c>
      <c r="I1108" t="s">
        <v>197</v>
      </c>
      <c r="J1108" t="s">
        <v>197</v>
      </c>
      <c r="K1108" t="s">
        <v>412</v>
      </c>
    </row>
    <row r="1109" spans="1:24">
      <c r="B1109" t="s">
        <v>197</v>
      </c>
      <c r="C1109" t="s">
        <v>197</v>
      </c>
      <c r="D1109" t="s">
        <v>197</v>
      </c>
      <c r="E1109" t="s">
        <v>197</v>
      </c>
      <c r="F1109" t="s">
        <v>197</v>
      </c>
      <c r="G1109" t="s">
        <v>197</v>
      </c>
      <c r="H1109" t="s">
        <v>197</v>
      </c>
      <c r="I1109" t="s">
        <v>197</v>
      </c>
      <c r="J1109" t="s">
        <v>197</v>
      </c>
      <c r="K1109" t="s">
        <v>416</v>
      </c>
    </row>
    <row r="1110" spans="1:24">
      <c r="A1110" t="s">
        <v>1078</v>
      </c>
      <c r="K1110" t="s">
        <v>1079</v>
      </c>
      <c r="W1110" t="s">
        <v>171</v>
      </c>
      <c r="X1110" t="str">
        <f>A1110</f>
        <v>info_uniqueidentifier_dml_single_pk_urp</v>
      </c>
    </row>
    <row r="1111" spans="1:24">
      <c r="B1111" t="s">
        <v>196</v>
      </c>
      <c r="C1111" t="s">
        <v>197</v>
      </c>
      <c r="D1111" t="s">
        <v>197</v>
      </c>
      <c r="E1111" t="s">
        <v>197</v>
      </c>
      <c r="F1111" t="s">
        <v>197</v>
      </c>
      <c r="G1111" t="s">
        <v>197</v>
      </c>
      <c r="H1111" t="s">
        <v>197</v>
      </c>
      <c r="I1111" t="s">
        <v>1080</v>
      </c>
      <c r="J1111" t="s">
        <v>199</v>
      </c>
      <c r="K1111" t="s">
        <v>200</v>
      </c>
    </row>
    <row r="1112" spans="1:24">
      <c r="B1112" t="s">
        <v>197</v>
      </c>
      <c r="C1112" t="s">
        <v>197</v>
      </c>
      <c r="D1112" t="s">
        <v>197</v>
      </c>
      <c r="E1112" t="s">
        <v>197</v>
      </c>
      <c r="F1112" t="s">
        <v>197</v>
      </c>
      <c r="G1112" t="s">
        <v>197</v>
      </c>
      <c r="H1112" t="s">
        <v>197</v>
      </c>
      <c r="I1112" t="s">
        <v>197</v>
      </c>
      <c r="J1112" t="s">
        <v>197</v>
      </c>
      <c r="K1112" t="s">
        <v>1039</v>
      </c>
    </row>
    <row r="1113" spans="1:24">
      <c r="A1113" t="s">
        <v>1084</v>
      </c>
      <c r="K1113" t="s">
        <v>1085</v>
      </c>
      <c r="W1113" s="1" t="str">
        <f>HYPERLINK("#2026042015hbase0!CL2","NO 源备存在差异，共12个")</f>
        <v>NO 源备存在差异，共12个</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1087</v>
      </c>
      <c r="K1123" t="s">
        <v>1088</v>
      </c>
      <c r="W1123" s="1" t="str">
        <f>HYPERLINK("#2026042015hbase0!CM2","NO 源备存在差异，共4个")</f>
        <v>NO 源备存在差异，共4个</v>
      </c>
      <c r="X1123" t="str">
        <f>A1123</f>
        <v>info_geography_dml_single_pk_urp</v>
      </c>
    </row>
    <row r="1124" spans="1:24">
      <c r="B1124" t="s">
        <v>196</v>
      </c>
      <c r="C1124" t="s">
        <v>197</v>
      </c>
      <c r="D1124" t="s">
        <v>197</v>
      </c>
      <c r="E1124" t="s">
        <v>197</v>
      </c>
      <c r="F1124" t="s">
        <v>197</v>
      </c>
      <c r="G1124" t="s">
        <v>197</v>
      </c>
      <c r="H1124" t="s">
        <v>197</v>
      </c>
      <c r="I1124" t="s">
        <v>1089</v>
      </c>
      <c r="J1124" t="s">
        <v>199</v>
      </c>
      <c r="K1124" t="s">
        <v>200</v>
      </c>
    </row>
    <row r="1125" spans="1:24">
      <c r="B1125" t="s">
        <v>197</v>
      </c>
      <c r="C1125" t="s">
        <v>197</v>
      </c>
      <c r="D1125" t="s">
        <v>197</v>
      </c>
      <c r="E1125" t="s">
        <v>197</v>
      </c>
      <c r="F1125" t="s">
        <v>197</v>
      </c>
      <c r="G1125" t="s">
        <v>197</v>
      </c>
      <c r="H1125" t="s">
        <v>197</v>
      </c>
      <c r="I1125" t="s">
        <v>197</v>
      </c>
      <c r="J1125" t="s">
        <v>197</v>
      </c>
      <c r="K1125" t="s">
        <v>1052</v>
      </c>
    </row>
    <row r="1126" spans="1:24">
      <c r="A1126" t="s">
        <v>1090</v>
      </c>
      <c r="K1126" t="s">
        <v>1091</v>
      </c>
      <c r="W1126" s="1" t="str">
        <f>HYPERLINK("#2026042015hbase0!CN2","NO 源备存在差异，共52个")</f>
        <v>NO 源备存在差异，共52个</v>
      </c>
      <c r="X1126" t="str">
        <f>A1126</f>
        <v>info_time_dml_batch2_pk_irp2</v>
      </c>
    </row>
    <row r="1127" spans="1:24">
      <c r="B1127" t="s">
        <v>196</v>
      </c>
      <c r="C1127" t="s">
        <v>197</v>
      </c>
      <c r="D1127" t="s">
        <v>197</v>
      </c>
      <c r="E1127" t="s">
        <v>197</v>
      </c>
      <c r="F1127" t="s">
        <v>197</v>
      </c>
      <c r="G1127" t="s">
        <v>197</v>
      </c>
      <c r="H1127" t="s">
        <v>197</v>
      </c>
      <c r="I1127" t="s">
        <v>1092</v>
      </c>
      <c r="J1127" t="s">
        <v>199</v>
      </c>
      <c r="K1127" t="s">
        <v>200</v>
      </c>
    </row>
    <row r="1128" spans="1:24">
      <c r="B1128" t="s">
        <v>197</v>
      </c>
      <c r="C1128" t="s">
        <v>197</v>
      </c>
      <c r="D1128" t="s">
        <v>197</v>
      </c>
      <c r="E1128" t="s">
        <v>197</v>
      </c>
      <c r="F1128" t="s">
        <v>197</v>
      </c>
      <c r="G1128" t="s">
        <v>197</v>
      </c>
      <c r="H1128" t="s">
        <v>197</v>
      </c>
      <c r="I1128" t="s">
        <v>197</v>
      </c>
      <c r="J1128" t="s">
        <v>197</v>
      </c>
      <c r="K1128" t="s">
        <v>800</v>
      </c>
    </row>
    <row r="1129" spans="1:24">
      <c r="B1129" t="s">
        <v>197</v>
      </c>
      <c r="C1129" t="s">
        <v>197</v>
      </c>
      <c r="D1129" t="s">
        <v>197</v>
      </c>
      <c r="E1129" t="s">
        <v>197</v>
      </c>
      <c r="F1129" t="s">
        <v>197</v>
      </c>
      <c r="G1129" t="s">
        <v>197</v>
      </c>
      <c r="H1129" t="s">
        <v>197</v>
      </c>
      <c r="I1129" t="s">
        <v>197</v>
      </c>
      <c r="J1129" t="s">
        <v>197</v>
      </c>
      <c r="K1129" t="s">
        <v>801</v>
      </c>
    </row>
    <row r="1130" spans="1:24">
      <c r="B1130" t="s">
        <v>197</v>
      </c>
      <c r="C1130" t="s">
        <v>197</v>
      </c>
      <c r="D1130" t="s">
        <v>197</v>
      </c>
      <c r="E1130" t="s">
        <v>197</v>
      </c>
      <c r="F1130" t="s">
        <v>197</v>
      </c>
      <c r="G1130" t="s">
        <v>197</v>
      </c>
      <c r="H1130" t="s">
        <v>197</v>
      </c>
      <c r="I1130" t="s">
        <v>197</v>
      </c>
      <c r="J1130" t="s">
        <v>197</v>
      </c>
      <c r="K1130" t="s">
        <v>802</v>
      </c>
    </row>
    <row r="1131" spans="1:24">
      <c r="B1131" t="s">
        <v>197</v>
      </c>
      <c r="C1131" t="s">
        <v>197</v>
      </c>
      <c r="D1131" t="s">
        <v>197</v>
      </c>
      <c r="E1131" t="s">
        <v>197</v>
      </c>
      <c r="F1131" t="s">
        <v>197</v>
      </c>
      <c r="G1131" t="s">
        <v>197</v>
      </c>
      <c r="H1131" t="s">
        <v>197</v>
      </c>
      <c r="I1131" t="s">
        <v>197</v>
      </c>
      <c r="J1131" t="s">
        <v>197</v>
      </c>
      <c r="K1131" t="s">
        <v>803</v>
      </c>
    </row>
    <row r="1132" spans="1:24">
      <c r="B1132" t="s">
        <v>197</v>
      </c>
      <c r="C1132" t="s">
        <v>197</v>
      </c>
      <c r="D1132" t="s">
        <v>197</v>
      </c>
      <c r="E1132" t="s">
        <v>197</v>
      </c>
      <c r="F1132" t="s">
        <v>197</v>
      </c>
      <c r="G1132" t="s">
        <v>197</v>
      </c>
      <c r="H1132" t="s">
        <v>197</v>
      </c>
      <c r="I1132" t="s">
        <v>197</v>
      </c>
      <c r="J1132" t="s">
        <v>197</v>
      </c>
      <c r="K1132" t="s">
        <v>804</v>
      </c>
    </row>
    <row r="1133" spans="1:24">
      <c r="B1133" t="s">
        <v>197</v>
      </c>
      <c r="C1133" t="s">
        <v>197</v>
      </c>
      <c r="D1133" t="s">
        <v>197</v>
      </c>
      <c r="E1133" t="s">
        <v>197</v>
      </c>
      <c r="F1133" t="s">
        <v>197</v>
      </c>
      <c r="G1133" t="s">
        <v>197</v>
      </c>
      <c r="H1133" t="s">
        <v>197</v>
      </c>
      <c r="I1133" t="s">
        <v>197</v>
      </c>
      <c r="J1133" t="s">
        <v>197</v>
      </c>
      <c r="K1133" t="s">
        <v>805</v>
      </c>
    </row>
    <row r="1134" spans="1:24">
      <c r="B1134" t="s">
        <v>197</v>
      </c>
      <c r="C1134" t="s">
        <v>197</v>
      </c>
      <c r="D1134" t="s">
        <v>197</v>
      </c>
      <c r="E1134" t="s">
        <v>197</v>
      </c>
      <c r="F1134" t="s">
        <v>197</v>
      </c>
      <c r="G1134" t="s">
        <v>197</v>
      </c>
      <c r="H1134" t="s">
        <v>197</v>
      </c>
      <c r="I1134" t="s">
        <v>197</v>
      </c>
      <c r="J1134" t="s">
        <v>197</v>
      </c>
      <c r="K1134" t="s">
        <v>806</v>
      </c>
    </row>
    <row r="1135" spans="1:24">
      <c r="B1135" t="s">
        <v>197</v>
      </c>
      <c r="C1135" t="s">
        <v>197</v>
      </c>
      <c r="D1135" t="s">
        <v>197</v>
      </c>
      <c r="E1135" t="s">
        <v>197</v>
      </c>
      <c r="F1135" t="s">
        <v>197</v>
      </c>
      <c r="G1135" t="s">
        <v>197</v>
      </c>
      <c r="H1135" t="s">
        <v>197</v>
      </c>
      <c r="I1135" t="s">
        <v>197</v>
      </c>
      <c r="J1135" t="s">
        <v>197</v>
      </c>
      <c r="K1135" t="s">
        <v>807</v>
      </c>
    </row>
    <row r="1136" spans="1:24">
      <c r="A1136" t="s">
        <v>1093</v>
      </c>
      <c r="K1136" t="s">
        <v>1094</v>
      </c>
      <c r="W1136" t="s">
        <v>171</v>
      </c>
      <c r="X1136" t="str">
        <f>A1136</f>
        <v>info_varbinary_dml_batch2_pk_irp1</v>
      </c>
    </row>
    <row r="1137" spans="1:24">
      <c r="B1137" t="s">
        <v>196</v>
      </c>
      <c r="C1137" t="s">
        <v>197</v>
      </c>
      <c r="D1137" t="s">
        <v>197</v>
      </c>
      <c r="E1137" t="s">
        <v>197</v>
      </c>
      <c r="F1137" t="s">
        <v>197</v>
      </c>
      <c r="G1137" t="s">
        <v>197</v>
      </c>
      <c r="H1137" t="s">
        <v>197</v>
      </c>
      <c r="I1137" t="s">
        <v>1095</v>
      </c>
      <c r="J1137" t="s">
        <v>199</v>
      </c>
      <c r="K1137" t="s">
        <v>200</v>
      </c>
    </row>
    <row r="1138" spans="1:24">
      <c r="B1138" t="s">
        <v>197</v>
      </c>
      <c r="C1138" t="s">
        <v>197</v>
      </c>
      <c r="D1138" t="s">
        <v>197</v>
      </c>
      <c r="E1138" t="s">
        <v>197</v>
      </c>
      <c r="F1138" t="s">
        <v>197</v>
      </c>
      <c r="G1138" t="s">
        <v>197</v>
      </c>
      <c r="H1138" t="s">
        <v>197</v>
      </c>
      <c r="I1138" t="s">
        <v>197</v>
      </c>
      <c r="J1138" t="s">
        <v>197</v>
      </c>
      <c r="K1138" t="s">
        <v>495</v>
      </c>
    </row>
    <row r="1139" spans="1:24">
      <c r="B1139" t="s">
        <v>197</v>
      </c>
      <c r="C1139" t="s">
        <v>197</v>
      </c>
      <c r="D1139" t="s">
        <v>197</v>
      </c>
      <c r="E1139" t="s">
        <v>197</v>
      </c>
      <c r="F1139" t="s">
        <v>197</v>
      </c>
      <c r="G1139" t="s">
        <v>197</v>
      </c>
      <c r="H1139" t="s">
        <v>197</v>
      </c>
      <c r="I1139" t="s">
        <v>197</v>
      </c>
      <c r="J1139" t="s">
        <v>197</v>
      </c>
      <c r="K1139" t="s">
        <v>499</v>
      </c>
    </row>
    <row r="1140" spans="1:24">
      <c r="B1140" t="s">
        <v>197</v>
      </c>
      <c r="C1140" t="s">
        <v>197</v>
      </c>
      <c r="D1140" t="s">
        <v>197</v>
      </c>
      <c r="E1140" t="s">
        <v>197</v>
      </c>
      <c r="F1140" t="s">
        <v>197</v>
      </c>
      <c r="G1140" t="s">
        <v>197</v>
      </c>
      <c r="H1140" t="s">
        <v>197</v>
      </c>
      <c r="I1140" t="s">
        <v>197</v>
      </c>
      <c r="J1140" t="s">
        <v>197</v>
      </c>
      <c r="K1140" t="s">
        <v>503</v>
      </c>
    </row>
    <row r="1141" spans="1:24">
      <c r="A1141" t="s">
        <v>1096</v>
      </c>
      <c r="K1141" t="s">
        <v>1097</v>
      </c>
      <c r="W1141" s="1" t="str">
        <f>HYPERLINK("#2026042015hbase0!CO2","NO 源备存在差异，共32个")</f>
        <v>NO 源备存在差异，共32个</v>
      </c>
      <c r="X1141" t="str">
        <f>A1141</f>
        <v>info_time_dml_batch1_pk_urp1</v>
      </c>
    </row>
    <row r="1142" spans="1:24">
      <c r="B1142" t="s">
        <v>196</v>
      </c>
      <c r="C1142" t="s">
        <v>197</v>
      </c>
      <c r="D1142" t="s">
        <v>197</v>
      </c>
      <c r="E1142" t="s">
        <v>197</v>
      </c>
      <c r="F1142" t="s">
        <v>197</v>
      </c>
      <c r="G1142" t="s">
        <v>197</v>
      </c>
      <c r="H1142" t="s">
        <v>197</v>
      </c>
      <c r="I1142" t="s">
        <v>1098</v>
      </c>
      <c r="J1142" t="s">
        <v>199</v>
      </c>
      <c r="K1142" t="s">
        <v>200</v>
      </c>
    </row>
    <row r="1143" spans="1:24">
      <c r="B1143" t="s">
        <v>197</v>
      </c>
      <c r="C1143" t="s">
        <v>197</v>
      </c>
      <c r="D1143" t="s">
        <v>197</v>
      </c>
      <c r="E1143" t="s">
        <v>197</v>
      </c>
      <c r="F1143" t="s">
        <v>197</v>
      </c>
      <c r="G1143" t="s">
        <v>197</v>
      </c>
      <c r="H1143" t="s">
        <v>197</v>
      </c>
      <c r="I1143" t="s">
        <v>197</v>
      </c>
      <c r="J1143" t="s">
        <v>197</v>
      </c>
      <c r="K1143" t="s">
        <v>800</v>
      </c>
    </row>
    <row r="1144" spans="1:24">
      <c r="B1144" t="s">
        <v>197</v>
      </c>
      <c r="C1144" t="s">
        <v>197</v>
      </c>
      <c r="D1144" t="s">
        <v>197</v>
      </c>
      <c r="E1144" t="s">
        <v>197</v>
      </c>
      <c r="F1144" t="s">
        <v>197</v>
      </c>
      <c r="G1144" t="s">
        <v>197</v>
      </c>
      <c r="H1144" t="s">
        <v>197</v>
      </c>
      <c r="I1144" t="s">
        <v>197</v>
      </c>
      <c r="J1144" t="s">
        <v>197</v>
      </c>
      <c r="K1144" t="s">
        <v>801</v>
      </c>
    </row>
    <row r="1145" spans="1:24">
      <c r="B1145" t="s">
        <v>197</v>
      </c>
      <c r="C1145" t="s">
        <v>197</v>
      </c>
      <c r="D1145" t="s">
        <v>197</v>
      </c>
      <c r="E1145" t="s">
        <v>197</v>
      </c>
      <c r="F1145" t="s">
        <v>197</v>
      </c>
      <c r="G1145" t="s">
        <v>197</v>
      </c>
      <c r="H1145" t="s">
        <v>197</v>
      </c>
      <c r="I1145" t="s">
        <v>197</v>
      </c>
      <c r="J1145" t="s">
        <v>197</v>
      </c>
      <c r="K1145" t="s">
        <v>802</v>
      </c>
    </row>
    <row r="1146" spans="1:24">
      <c r="B1146" t="s">
        <v>197</v>
      </c>
      <c r="C1146" t="s">
        <v>197</v>
      </c>
      <c r="D1146" t="s">
        <v>197</v>
      </c>
      <c r="E1146" t="s">
        <v>197</v>
      </c>
      <c r="F1146" t="s">
        <v>197</v>
      </c>
      <c r="G1146" t="s">
        <v>197</v>
      </c>
      <c r="H1146" t="s">
        <v>197</v>
      </c>
      <c r="I1146" t="s">
        <v>197</v>
      </c>
      <c r="J1146" t="s">
        <v>197</v>
      </c>
      <c r="K1146" t="s">
        <v>803</v>
      </c>
    </row>
    <row r="1147" spans="1:24">
      <c r="B1147" t="s">
        <v>197</v>
      </c>
      <c r="C1147" t="s">
        <v>197</v>
      </c>
      <c r="D1147" t="s">
        <v>197</v>
      </c>
      <c r="E1147" t="s">
        <v>197</v>
      </c>
      <c r="F1147" t="s">
        <v>197</v>
      </c>
      <c r="G1147" t="s">
        <v>197</v>
      </c>
      <c r="H1147" t="s">
        <v>197</v>
      </c>
      <c r="I1147" t="s">
        <v>197</v>
      </c>
      <c r="J1147" t="s">
        <v>197</v>
      </c>
      <c r="K1147" t="s">
        <v>804</v>
      </c>
    </row>
    <row r="1148" spans="1:24">
      <c r="B1148" t="s">
        <v>197</v>
      </c>
      <c r="C1148" t="s">
        <v>197</v>
      </c>
      <c r="D1148" t="s">
        <v>197</v>
      </c>
      <c r="E1148" t="s">
        <v>197</v>
      </c>
      <c r="F1148" t="s">
        <v>197</v>
      </c>
      <c r="G1148" t="s">
        <v>197</v>
      </c>
      <c r="H1148" t="s">
        <v>197</v>
      </c>
      <c r="I1148" t="s">
        <v>197</v>
      </c>
      <c r="J1148" t="s">
        <v>197</v>
      </c>
      <c r="K1148" t="s">
        <v>805</v>
      </c>
    </row>
    <row r="1149" spans="1:24">
      <c r="B1149" t="s">
        <v>197</v>
      </c>
      <c r="C1149" t="s">
        <v>197</v>
      </c>
      <c r="D1149" t="s">
        <v>197</v>
      </c>
      <c r="E1149" t="s">
        <v>197</v>
      </c>
      <c r="F1149" t="s">
        <v>197</v>
      </c>
      <c r="G1149" t="s">
        <v>197</v>
      </c>
      <c r="H1149" t="s">
        <v>197</v>
      </c>
      <c r="I1149" t="s">
        <v>197</v>
      </c>
      <c r="J1149" t="s">
        <v>197</v>
      </c>
      <c r="K1149" t="s">
        <v>806</v>
      </c>
    </row>
    <row r="1150" spans="1:24">
      <c r="B1150" t="s">
        <v>197</v>
      </c>
      <c r="C1150" t="s">
        <v>197</v>
      </c>
      <c r="D1150" t="s">
        <v>197</v>
      </c>
      <c r="E1150" t="s">
        <v>197</v>
      </c>
      <c r="F1150" t="s">
        <v>197</v>
      </c>
      <c r="G1150" t="s">
        <v>197</v>
      </c>
      <c r="H1150" t="s">
        <v>197</v>
      </c>
      <c r="I1150" t="s">
        <v>197</v>
      </c>
      <c r="J1150" t="s">
        <v>197</v>
      </c>
      <c r="K1150" t="s">
        <v>807</v>
      </c>
    </row>
    <row r="1151" spans="1:24">
      <c r="A1151" t="s">
        <v>1099</v>
      </c>
      <c r="K1151" t="s">
        <v>1100</v>
      </c>
      <c r="W1151" s="1" t="str">
        <f>HYPERLINK("#2026042015hbase0!CP2","NO 源备存在差异，共2个")</f>
        <v>NO 源备存在差异，共2个</v>
      </c>
      <c r="X1151" t="str">
        <f>A1151</f>
        <v>info_sql_variant_dml_single_pk</v>
      </c>
    </row>
    <row r="1152" spans="1:24">
      <c r="B1152" t="s">
        <v>196</v>
      </c>
      <c r="C1152" t="s">
        <v>197</v>
      </c>
      <c r="D1152" t="s">
        <v>197</v>
      </c>
      <c r="E1152" t="s">
        <v>197</v>
      </c>
      <c r="F1152" t="s">
        <v>197</v>
      </c>
      <c r="G1152" t="s">
        <v>197</v>
      </c>
      <c r="H1152" t="s">
        <v>197</v>
      </c>
      <c r="I1152" t="s">
        <v>1101</v>
      </c>
      <c r="J1152" t="s">
        <v>199</v>
      </c>
      <c r="K1152" t="s">
        <v>200</v>
      </c>
    </row>
    <row r="1153" spans="2:11">
      <c r="B1153" t="s">
        <v>197</v>
      </c>
      <c r="C1153" t="s">
        <v>197</v>
      </c>
      <c r="D1153" t="s">
        <v>197</v>
      </c>
      <c r="E1153" t="s">
        <v>197</v>
      </c>
      <c r="F1153" t="s">
        <v>197</v>
      </c>
      <c r="G1153" t="s">
        <v>197</v>
      </c>
      <c r="H1153" t="s">
        <v>197</v>
      </c>
      <c r="I1153" t="s">
        <v>197</v>
      </c>
      <c r="J1153" t="s">
        <v>197</v>
      </c>
      <c r="K1153" t="s">
        <v>1006</v>
      </c>
    </row>
    <row r="1154" spans="2:11">
      <c r="B1154" t="s">
        <v>197</v>
      </c>
      <c r="C1154" t="s">
        <v>197</v>
      </c>
      <c r="D1154" t="s">
        <v>197</v>
      </c>
      <c r="E1154" t="s">
        <v>197</v>
      </c>
      <c r="F1154" t="s">
        <v>197</v>
      </c>
      <c r="G1154" t="s">
        <v>197</v>
      </c>
      <c r="H1154" t="s">
        <v>197</v>
      </c>
      <c r="I1154" t="s">
        <v>197</v>
      </c>
      <c r="J1154" t="s">
        <v>197</v>
      </c>
      <c r="K1154" t="s">
        <v>1007</v>
      </c>
    </row>
    <row r="1155" spans="2:11">
      <c r="B1155" t="s">
        <v>197</v>
      </c>
      <c r="C1155" t="s">
        <v>197</v>
      </c>
      <c r="D1155" t="s">
        <v>197</v>
      </c>
      <c r="E1155" t="s">
        <v>197</v>
      </c>
      <c r="F1155" t="s">
        <v>197</v>
      </c>
      <c r="G1155" t="s">
        <v>197</v>
      </c>
      <c r="H1155" t="s">
        <v>197</v>
      </c>
      <c r="I1155" t="s">
        <v>197</v>
      </c>
      <c r="J1155" t="s">
        <v>197</v>
      </c>
      <c r="K1155" t="s">
        <v>1008</v>
      </c>
    </row>
    <row r="1156" spans="2:11">
      <c r="B1156" t="s">
        <v>197</v>
      </c>
      <c r="C1156" t="s">
        <v>197</v>
      </c>
      <c r="D1156" t="s">
        <v>197</v>
      </c>
      <c r="E1156" t="s">
        <v>197</v>
      </c>
      <c r="F1156" t="s">
        <v>197</v>
      </c>
      <c r="G1156" t="s">
        <v>197</v>
      </c>
      <c r="H1156" t="s">
        <v>197</v>
      </c>
      <c r="I1156" t="s">
        <v>197</v>
      </c>
      <c r="J1156" t="s">
        <v>197</v>
      </c>
      <c r="K1156" t="s">
        <v>1009</v>
      </c>
    </row>
    <row r="1157" spans="2:11">
      <c r="B1157" t="s">
        <v>197</v>
      </c>
      <c r="C1157" t="s">
        <v>197</v>
      </c>
      <c r="D1157" t="s">
        <v>197</v>
      </c>
      <c r="E1157" t="s">
        <v>197</v>
      </c>
      <c r="F1157" t="s">
        <v>197</v>
      </c>
      <c r="G1157" t="s">
        <v>197</v>
      </c>
      <c r="H1157" t="s">
        <v>197</v>
      </c>
      <c r="I1157" t="s">
        <v>197</v>
      </c>
      <c r="J1157" t="s">
        <v>197</v>
      </c>
      <c r="K1157" t="s">
        <v>1010</v>
      </c>
    </row>
    <row r="1158" spans="2:11">
      <c r="B1158" t="s">
        <v>197</v>
      </c>
      <c r="C1158" t="s">
        <v>197</v>
      </c>
      <c r="D1158" t="s">
        <v>197</v>
      </c>
      <c r="E1158" t="s">
        <v>197</v>
      </c>
      <c r="F1158" t="s">
        <v>197</v>
      </c>
      <c r="G1158" t="s">
        <v>197</v>
      </c>
      <c r="H1158" t="s">
        <v>197</v>
      </c>
      <c r="I1158" t="s">
        <v>197</v>
      </c>
      <c r="J1158" t="s">
        <v>197</v>
      </c>
      <c r="K1158" t="s">
        <v>1011</v>
      </c>
    </row>
    <row r="1159" spans="2:11">
      <c r="B1159" t="s">
        <v>197</v>
      </c>
      <c r="C1159" t="s">
        <v>197</v>
      </c>
      <c r="D1159" t="s">
        <v>197</v>
      </c>
      <c r="E1159" t="s">
        <v>197</v>
      </c>
      <c r="F1159" t="s">
        <v>197</v>
      </c>
      <c r="G1159" t="s">
        <v>197</v>
      </c>
      <c r="H1159" t="s">
        <v>197</v>
      </c>
      <c r="I1159" t="s">
        <v>197</v>
      </c>
      <c r="J1159" t="s">
        <v>197</v>
      </c>
      <c r="K1159" t="s">
        <v>1012</v>
      </c>
    </row>
    <row r="1160" spans="2:11">
      <c r="B1160" t="s">
        <v>197</v>
      </c>
      <c r="C1160" t="s">
        <v>197</v>
      </c>
      <c r="D1160" t="s">
        <v>197</v>
      </c>
      <c r="E1160" t="s">
        <v>197</v>
      </c>
      <c r="F1160" t="s">
        <v>197</v>
      </c>
      <c r="G1160" t="s">
        <v>197</v>
      </c>
      <c r="H1160" t="s">
        <v>197</v>
      </c>
      <c r="I1160" t="s">
        <v>197</v>
      </c>
      <c r="J1160" t="s">
        <v>197</v>
      </c>
      <c r="K1160" t="s">
        <v>1013</v>
      </c>
    </row>
    <row r="1161" spans="2:11">
      <c r="B1161" t="s">
        <v>197</v>
      </c>
      <c r="C1161" t="s">
        <v>197</v>
      </c>
      <c r="D1161" t="s">
        <v>197</v>
      </c>
      <c r="E1161" t="s">
        <v>197</v>
      </c>
      <c r="F1161" t="s">
        <v>197</v>
      </c>
      <c r="G1161" t="s">
        <v>197</v>
      </c>
      <c r="H1161" t="s">
        <v>197</v>
      </c>
      <c r="I1161" t="s">
        <v>197</v>
      </c>
      <c r="J1161" t="s">
        <v>197</v>
      </c>
      <c r="K1161" t="s">
        <v>1014</v>
      </c>
    </row>
    <row r="1162" spans="2:11">
      <c r="B1162" t="s">
        <v>197</v>
      </c>
      <c r="C1162" t="s">
        <v>197</v>
      </c>
      <c r="D1162" t="s">
        <v>197</v>
      </c>
      <c r="E1162" t="s">
        <v>197</v>
      </c>
      <c r="F1162" t="s">
        <v>197</v>
      </c>
      <c r="G1162" t="s">
        <v>197</v>
      </c>
      <c r="H1162" t="s">
        <v>197</v>
      </c>
      <c r="I1162" t="s">
        <v>197</v>
      </c>
      <c r="J1162" t="s">
        <v>197</v>
      </c>
      <c r="K1162" t="s">
        <v>1015</v>
      </c>
    </row>
    <row r="1163" spans="2:11">
      <c r="B1163" t="s">
        <v>197</v>
      </c>
      <c r="C1163" t="s">
        <v>197</v>
      </c>
      <c r="D1163" t="s">
        <v>197</v>
      </c>
      <c r="E1163" t="s">
        <v>197</v>
      </c>
      <c r="F1163" t="s">
        <v>197</v>
      </c>
      <c r="G1163" t="s">
        <v>197</v>
      </c>
      <c r="H1163" t="s">
        <v>197</v>
      </c>
      <c r="I1163" t="s">
        <v>197</v>
      </c>
      <c r="J1163" t="s">
        <v>197</v>
      </c>
      <c r="K1163" t="s">
        <v>1016</v>
      </c>
    </row>
    <row r="1164" spans="2:11">
      <c r="B1164" t="s">
        <v>197</v>
      </c>
      <c r="C1164" t="s">
        <v>197</v>
      </c>
      <c r="D1164" t="s">
        <v>197</v>
      </c>
      <c r="E1164" t="s">
        <v>197</v>
      </c>
      <c r="F1164" t="s">
        <v>197</v>
      </c>
      <c r="G1164" t="s">
        <v>197</v>
      </c>
      <c r="H1164" t="s">
        <v>197</v>
      </c>
      <c r="I1164" t="s">
        <v>197</v>
      </c>
      <c r="J1164" t="s">
        <v>197</v>
      </c>
      <c r="K1164" t="s">
        <v>1017</v>
      </c>
    </row>
    <row r="1165" spans="2:11">
      <c r="B1165" t="s">
        <v>197</v>
      </c>
      <c r="C1165" t="s">
        <v>197</v>
      </c>
      <c r="D1165" t="s">
        <v>197</v>
      </c>
      <c r="E1165" t="s">
        <v>197</v>
      </c>
      <c r="F1165" t="s">
        <v>197</v>
      </c>
      <c r="G1165" t="s">
        <v>197</v>
      </c>
      <c r="H1165" t="s">
        <v>197</v>
      </c>
      <c r="I1165" t="s">
        <v>197</v>
      </c>
      <c r="J1165" t="s">
        <v>197</v>
      </c>
      <c r="K1165" t="s">
        <v>1018</v>
      </c>
    </row>
    <row r="1166" spans="2:11">
      <c r="B1166" t="s">
        <v>197</v>
      </c>
      <c r="C1166" t="s">
        <v>197</v>
      </c>
      <c r="D1166" t="s">
        <v>197</v>
      </c>
      <c r="E1166" t="s">
        <v>197</v>
      </c>
      <c r="F1166" t="s">
        <v>197</v>
      </c>
      <c r="G1166" t="s">
        <v>197</v>
      </c>
      <c r="H1166" t="s">
        <v>197</v>
      </c>
      <c r="I1166" t="s">
        <v>197</v>
      </c>
      <c r="J1166" t="s">
        <v>197</v>
      </c>
      <c r="K1166" t="s">
        <v>1019</v>
      </c>
    </row>
    <row r="1167" spans="2:11">
      <c r="B1167" t="s">
        <v>197</v>
      </c>
      <c r="C1167" t="s">
        <v>197</v>
      </c>
      <c r="D1167" t="s">
        <v>197</v>
      </c>
      <c r="E1167" t="s">
        <v>197</v>
      </c>
      <c r="F1167" t="s">
        <v>197</v>
      </c>
      <c r="G1167" t="s">
        <v>197</v>
      </c>
      <c r="H1167" t="s">
        <v>197</v>
      </c>
      <c r="I1167" t="s">
        <v>197</v>
      </c>
      <c r="J1167" t="s">
        <v>197</v>
      </c>
      <c r="K1167" t="s">
        <v>1020</v>
      </c>
    </row>
    <row r="1168" spans="2:11">
      <c r="B1168" t="s">
        <v>197</v>
      </c>
      <c r="C1168" t="s">
        <v>197</v>
      </c>
      <c r="D1168" t="s">
        <v>197</v>
      </c>
      <c r="E1168" t="s">
        <v>197</v>
      </c>
      <c r="F1168" t="s">
        <v>197</v>
      </c>
      <c r="G1168" t="s">
        <v>197</v>
      </c>
      <c r="H1168" t="s">
        <v>197</v>
      </c>
      <c r="I1168" t="s">
        <v>197</v>
      </c>
      <c r="J1168" t="s">
        <v>197</v>
      </c>
      <c r="K1168" t="s">
        <v>1021</v>
      </c>
    </row>
    <row r="1169" spans="1:24">
      <c r="B1169" t="s">
        <v>197</v>
      </c>
      <c r="C1169" t="s">
        <v>197</v>
      </c>
      <c r="D1169" t="s">
        <v>197</v>
      </c>
      <c r="E1169" t="s">
        <v>197</v>
      </c>
      <c r="F1169" t="s">
        <v>197</v>
      </c>
      <c r="G1169" t="s">
        <v>197</v>
      </c>
      <c r="H1169" t="s">
        <v>197</v>
      </c>
      <c r="I1169" t="s">
        <v>197</v>
      </c>
      <c r="J1169" t="s">
        <v>197</v>
      </c>
      <c r="K1169" t="s">
        <v>1022</v>
      </c>
    </row>
    <row r="1170" spans="1:24">
      <c r="B1170" t="s">
        <v>197</v>
      </c>
      <c r="C1170" t="s">
        <v>197</v>
      </c>
      <c r="D1170" t="s">
        <v>197</v>
      </c>
      <c r="E1170" t="s">
        <v>197</v>
      </c>
      <c r="F1170" t="s">
        <v>197</v>
      </c>
      <c r="G1170" t="s">
        <v>197</v>
      </c>
      <c r="H1170" t="s">
        <v>197</v>
      </c>
      <c r="I1170" t="s">
        <v>197</v>
      </c>
      <c r="J1170" t="s">
        <v>197</v>
      </c>
      <c r="K1170" t="s">
        <v>1023</v>
      </c>
    </row>
    <row r="1171" spans="1:24">
      <c r="B1171" t="s">
        <v>197</v>
      </c>
      <c r="C1171" t="s">
        <v>197</v>
      </c>
      <c r="D1171" t="s">
        <v>197</v>
      </c>
      <c r="E1171" t="s">
        <v>197</v>
      </c>
      <c r="F1171" t="s">
        <v>197</v>
      </c>
      <c r="G1171" t="s">
        <v>197</v>
      </c>
      <c r="H1171" t="s">
        <v>197</v>
      </c>
      <c r="I1171" t="s">
        <v>197</v>
      </c>
      <c r="J1171" t="s">
        <v>197</v>
      </c>
      <c r="K1171" t="s">
        <v>1024</v>
      </c>
    </row>
    <row r="1172" spans="1:24">
      <c r="B1172" t="s">
        <v>197</v>
      </c>
      <c r="C1172" t="s">
        <v>197</v>
      </c>
      <c r="D1172" t="s">
        <v>197</v>
      </c>
      <c r="E1172" t="s">
        <v>197</v>
      </c>
      <c r="F1172" t="s">
        <v>197</v>
      </c>
      <c r="G1172" t="s">
        <v>197</v>
      </c>
      <c r="H1172" t="s">
        <v>197</v>
      </c>
      <c r="I1172" t="s">
        <v>197</v>
      </c>
      <c r="J1172" t="s">
        <v>197</v>
      </c>
      <c r="K1172" t="s">
        <v>1025</v>
      </c>
    </row>
    <row r="1173" spans="1:24">
      <c r="B1173" t="s">
        <v>197</v>
      </c>
      <c r="C1173" t="s">
        <v>197</v>
      </c>
      <c r="D1173" t="s">
        <v>197</v>
      </c>
      <c r="E1173" t="s">
        <v>197</v>
      </c>
      <c r="F1173" t="s">
        <v>197</v>
      </c>
      <c r="G1173" t="s">
        <v>197</v>
      </c>
      <c r="H1173" t="s">
        <v>197</v>
      </c>
      <c r="I1173" t="s">
        <v>197</v>
      </c>
      <c r="J1173" t="s">
        <v>197</v>
      </c>
      <c r="K1173" t="s">
        <v>1026</v>
      </c>
    </row>
    <row r="1174" spans="1:24">
      <c r="B1174" t="s">
        <v>197</v>
      </c>
      <c r="C1174" t="s">
        <v>197</v>
      </c>
      <c r="D1174" t="s">
        <v>197</v>
      </c>
      <c r="E1174" t="s">
        <v>197</v>
      </c>
      <c r="F1174" t="s">
        <v>197</v>
      </c>
      <c r="G1174" t="s">
        <v>197</v>
      </c>
      <c r="H1174" t="s">
        <v>197</v>
      </c>
      <c r="I1174" t="s">
        <v>197</v>
      </c>
      <c r="J1174" t="s">
        <v>197</v>
      </c>
      <c r="K1174" t="s">
        <v>1027</v>
      </c>
    </row>
    <row r="1175" spans="1:24">
      <c r="B1175" t="s">
        <v>197</v>
      </c>
      <c r="C1175" t="s">
        <v>197</v>
      </c>
      <c r="D1175" t="s">
        <v>197</v>
      </c>
      <c r="E1175" t="s">
        <v>197</v>
      </c>
      <c r="F1175" t="s">
        <v>197</v>
      </c>
      <c r="G1175" t="s">
        <v>197</v>
      </c>
      <c r="H1175" t="s">
        <v>197</v>
      </c>
      <c r="I1175" t="s">
        <v>197</v>
      </c>
      <c r="J1175" t="s">
        <v>197</v>
      </c>
      <c r="K1175" t="s">
        <v>1028</v>
      </c>
    </row>
    <row r="1176" spans="1:24">
      <c r="B1176" t="s">
        <v>197</v>
      </c>
      <c r="C1176" t="s">
        <v>197</v>
      </c>
      <c r="D1176" t="s">
        <v>197</v>
      </c>
      <c r="E1176" t="s">
        <v>197</v>
      </c>
      <c r="F1176" t="s">
        <v>197</v>
      </c>
      <c r="G1176" t="s">
        <v>197</v>
      </c>
      <c r="H1176" t="s">
        <v>197</v>
      </c>
      <c r="I1176" t="s">
        <v>197</v>
      </c>
      <c r="J1176" t="s">
        <v>197</v>
      </c>
      <c r="K1176" t="s">
        <v>1029</v>
      </c>
    </row>
    <row r="1177" spans="1:24">
      <c r="A1177" t="s">
        <v>1105</v>
      </c>
      <c r="K1177" t="s">
        <v>1106</v>
      </c>
      <c r="W1177" s="1" t="str">
        <f>HYPERLINK("#2026042015hbase0!CQ2","NO 源备存在差异，共32个")</f>
        <v>NO 源备存在差异，共32个</v>
      </c>
      <c r="X1177" t="str">
        <f>A1177</f>
        <v>info_time_dml_batch1_pk_urp2</v>
      </c>
    </row>
    <row r="1178" spans="1:24">
      <c r="B1178" t="s">
        <v>196</v>
      </c>
      <c r="C1178" t="s">
        <v>197</v>
      </c>
      <c r="D1178" t="s">
        <v>197</v>
      </c>
      <c r="E1178" t="s">
        <v>197</v>
      </c>
      <c r="F1178" t="s">
        <v>197</v>
      </c>
      <c r="G1178" t="s">
        <v>197</v>
      </c>
      <c r="H1178" t="s">
        <v>197</v>
      </c>
      <c r="I1178" t="s">
        <v>1107</v>
      </c>
      <c r="J1178" t="s">
        <v>199</v>
      </c>
      <c r="K1178" t="s">
        <v>200</v>
      </c>
    </row>
    <row r="1179" spans="1:24">
      <c r="B1179" t="s">
        <v>197</v>
      </c>
      <c r="C1179" t="s">
        <v>197</v>
      </c>
      <c r="D1179" t="s">
        <v>197</v>
      </c>
      <c r="E1179" t="s">
        <v>197</v>
      </c>
      <c r="F1179" t="s">
        <v>197</v>
      </c>
      <c r="G1179" t="s">
        <v>197</v>
      </c>
      <c r="H1179" t="s">
        <v>197</v>
      </c>
      <c r="I1179" t="s">
        <v>197</v>
      </c>
      <c r="J1179" t="s">
        <v>197</v>
      </c>
      <c r="K1179" t="s">
        <v>800</v>
      </c>
    </row>
    <row r="1180" spans="1:24">
      <c r="B1180" t="s">
        <v>197</v>
      </c>
      <c r="C1180" t="s">
        <v>197</v>
      </c>
      <c r="D1180" t="s">
        <v>197</v>
      </c>
      <c r="E1180" t="s">
        <v>197</v>
      </c>
      <c r="F1180" t="s">
        <v>197</v>
      </c>
      <c r="G1180" t="s">
        <v>197</v>
      </c>
      <c r="H1180" t="s">
        <v>197</v>
      </c>
      <c r="I1180" t="s">
        <v>197</v>
      </c>
      <c r="J1180" t="s">
        <v>197</v>
      </c>
      <c r="K1180" t="s">
        <v>801</v>
      </c>
    </row>
    <row r="1181" spans="1:24">
      <c r="B1181" t="s">
        <v>197</v>
      </c>
      <c r="C1181" t="s">
        <v>197</v>
      </c>
      <c r="D1181" t="s">
        <v>197</v>
      </c>
      <c r="E1181" t="s">
        <v>197</v>
      </c>
      <c r="F1181" t="s">
        <v>197</v>
      </c>
      <c r="G1181" t="s">
        <v>197</v>
      </c>
      <c r="H1181" t="s">
        <v>197</v>
      </c>
      <c r="I1181" t="s">
        <v>197</v>
      </c>
      <c r="J1181" t="s">
        <v>197</v>
      </c>
      <c r="K1181" t="s">
        <v>802</v>
      </c>
    </row>
    <row r="1182" spans="1:24">
      <c r="B1182" t="s">
        <v>197</v>
      </c>
      <c r="C1182" t="s">
        <v>197</v>
      </c>
      <c r="D1182" t="s">
        <v>197</v>
      </c>
      <c r="E1182" t="s">
        <v>197</v>
      </c>
      <c r="F1182" t="s">
        <v>197</v>
      </c>
      <c r="G1182" t="s">
        <v>197</v>
      </c>
      <c r="H1182" t="s">
        <v>197</v>
      </c>
      <c r="I1182" t="s">
        <v>197</v>
      </c>
      <c r="J1182" t="s">
        <v>197</v>
      </c>
      <c r="K1182" t="s">
        <v>803</v>
      </c>
    </row>
    <row r="1183" spans="1:24">
      <c r="B1183" t="s">
        <v>197</v>
      </c>
      <c r="C1183" t="s">
        <v>197</v>
      </c>
      <c r="D1183" t="s">
        <v>197</v>
      </c>
      <c r="E1183" t="s">
        <v>197</v>
      </c>
      <c r="F1183" t="s">
        <v>197</v>
      </c>
      <c r="G1183" t="s">
        <v>197</v>
      </c>
      <c r="H1183" t="s">
        <v>197</v>
      </c>
      <c r="I1183" t="s">
        <v>197</v>
      </c>
      <c r="J1183" t="s">
        <v>197</v>
      </c>
      <c r="K1183" t="s">
        <v>804</v>
      </c>
    </row>
    <row r="1184" spans="1:24">
      <c r="B1184" t="s">
        <v>197</v>
      </c>
      <c r="C1184" t="s">
        <v>197</v>
      </c>
      <c r="D1184" t="s">
        <v>197</v>
      </c>
      <c r="E1184" t="s">
        <v>197</v>
      </c>
      <c r="F1184" t="s">
        <v>197</v>
      </c>
      <c r="G1184" t="s">
        <v>197</v>
      </c>
      <c r="H1184" t="s">
        <v>197</v>
      </c>
      <c r="I1184" t="s">
        <v>197</v>
      </c>
      <c r="J1184" t="s">
        <v>197</v>
      </c>
      <c r="K1184" t="s">
        <v>805</v>
      </c>
    </row>
    <row r="1185" spans="1:24">
      <c r="B1185" t="s">
        <v>197</v>
      </c>
      <c r="C1185" t="s">
        <v>197</v>
      </c>
      <c r="D1185" t="s">
        <v>197</v>
      </c>
      <c r="E1185" t="s">
        <v>197</v>
      </c>
      <c r="F1185" t="s">
        <v>197</v>
      </c>
      <c r="G1185" t="s">
        <v>197</v>
      </c>
      <c r="H1185" t="s">
        <v>197</v>
      </c>
      <c r="I1185" t="s">
        <v>197</v>
      </c>
      <c r="J1185" t="s">
        <v>197</v>
      </c>
      <c r="K1185" t="s">
        <v>806</v>
      </c>
    </row>
    <row r="1186" spans="1:24">
      <c r="B1186" t="s">
        <v>197</v>
      </c>
      <c r="C1186" t="s">
        <v>197</v>
      </c>
      <c r="D1186" t="s">
        <v>197</v>
      </c>
      <c r="E1186" t="s">
        <v>197</v>
      </c>
      <c r="F1186" t="s">
        <v>197</v>
      </c>
      <c r="G1186" t="s">
        <v>197</v>
      </c>
      <c r="H1186" t="s">
        <v>197</v>
      </c>
      <c r="I1186" t="s">
        <v>197</v>
      </c>
      <c r="J1186" t="s">
        <v>197</v>
      </c>
      <c r="K1186" t="s">
        <v>807</v>
      </c>
    </row>
    <row r="1187" spans="1:24">
      <c r="A1187" t="s">
        <v>1102</v>
      </c>
      <c r="K1187" t="s">
        <v>1103</v>
      </c>
      <c r="W1187" t="s">
        <v>171</v>
      </c>
      <c r="X1187" t="str">
        <f>A1187</f>
        <v>info_uniqueidentifier_dml_single_pk_drp</v>
      </c>
    </row>
    <row r="1188" spans="1:24">
      <c r="B1188" t="s">
        <v>196</v>
      </c>
      <c r="C1188" t="s">
        <v>197</v>
      </c>
      <c r="D1188" t="s">
        <v>197</v>
      </c>
      <c r="E1188" t="s">
        <v>197</v>
      </c>
      <c r="F1188" t="s">
        <v>197</v>
      </c>
      <c r="G1188" t="s">
        <v>197</v>
      </c>
      <c r="H1188" t="s">
        <v>197</v>
      </c>
      <c r="I1188" t="s">
        <v>1104</v>
      </c>
      <c r="J1188" t="s">
        <v>199</v>
      </c>
      <c r="K1188" t="s">
        <v>200</v>
      </c>
    </row>
    <row r="1189" spans="1:24">
      <c r="B1189" t="s">
        <v>197</v>
      </c>
      <c r="C1189" t="s">
        <v>197</v>
      </c>
      <c r="D1189" t="s">
        <v>197</v>
      </c>
      <c r="E1189" t="s">
        <v>197</v>
      </c>
      <c r="F1189" t="s">
        <v>197</v>
      </c>
      <c r="G1189" t="s">
        <v>197</v>
      </c>
      <c r="H1189" t="s">
        <v>197</v>
      </c>
      <c r="I1189" t="s">
        <v>197</v>
      </c>
      <c r="J1189" t="s">
        <v>197</v>
      </c>
      <c r="K1189" t="s">
        <v>1039</v>
      </c>
    </row>
    <row r="1190" spans="1:24">
      <c r="A1190" t="s">
        <v>1108</v>
      </c>
      <c r="K1190" t="s">
        <v>1109</v>
      </c>
      <c r="W1190" s="1" t="str">
        <f>HYPERLINK("#2026042015hbase0!CR2","NO 源备存在差异，共4个")</f>
        <v>NO 源备存在差异，共4个</v>
      </c>
      <c r="X1190" t="str">
        <f>A1190</f>
        <v>info_datetime2_dml_single_pk_drp</v>
      </c>
    </row>
    <row r="1191" spans="1:24">
      <c r="B1191" t="s">
        <v>196</v>
      </c>
      <c r="C1191" t="s">
        <v>197</v>
      </c>
      <c r="D1191" t="s">
        <v>197</v>
      </c>
      <c r="E1191" t="s">
        <v>197</v>
      </c>
      <c r="F1191" t="s">
        <v>197</v>
      </c>
      <c r="G1191" t="s">
        <v>197</v>
      </c>
      <c r="H1191" t="s">
        <v>197</v>
      </c>
      <c r="I1191" t="s">
        <v>1110</v>
      </c>
      <c r="J1191" t="s">
        <v>199</v>
      </c>
      <c r="K1191" t="s">
        <v>200</v>
      </c>
    </row>
    <row r="1192" spans="1:24">
      <c r="B1192" t="s">
        <v>197</v>
      </c>
      <c r="C1192" t="s">
        <v>197</v>
      </c>
      <c r="D1192" t="s">
        <v>197</v>
      </c>
      <c r="E1192" t="s">
        <v>197</v>
      </c>
      <c r="F1192" t="s">
        <v>197</v>
      </c>
      <c r="G1192" t="s">
        <v>197</v>
      </c>
      <c r="H1192" t="s">
        <v>197</v>
      </c>
      <c r="I1192" t="s">
        <v>197</v>
      </c>
      <c r="J1192" t="s">
        <v>197</v>
      </c>
      <c r="K1192" t="s">
        <v>667</v>
      </c>
    </row>
    <row r="1193" spans="1:24">
      <c r="B1193" t="s">
        <v>197</v>
      </c>
      <c r="C1193" t="s">
        <v>197</v>
      </c>
      <c r="D1193" t="s">
        <v>197</v>
      </c>
      <c r="E1193" t="s">
        <v>197</v>
      </c>
      <c r="F1193" t="s">
        <v>197</v>
      </c>
      <c r="G1193" t="s">
        <v>197</v>
      </c>
      <c r="H1193" t="s">
        <v>197</v>
      </c>
      <c r="I1193" t="s">
        <v>197</v>
      </c>
      <c r="J1193" t="s">
        <v>197</v>
      </c>
      <c r="K1193" t="s">
        <v>668</v>
      </c>
    </row>
    <row r="1194" spans="1:24">
      <c r="B1194" t="s">
        <v>197</v>
      </c>
      <c r="C1194" t="s">
        <v>197</v>
      </c>
      <c r="D1194" t="s">
        <v>197</v>
      </c>
      <c r="E1194" t="s">
        <v>197</v>
      </c>
      <c r="F1194" t="s">
        <v>197</v>
      </c>
      <c r="G1194" t="s">
        <v>197</v>
      </c>
      <c r="H1194" t="s">
        <v>197</v>
      </c>
      <c r="I1194" t="s">
        <v>197</v>
      </c>
      <c r="J1194" t="s">
        <v>197</v>
      </c>
      <c r="K1194" t="s">
        <v>669</v>
      </c>
    </row>
    <row r="1195" spans="1:24">
      <c r="B1195" t="s">
        <v>197</v>
      </c>
      <c r="C1195" t="s">
        <v>197</v>
      </c>
      <c r="D1195" t="s">
        <v>197</v>
      </c>
      <c r="E1195" t="s">
        <v>197</v>
      </c>
      <c r="F1195" t="s">
        <v>197</v>
      </c>
      <c r="G1195" t="s">
        <v>197</v>
      </c>
      <c r="H1195" t="s">
        <v>197</v>
      </c>
      <c r="I1195" t="s">
        <v>197</v>
      </c>
      <c r="J1195" t="s">
        <v>197</v>
      </c>
      <c r="K1195" t="s">
        <v>670</v>
      </c>
    </row>
    <row r="1196" spans="1:24">
      <c r="B1196" t="s">
        <v>197</v>
      </c>
      <c r="C1196" t="s">
        <v>197</v>
      </c>
      <c r="D1196" t="s">
        <v>197</v>
      </c>
      <c r="E1196" t="s">
        <v>197</v>
      </c>
      <c r="F1196" t="s">
        <v>197</v>
      </c>
      <c r="G1196" t="s">
        <v>197</v>
      </c>
      <c r="H1196" t="s">
        <v>197</v>
      </c>
      <c r="I1196" t="s">
        <v>197</v>
      </c>
      <c r="J1196" t="s">
        <v>197</v>
      </c>
      <c r="K1196" t="s">
        <v>671</v>
      </c>
    </row>
    <row r="1197" spans="1:24">
      <c r="B1197" t="s">
        <v>197</v>
      </c>
      <c r="C1197" t="s">
        <v>197</v>
      </c>
      <c r="D1197" t="s">
        <v>197</v>
      </c>
      <c r="E1197" t="s">
        <v>197</v>
      </c>
      <c r="F1197" t="s">
        <v>197</v>
      </c>
      <c r="G1197" t="s">
        <v>197</v>
      </c>
      <c r="H1197" t="s">
        <v>197</v>
      </c>
      <c r="I1197" t="s">
        <v>197</v>
      </c>
      <c r="J1197" t="s">
        <v>197</v>
      </c>
      <c r="K1197" t="s">
        <v>672</v>
      </c>
    </row>
    <row r="1198" spans="1:24">
      <c r="B1198" t="s">
        <v>197</v>
      </c>
      <c r="C1198" t="s">
        <v>197</v>
      </c>
      <c r="D1198" t="s">
        <v>197</v>
      </c>
      <c r="E1198" t="s">
        <v>197</v>
      </c>
      <c r="F1198" t="s">
        <v>197</v>
      </c>
      <c r="G1198" t="s">
        <v>197</v>
      </c>
      <c r="H1198" t="s">
        <v>197</v>
      </c>
      <c r="I1198" t="s">
        <v>197</v>
      </c>
      <c r="J1198" t="s">
        <v>197</v>
      </c>
      <c r="K1198" t="s">
        <v>673</v>
      </c>
    </row>
    <row r="1199" spans="1:24">
      <c r="B1199" t="s">
        <v>197</v>
      </c>
      <c r="C1199" t="s">
        <v>197</v>
      </c>
      <c r="D1199" t="s">
        <v>197</v>
      </c>
      <c r="E1199" t="s">
        <v>197</v>
      </c>
      <c r="F1199" t="s">
        <v>197</v>
      </c>
      <c r="G1199" t="s">
        <v>197</v>
      </c>
      <c r="H1199" t="s">
        <v>197</v>
      </c>
      <c r="I1199" t="s">
        <v>197</v>
      </c>
      <c r="J1199" t="s">
        <v>197</v>
      </c>
      <c r="K1199" t="s">
        <v>674</v>
      </c>
    </row>
    <row r="1200" spans="1:24">
      <c r="A1200" t="s">
        <v>1111</v>
      </c>
      <c r="K1200" t="s">
        <v>1112</v>
      </c>
      <c r="W1200" t="s">
        <v>171</v>
      </c>
      <c r="X1200" t="str">
        <f>A1200</f>
        <v>info_varchar_dml_single_pk_urp</v>
      </c>
    </row>
    <row r="1201" spans="1:24">
      <c r="B1201" t="s">
        <v>196</v>
      </c>
      <c r="C1201" t="s">
        <v>197</v>
      </c>
      <c r="D1201" t="s">
        <v>197</v>
      </c>
      <c r="E1201" t="s">
        <v>197</v>
      </c>
      <c r="F1201" t="s">
        <v>197</v>
      </c>
      <c r="G1201" t="s">
        <v>197</v>
      </c>
      <c r="H1201" t="s">
        <v>197</v>
      </c>
      <c r="I1201" t="s">
        <v>1113</v>
      </c>
      <c r="J1201" t="s">
        <v>199</v>
      </c>
      <c r="K1201" t="s">
        <v>200</v>
      </c>
    </row>
    <row r="1202" spans="1:24">
      <c r="B1202" t="s">
        <v>197</v>
      </c>
      <c r="C1202" t="s">
        <v>197</v>
      </c>
      <c r="D1202" t="s">
        <v>197</v>
      </c>
      <c r="E1202" t="s">
        <v>197</v>
      </c>
      <c r="F1202" t="s">
        <v>197</v>
      </c>
      <c r="G1202" t="s">
        <v>197</v>
      </c>
      <c r="H1202" t="s">
        <v>197</v>
      </c>
      <c r="I1202" t="s">
        <v>197</v>
      </c>
      <c r="J1202" t="s">
        <v>197</v>
      </c>
      <c r="K1202" t="s">
        <v>431</v>
      </c>
    </row>
    <row r="1203" spans="1:24">
      <c r="B1203" t="s">
        <v>197</v>
      </c>
      <c r="C1203" t="s">
        <v>197</v>
      </c>
      <c r="D1203" t="s">
        <v>197</v>
      </c>
      <c r="E1203" t="s">
        <v>197</v>
      </c>
      <c r="F1203" t="s">
        <v>197</v>
      </c>
      <c r="G1203" t="s">
        <v>197</v>
      </c>
      <c r="H1203" t="s">
        <v>197</v>
      </c>
      <c r="I1203" t="s">
        <v>197</v>
      </c>
      <c r="J1203" t="s">
        <v>197</v>
      </c>
      <c r="K1203" t="s">
        <v>1056</v>
      </c>
    </row>
    <row r="1204" spans="1:24">
      <c r="B1204" t="s">
        <v>197</v>
      </c>
      <c r="C1204" t="s">
        <v>197</v>
      </c>
      <c r="D1204" t="s">
        <v>197</v>
      </c>
      <c r="E1204" t="s">
        <v>197</v>
      </c>
      <c r="F1204" t="s">
        <v>197</v>
      </c>
      <c r="G1204" t="s">
        <v>197</v>
      </c>
      <c r="H1204" t="s">
        <v>197</v>
      </c>
      <c r="I1204" t="s">
        <v>197</v>
      </c>
      <c r="J1204" t="s">
        <v>197</v>
      </c>
      <c r="K1204" t="s">
        <v>963</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1117</v>
      </c>
      <c r="K1216" t="s">
        <v>1118</v>
      </c>
      <c r="W1216" s="1" t="str">
        <f>HYPERLINK("#2026042015hbase0!CS2","NO 源备存在差异，共50个")</f>
        <v>NO 源备存在差异，共50个</v>
      </c>
      <c r="X1216" t="str">
        <f>A1216</f>
        <v>info_int_dml_batch1_pk_irp2</v>
      </c>
    </row>
    <row r="1217" spans="2:11">
      <c r="B1217" t="s">
        <v>196</v>
      </c>
      <c r="C1217" t="s">
        <v>197</v>
      </c>
      <c r="D1217" t="s">
        <v>197</v>
      </c>
      <c r="E1217" t="s">
        <v>197</v>
      </c>
      <c r="F1217" t="s">
        <v>197</v>
      </c>
      <c r="G1217" t="s">
        <v>197</v>
      </c>
      <c r="H1217" t="s">
        <v>197</v>
      </c>
      <c r="I1217" t="s">
        <v>1119</v>
      </c>
      <c r="J1217" t="s">
        <v>199</v>
      </c>
      <c r="K1217" t="s">
        <v>200</v>
      </c>
    </row>
    <row r="1218" spans="2:11">
      <c r="B1218" t="s">
        <v>197</v>
      </c>
      <c r="C1218" t="s">
        <v>197</v>
      </c>
      <c r="D1218" t="s">
        <v>197</v>
      </c>
      <c r="E1218" t="s">
        <v>197</v>
      </c>
      <c r="F1218" t="s">
        <v>197</v>
      </c>
      <c r="G1218" t="s">
        <v>197</v>
      </c>
      <c r="H1218" t="s">
        <v>197</v>
      </c>
      <c r="I1218" t="s">
        <v>197</v>
      </c>
      <c r="J1218" t="s">
        <v>197</v>
      </c>
      <c r="K1218" t="s">
        <v>549</v>
      </c>
    </row>
    <row r="1219" spans="2:11">
      <c r="B1219" t="s">
        <v>197</v>
      </c>
      <c r="C1219" t="s">
        <v>197</v>
      </c>
      <c r="D1219" t="s">
        <v>197</v>
      </c>
      <c r="E1219" t="s">
        <v>197</v>
      </c>
      <c r="F1219" t="s">
        <v>197</v>
      </c>
      <c r="G1219" t="s">
        <v>197</v>
      </c>
      <c r="H1219" t="s">
        <v>197</v>
      </c>
      <c r="I1219" t="s">
        <v>197</v>
      </c>
      <c r="J1219" t="s">
        <v>197</v>
      </c>
      <c r="K1219" t="s">
        <v>550</v>
      </c>
    </row>
    <row r="1220" spans="2:11">
      <c r="B1220" t="s">
        <v>197</v>
      </c>
      <c r="C1220" t="s">
        <v>197</v>
      </c>
      <c r="D1220" t="s">
        <v>197</v>
      </c>
      <c r="E1220" t="s">
        <v>197</v>
      </c>
      <c r="F1220" t="s">
        <v>197</v>
      </c>
      <c r="G1220" t="s">
        <v>197</v>
      </c>
      <c r="H1220" t="s">
        <v>197</v>
      </c>
      <c r="I1220" t="s">
        <v>197</v>
      </c>
      <c r="J1220" t="s">
        <v>197</v>
      </c>
      <c r="K1220" t="s">
        <v>551</v>
      </c>
    </row>
    <row r="1221" spans="2:11">
      <c r="B1221" t="s">
        <v>197</v>
      </c>
      <c r="C1221" t="s">
        <v>197</v>
      </c>
      <c r="D1221" t="s">
        <v>197</v>
      </c>
      <c r="E1221" t="s">
        <v>197</v>
      </c>
      <c r="F1221" t="s">
        <v>197</v>
      </c>
      <c r="G1221" t="s">
        <v>197</v>
      </c>
      <c r="H1221" t="s">
        <v>197</v>
      </c>
      <c r="I1221" t="s">
        <v>197</v>
      </c>
      <c r="J1221" t="s">
        <v>197</v>
      </c>
      <c r="K1221" t="s">
        <v>552</v>
      </c>
    </row>
    <row r="1222" spans="2:11">
      <c r="B1222" t="s">
        <v>197</v>
      </c>
      <c r="C1222" t="s">
        <v>197</v>
      </c>
      <c r="D1222" t="s">
        <v>197</v>
      </c>
      <c r="E1222" t="s">
        <v>197</v>
      </c>
      <c r="F1222" t="s">
        <v>197</v>
      </c>
      <c r="G1222" t="s">
        <v>197</v>
      </c>
      <c r="H1222" t="s">
        <v>197</v>
      </c>
      <c r="I1222" t="s">
        <v>197</v>
      </c>
      <c r="J1222" t="s">
        <v>197</v>
      </c>
      <c r="K1222" t="s">
        <v>553</v>
      </c>
    </row>
    <row r="1223" spans="2:11">
      <c r="B1223" t="s">
        <v>197</v>
      </c>
      <c r="C1223" t="s">
        <v>197</v>
      </c>
      <c r="D1223" t="s">
        <v>197</v>
      </c>
      <c r="E1223" t="s">
        <v>197</v>
      </c>
      <c r="F1223" t="s">
        <v>197</v>
      </c>
      <c r="G1223" t="s">
        <v>197</v>
      </c>
      <c r="H1223" t="s">
        <v>197</v>
      </c>
      <c r="I1223" t="s">
        <v>197</v>
      </c>
      <c r="J1223" t="s">
        <v>197</v>
      </c>
      <c r="K1223" t="s">
        <v>554</v>
      </c>
    </row>
    <row r="1224" spans="2:11">
      <c r="B1224" t="s">
        <v>197</v>
      </c>
      <c r="C1224" t="s">
        <v>197</v>
      </c>
      <c r="D1224" t="s">
        <v>197</v>
      </c>
      <c r="E1224" t="s">
        <v>197</v>
      </c>
      <c r="F1224" t="s">
        <v>197</v>
      </c>
      <c r="G1224" t="s">
        <v>197</v>
      </c>
      <c r="H1224" t="s">
        <v>197</v>
      </c>
      <c r="I1224" t="s">
        <v>197</v>
      </c>
      <c r="J1224" t="s">
        <v>197</v>
      </c>
      <c r="K1224" t="s">
        <v>555</v>
      </c>
    </row>
    <row r="1225" spans="2:11">
      <c r="B1225" t="s">
        <v>197</v>
      </c>
      <c r="C1225" t="s">
        <v>197</v>
      </c>
      <c r="D1225" t="s">
        <v>197</v>
      </c>
      <c r="E1225" t="s">
        <v>197</v>
      </c>
      <c r="F1225" t="s">
        <v>197</v>
      </c>
      <c r="G1225" t="s">
        <v>197</v>
      </c>
      <c r="H1225" t="s">
        <v>197</v>
      </c>
      <c r="I1225" t="s">
        <v>197</v>
      </c>
      <c r="J1225" t="s">
        <v>197</v>
      </c>
      <c r="K1225" t="s">
        <v>556</v>
      </c>
    </row>
    <row r="1226" spans="2:11">
      <c r="B1226" t="s">
        <v>197</v>
      </c>
      <c r="C1226" t="s">
        <v>197</v>
      </c>
      <c r="D1226" t="s">
        <v>197</v>
      </c>
      <c r="E1226" t="s">
        <v>197</v>
      </c>
      <c r="F1226" t="s">
        <v>197</v>
      </c>
      <c r="G1226" t="s">
        <v>197</v>
      </c>
      <c r="H1226" t="s">
        <v>197</v>
      </c>
      <c r="I1226" t="s">
        <v>197</v>
      </c>
      <c r="J1226" t="s">
        <v>197</v>
      </c>
      <c r="K1226" t="s">
        <v>557</v>
      </c>
    </row>
    <row r="1227" spans="2:11">
      <c r="B1227" t="s">
        <v>197</v>
      </c>
      <c r="C1227" t="s">
        <v>197</v>
      </c>
      <c r="D1227" t="s">
        <v>197</v>
      </c>
      <c r="E1227" t="s">
        <v>197</v>
      </c>
      <c r="F1227" t="s">
        <v>197</v>
      </c>
      <c r="G1227" t="s">
        <v>197</v>
      </c>
      <c r="H1227" t="s">
        <v>197</v>
      </c>
      <c r="I1227" t="s">
        <v>197</v>
      </c>
      <c r="J1227" t="s">
        <v>197</v>
      </c>
      <c r="K1227" t="s">
        <v>558</v>
      </c>
    </row>
    <row r="1228" spans="2:11">
      <c r="B1228" t="s">
        <v>197</v>
      </c>
      <c r="C1228" t="s">
        <v>197</v>
      </c>
      <c r="D1228" t="s">
        <v>197</v>
      </c>
      <c r="E1228" t="s">
        <v>197</v>
      </c>
      <c r="F1228" t="s">
        <v>197</v>
      </c>
      <c r="G1228" t="s">
        <v>197</v>
      </c>
      <c r="H1228" t="s">
        <v>197</v>
      </c>
      <c r="I1228" t="s">
        <v>197</v>
      </c>
      <c r="J1228" t="s">
        <v>197</v>
      </c>
      <c r="K1228" t="s">
        <v>559</v>
      </c>
    </row>
    <row r="1229" spans="2:11">
      <c r="B1229" t="s">
        <v>197</v>
      </c>
      <c r="C1229" t="s">
        <v>197</v>
      </c>
      <c r="D1229" t="s">
        <v>197</v>
      </c>
      <c r="E1229" t="s">
        <v>197</v>
      </c>
      <c r="F1229" t="s">
        <v>197</v>
      </c>
      <c r="G1229" t="s">
        <v>197</v>
      </c>
      <c r="H1229" t="s">
        <v>197</v>
      </c>
      <c r="I1229" t="s">
        <v>197</v>
      </c>
      <c r="J1229" t="s">
        <v>197</v>
      </c>
      <c r="K1229" t="s">
        <v>560</v>
      </c>
    </row>
    <row r="1230" spans="2:11">
      <c r="B1230" t="s">
        <v>197</v>
      </c>
      <c r="C1230" t="s">
        <v>197</v>
      </c>
      <c r="D1230" t="s">
        <v>197</v>
      </c>
      <c r="E1230" t="s">
        <v>197</v>
      </c>
      <c r="F1230" t="s">
        <v>197</v>
      </c>
      <c r="G1230" t="s">
        <v>197</v>
      </c>
      <c r="H1230" t="s">
        <v>197</v>
      </c>
      <c r="I1230" t="s">
        <v>197</v>
      </c>
      <c r="J1230" t="s">
        <v>197</v>
      </c>
      <c r="K1230" t="s">
        <v>561</v>
      </c>
    </row>
    <row r="1231" spans="2:11">
      <c r="B1231" t="s">
        <v>197</v>
      </c>
      <c r="C1231" t="s">
        <v>197</v>
      </c>
      <c r="D1231" t="s">
        <v>197</v>
      </c>
      <c r="E1231" t="s">
        <v>197</v>
      </c>
      <c r="F1231" t="s">
        <v>197</v>
      </c>
      <c r="G1231" t="s">
        <v>197</v>
      </c>
      <c r="H1231" t="s">
        <v>197</v>
      </c>
      <c r="I1231" t="s">
        <v>197</v>
      </c>
      <c r="J1231" t="s">
        <v>197</v>
      </c>
      <c r="K1231" t="s">
        <v>562</v>
      </c>
    </row>
    <row r="1232" spans="2:11">
      <c r="B1232" t="s">
        <v>197</v>
      </c>
      <c r="C1232" t="s">
        <v>197</v>
      </c>
      <c r="D1232" t="s">
        <v>197</v>
      </c>
      <c r="E1232" t="s">
        <v>197</v>
      </c>
      <c r="F1232" t="s">
        <v>197</v>
      </c>
      <c r="G1232" t="s">
        <v>197</v>
      </c>
      <c r="H1232" t="s">
        <v>197</v>
      </c>
      <c r="I1232" t="s">
        <v>197</v>
      </c>
      <c r="J1232" t="s">
        <v>197</v>
      </c>
      <c r="K1232" t="s">
        <v>563</v>
      </c>
    </row>
    <row r="1233" spans="1:24">
      <c r="B1233" t="s">
        <v>197</v>
      </c>
      <c r="C1233" t="s">
        <v>197</v>
      </c>
      <c r="D1233" t="s">
        <v>197</v>
      </c>
      <c r="E1233" t="s">
        <v>197</v>
      </c>
      <c r="F1233" t="s">
        <v>197</v>
      </c>
      <c r="G1233" t="s">
        <v>197</v>
      </c>
      <c r="H1233" t="s">
        <v>197</v>
      </c>
      <c r="I1233" t="s">
        <v>197</v>
      </c>
      <c r="J1233" t="s">
        <v>197</v>
      </c>
      <c r="K1233" t="s">
        <v>564</v>
      </c>
    </row>
    <row r="1234" spans="1:24">
      <c r="B1234" t="s">
        <v>197</v>
      </c>
      <c r="C1234" t="s">
        <v>197</v>
      </c>
      <c r="D1234" t="s">
        <v>197</v>
      </c>
      <c r="E1234" t="s">
        <v>197</v>
      </c>
      <c r="F1234" t="s">
        <v>197</v>
      </c>
      <c r="G1234" t="s">
        <v>197</v>
      </c>
      <c r="H1234" t="s">
        <v>197</v>
      </c>
      <c r="I1234" t="s">
        <v>197</v>
      </c>
      <c r="J1234" t="s">
        <v>197</v>
      </c>
      <c r="K1234" t="s">
        <v>565</v>
      </c>
    </row>
    <row r="1235" spans="1:24">
      <c r="B1235" t="s">
        <v>197</v>
      </c>
      <c r="C1235" t="s">
        <v>197</v>
      </c>
      <c r="D1235" t="s">
        <v>197</v>
      </c>
      <c r="E1235" t="s">
        <v>197</v>
      </c>
      <c r="F1235" t="s">
        <v>197</v>
      </c>
      <c r="G1235" t="s">
        <v>197</v>
      </c>
      <c r="H1235" t="s">
        <v>197</v>
      </c>
      <c r="I1235" t="s">
        <v>197</v>
      </c>
      <c r="J1235" t="s">
        <v>197</v>
      </c>
      <c r="K1235" t="s">
        <v>566</v>
      </c>
    </row>
    <row r="1236" spans="1:24">
      <c r="B1236" t="s">
        <v>197</v>
      </c>
      <c r="C1236" t="s">
        <v>197</v>
      </c>
      <c r="D1236" t="s">
        <v>197</v>
      </c>
      <c r="E1236" t="s">
        <v>197</v>
      </c>
      <c r="F1236" t="s">
        <v>197</v>
      </c>
      <c r="G1236" t="s">
        <v>197</v>
      </c>
      <c r="H1236" t="s">
        <v>197</v>
      </c>
      <c r="I1236" t="s">
        <v>197</v>
      </c>
      <c r="J1236" t="s">
        <v>197</v>
      </c>
      <c r="K1236" t="s">
        <v>567</v>
      </c>
    </row>
    <row r="1237" spans="1:24">
      <c r="A1237" t="s">
        <v>1120</v>
      </c>
      <c r="K1237" t="s">
        <v>1121</v>
      </c>
      <c r="W1237" t="s">
        <v>171</v>
      </c>
      <c r="X1237" t="str">
        <f>A1237</f>
        <v>info_uniqueidentifier_dml_single_pk</v>
      </c>
    </row>
    <row r="1238" spans="1:24">
      <c r="B1238" t="s">
        <v>196</v>
      </c>
      <c r="C1238" t="s">
        <v>197</v>
      </c>
      <c r="D1238" t="s">
        <v>197</v>
      </c>
      <c r="E1238" t="s">
        <v>197</v>
      </c>
      <c r="F1238" t="s">
        <v>197</v>
      </c>
      <c r="G1238" t="s">
        <v>197</v>
      </c>
      <c r="H1238" t="s">
        <v>197</v>
      </c>
      <c r="I1238" t="s">
        <v>1122</v>
      </c>
      <c r="J1238" t="s">
        <v>199</v>
      </c>
      <c r="K1238" t="s">
        <v>200</v>
      </c>
    </row>
    <row r="1239" spans="1:24">
      <c r="B1239" t="s">
        <v>197</v>
      </c>
      <c r="C1239" t="s">
        <v>197</v>
      </c>
      <c r="D1239" t="s">
        <v>197</v>
      </c>
      <c r="E1239" t="s">
        <v>197</v>
      </c>
      <c r="F1239" t="s">
        <v>197</v>
      </c>
      <c r="G1239" t="s">
        <v>197</v>
      </c>
      <c r="H1239" t="s">
        <v>197</v>
      </c>
      <c r="I1239" t="s">
        <v>197</v>
      </c>
      <c r="J1239" t="s">
        <v>197</v>
      </c>
      <c r="K1239" t="s">
        <v>1039</v>
      </c>
    </row>
    <row r="1240" spans="1:24">
      <c r="A1240" t="s">
        <v>1123</v>
      </c>
      <c r="K1240" t="s">
        <v>1124</v>
      </c>
      <c r="W1240" s="1" t="str">
        <f>HYPERLINK("#2026042015hbase0!CT2","NO 源备存在差异，共2个")</f>
        <v>NO 源备存在差异，共2个</v>
      </c>
      <c r="X1240" t="str">
        <f>A1240</f>
        <v>info_datetime2_dml_single_pk</v>
      </c>
    </row>
    <row r="1241" spans="1:24">
      <c r="B1241" t="s">
        <v>196</v>
      </c>
      <c r="C1241" t="s">
        <v>197</v>
      </c>
      <c r="D1241" t="s">
        <v>197</v>
      </c>
      <c r="E1241" t="s">
        <v>197</v>
      </c>
      <c r="F1241" t="s">
        <v>197</v>
      </c>
      <c r="G1241" t="s">
        <v>197</v>
      </c>
      <c r="H1241" t="s">
        <v>197</v>
      </c>
      <c r="I1241" t="s">
        <v>1125</v>
      </c>
      <c r="J1241" t="s">
        <v>199</v>
      </c>
      <c r="K1241" t="s">
        <v>200</v>
      </c>
    </row>
    <row r="1242" spans="1:24">
      <c r="B1242" t="s">
        <v>197</v>
      </c>
      <c r="C1242" t="s">
        <v>197</v>
      </c>
      <c r="D1242" t="s">
        <v>197</v>
      </c>
      <c r="E1242" t="s">
        <v>197</v>
      </c>
      <c r="F1242" t="s">
        <v>197</v>
      </c>
      <c r="G1242" t="s">
        <v>197</v>
      </c>
      <c r="H1242" t="s">
        <v>197</v>
      </c>
      <c r="I1242" t="s">
        <v>197</v>
      </c>
      <c r="J1242" t="s">
        <v>197</v>
      </c>
      <c r="K1242" t="s">
        <v>667</v>
      </c>
    </row>
    <row r="1243" spans="1:24">
      <c r="B1243" t="s">
        <v>197</v>
      </c>
      <c r="C1243" t="s">
        <v>197</v>
      </c>
      <c r="D1243" t="s">
        <v>197</v>
      </c>
      <c r="E1243" t="s">
        <v>197</v>
      </c>
      <c r="F1243" t="s">
        <v>197</v>
      </c>
      <c r="G1243" t="s">
        <v>197</v>
      </c>
      <c r="H1243" t="s">
        <v>197</v>
      </c>
      <c r="I1243" t="s">
        <v>197</v>
      </c>
      <c r="J1243" t="s">
        <v>197</v>
      </c>
      <c r="K1243" t="s">
        <v>668</v>
      </c>
    </row>
    <row r="1244" spans="1:24">
      <c r="B1244" t="s">
        <v>197</v>
      </c>
      <c r="C1244" t="s">
        <v>197</v>
      </c>
      <c r="D1244" t="s">
        <v>197</v>
      </c>
      <c r="E1244" t="s">
        <v>197</v>
      </c>
      <c r="F1244" t="s">
        <v>197</v>
      </c>
      <c r="G1244" t="s">
        <v>197</v>
      </c>
      <c r="H1244" t="s">
        <v>197</v>
      </c>
      <c r="I1244" t="s">
        <v>197</v>
      </c>
      <c r="J1244" t="s">
        <v>197</v>
      </c>
      <c r="K1244" t="s">
        <v>669</v>
      </c>
    </row>
    <row r="1245" spans="1:24">
      <c r="B1245" t="s">
        <v>197</v>
      </c>
      <c r="C1245" t="s">
        <v>197</v>
      </c>
      <c r="D1245" t="s">
        <v>197</v>
      </c>
      <c r="E1245" t="s">
        <v>197</v>
      </c>
      <c r="F1245" t="s">
        <v>197</v>
      </c>
      <c r="G1245" t="s">
        <v>197</v>
      </c>
      <c r="H1245" t="s">
        <v>197</v>
      </c>
      <c r="I1245" t="s">
        <v>197</v>
      </c>
      <c r="J1245" t="s">
        <v>197</v>
      </c>
      <c r="K1245" t="s">
        <v>670</v>
      </c>
    </row>
    <row r="1246" spans="1:24">
      <c r="B1246" t="s">
        <v>197</v>
      </c>
      <c r="C1246" t="s">
        <v>197</v>
      </c>
      <c r="D1246" t="s">
        <v>197</v>
      </c>
      <c r="E1246" t="s">
        <v>197</v>
      </c>
      <c r="F1246" t="s">
        <v>197</v>
      </c>
      <c r="G1246" t="s">
        <v>197</v>
      </c>
      <c r="H1246" t="s">
        <v>197</v>
      </c>
      <c r="I1246" t="s">
        <v>197</v>
      </c>
      <c r="J1246" t="s">
        <v>197</v>
      </c>
      <c r="K1246" t="s">
        <v>671</v>
      </c>
    </row>
    <row r="1247" spans="1:24">
      <c r="B1247" t="s">
        <v>197</v>
      </c>
      <c r="C1247" t="s">
        <v>197</v>
      </c>
      <c r="D1247" t="s">
        <v>197</v>
      </c>
      <c r="E1247" t="s">
        <v>197</v>
      </c>
      <c r="F1247" t="s">
        <v>197</v>
      </c>
      <c r="G1247" t="s">
        <v>197</v>
      </c>
      <c r="H1247" t="s">
        <v>197</v>
      </c>
      <c r="I1247" t="s">
        <v>197</v>
      </c>
      <c r="J1247" t="s">
        <v>197</v>
      </c>
      <c r="K1247" t="s">
        <v>672</v>
      </c>
    </row>
    <row r="1248" spans="1:24">
      <c r="B1248" t="s">
        <v>197</v>
      </c>
      <c r="C1248" t="s">
        <v>197</v>
      </c>
      <c r="D1248" t="s">
        <v>197</v>
      </c>
      <c r="E1248" t="s">
        <v>197</v>
      </c>
      <c r="F1248" t="s">
        <v>197</v>
      </c>
      <c r="G1248" t="s">
        <v>197</v>
      </c>
      <c r="H1248" t="s">
        <v>197</v>
      </c>
      <c r="I1248" t="s">
        <v>197</v>
      </c>
      <c r="J1248" t="s">
        <v>197</v>
      </c>
      <c r="K1248" t="s">
        <v>673</v>
      </c>
    </row>
    <row r="1249" spans="1:24">
      <c r="B1249" t="s">
        <v>197</v>
      </c>
      <c r="C1249" t="s">
        <v>197</v>
      </c>
      <c r="D1249" t="s">
        <v>197</v>
      </c>
      <c r="E1249" t="s">
        <v>197</v>
      </c>
      <c r="F1249" t="s">
        <v>197</v>
      </c>
      <c r="G1249" t="s">
        <v>197</v>
      </c>
      <c r="H1249" t="s">
        <v>197</v>
      </c>
      <c r="I1249" t="s">
        <v>197</v>
      </c>
      <c r="J1249" t="s">
        <v>197</v>
      </c>
      <c r="K1249" t="s">
        <v>674</v>
      </c>
    </row>
    <row r="1250" spans="1:24">
      <c r="A1250" t="s">
        <v>1129</v>
      </c>
      <c r="K1250" t="s">
        <v>1130</v>
      </c>
      <c r="W1250" s="1" t="str">
        <f>HYPERLINK("#2026042015hbase0!CU2","NO 源备存在差异，共4个")</f>
        <v>NO 源备存在差异，共4个</v>
      </c>
      <c r="X1250" t="str">
        <f>A1250</f>
        <v>info_geography_dml_single_pk_drp</v>
      </c>
    </row>
    <row r="1251" spans="1:24">
      <c r="B1251" t="s">
        <v>196</v>
      </c>
      <c r="C1251" t="s">
        <v>197</v>
      </c>
      <c r="D1251" t="s">
        <v>197</v>
      </c>
      <c r="E1251" t="s">
        <v>197</v>
      </c>
      <c r="F1251" t="s">
        <v>197</v>
      </c>
      <c r="G1251" t="s">
        <v>197</v>
      </c>
      <c r="H1251" t="s">
        <v>197</v>
      </c>
      <c r="I1251" t="s">
        <v>1131</v>
      </c>
      <c r="J1251" t="s">
        <v>199</v>
      </c>
      <c r="K1251" t="s">
        <v>200</v>
      </c>
    </row>
    <row r="1252" spans="1:24">
      <c r="B1252" t="s">
        <v>197</v>
      </c>
      <c r="C1252" t="s">
        <v>197</v>
      </c>
      <c r="D1252" t="s">
        <v>197</v>
      </c>
      <c r="E1252" t="s">
        <v>197</v>
      </c>
      <c r="F1252" t="s">
        <v>197</v>
      </c>
      <c r="G1252" t="s">
        <v>197</v>
      </c>
      <c r="H1252" t="s">
        <v>197</v>
      </c>
      <c r="I1252" t="s">
        <v>197</v>
      </c>
      <c r="J1252" t="s">
        <v>197</v>
      </c>
      <c r="K1252" t="s">
        <v>1052</v>
      </c>
    </row>
    <row r="1253" spans="1:24">
      <c r="A1253" t="s">
        <v>1126</v>
      </c>
      <c r="K1253" t="s">
        <v>1127</v>
      </c>
      <c r="W1253" t="s">
        <v>171</v>
      </c>
      <c r="X1253" t="str">
        <f>A1253</f>
        <v>info_varchar_dml_single_pk_drp</v>
      </c>
    </row>
    <row r="1254" spans="1:24">
      <c r="B1254" t="s">
        <v>196</v>
      </c>
      <c r="C1254" t="s">
        <v>197</v>
      </c>
      <c r="D1254" t="s">
        <v>197</v>
      </c>
      <c r="E1254" t="s">
        <v>197</v>
      </c>
      <c r="F1254" t="s">
        <v>197</v>
      </c>
      <c r="G1254" t="s">
        <v>197</v>
      </c>
      <c r="H1254" t="s">
        <v>197</v>
      </c>
      <c r="I1254" t="s">
        <v>1128</v>
      </c>
      <c r="J1254" t="s">
        <v>199</v>
      </c>
      <c r="K1254" t="s">
        <v>200</v>
      </c>
    </row>
    <row r="1255" spans="1:24">
      <c r="B1255" t="s">
        <v>197</v>
      </c>
      <c r="C1255" t="s">
        <v>197</v>
      </c>
      <c r="D1255" t="s">
        <v>197</v>
      </c>
      <c r="E1255" t="s">
        <v>197</v>
      </c>
      <c r="F1255" t="s">
        <v>197</v>
      </c>
      <c r="G1255" t="s">
        <v>197</v>
      </c>
      <c r="H1255" t="s">
        <v>197</v>
      </c>
      <c r="I1255" t="s">
        <v>197</v>
      </c>
      <c r="J1255" t="s">
        <v>197</v>
      </c>
      <c r="K1255" t="s">
        <v>431</v>
      </c>
    </row>
    <row r="1256" spans="1:24">
      <c r="B1256" t="s">
        <v>197</v>
      </c>
      <c r="C1256" t="s">
        <v>197</v>
      </c>
      <c r="D1256" t="s">
        <v>197</v>
      </c>
      <c r="E1256" t="s">
        <v>197</v>
      </c>
      <c r="F1256" t="s">
        <v>197</v>
      </c>
      <c r="G1256" t="s">
        <v>197</v>
      </c>
      <c r="H1256" t="s">
        <v>197</v>
      </c>
      <c r="I1256" t="s">
        <v>197</v>
      </c>
      <c r="J1256" t="s">
        <v>197</v>
      </c>
      <c r="K1256" t="s">
        <v>1056</v>
      </c>
    </row>
    <row r="1257" spans="1:24">
      <c r="B1257" t="s">
        <v>197</v>
      </c>
      <c r="C1257" t="s">
        <v>197</v>
      </c>
      <c r="D1257" t="s">
        <v>197</v>
      </c>
      <c r="E1257" t="s">
        <v>197</v>
      </c>
      <c r="F1257" t="s">
        <v>197</v>
      </c>
      <c r="G1257" t="s">
        <v>197</v>
      </c>
      <c r="H1257" t="s">
        <v>197</v>
      </c>
      <c r="I1257" t="s">
        <v>197</v>
      </c>
      <c r="J1257" t="s">
        <v>197</v>
      </c>
      <c r="K1257" t="s">
        <v>963</v>
      </c>
    </row>
    <row r="1258" spans="1:24">
      <c r="A1258" t="s">
        <v>1132</v>
      </c>
      <c r="K1258" t="s">
        <v>1133</v>
      </c>
      <c r="W1258" s="1" t="str">
        <f>HYPERLINK("#2026042015hbase0!CV2","NO 源备存在差异，共18个")</f>
        <v>NO 源备存在差异，共18个</v>
      </c>
      <c r="X1258" t="str">
        <f>A1258</f>
        <v>info_time_dml_batch1_pk_drp2</v>
      </c>
    </row>
    <row r="1259" spans="1:24">
      <c r="B1259" t="s">
        <v>196</v>
      </c>
      <c r="C1259" t="s">
        <v>197</v>
      </c>
      <c r="D1259" t="s">
        <v>197</v>
      </c>
      <c r="E1259" t="s">
        <v>197</v>
      </c>
      <c r="F1259" t="s">
        <v>197</v>
      </c>
      <c r="G1259" t="s">
        <v>197</v>
      </c>
      <c r="H1259" t="s">
        <v>197</v>
      </c>
      <c r="I1259" t="s">
        <v>1134</v>
      </c>
      <c r="J1259" t="s">
        <v>199</v>
      </c>
      <c r="K1259" t="s">
        <v>200</v>
      </c>
    </row>
    <row r="1260" spans="1:24">
      <c r="B1260" t="s">
        <v>197</v>
      </c>
      <c r="C1260" t="s">
        <v>197</v>
      </c>
      <c r="D1260" t="s">
        <v>197</v>
      </c>
      <c r="E1260" t="s">
        <v>197</v>
      </c>
      <c r="F1260" t="s">
        <v>197</v>
      </c>
      <c r="G1260" t="s">
        <v>197</v>
      </c>
      <c r="H1260" t="s">
        <v>197</v>
      </c>
      <c r="I1260" t="s">
        <v>197</v>
      </c>
      <c r="J1260" t="s">
        <v>197</v>
      </c>
      <c r="K1260" t="s">
        <v>800</v>
      </c>
    </row>
    <row r="1261" spans="1:24">
      <c r="B1261" t="s">
        <v>197</v>
      </c>
      <c r="C1261" t="s">
        <v>197</v>
      </c>
      <c r="D1261" t="s">
        <v>197</v>
      </c>
      <c r="E1261" t="s">
        <v>197</v>
      </c>
      <c r="F1261" t="s">
        <v>197</v>
      </c>
      <c r="G1261" t="s">
        <v>197</v>
      </c>
      <c r="H1261" t="s">
        <v>197</v>
      </c>
      <c r="I1261" t="s">
        <v>197</v>
      </c>
      <c r="J1261" t="s">
        <v>197</v>
      </c>
      <c r="K1261" t="s">
        <v>801</v>
      </c>
    </row>
    <row r="1262" spans="1:24">
      <c r="B1262" t="s">
        <v>197</v>
      </c>
      <c r="C1262" t="s">
        <v>197</v>
      </c>
      <c r="D1262" t="s">
        <v>197</v>
      </c>
      <c r="E1262" t="s">
        <v>197</v>
      </c>
      <c r="F1262" t="s">
        <v>197</v>
      </c>
      <c r="G1262" t="s">
        <v>197</v>
      </c>
      <c r="H1262" t="s">
        <v>197</v>
      </c>
      <c r="I1262" t="s">
        <v>197</v>
      </c>
      <c r="J1262" t="s">
        <v>197</v>
      </c>
      <c r="K1262" t="s">
        <v>802</v>
      </c>
    </row>
    <row r="1263" spans="1:24">
      <c r="B1263" t="s">
        <v>197</v>
      </c>
      <c r="C1263" t="s">
        <v>197</v>
      </c>
      <c r="D1263" t="s">
        <v>197</v>
      </c>
      <c r="E1263" t="s">
        <v>197</v>
      </c>
      <c r="F1263" t="s">
        <v>197</v>
      </c>
      <c r="G1263" t="s">
        <v>197</v>
      </c>
      <c r="H1263" t="s">
        <v>197</v>
      </c>
      <c r="I1263" t="s">
        <v>197</v>
      </c>
      <c r="J1263" t="s">
        <v>197</v>
      </c>
      <c r="K1263" t="s">
        <v>803</v>
      </c>
    </row>
    <row r="1264" spans="1:24">
      <c r="B1264" t="s">
        <v>197</v>
      </c>
      <c r="C1264" t="s">
        <v>197</v>
      </c>
      <c r="D1264" t="s">
        <v>197</v>
      </c>
      <c r="E1264" t="s">
        <v>197</v>
      </c>
      <c r="F1264" t="s">
        <v>197</v>
      </c>
      <c r="G1264" t="s">
        <v>197</v>
      </c>
      <c r="H1264" t="s">
        <v>197</v>
      </c>
      <c r="I1264" t="s">
        <v>197</v>
      </c>
      <c r="J1264" t="s">
        <v>197</v>
      </c>
      <c r="K1264" t="s">
        <v>804</v>
      </c>
    </row>
    <row r="1265" spans="1:24">
      <c r="B1265" t="s">
        <v>197</v>
      </c>
      <c r="C1265" t="s">
        <v>197</v>
      </c>
      <c r="D1265" t="s">
        <v>197</v>
      </c>
      <c r="E1265" t="s">
        <v>197</v>
      </c>
      <c r="F1265" t="s">
        <v>197</v>
      </c>
      <c r="G1265" t="s">
        <v>197</v>
      </c>
      <c r="H1265" t="s">
        <v>197</v>
      </c>
      <c r="I1265" t="s">
        <v>197</v>
      </c>
      <c r="J1265" t="s">
        <v>197</v>
      </c>
      <c r="K1265" t="s">
        <v>805</v>
      </c>
    </row>
    <row r="1266" spans="1:24">
      <c r="B1266" t="s">
        <v>197</v>
      </c>
      <c r="C1266" t="s">
        <v>197</v>
      </c>
      <c r="D1266" t="s">
        <v>197</v>
      </c>
      <c r="E1266" t="s">
        <v>197</v>
      </c>
      <c r="F1266" t="s">
        <v>197</v>
      </c>
      <c r="G1266" t="s">
        <v>197</v>
      </c>
      <c r="H1266" t="s">
        <v>197</v>
      </c>
      <c r="I1266" t="s">
        <v>197</v>
      </c>
      <c r="J1266" t="s">
        <v>197</v>
      </c>
      <c r="K1266" t="s">
        <v>806</v>
      </c>
    </row>
    <row r="1267" spans="1:24">
      <c r="B1267" t="s">
        <v>197</v>
      </c>
      <c r="C1267" t="s">
        <v>197</v>
      </c>
      <c r="D1267" t="s">
        <v>197</v>
      </c>
      <c r="E1267" t="s">
        <v>197</v>
      </c>
      <c r="F1267" t="s">
        <v>197</v>
      </c>
      <c r="G1267" t="s">
        <v>197</v>
      </c>
      <c r="H1267" t="s">
        <v>197</v>
      </c>
      <c r="I1267" t="s">
        <v>197</v>
      </c>
      <c r="J1267" t="s">
        <v>197</v>
      </c>
      <c r="K1267" t="s">
        <v>807</v>
      </c>
    </row>
    <row r="1268" spans="1:24">
      <c r="A1268" t="s">
        <v>1135</v>
      </c>
      <c r="K1268" t="s">
        <v>1136</v>
      </c>
      <c r="W1268" t="s">
        <v>171</v>
      </c>
      <c r="X1268" t="str">
        <f>A1268</f>
        <v>info_varchar_dml_batch1_pk_urp1</v>
      </c>
    </row>
    <row r="1269" spans="1:24">
      <c r="B1269" t="s">
        <v>196</v>
      </c>
      <c r="C1269" t="s">
        <v>197</v>
      </c>
      <c r="D1269" t="s">
        <v>197</v>
      </c>
      <c r="E1269" t="s">
        <v>197</v>
      </c>
      <c r="F1269" t="s">
        <v>197</v>
      </c>
      <c r="G1269" t="s">
        <v>197</v>
      </c>
      <c r="H1269" t="s">
        <v>197</v>
      </c>
      <c r="I1269" t="s">
        <v>1137</v>
      </c>
      <c r="J1269" t="s">
        <v>199</v>
      </c>
      <c r="K1269" t="s">
        <v>200</v>
      </c>
    </row>
    <row r="1270" spans="1:24">
      <c r="B1270" t="s">
        <v>197</v>
      </c>
      <c r="C1270" t="s">
        <v>197</v>
      </c>
      <c r="D1270" t="s">
        <v>197</v>
      </c>
      <c r="E1270" t="s">
        <v>197</v>
      </c>
      <c r="F1270" t="s">
        <v>197</v>
      </c>
      <c r="G1270" t="s">
        <v>197</v>
      </c>
      <c r="H1270" t="s">
        <v>197</v>
      </c>
      <c r="I1270" t="s">
        <v>197</v>
      </c>
      <c r="J1270" t="s">
        <v>197</v>
      </c>
      <c r="K1270" t="s">
        <v>431</v>
      </c>
    </row>
    <row r="1271" spans="1:24">
      <c r="B1271" t="s">
        <v>197</v>
      </c>
      <c r="C1271" t="s">
        <v>197</v>
      </c>
      <c r="D1271" t="s">
        <v>197</v>
      </c>
      <c r="E1271" t="s">
        <v>197</v>
      </c>
      <c r="F1271" t="s">
        <v>197</v>
      </c>
      <c r="G1271" t="s">
        <v>197</v>
      </c>
      <c r="H1271" t="s">
        <v>197</v>
      </c>
      <c r="I1271" t="s">
        <v>197</v>
      </c>
      <c r="J1271" t="s">
        <v>197</v>
      </c>
      <c r="K1271" t="s">
        <v>434</v>
      </c>
    </row>
    <row r="1272" spans="1:24">
      <c r="B1272" t="s">
        <v>197</v>
      </c>
      <c r="C1272" t="s">
        <v>197</v>
      </c>
      <c r="D1272" t="s">
        <v>197</v>
      </c>
      <c r="E1272" t="s">
        <v>197</v>
      </c>
      <c r="F1272" t="s">
        <v>197</v>
      </c>
      <c r="G1272" t="s">
        <v>197</v>
      </c>
      <c r="H1272" t="s">
        <v>197</v>
      </c>
      <c r="I1272" t="s">
        <v>197</v>
      </c>
      <c r="J1272" t="s">
        <v>197</v>
      </c>
      <c r="K1272" t="s">
        <v>439</v>
      </c>
    </row>
    <row r="1273" spans="1:24">
      <c r="A1273" t="s">
        <v>1138</v>
      </c>
      <c r="K1273" t="s">
        <v>1139</v>
      </c>
      <c r="W1273" t="s">
        <v>171</v>
      </c>
      <c r="X1273" t="str">
        <f>A1273</f>
        <v>info_geography_dml_single_pk</v>
      </c>
    </row>
    <row r="1274" spans="1:24">
      <c r="B1274" t="s">
        <v>196</v>
      </c>
      <c r="C1274" t="s">
        <v>197</v>
      </c>
      <c r="D1274" t="s">
        <v>197</v>
      </c>
      <c r="E1274" t="s">
        <v>197</v>
      </c>
      <c r="F1274" t="s">
        <v>197</v>
      </c>
      <c r="G1274" t="s">
        <v>197</v>
      </c>
      <c r="H1274" t="s">
        <v>197</v>
      </c>
      <c r="I1274" t="s">
        <v>1140</v>
      </c>
      <c r="J1274" t="s">
        <v>199</v>
      </c>
      <c r="K1274" t="s">
        <v>200</v>
      </c>
    </row>
    <row r="1275" spans="1:24">
      <c r="B1275" t="s">
        <v>197</v>
      </c>
      <c r="C1275" t="s">
        <v>197</v>
      </c>
      <c r="D1275" t="s">
        <v>197</v>
      </c>
      <c r="E1275" t="s">
        <v>197</v>
      </c>
      <c r="F1275" t="s">
        <v>197</v>
      </c>
      <c r="G1275" t="s">
        <v>197</v>
      </c>
      <c r="H1275" t="s">
        <v>197</v>
      </c>
      <c r="I1275" t="s">
        <v>197</v>
      </c>
      <c r="J1275" t="s">
        <v>197</v>
      </c>
      <c r="K1275" t="s">
        <v>1052</v>
      </c>
    </row>
    <row r="1276" spans="1:24">
      <c r="A1276" t="s">
        <v>1141</v>
      </c>
      <c r="K1276" t="s">
        <v>1142</v>
      </c>
      <c r="W1276" t="s">
        <v>171</v>
      </c>
      <c r="X1276" t="str">
        <f>A1276</f>
        <v>info_nvarchar_dml_batch2_pk_irp2</v>
      </c>
    </row>
    <row r="1277" spans="1:24">
      <c r="B1277" t="s">
        <v>196</v>
      </c>
      <c r="C1277" t="s">
        <v>197</v>
      </c>
      <c r="D1277" t="s">
        <v>197</v>
      </c>
      <c r="E1277" t="s">
        <v>197</v>
      </c>
      <c r="F1277" t="s">
        <v>197</v>
      </c>
      <c r="G1277" t="s">
        <v>197</v>
      </c>
      <c r="H1277" t="s">
        <v>197</v>
      </c>
      <c r="I1277" t="s">
        <v>1143</v>
      </c>
      <c r="J1277" t="s">
        <v>199</v>
      </c>
      <c r="K1277" t="s">
        <v>200</v>
      </c>
    </row>
    <row r="1278" spans="1:24">
      <c r="B1278" t="s">
        <v>197</v>
      </c>
      <c r="C1278" t="s">
        <v>197</v>
      </c>
      <c r="D1278" t="s">
        <v>197</v>
      </c>
      <c r="E1278" t="s">
        <v>197</v>
      </c>
      <c r="F1278" t="s">
        <v>197</v>
      </c>
      <c r="G1278" t="s">
        <v>197</v>
      </c>
      <c r="H1278" t="s">
        <v>197</v>
      </c>
      <c r="I1278" t="s">
        <v>197</v>
      </c>
      <c r="J1278" t="s">
        <v>197</v>
      </c>
      <c r="K1278" t="s">
        <v>408</v>
      </c>
    </row>
    <row r="1279" spans="1:24">
      <c r="B1279" t="s">
        <v>197</v>
      </c>
      <c r="C1279" t="s">
        <v>197</v>
      </c>
      <c r="D1279" t="s">
        <v>197</v>
      </c>
      <c r="E1279" t="s">
        <v>197</v>
      </c>
      <c r="F1279" t="s">
        <v>197</v>
      </c>
      <c r="G1279" t="s">
        <v>197</v>
      </c>
      <c r="H1279" t="s">
        <v>197</v>
      </c>
      <c r="I1279" t="s">
        <v>197</v>
      </c>
      <c r="J1279" t="s">
        <v>197</v>
      </c>
      <c r="K1279" t="s">
        <v>412</v>
      </c>
    </row>
    <row r="1280" spans="1:24">
      <c r="B1280" t="s">
        <v>197</v>
      </c>
      <c r="C1280" t="s">
        <v>197</v>
      </c>
      <c r="D1280" t="s">
        <v>197</v>
      </c>
      <c r="E1280" t="s">
        <v>197</v>
      </c>
      <c r="F1280" t="s">
        <v>197</v>
      </c>
      <c r="G1280" t="s">
        <v>197</v>
      </c>
      <c r="H1280" t="s">
        <v>197</v>
      </c>
      <c r="I1280" t="s">
        <v>197</v>
      </c>
      <c r="J1280" t="s">
        <v>197</v>
      </c>
      <c r="K1280" t="s">
        <v>416</v>
      </c>
    </row>
    <row r="1281" spans="1:24">
      <c r="A1281" t="s">
        <v>1150</v>
      </c>
      <c r="K1281" t="s">
        <v>1151</v>
      </c>
      <c r="W1281" s="1" t="str">
        <f>HYPERLINK("#2026042015hbase0!CW2","NO 源备存在差异，共16个")</f>
        <v>NO 源备存在差异，共16个</v>
      </c>
      <c r="X1281" t="str">
        <f>A1281</f>
        <v>info_time_dml_batch1_pk</v>
      </c>
    </row>
    <row r="1282" spans="1:24">
      <c r="B1282" t="s">
        <v>196</v>
      </c>
      <c r="C1282" t="s">
        <v>197</v>
      </c>
      <c r="D1282" t="s">
        <v>197</v>
      </c>
      <c r="E1282" t="s">
        <v>197</v>
      </c>
      <c r="F1282" t="s">
        <v>197</v>
      </c>
      <c r="G1282" t="s">
        <v>197</v>
      </c>
      <c r="H1282" t="s">
        <v>197</v>
      </c>
      <c r="I1282" t="s">
        <v>1152</v>
      </c>
      <c r="J1282" t="s">
        <v>199</v>
      </c>
      <c r="K1282" t="s">
        <v>200</v>
      </c>
    </row>
    <row r="1283" spans="1:24">
      <c r="B1283" t="s">
        <v>197</v>
      </c>
      <c r="C1283" t="s">
        <v>197</v>
      </c>
      <c r="D1283" t="s">
        <v>197</v>
      </c>
      <c r="E1283" t="s">
        <v>197</v>
      </c>
      <c r="F1283" t="s">
        <v>197</v>
      </c>
      <c r="G1283" t="s">
        <v>197</v>
      </c>
      <c r="H1283" t="s">
        <v>197</v>
      </c>
      <c r="I1283" t="s">
        <v>197</v>
      </c>
      <c r="J1283" t="s">
        <v>197</v>
      </c>
      <c r="K1283" t="s">
        <v>800</v>
      </c>
    </row>
    <row r="1284" spans="1:24">
      <c r="B1284" t="s">
        <v>197</v>
      </c>
      <c r="C1284" t="s">
        <v>197</v>
      </c>
      <c r="D1284" t="s">
        <v>197</v>
      </c>
      <c r="E1284" t="s">
        <v>197</v>
      </c>
      <c r="F1284" t="s">
        <v>197</v>
      </c>
      <c r="G1284" t="s">
        <v>197</v>
      </c>
      <c r="H1284" t="s">
        <v>197</v>
      </c>
      <c r="I1284" t="s">
        <v>197</v>
      </c>
      <c r="J1284" t="s">
        <v>197</v>
      </c>
      <c r="K1284" t="s">
        <v>801</v>
      </c>
    </row>
    <row r="1285" spans="1:24">
      <c r="B1285" t="s">
        <v>197</v>
      </c>
      <c r="C1285" t="s">
        <v>197</v>
      </c>
      <c r="D1285" t="s">
        <v>197</v>
      </c>
      <c r="E1285" t="s">
        <v>197</v>
      </c>
      <c r="F1285" t="s">
        <v>197</v>
      </c>
      <c r="G1285" t="s">
        <v>197</v>
      </c>
      <c r="H1285" t="s">
        <v>197</v>
      </c>
      <c r="I1285" t="s">
        <v>197</v>
      </c>
      <c r="J1285" t="s">
        <v>197</v>
      </c>
      <c r="K1285" t="s">
        <v>802</v>
      </c>
    </row>
    <row r="1286" spans="1:24">
      <c r="B1286" t="s">
        <v>197</v>
      </c>
      <c r="C1286" t="s">
        <v>197</v>
      </c>
      <c r="D1286" t="s">
        <v>197</v>
      </c>
      <c r="E1286" t="s">
        <v>197</v>
      </c>
      <c r="F1286" t="s">
        <v>197</v>
      </c>
      <c r="G1286" t="s">
        <v>197</v>
      </c>
      <c r="H1286" t="s">
        <v>197</v>
      </c>
      <c r="I1286" t="s">
        <v>197</v>
      </c>
      <c r="J1286" t="s">
        <v>197</v>
      </c>
      <c r="K1286" t="s">
        <v>803</v>
      </c>
    </row>
    <row r="1287" spans="1:24">
      <c r="B1287" t="s">
        <v>197</v>
      </c>
      <c r="C1287" t="s">
        <v>197</v>
      </c>
      <c r="D1287" t="s">
        <v>197</v>
      </c>
      <c r="E1287" t="s">
        <v>197</v>
      </c>
      <c r="F1287" t="s">
        <v>197</v>
      </c>
      <c r="G1287" t="s">
        <v>197</v>
      </c>
      <c r="H1287" t="s">
        <v>197</v>
      </c>
      <c r="I1287" t="s">
        <v>197</v>
      </c>
      <c r="J1287" t="s">
        <v>197</v>
      </c>
      <c r="K1287" t="s">
        <v>804</v>
      </c>
    </row>
    <row r="1288" spans="1:24">
      <c r="B1288" t="s">
        <v>197</v>
      </c>
      <c r="C1288" t="s">
        <v>197</v>
      </c>
      <c r="D1288" t="s">
        <v>197</v>
      </c>
      <c r="E1288" t="s">
        <v>197</v>
      </c>
      <c r="F1288" t="s">
        <v>197</v>
      </c>
      <c r="G1288" t="s">
        <v>197</v>
      </c>
      <c r="H1288" t="s">
        <v>197</v>
      </c>
      <c r="I1288" t="s">
        <v>197</v>
      </c>
      <c r="J1288" t="s">
        <v>197</v>
      </c>
      <c r="K1288" t="s">
        <v>805</v>
      </c>
    </row>
    <row r="1289" spans="1:24">
      <c r="B1289" t="s">
        <v>197</v>
      </c>
      <c r="C1289" t="s">
        <v>197</v>
      </c>
      <c r="D1289" t="s">
        <v>197</v>
      </c>
      <c r="E1289" t="s">
        <v>197</v>
      </c>
      <c r="F1289" t="s">
        <v>197</v>
      </c>
      <c r="G1289" t="s">
        <v>197</v>
      </c>
      <c r="H1289" t="s">
        <v>197</v>
      </c>
      <c r="I1289" t="s">
        <v>197</v>
      </c>
      <c r="J1289" t="s">
        <v>197</v>
      </c>
      <c r="K1289" t="s">
        <v>806</v>
      </c>
    </row>
    <row r="1290" spans="1:24">
      <c r="B1290" t="s">
        <v>197</v>
      </c>
      <c r="C1290" t="s">
        <v>197</v>
      </c>
      <c r="D1290" t="s">
        <v>197</v>
      </c>
      <c r="E1290" t="s">
        <v>197</v>
      </c>
      <c r="F1290" t="s">
        <v>197</v>
      </c>
      <c r="G1290" t="s">
        <v>197</v>
      </c>
      <c r="H1290" t="s">
        <v>197</v>
      </c>
      <c r="I1290" t="s">
        <v>197</v>
      </c>
      <c r="J1290" t="s">
        <v>197</v>
      </c>
      <c r="K1290" t="s">
        <v>807</v>
      </c>
    </row>
    <row r="1291" spans="1:24">
      <c r="A1291" t="s">
        <v>697</v>
      </c>
      <c r="K1291" t="s">
        <v>698</v>
      </c>
      <c r="W1291" s="1" t="str">
        <f>HYPERLINK("#2026042015hbase0!CX2","NO 源备存在差异，共2个")</f>
        <v>NO 源备存在差异，共2个</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1153</v>
      </c>
      <c r="K1312" t="s">
        <v>1154</v>
      </c>
      <c r="W1312" s="1" t="str">
        <f>HYPERLINK("#2026042015hbase0!CY2","NO 源备存在差异，共26个")</f>
        <v>NO 源备存在差异，共26个</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1147</v>
      </c>
      <c r="K1315" t="s">
        <v>1148</v>
      </c>
      <c r="W1315" t="s">
        <v>171</v>
      </c>
      <c r="X1315" t="str">
        <f>A1315</f>
        <v>info_varbinary_dml_batch2_pk_irp2</v>
      </c>
    </row>
    <row r="1316" spans="1:24">
      <c r="B1316" t="s">
        <v>196</v>
      </c>
      <c r="C1316" t="s">
        <v>197</v>
      </c>
      <c r="D1316" t="s">
        <v>197</v>
      </c>
      <c r="E1316" t="s">
        <v>197</v>
      </c>
      <c r="F1316" t="s">
        <v>197</v>
      </c>
      <c r="G1316" t="s">
        <v>197</v>
      </c>
      <c r="H1316" t="s">
        <v>197</v>
      </c>
      <c r="I1316" t="s">
        <v>1149</v>
      </c>
      <c r="J1316" t="s">
        <v>199</v>
      </c>
      <c r="K1316" t="s">
        <v>200</v>
      </c>
    </row>
    <row r="1317" spans="1:24">
      <c r="B1317" t="s">
        <v>197</v>
      </c>
      <c r="C1317" t="s">
        <v>197</v>
      </c>
      <c r="D1317" t="s">
        <v>197</v>
      </c>
      <c r="E1317" t="s">
        <v>197</v>
      </c>
      <c r="F1317" t="s">
        <v>197</v>
      </c>
      <c r="G1317" t="s">
        <v>197</v>
      </c>
      <c r="H1317" t="s">
        <v>197</v>
      </c>
      <c r="I1317" t="s">
        <v>197</v>
      </c>
      <c r="J1317" t="s">
        <v>197</v>
      </c>
      <c r="K1317" t="s">
        <v>495</v>
      </c>
    </row>
    <row r="1318" spans="1:24">
      <c r="B1318" t="s">
        <v>197</v>
      </c>
      <c r="C1318" t="s">
        <v>197</v>
      </c>
      <c r="D1318" t="s">
        <v>197</v>
      </c>
      <c r="E1318" t="s">
        <v>197</v>
      </c>
      <c r="F1318" t="s">
        <v>197</v>
      </c>
      <c r="G1318" t="s">
        <v>197</v>
      </c>
      <c r="H1318" t="s">
        <v>197</v>
      </c>
      <c r="I1318" t="s">
        <v>197</v>
      </c>
      <c r="J1318" t="s">
        <v>197</v>
      </c>
      <c r="K1318" t="s">
        <v>499</v>
      </c>
    </row>
    <row r="1319" spans="1:24">
      <c r="B1319" t="s">
        <v>197</v>
      </c>
      <c r="C1319" t="s">
        <v>197</v>
      </c>
      <c r="D1319" t="s">
        <v>197</v>
      </c>
      <c r="E1319" t="s">
        <v>197</v>
      </c>
      <c r="F1319" t="s">
        <v>197</v>
      </c>
      <c r="G1319" t="s">
        <v>197</v>
      </c>
      <c r="H1319" t="s">
        <v>197</v>
      </c>
      <c r="I1319" t="s">
        <v>197</v>
      </c>
      <c r="J1319" t="s">
        <v>197</v>
      </c>
      <c r="K1319" t="s">
        <v>503</v>
      </c>
    </row>
    <row r="1320" spans="1:24">
      <c r="A1320" t="s">
        <v>1156</v>
      </c>
      <c r="K1320" t="s">
        <v>1157</v>
      </c>
      <c r="W1320" s="1" t="str">
        <f>HYPERLINK("#2026042015hbase0!CZ2","NO 源备存在差异，共94个")</f>
        <v>NO 源备存在差异，共94个</v>
      </c>
      <c r="X1320" t="str">
        <f>A1320</f>
        <v>info_sdt_dml_batch1_pk_irp2</v>
      </c>
    </row>
    <row r="1321" spans="1:24">
      <c r="B1321" t="s">
        <v>196</v>
      </c>
      <c r="C1321" t="s">
        <v>197</v>
      </c>
      <c r="D1321" t="s">
        <v>197</v>
      </c>
      <c r="E1321" t="s">
        <v>197</v>
      </c>
      <c r="F1321" t="s">
        <v>197</v>
      </c>
      <c r="G1321" t="s">
        <v>197</v>
      </c>
      <c r="H1321" t="s">
        <v>197</v>
      </c>
      <c r="I1321" t="s">
        <v>1158</v>
      </c>
      <c r="J1321" t="s">
        <v>199</v>
      </c>
      <c r="K1321" t="s">
        <v>200</v>
      </c>
    </row>
    <row r="1322" spans="1:24">
      <c r="B1322" t="s">
        <v>197</v>
      </c>
      <c r="C1322" t="s">
        <v>197</v>
      </c>
      <c r="D1322" t="s">
        <v>197</v>
      </c>
      <c r="E1322" t="s">
        <v>197</v>
      </c>
      <c r="F1322" t="s">
        <v>197</v>
      </c>
      <c r="G1322" t="s">
        <v>197</v>
      </c>
      <c r="H1322" t="s">
        <v>197</v>
      </c>
      <c r="I1322" t="s">
        <v>197</v>
      </c>
      <c r="J1322" t="s">
        <v>197</v>
      </c>
      <c r="K1322" t="s">
        <v>422</v>
      </c>
    </row>
    <row r="1323" spans="1:24">
      <c r="A1323" t="s">
        <v>1144</v>
      </c>
      <c r="K1323" t="s">
        <v>1145</v>
      </c>
      <c r="W1323" s="1" t="str">
        <f>HYPERLINK("#2026042015hbase0!DA2","NO 源备存在差异，共18个")</f>
        <v>NO 源备存在差异，共18个</v>
      </c>
      <c r="X1323" t="str">
        <f>A1323</f>
        <v>info_int_dml_batch2_pk_irp1</v>
      </c>
    </row>
    <row r="1324" spans="1:24">
      <c r="B1324" t="s">
        <v>196</v>
      </c>
      <c r="C1324" t="s">
        <v>197</v>
      </c>
      <c r="D1324" t="s">
        <v>197</v>
      </c>
      <c r="E1324" t="s">
        <v>197</v>
      </c>
      <c r="F1324" t="s">
        <v>197</v>
      </c>
      <c r="G1324" t="s">
        <v>197</v>
      </c>
      <c r="H1324" t="s">
        <v>197</v>
      </c>
      <c r="I1324" t="s">
        <v>1146</v>
      </c>
      <c r="J1324" t="s">
        <v>199</v>
      </c>
      <c r="K1324" t="s">
        <v>200</v>
      </c>
    </row>
    <row r="1325" spans="1:24">
      <c r="B1325" t="s">
        <v>197</v>
      </c>
      <c r="C1325" t="s">
        <v>197</v>
      </c>
      <c r="D1325" t="s">
        <v>197</v>
      </c>
      <c r="E1325" t="s">
        <v>197</v>
      </c>
      <c r="F1325" t="s">
        <v>197</v>
      </c>
      <c r="G1325" t="s">
        <v>197</v>
      </c>
      <c r="H1325" t="s">
        <v>197</v>
      </c>
      <c r="I1325" t="s">
        <v>197</v>
      </c>
      <c r="J1325" t="s">
        <v>197</v>
      </c>
      <c r="K1325" t="s">
        <v>549</v>
      </c>
    </row>
    <row r="1326" spans="1:24">
      <c r="B1326" t="s">
        <v>197</v>
      </c>
      <c r="C1326" t="s">
        <v>197</v>
      </c>
      <c r="D1326" t="s">
        <v>197</v>
      </c>
      <c r="E1326" t="s">
        <v>197</v>
      </c>
      <c r="F1326" t="s">
        <v>197</v>
      </c>
      <c r="G1326" t="s">
        <v>197</v>
      </c>
      <c r="H1326" t="s">
        <v>197</v>
      </c>
      <c r="I1326" t="s">
        <v>197</v>
      </c>
      <c r="J1326" t="s">
        <v>197</v>
      </c>
      <c r="K1326" t="s">
        <v>550</v>
      </c>
    </row>
    <row r="1327" spans="1:24">
      <c r="B1327" t="s">
        <v>197</v>
      </c>
      <c r="C1327" t="s">
        <v>197</v>
      </c>
      <c r="D1327" t="s">
        <v>197</v>
      </c>
      <c r="E1327" t="s">
        <v>197</v>
      </c>
      <c r="F1327" t="s">
        <v>197</v>
      </c>
      <c r="G1327" t="s">
        <v>197</v>
      </c>
      <c r="H1327" t="s">
        <v>197</v>
      </c>
      <c r="I1327" t="s">
        <v>197</v>
      </c>
      <c r="J1327" t="s">
        <v>197</v>
      </c>
      <c r="K1327" t="s">
        <v>551</v>
      </c>
    </row>
    <row r="1328" spans="1:24">
      <c r="B1328" t="s">
        <v>197</v>
      </c>
      <c r="C1328" t="s">
        <v>197</v>
      </c>
      <c r="D1328" t="s">
        <v>197</v>
      </c>
      <c r="E1328" t="s">
        <v>197</v>
      </c>
      <c r="F1328" t="s">
        <v>197</v>
      </c>
      <c r="G1328" t="s">
        <v>197</v>
      </c>
      <c r="H1328" t="s">
        <v>197</v>
      </c>
      <c r="I1328" t="s">
        <v>197</v>
      </c>
      <c r="J1328" t="s">
        <v>197</v>
      </c>
      <c r="K1328" t="s">
        <v>552</v>
      </c>
    </row>
    <row r="1329" spans="1:24">
      <c r="B1329" t="s">
        <v>197</v>
      </c>
      <c r="C1329" t="s">
        <v>197</v>
      </c>
      <c r="D1329" t="s">
        <v>197</v>
      </c>
      <c r="E1329" t="s">
        <v>197</v>
      </c>
      <c r="F1329" t="s">
        <v>197</v>
      </c>
      <c r="G1329" t="s">
        <v>197</v>
      </c>
      <c r="H1329" t="s">
        <v>197</v>
      </c>
      <c r="I1329" t="s">
        <v>197</v>
      </c>
      <c r="J1329" t="s">
        <v>197</v>
      </c>
      <c r="K1329" t="s">
        <v>553</v>
      </c>
    </row>
    <row r="1330" spans="1:24">
      <c r="B1330" t="s">
        <v>197</v>
      </c>
      <c r="C1330" t="s">
        <v>197</v>
      </c>
      <c r="D1330" t="s">
        <v>197</v>
      </c>
      <c r="E1330" t="s">
        <v>197</v>
      </c>
      <c r="F1330" t="s">
        <v>197</v>
      </c>
      <c r="G1330" t="s">
        <v>197</v>
      </c>
      <c r="H1330" t="s">
        <v>197</v>
      </c>
      <c r="I1330" t="s">
        <v>197</v>
      </c>
      <c r="J1330" t="s">
        <v>197</v>
      </c>
      <c r="K1330" t="s">
        <v>554</v>
      </c>
    </row>
    <row r="1331" spans="1:24">
      <c r="B1331" t="s">
        <v>197</v>
      </c>
      <c r="C1331" t="s">
        <v>197</v>
      </c>
      <c r="D1331" t="s">
        <v>197</v>
      </c>
      <c r="E1331" t="s">
        <v>197</v>
      </c>
      <c r="F1331" t="s">
        <v>197</v>
      </c>
      <c r="G1331" t="s">
        <v>197</v>
      </c>
      <c r="H1331" t="s">
        <v>197</v>
      </c>
      <c r="I1331" t="s">
        <v>197</v>
      </c>
      <c r="J1331" t="s">
        <v>197</v>
      </c>
      <c r="K1331" t="s">
        <v>555</v>
      </c>
    </row>
    <row r="1332" spans="1:24">
      <c r="B1332" t="s">
        <v>197</v>
      </c>
      <c r="C1332" t="s">
        <v>197</v>
      </c>
      <c r="D1332" t="s">
        <v>197</v>
      </c>
      <c r="E1332" t="s">
        <v>197</v>
      </c>
      <c r="F1332" t="s">
        <v>197</v>
      </c>
      <c r="G1332" t="s">
        <v>197</v>
      </c>
      <c r="H1332" t="s">
        <v>197</v>
      </c>
      <c r="I1332" t="s">
        <v>197</v>
      </c>
      <c r="J1332" t="s">
        <v>197</v>
      </c>
      <c r="K1332" t="s">
        <v>556</v>
      </c>
    </row>
    <row r="1333" spans="1:24">
      <c r="B1333" t="s">
        <v>197</v>
      </c>
      <c r="C1333" t="s">
        <v>197</v>
      </c>
      <c r="D1333" t="s">
        <v>197</v>
      </c>
      <c r="E1333" t="s">
        <v>197</v>
      </c>
      <c r="F1333" t="s">
        <v>197</v>
      </c>
      <c r="G1333" t="s">
        <v>197</v>
      </c>
      <c r="H1333" t="s">
        <v>197</v>
      </c>
      <c r="I1333" t="s">
        <v>197</v>
      </c>
      <c r="J1333" t="s">
        <v>197</v>
      </c>
      <c r="K1333" t="s">
        <v>557</v>
      </c>
    </row>
    <row r="1334" spans="1:24">
      <c r="B1334" t="s">
        <v>197</v>
      </c>
      <c r="C1334" t="s">
        <v>197</v>
      </c>
      <c r="D1334" t="s">
        <v>197</v>
      </c>
      <c r="E1334" t="s">
        <v>197</v>
      </c>
      <c r="F1334" t="s">
        <v>197</v>
      </c>
      <c r="G1334" t="s">
        <v>197</v>
      </c>
      <c r="H1334" t="s">
        <v>197</v>
      </c>
      <c r="I1334" t="s">
        <v>197</v>
      </c>
      <c r="J1334" t="s">
        <v>197</v>
      </c>
      <c r="K1334" t="s">
        <v>558</v>
      </c>
    </row>
    <row r="1335" spans="1:24">
      <c r="B1335" t="s">
        <v>197</v>
      </c>
      <c r="C1335" t="s">
        <v>197</v>
      </c>
      <c r="D1335" t="s">
        <v>197</v>
      </c>
      <c r="E1335" t="s">
        <v>197</v>
      </c>
      <c r="F1335" t="s">
        <v>197</v>
      </c>
      <c r="G1335" t="s">
        <v>197</v>
      </c>
      <c r="H1335" t="s">
        <v>197</v>
      </c>
      <c r="I1335" t="s">
        <v>197</v>
      </c>
      <c r="J1335" t="s">
        <v>197</v>
      </c>
      <c r="K1335" t="s">
        <v>559</v>
      </c>
    </row>
    <row r="1336" spans="1:24">
      <c r="B1336" t="s">
        <v>197</v>
      </c>
      <c r="C1336" t="s">
        <v>197</v>
      </c>
      <c r="D1336" t="s">
        <v>197</v>
      </c>
      <c r="E1336" t="s">
        <v>197</v>
      </c>
      <c r="F1336" t="s">
        <v>197</v>
      </c>
      <c r="G1336" t="s">
        <v>197</v>
      </c>
      <c r="H1336" t="s">
        <v>197</v>
      </c>
      <c r="I1336" t="s">
        <v>197</v>
      </c>
      <c r="J1336" t="s">
        <v>197</v>
      </c>
      <c r="K1336" t="s">
        <v>560</v>
      </c>
    </row>
    <row r="1337" spans="1:24">
      <c r="B1337" t="s">
        <v>197</v>
      </c>
      <c r="C1337" t="s">
        <v>197</v>
      </c>
      <c r="D1337" t="s">
        <v>197</v>
      </c>
      <c r="E1337" t="s">
        <v>197</v>
      </c>
      <c r="F1337" t="s">
        <v>197</v>
      </c>
      <c r="G1337" t="s">
        <v>197</v>
      </c>
      <c r="H1337" t="s">
        <v>197</v>
      </c>
      <c r="I1337" t="s">
        <v>197</v>
      </c>
      <c r="J1337" t="s">
        <v>197</v>
      </c>
      <c r="K1337" t="s">
        <v>561</v>
      </c>
    </row>
    <row r="1338" spans="1:24">
      <c r="B1338" t="s">
        <v>197</v>
      </c>
      <c r="C1338" t="s">
        <v>197</v>
      </c>
      <c r="D1338" t="s">
        <v>197</v>
      </c>
      <c r="E1338" t="s">
        <v>197</v>
      </c>
      <c r="F1338" t="s">
        <v>197</v>
      </c>
      <c r="G1338" t="s">
        <v>197</v>
      </c>
      <c r="H1338" t="s">
        <v>197</v>
      </c>
      <c r="I1338" t="s">
        <v>197</v>
      </c>
      <c r="J1338" t="s">
        <v>197</v>
      </c>
      <c r="K1338" t="s">
        <v>562</v>
      </c>
    </row>
    <row r="1339" spans="1:24">
      <c r="B1339" t="s">
        <v>197</v>
      </c>
      <c r="C1339" t="s">
        <v>197</v>
      </c>
      <c r="D1339" t="s">
        <v>197</v>
      </c>
      <c r="E1339" t="s">
        <v>197</v>
      </c>
      <c r="F1339" t="s">
        <v>197</v>
      </c>
      <c r="G1339" t="s">
        <v>197</v>
      </c>
      <c r="H1339" t="s">
        <v>197</v>
      </c>
      <c r="I1339" t="s">
        <v>197</v>
      </c>
      <c r="J1339" t="s">
        <v>197</v>
      </c>
      <c r="K1339" t="s">
        <v>563</v>
      </c>
    </row>
    <row r="1340" spans="1:24">
      <c r="B1340" t="s">
        <v>197</v>
      </c>
      <c r="C1340" t="s">
        <v>197</v>
      </c>
      <c r="D1340" t="s">
        <v>197</v>
      </c>
      <c r="E1340" t="s">
        <v>197</v>
      </c>
      <c r="F1340" t="s">
        <v>197</v>
      </c>
      <c r="G1340" t="s">
        <v>197</v>
      </c>
      <c r="H1340" t="s">
        <v>197</v>
      </c>
      <c r="I1340" t="s">
        <v>197</v>
      </c>
      <c r="J1340" t="s">
        <v>197</v>
      </c>
      <c r="K1340" t="s">
        <v>564</v>
      </c>
    </row>
    <row r="1341" spans="1:24">
      <c r="B1341" t="s">
        <v>197</v>
      </c>
      <c r="C1341" t="s">
        <v>197</v>
      </c>
      <c r="D1341" t="s">
        <v>197</v>
      </c>
      <c r="E1341" t="s">
        <v>197</v>
      </c>
      <c r="F1341" t="s">
        <v>197</v>
      </c>
      <c r="G1341" t="s">
        <v>197</v>
      </c>
      <c r="H1341" t="s">
        <v>197</v>
      </c>
      <c r="I1341" t="s">
        <v>197</v>
      </c>
      <c r="J1341" t="s">
        <v>197</v>
      </c>
      <c r="K1341" t="s">
        <v>565</v>
      </c>
    </row>
    <row r="1342" spans="1:24">
      <c r="B1342" t="s">
        <v>197</v>
      </c>
      <c r="C1342" t="s">
        <v>197</v>
      </c>
      <c r="D1342" t="s">
        <v>197</v>
      </c>
      <c r="E1342" t="s">
        <v>197</v>
      </c>
      <c r="F1342" t="s">
        <v>197</v>
      </c>
      <c r="G1342" t="s">
        <v>197</v>
      </c>
      <c r="H1342" t="s">
        <v>197</v>
      </c>
      <c r="I1342" t="s">
        <v>197</v>
      </c>
      <c r="J1342" t="s">
        <v>197</v>
      </c>
      <c r="K1342" t="s">
        <v>566</v>
      </c>
    </row>
    <row r="1343" spans="1:24">
      <c r="B1343" t="s">
        <v>197</v>
      </c>
      <c r="C1343" t="s">
        <v>197</v>
      </c>
      <c r="D1343" t="s">
        <v>197</v>
      </c>
      <c r="E1343" t="s">
        <v>197</v>
      </c>
      <c r="F1343" t="s">
        <v>197</v>
      </c>
      <c r="G1343" t="s">
        <v>197</v>
      </c>
      <c r="H1343" t="s">
        <v>197</v>
      </c>
      <c r="I1343" t="s">
        <v>197</v>
      </c>
      <c r="J1343" t="s">
        <v>197</v>
      </c>
      <c r="K1343" t="s">
        <v>567</v>
      </c>
    </row>
    <row r="1344" spans="1:24">
      <c r="A1344" t="s">
        <v>1159</v>
      </c>
      <c r="K1344" t="s">
        <v>1160</v>
      </c>
      <c r="W1344" t="s">
        <v>171</v>
      </c>
      <c r="X1344" t="str">
        <f>A1344</f>
        <v>info_datetimeoffset_dml_single_pk_irp</v>
      </c>
    </row>
    <row r="1345" spans="1:24">
      <c r="B1345" t="s">
        <v>196</v>
      </c>
      <c r="C1345" t="s">
        <v>197</v>
      </c>
      <c r="D1345" t="s">
        <v>197</v>
      </c>
      <c r="E1345" t="s">
        <v>197</v>
      </c>
      <c r="F1345" t="s">
        <v>197</v>
      </c>
      <c r="G1345" t="s">
        <v>197</v>
      </c>
      <c r="H1345" t="s">
        <v>197</v>
      </c>
      <c r="I1345" t="s">
        <v>1161</v>
      </c>
      <c r="J1345" t="s">
        <v>199</v>
      </c>
      <c r="K1345" t="s">
        <v>200</v>
      </c>
    </row>
    <row r="1346" spans="1:24">
      <c r="B1346" t="s">
        <v>197</v>
      </c>
      <c r="C1346" t="s">
        <v>197</v>
      </c>
      <c r="D1346" t="s">
        <v>197</v>
      </c>
      <c r="E1346" t="s">
        <v>197</v>
      </c>
      <c r="F1346" t="s">
        <v>197</v>
      </c>
      <c r="G1346" t="s">
        <v>197</v>
      </c>
      <c r="H1346" t="s">
        <v>197</v>
      </c>
      <c r="I1346" t="s">
        <v>197</v>
      </c>
      <c r="J1346" t="s">
        <v>197</v>
      </c>
      <c r="K1346" t="s">
        <v>301</v>
      </c>
    </row>
    <row r="1347" spans="1:24">
      <c r="B1347" t="s">
        <v>197</v>
      </c>
      <c r="C1347" t="s">
        <v>197</v>
      </c>
      <c r="D1347" t="s">
        <v>197</v>
      </c>
      <c r="E1347" t="s">
        <v>197</v>
      </c>
      <c r="F1347" t="s">
        <v>197</v>
      </c>
      <c r="G1347" t="s">
        <v>197</v>
      </c>
      <c r="H1347" t="s">
        <v>197</v>
      </c>
      <c r="I1347" t="s">
        <v>197</v>
      </c>
      <c r="J1347" t="s">
        <v>197</v>
      </c>
      <c r="K1347" t="s">
        <v>314</v>
      </c>
    </row>
    <row r="1348" spans="1:24">
      <c r="B1348" t="s">
        <v>197</v>
      </c>
      <c r="C1348" t="s">
        <v>197</v>
      </c>
      <c r="D1348" t="s">
        <v>197</v>
      </c>
      <c r="E1348" t="s">
        <v>197</v>
      </c>
      <c r="F1348" t="s">
        <v>197</v>
      </c>
      <c r="G1348" t="s">
        <v>197</v>
      </c>
      <c r="H1348" t="s">
        <v>197</v>
      </c>
      <c r="I1348" t="s">
        <v>197</v>
      </c>
      <c r="J1348" t="s">
        <v>197</v>
      </c>
      <c r="K1348" t="s">
        <v>324</v>
      </c>
    </row>
    <row r="1349" spans="1:24">
      <c r="B1349" t="s">
        <v>197</v>
      </c>
      <c r="C1349" t="s">
        <v>197</v>
      </c>
      <c r="D1349" t="s">
        <v>197</v>
      </c>
      <c r="E1349" t="s">
        <v>197</v>
      </c>
      <c r="F1349" t="s">
        <v>197</v>
      </c>
      <c r="G1349" t="s">
        <v>197</v>
      </c>
      <c r="H1349" t="s">
        <v>197</v>
      </c>
      <c r="I1349" t="s">
        <v>197</v>
      </c>
      <c r="J1349" t="s">
        <v>197</v>
      </c>
      <c r="K1349" t="s">
        <v>335</v>
      </c>
    </row>
    <row r="1350" spans="1:24">
      <c r="B1350" t="s">
        <v>197</v>
      </c>
      <c r="C1350" t="s">
        <v>197</v>
      </c>
      <c r="D1350" t="s">
        <v>197</v>
      </c>
      <c r="E1350" t="s">
        <v>197</v>
      </c>
      <c r="F1350" t="s">
        <v>197</v>
      </c>
      <c r="G1350" t="s">
        <v>197</v>
      </c>
      <c r="H1350" t="s">
        <v>197</v>
      </c>
      <c r="I1350" t="s">
        <v>197</v>
      </c>
      <c r="J1350" t="s">
        <v>197</v>
      </c>
      <c r="K1350" t="s">
        <v>350</v>
      </c>
    </row>
    <row r="1351" spans="1:24">
      <c r="B1351" t="s">
        <v>197</v>
      </c>
      <c r="C1351" t="s">
        <v>197</v>
      </c>
      <c r="D1351" t="s">
        <v>197</v>
      </c>
      <c r="E1351" t="s">
        <v>197</v>
      </c>
      <c r="F1351" t="s">
        <v>197</v>
      </c>
      <c r="G1351" t="s">
        <v>197</v>
      </c>
      <c r="H1351" t="s">
        <v>197</v>
      </c>
      <c r="I1351" t="s">
        <v>197</v>
      </c>
      <c r="J1351" t="s">
        <v>197</v>
      </c>
      <c r="K1351" t="s">
        <v>360</v>
      </c>
    </row>
    <row r="1352" spans="1:24">
      <c r="B1352" t="s">
        <v>197</v>
      </c>
      <c r="C1352" t="s">
        <v>197</v>
      </c>
      <c r="D1352" t="s">
        <v>197</v>
      </c>
      <c r="E1352" t="s">
        <v>197</v>
      </c>
      <c r="F1352" t="s">
        <v>197</v>
      </c>
      <c r="G1352" t="s">
        <v>197</v>
      </c>
      <c r="H1352" t="s">
        <v>197</v>
      </c>
      <c r="I1352" t="s">
        <v>197</v>
      </c>
      <c r="J1352" t="s">
        <v>197</v>
      </c>
      <c r="K1352" t="s">
        <v>367</v>
      </c>
    </row>
    <row r="1353" spans="1:24">
      <c r="B1353" t="s">
        <v>197</v>
      </c>
      <c r="C1353" t="s">
        <v>197</v>
      </c>
      <c r="D1353" t="s">
        <v>197</v>
      </c>
      <c r="E1353" t="s">
        <v>197</v>
      </c>
      <c r="F1353" t="s">
        <v>197</v>
      </c>
      <c r="G1353" t="s">
        <v>197</v>
      </c>
      <c r="H1353" t="s">
        <v>197</v>
      </c>
      <c r="I1353" t="s">
        <v>197</v>
      </c>
      <c r="J1353" t="s">
        <v>197</v>
      </c>
      <c r="K1353" t="s">
        <v>373</v>
      </c>
    </row>
    <row r="1354" spans="1:24">
      <c r="A1354" t="s">
        <v>1162</v>
      </c>
      <c r="K1354" t="s">
        <v>1163</v>
      </c>
      <c r="W1354" t="s">
        <v>171</v>
      </c>
      <c r="X1354" t="str">
        <f>A1354</f>
        <v>info_varchar_dml_batch1_pk_urp2</v>
      </c>
    </row>
    <row r="1355" spans="1:24">
      <c r="B1355" t="s">
        <v>196</v>
      </c>
      <c r="C1355" t="s">
        <v>197</v>
      </c>
      <c r="D1355" t="s">
        <v>197</v>
      </c>
      <c r="E1355" t="s">
        <v>197</v>
      </c>
      <c r="F1355" t="s">
        <v>197</v>
      </c>
      <c r="G1355" t="s">
        <v>197</v>
      </c>
      <c r="H1355" t="s">
        <v>197</v>
      </c>
      <c r="I1355" t="s">
        <v>1164</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434</v>
      </c>
    </row>
    <row r="1358" spans="1:24">
      <c r="B1358" t="s">
        <v>197</v>
      </c>
      <c r="C1358" t="s">
        <v>197</v>
      </c>
      <c r="D1358" t="s">
        <v>197</v>
      </c>
      <c r="E1358" t="s">
        <v>197</v>
      </c>
      <c r="F1358" t="s">
        <v>197</v>
      </c>
      <c r="G1358" t="s">
        <v>197</v>
      </c>
      <c r="H1358" t="s">
        <v>197</v>
      </c>
      <c r="I1358" t="s">
        <v>197</v>
      </c>
      <c r="J1358" t="s">
        <v>197</v>
      </c>
      <c r="K1358" t="s">
        <v>439</v>
      </c>
    </row>
    <row r="1359" spans="1:24">
      <c r="A1359" t="s">
        <v>1165</v>
      </c>
      <c r="K1359" t="s">
        <v>1166</v>
      </c>
      <c r="W1359" s="1" t="str">
        <f>HYPERLINK("#2026042015hbase0!DB2","NO 源备存在差异，共44个")</f>
        <v>NO 源备存在差异，共44个</v>
      </c>
      <c r="X1359" t="str">
        <f>A1359</f>
        <v>info_int_dml_batch2_pk_irp2</v>
      </c>
    </row>
    <row r="1360" spans="1:24">
      <c r="B1360" t="s">
        <v>196</v>
      </c>
      <c r="C1360" t="s">
        <v>197</v>
      </c>
      <c r="D1360" t="s">
        <v>197</v>
      </c>
      <c r="E1360" t="s">
        <v>197</v>
      </c>
      <c r="F1360" t="s">
        <v>197</v>
      </c>
      <c r="G1360" t="s">
        <v>197</v>
      </c>
      <c r="H1360" t="s">
        <v>197</v>
      </c>
      <c r="I1360" t="s">
        <v>1167</v>
      </c>
      <c r="J1360" t="s">
        <v>199</v>
      </c>
      <c r="K1360" t="s">
        <v>200</v>
      </c>
    </row>
    <row r="1361" spans="2:11">
      <c r="B1361" t="s">
        <v>197</v>
      </c>
      <c r="C1361" t="s">
        <v>197</v>
      </c>
      <c r="D1361" t="s">
        <v>197</v>
      </c>
      <c r="E1361" t="s">
        <v>197</v>
      </c>
      <c r="F1361" t="s">
        <v>197</v>
      </c>
      <c r="G1361" t="s">
        <v>197</v>
      </c>
      <c r="H1361" t="s">
        <v>197</v>
      </c>
      <c r="I1361" t="s">
        <v>197</v>
      </c>
      <c r="J1361" t="s">
        <v>197</v>
      </c>
      <c r="K1361" t="s">
        <v>549</v>
      </c>
    </row>
    <row r="1362" spans="2:11">
      <c r="B1362" t="s">
        <v>197</v>
      </c>
      <c r="C1362" t="s">
        <v>197</v>
      </c>
      <c r="D1362" t="s">
        <v>197</v>
      </c>
      <c r="E1362" t="s">
        <v>197</v>
      </c>
      <c r="F1362" t="s">
        <v>197</v>
      </c>
      <c r="G1362" t="s">
        <v>197</v>
      </c>
      <c r="H1362" t="s">
        <v>197</v>
      </c>
      <c r="I1362" t="s">
        <v>197</v>
      </c>
      <c r="J1362" t="s">
        <v>197</v>
      </c>
      <c r="K1362" t="s">
        <v>550</v>
      </c>
    </row>
    <row r="1363" spans="2:11">
      <c r="B1363" t="s">
        <v>197</v>
      </c>
      <c r="C1363" t="s">
        <v>197</v>
      </c>
      <c r="D1363" t="s">
        <v>197</v>
      </c>
      <c r="E1363" t="s">
        <v>197</v>
      </c>
      <c r="F1363" t="s">
        <v>197</v>
      </c>
      <c r="G1363" t="s">
        <v>197</v>
      </c>
      <c r="H1363" t="s">
        <v>197</v>
      </c>
      <c r="I1363" t="s">
        <v>197</v>
      </c>
      <c r="J1363" t="s">
        <v>197</v>
      </c>
      <c r="K1363" t="s">
        <v>551</v>
      </c>
    </row>
    <row r="1364" spans="2:11">
      <c r="B1364" t="s">
        <v>197</v>
      </c>
      <c r="C1364" t="s">
        <v>197</v>
      </c>
      <c r="D1364" t="s">
        <v>197</v>
      </c>
      <c r="E1364" t="s">
        <v>197</v>
      </c>
      <c r="F1364" t="s">
        <v>197</v>
      </c>
      <c r="G1364" t="s">
        <v>197</v>
      </c>
      <c r="H1364" t="s">
        <v>197</v>
      </c>
      <c r="I1364" t="s">
        <v>197</v>
      </c>
      <c r="J1364" t="s">
        <v>197</v>
      </c>
      <c r="K1364" t="s">
        <v>552</v>
      </c>
    </row>
    <row r="1365" spans="2:11">
      <c r="B1365" t="s">
        <v>197</v>
      </c>
      <c r="C1365" t="s">
        <v>197</v>
      </c>
      <c r="D1365" t="s">
        <v>197</v>
      </c>
      <c r="E1365" t="s">
        <v>197</v>
      </c>
      <c r="F1365" t="s">
        <v>197</v>
      </c>
      <c r="G1365" t="s">
        <v>197</v>
      </c>
      <c r="H1365" t="s">
        <v>197</v>
      </c>
      <c r="I1365" t="s">
        <v>197</v>
      </c>
      <c r="J1365" t="s">
        <v>197</v>
      </c>
      <c r="K1365" t="s">
        <v>553</v>
      </c>
    </row>
    <row r="1366" spans="2:11">
      <c r="B1366" t="s">
        <v>197</v>
      </c>
      <c r="C1366" t="s">
        <v>197</v>
      </c>
      <c r="D1366" t="s">
        <v>197</v>
      </c>
      <c r="E1366" t="s">
        <v>197</v>
      </c>
      <c r="F1366" t="s">
        <v>197</v>
      </c>
      <c r="G1366" t="s">
        <v>197</v>
      </c>
      <c r="H1366" t="s">
        <v>197</v>
      </c>
      <c r="I1366" t="s">
        <v>197</v>
      </c>
      <c r="J1366" t="s">
        <v>197</v>
      </c>
      <c r="K1366" t="s">
        <v>554</v>
      </c>
    </row>
    <row r="1367" spans="2:11">
      <c r="B1367" t="s">
        <v>197</v>
      </c>
      <c r="C1367" t="s">
        <v>197</v>
      </c>
      <c r="D1367" t="s">
        <v>197</v>
      </c>
      <c r="E1367" t="s">
        <v>197</v>
      </c>
      <c r="F1367" t="s">
        <v>197</v>
      </c>
      <c r="G1367" t="s">
        <v>197</v>
      </c>
      <c r="H1367" t="s">
        <v>197</v>
      </c>
      <c r="I1367" t="s">
        <v>197</v>
      </c>
      <c r="J1367" t="s">
        <v>197</v>
      </c>
      <c r="K1367" t="s">
        <v>555</v>
      </c>
    </row>
    <row r="1368" spans="2:11">
      <c r="B1368" t="s">
        <v>197</v>
      </c>
      <c r="C1368" t="s">
        <v>197</v>
      </c>
      <c r="D1368" t="s">
        <v>197</v>
      </c>
      <c r="E1368" t="s">
        <v>197</v>
      </c>
      <c r="F1368" t="s">
        <v>197</v>
      </c>
      <c r="G1368" t="s">
        <v>197</v>
      </c>
      <c r="H1368" t="s">
        <v>197</v>
      </c>
      <c r="I1368" t="s">
        <v>197</v>
      </c>
      <c r="J1368" t="s">
        <v>197</v>
      </c>
      <c r="K1368" t="s">
        <v>556</v>
      </c>
    </row>
    <row r="1369" spans="2:11">
      <c r="B1369" t="s">
        <v>197</v>
      </c>
      <c r="C1369" t="s">
        <v>197</v>
      </c>
      <c r="D1369" t="s">
        <v>197</v>
      </c>
      <c r="E1369" t="s">
        <v>197</v>
      </c>
      <c r="F1369" t="s">
        <v>197</v>
      </c>
      <c r="G1369" t="s">
        <v>197</v>
      </c>
      <c r="H1369" t="s">
        <v>197</v>
      </c>
      <c r="I1369" t="s">
        <v>197</v>
      </c>
      <c r="J1369" t="s">
        <v>197</v>
      </c>
      <c r="K1369" t="s">
        <v>557</v>
      </c>
    </row>
    <row r="1370" spans="2:11">
      <c r="B1370" t="s">
        <v>197</v>
      </c>
      <c r="C1370" t="s">
        <v>197</v>
      </c>
      <c r="D1370" t="s">
        <v>197</v>
      </c>
      <c r="E1370" t="s">
        <v>197</v>
      </c>
      <c r="F1370" t="s">
        <v>197</v>
      </c>
      <c r="G1370" t="s">
        <v>197</v>
      </c>
      <c r="H1370" t="s">
        <v>197</v>
      </c>
      <c r="I1370" t="s">
        <v>197</v>
      </c>
      <c r="J1370" t="s">
        <v>197</v>
      </c>
      <c r="K1370" t="s">
        <v>558</v>
      </c>
    </row>
    <row r="1371" spans="2:11">
      <c r="B1371" t="s">
        <v>197</v>
      </c>
      <c r="C1371" t="s">
        <v>197</v>
      </c>
      <c r="D1371" t="s">
        <v>197</v>
      </c>
      <c r="E1371" t="s">
        <v>197</v>
      </c>
      <c r="F1371" t="s">
        <v>197</v>
      </c>
      <c r="G1371" t="s">
        <v>197</v>
      </c>
      <c r="H1371" t="s">
        <v>197</v>
      </c>
      <c r="I1371" t="s">
        <v>197</v>
      </c>
      <c r="J1371" t="s">
        <v>197</v>
      </c>
      <c r="K1371" t="s">
        <v>559</v>
      </c>
    </row>
    <row r="1372" spans="2:11">
      <c r="B1372" t="s">
        <v>197</v>
      </c>
      <c r="C1372" t="s">
        <v>197</v>
      </c>
      <c r="D1372" t="s">
        <v>197</v>
      </c>
      <c r="E1372" t="s">
        <v>197</v>
      </c>
      <c r="F1372" t="s">
        <v>197</v>
      </c>
      <c r="G1372" t="s">
        <v>197</v>
      </c>
      <c r="H1372" t="s">
        <v>197</v>
      </c>
      <c r="I1372" t="s">
        <v>197</v>
      </c>
      <c r="J1372" t="s">
        <v>197</v>
      </c>
      <c r="K1372" t="s">
        <v>560</v>
      </c>
    </row>
    <row r="1373" spans="2:11">
      <c r="B1373" t="s">
        <v>197</v>
      </c>
      <c r="C1373" t="s">
        <v>197</v>
      </c>
      <c r="D1373" t="s">
        <v>197</v>
      </c>
      <c r="E1373" t="s">
        <v>197</v>
      </c>
      <c r="F1373" t="s">
        <v>197</v>
      </c>
      <c r="G1373" t="s">
        <v>197</v>
      </c>
      <c r="H1373" t="s">
        <v>197</v>
      </c>
      <c r="I1373" t="s">
        <v>197</v>
      </c>
      <c r="J1373" t="s">
        <v>197</v>
      </c>
      <c r="K1373" t="s">
        <v>561</v>
      </c>
    </row>
    <row r="1374" spans="2:11">
      <c r="B1374" t="s">
        <v>197</v>
      </c>
      <c r="C1374" t="s">
        <v>197</v>
      </c>
      <c r="D1374" t="s">
        <v>197</v>
      </c>
      <c r="E1374" t="s">
        <v>197</v>
      </c>
      <c r="F1374" t="s">
        <v>197</v>
      </c>
      <c r="G1374" t="s">
        <v>197</v>
      </c>
      <c r="H1374" t="s">
        <v>197</v>
      </c>
      <c r="I1374" t="s">
        <v>197</v>
      </c>
      <c r="J1374" t="s">
        <v>197</v>
      </c>
      <c r="K1374" t="s">
        <v>562</v>
      </c>
    </row>
    <row r="1375" spans="2:11">
      <c r="B1375" t="s">
        <v>197</v>
      </c>
      <c r="C1375" t="s">
        <v>197</v>
      </c>
      <c r="D1375" t="s">
        <v>197</v>
      </c>
      <c r="E1375" t="s">
        <v>197</v>
      </c>
      <c r="F1375" t="s">
        <v>197</v>
      </c>
      <c r="G1375" t="s">
        <v>197</v>
      </c>
      <c r="H1375" t="s">
        <v>197</v>
      </c>
      <c r="I1375" t="s">
        <v>197</v>
      </c>
      <c r="J1375" t="s">
        <v>197</v>
      </c>
      <c r="K1375" t="s">
        <v>563</v>
      </c>
    </row>
    <row r="1376" spans="2:11">
      <c r="B1376" t="s">
        <v>197</v>
      </c>
      <c r="C1376" t="s">
        <v>197</v>
      </c>
      <c r="D1376" t="s">
        <v>197</v>
      </c>
      <c r="E1376" t="s">
        <v>197</v>
      </c>
      <c r="F1376" t="s">
        <v>197</v>
      </c>
      <c r="G1376" t="s">
        <v>197</v>
      </c>
      <c r="H1376" t="s">
        <v>197</v>
      </c>
      <c r="I1376" t="s">
        <v>197</v>
      </c>
      <c r="J1376" t="s">
        <v>197</v>
      </c>
      <c r="K1376" t="s">
        <v>564</v>
      </c>
    </row>
    <row r="1377" spans="1:24">
      <c r="B1377" t="s">
        <v>197</v>
      </c>
      <c r="C1377" t="s">
        <v>197</v>
      </c>
      <c r="D1377" t="s">
        <v>197</v>
      </c>
      <c r="E1377" t="s">
        <v>197</v>
      </c>
      <c r="F1377" t="s">
        <v>197</v>
      </c>
      <c r="G1377" t="s">
        <v>197</v>
      </c>
      <c r="H1377" t="s">
        <v>197</v>
      </c>
      <c r="I1377" t="s">
        <v>197</v>
      </c>
      <c r="J1377" t="s">
        <v>197</v>
      </c>
      <c r="K1377" t="s">
        <v>565</v>
      </c>
    </row>
    <row r="1378" spans="1:24">
      <c r="B1378" t="s">
        <v>197</v>
      </c>
      <c r="C1378" t="s">
        <v>197</v>
      </c>
      <c r="D1378" t="s">
        <v>197</v>
      </c>
      <c r="E1378" t="s">
        <v>197</v>
      </c>
      <c r="F1378" t="s">
        <v>197</v>
      </c>
      <c r="G1378" t="s">
        <v>197</v>
      </c>
      <c r="H1378" t="s">
        <v>197</v>
      </c>
      <c r="I1378" t="s">
        <v>197</v>
      </c>
      <c r="J1378" t="s">
        <v>197</v>
      </c>
      <c r="K1378" t="s">
        <v>566</v>
      </c>
    </row>
    <row r="1379" spans="1:24">
      <c r="B1379" t="s">
        <v>197</v>
      </c>
      <c r="C1379" t="s">
        <v>197</v>
      </c>
      <c r="D1379" t="s">
        <v>197</v>
      </c>
      <c r="E1379" t="s">
        <v>197</v>
      </c>
      <c r="F1379" t="s">
        <v>197</v>
      </c>
      <c r="G1379" t="s">
        <v>197</v>
      </c>
      <c r="H1379" t="s">
        <v>197</v>
      </c>
      <c r="I1379" t="s">
        <v>197</v>
      </c>
      <c r="J1379" t="s">
        <v>197</v>
      </c>
      <c r="K1379" t="s">
        <v>567</v>
      </c>
    </row>
    <row r="1380" spans="1:24">
      <c r="A1380" t="s">
        <v>1168</v>
      </c>
      <c r="K1380" t="s">
        <v>1169</v>
      </c>
      <c r="W1380" t="s">
        <v>171</v>
      </c>
      <c r="X1380" t="str">
        <f>A1380</f>
        <v>info_varchar_dml_single_pk</v>
      </c>
    </row>
    <row r="1381" spans="1:24">
      <c r="B1381" t="s">
        <v>196</v>
      </c>
      <c r="C1381" t="s">
        <v>197</v>
      </c>
      <c r="D1381" t="s">
        <v>197</v>
      </c>
      <c r="E1381" t="s">
        <v>197</v>
      </c>
      <c r="F1381" t="s">
        <v>197</v>
      </c>
      <c r="G1381" t="s">
        <v>197</v>
      </c>
      <c r="H1381" t="s">
        <v>197</v>
      </c>
      <c r="I1381" t="s">
        <v>1170</v>
      </c>
      <c r="J1381" t="s">
        <v>199</v>
      </c>
      <c r="K1381" t="s">
        <v>200</v>
      </c>
    </row>
    <row r="1382" spans="1:24">
      <c r="B1382" t="s">
        <v>197</v>
      </c>
      <c r="C1382" t="s">
        <v>197</v>
      </c>
      <c r="D1382" t="s">
        <v>197</v>
      </c>
      <c r="E1382" t="s">
        <v>197</v>
      </c>
      <c r="F1382" t="s">
        <v>197</v>
      </c>
      <c r="G1382" t="s">
        <v>197</v>
      </c>
      <c r="H1382" t="s">
        <v>197</v>
      </c>
      <c r="I1382" t="s">
        <v>197</v>
      </c>
      <c r="J1382" t="s">
        <v>197</v>
      </c>
      <c r="K1382" t="s">
        <v>431</v>
      </c>
    </row>
    <row r="1383" spans="1:24">
      <c r="B1383" t="s">
        <v>197</v>
      </c>
      <c r="C1383" t="s">
        <v>197</v>
      </c>
      <c r="D1383" t="s">
        <v>197</v>
      </c>
      <c r="E1383" t="s">
        <v>197</v>
      </c>
      <c r="F1383" t="s">
        <v>197</v>
      </c>
      <c r="G1383" t="s">
        <v>197</v>
      </c>
      <c r="H1383" t="s">
        <v>197</v>
      </c>
      <c r="I1383" t="s">
        <v>197</v>
      </c>
      <c r="J1383" t="s">
        <v>197</v>
      </c>
      <c r="K1383" t="s">
        <v>1056</v>
      </c>
    </row>
    <row r="1384" spans="1:24">
      <c r="B1384" t="s">
        <v>197</v>
      </c>
      <c r="C1384" t="s">
        <v>197</v>
      </c>
      <c r="D1384" t="s">
        <v>197</v>
      </c>
      <c r="E1384" t="s">
        <v>197</v>
      </c>
      <c r="F1384" t="s">
        <v>197</v>
      </c>
      <c r="G1384" t="s">
        <v>197</v>
      </c>
      <c r="H1384" t="s">
        <v>197</v>
      </c>
      <c r="I1384" t="s">
        <v>197</v>
      </c>
      <c r="J1384" t="s">
        <v>197</v>
      </c>
      <c r="K1384" t="s">
        <v>963</v>
      </c>
    </row>
    <row r="1385" spans="1:24">
      <c r="A1385" t="s">
        <v>1171</v>
      </c>
      <c r="K1385" t="s">
        <v>1172</v>
      </c>
      <c r="W1385" s="1" t="str">
        <f>HYPERLINK("#2026042015hbase0!DC2","NO 源备存在差异，共26个")</f>
        <v>NO 源备存在差异，共26个</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5"/>
    <mergeCell ref="A6:A15"/>
    <mergeCell ref="A16:A20"/>
    <mergeCell ref="A21:A23"/>
    <mergeCell ref="A24:A29"/>
    <mergeCell ref="A30:A33"/>
    <mergeCell ref="A34:A36"/>
    <mergeCell ref="A37:A39"/>
    <mergeCell ref="A40:A42"/>
    <mergeCell ref="A43:A47"/>
    <mergeCell ref="A48:A51"/>
    <mergeCell ref="A52:A61"/>
    <mergeCell ref="A62:A66"/>
    <mergeCell ref="A67:A69"/>
    <mergeCell ref="A70:A72"/>
    <mergeCell ref="A73:A77"/>
    <mergeCell ref="A78:A82"/>
    <mergeCell ref="A83:A86"/>
    <mergeCell ref="A87:A89"/>
    <mergeCell ref="A90:A110"/>
    <mergeCell ref="A111:A113"/>
    <mergeCell ref="A114:A116"/>
    <mergeCell ref="A117:A121"/>
    <mergeCell ref="A122:A131"/>
    <mergeCell ref="A132:A134"/>
    <mergeCell ref="A135:A137"/>
    <mergeCell ref="A138:A141"/>
    <mergeCell ref="A142:A147"/>
    <mergeCell ref="A148:A152"/>
    <mergeCell ref="A153:A173"/>
    <mergeCell ref="A174:A176"/>
    <mergeCell ref="A177:A181"/>
    <mergeCell ref="A182:A184"/>
    <mergeCell ref="A185:A189"/>
    <mergeCell ref="A190:A192"/>
    <mergeCell ref="A193:A214"/>
    <mergeCell ref="A215:A220"/>
    <mergeCell ref="A221:A223"/>
    <mergeCell ref="A224:A226"/>
    <mergeCell ref="A227:A231"/>
    <mergeCell ref="A232:A234"/>
    <mergeCell ref="A235:A239"/>
    <mergeCell ref="A240:A242"/>
    <mergeCell ref="A243:A246"/>
    <mergeCell ref="A247:A251"/>
    <mergeCell ref="A252:A254"/>
    <mergeCell ref="A255:A259"/>
    <mergeCell ref="A260:A262"/>
    <mergeCell ref="A263:A268"/>
    <mergeCell ref="A269:A278"/>
    <mergeCell ref="A279:A288"/>
    <mergeCell ref="A289:A293"/>
    <mergeCell ref="A294:A303"/>
    <mergeCell ref="A304:A306"/>
    <mergeCell ref="A307:A327"/>
    <mergeCell ref="A328:A332"/>
    <mergeCell ref="A333:A342"/>
    <mergeCell ref="A343:A348"/>
    <mergeCell ref="A349:A351"/>
    <mergeCell ref="A352:A361"/>
    <mergeCell ref="A362:A367"/>
    <mergeCell ref="A368:A370"/>
    <mergeCell ref="A371:A380"/>
    <mergeCell ref="A381:A385"/>
    <mergeCell ref="A386:A390"/>
    <mergeCell ref="A391:A395"/>
    <mergeCell ref="A396:A406"/>
    <mergeCell ref="A407:A411"/>
    <mergeCell ref="A412:A416"/>
    <mergeCell ref="A417:A426"/>
    <mergeCell ref="A427:A429"/>
    <mergeCell ref="A430:A434"/>
    <mergeCell ref="A435:A444"/>
    <mergeCell ref="A445:A449"/>
    <mergeCell ref="A450:A454"/>
    <mergeCell ref="A455:A457"/>
    <mergeCell ref="A458:A460"/>
    <mergeCell ref="A461:A470"/>
    <mergeCell ref="A471:A473"/>
    <mergeCell ref="A474:A478"/>
    <mergeCell ref="A479:A488"/>
    <mergeCell ref="A489:A492"/>
    <mergeCell ref="A493:A502"/>
    <mergeCell ref="A503:A507"/>
    <mergeCell ref="A508:A512"/>
    <mergeCell ref="A513:A522"/>
    <mergeCell ref="A523:A527"/>
    <mergeCell ref="A528:A537"/>
    <mergeCell ref="A538:A540"/>
    <mergeCell ref="A541:A550"/>
    <mergeCell ref="A551:A555"/>
    <mergeCell ref="A556:A565"/>
    <mergeCell ref="A566:A576"/>
    <mergeCell ref="A577:A579"/>
    <mergeCell ref="A580:A585"/>
    <mergeCell ref="A586:A595"/>
    <mergeCell ref="A596:A605"/>
    <mergeCell ref="A606:A610"/>
    <mergeCell ref="A611:A613"/>
    <mergeCell ref="A614:A623"/>
    <mergeCell ref="A624:A628"/>
    <mergeCell ref="A629:A633"/>
    <mergeCell ref="A634:A643"/>
    <mergeCell ref="A644:A648"/>
    <mergeCell ref="A649:A653"/>
    <mergeCell ref="A654:A663"/>
    <mergeCell ref="A664:A666"/>
    <mergeCell ref="A667:A687"/>
    <mergeCell ref="A688:A690"/>
    <mergeCell ref="A691:A695"/>
    <mergeCell ref="A696:A701"/>
    <mergeCell ref="A702:A704"/>
    <mergeCell ref="A705:A709"/>
    <mergeCell ref="A710:A712"/>
    <mergeCell ref="A713:A716"/>
    <mergeCell ref="A717:A721"/>
    <mergeCell ref="A722:A724"/>
    <mergeCell ref="A725:A745"/>
    <mergeCell ref="A746:A750"/>
    <mergeCell ref="A751:A754"/>
    <mergeCell ref="A755:A760"/>
    <mergeCell ref="A761:A765"/>
    <mergeCell ref="A766:A768"/>
    <mergeCell ref="A769:A774"/>
    <mergeCell ref="A775:A777"/>
    <mergeCell ref="A778:A782"/>
    <mergeCell ref="A783:A785"/>
    <mergeCell ref="A786:A806"/>
    <mergeCell ref="A807:A810"/>
    <mergeCell ref="A811:A831"/>
    <mergeCell ref="A832:A836"/>
    <mergeCell ref="A837:A841"/>
    <mergeCell ref="A842:A844"/>
    <mergeCell ref="A845:A849"/>
    <mergeCell ref="A850:A854"/>
    <mergeCell ref="A855:A859"/>
    <mergeCell ref="A860:A864"/>
    <mergeCell ref="A865:A868"/>
    <mergeCell ref="A869:A871"/>
    <mergeCell ref="A872:A876"/>
    <mergeCell ref="A877:A882"/>
    <mergeCell ref="A883:A886"/>
    <mergeCell ref="A887:A889"/>
    <mergeCell ref="A890:A892"/>
    <mergeCell ref="A893:A895"/>
    <mergeCell ref="A896:A898"/>
    <mergeCell ref="A899:A908"/>
    <mergeCell ref="A909:A914"/>
    <mergeCell ref="A915:A919"/>
    <mergeCell ref="A920:A945"/>
    <mergeCell ref="A946:A955"/>
    <mergeCell ref="A956:A958"/>
    <mergeCell ref="A959:A963"/>
    <mergeCell ref="A964:A968"/>
    <mergeCell ref="A969:A971"/>
    <mergeCell ref="A972:A981"/>
    <mergeCell ref="A982:A986"/>
    <mergeCell ref="A987:A991"/>
    <mergeCell ref="A992:A996"/>
    <mergeCell ref="A997:A999"/>
    <mergeCell ref="A1000:A1004"/>
    <mergeCell ref="A1005:A1014"/>
    <mergeCell ref="A1015:A1020"/>
    <mergeCell ref="A1021:A1025"/>
    <mergeCell ref="A1026:A1031"/>
    <mergeCell ref="A1032:A1057"/>
    <mergeCell ref="A1058:A1083"/>
    <mergeCell ref="A1084:A1104"/>
    <mergeCell ref="A1105:A1109"/>
    <mergeCell ref="A1110:A1112"/>
    <mergeCell ref="A1113:A1122"/>
    <mergeCell ref="A1123:A1125"/>
    <mergeCell ref="A1126:A1135"/>
    <mergeCell ref="A1136:A1140"/>
    <mergeCell ref="A1141:A1150"/>
    <mergeCell ref="A1151:A1176"/>
    <mergeCell ref="A1177:A1186"/>
    <mergeCell ref="A1187:A1189"/>
    <mergeCell ref="A1190:A1199"/>
    <mergeCell ref="A1200:A1204"/>
    <mergeCell ref="A1205:A1215"/>
    <mergeCell ref="A1216:A1236"/>
    <mergeCell ref="A1237:A1239"/>
    <mergeCell ref="A1240:A1249"/>
    <mergeCell ref="A1250:A1252"/>
    <mergeCell ref="A1253:A1257"/>
    <mergeCell ref="A1258:A1267"/>
    <mergeCell ref="A1268:A1272"/>
    <mergeCell ref="A1273:A1275"/>
    <mergeCell ref="A1276:A1280"/>
    <mergeCell ref="A1281:A1290"/>
    <mergeCell ref="A1291:A1311"/>
    <mergeCell ref="A1312:A1314"/>
    <mergeCell ref="A1315:A1319"/>
    <mergeCell ref="A1320:A1322"/>
    <mergeCell ref="A1323:A1343"/>
    <mergeCell ref="A1344:A1353"/>
    <mergeCell ref="A1354:A1358"/>
    <mergeCell ref="A1359:A1379"/>
    <mergeCell ref="A1380:A1384"/>
    <mergeCell ref="A1385:A1387"/>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87"/>
  <sheetViews>
    <sheetView topLeftCell="AQ16" workbookViewId="0">
      <selection activeCell="AH2" sqref="AH2"/>
    </sheetView>
  </sheetViews>
  <sheetFormatPr defaultColWidth="9" defaultRowHeight="13.5"/>
  <cols>
    <col min="25" max="25" width="50.375" style="2" customWidth="1"/>
    <col min="26" max="26" width="106.375" style="2" customWidth="1"/>
    <col min="27" max="27" width="200" style="2" customWidth="1"/>
    <col min="28" max="28" width="15.25" style="2" customWidth="1"/>
    <col min="29" max="29" width="217.375" style="2" customWidth="1"/>
    <col min="30" max="30" width="71.625" style="2" customWidth="1"/>
    <col min="31" max="31" width="4.625" style="2" customWidth="1"/>
    <col min="34" max="35" width="91" style="2" customWidth="1"/>
    <col min="36" max="37" width="255.625" style="2" customWidth="1"/>
    <col min="38" max="38" width="135" style="2" customWidth="1"/>
    <col min="39" max="39" width="50.25" style="2" customWidth="1"/>
    <col min="42" max="42" width="255.625" style="2" customWidth="1"/>
    <col min="43" max="43" width="13" style="2" customWidth="1"/>
    <col min="44" max="44" width="255.625" style="2" customWidth="1"/>
  </cols>
  <sheetData>
    <row r="1" spans="1:46">
      <c r="A1" t="s">
        <v>1303</v>
      </c>
      <c r="E1" t="s">
        <v>1196</v>
      </c>
    </row>
    <row r="2" spans="1:46">
      <c r="A2" t="s">
        <v>157</v>
      </c>
      <c r="B2" t="s">
        <v>158</v>
      </c>
      <c r="C2" t="s">
        <v>159</v>
      </c>
      <c r="D2" t="s">
        <v>160</v>
      </c>
      <c r="E2" t="s">
        <v>161</v>
      </c>
      <c r="F2" t="s">
        <v>162</v>
      </c>
      <c r="G2" t="s">
        <v>163</v>
      </c>
      <c r="H2" t="s">
        <v>164</v>
      </c>
      <c r="I2" t="s">
        <v>165</v>
      </c>
      <c r="J2" t="s">
        <v>166</v>
      </c>
      <c r="K2" t="s">
        <v>167</v>
      </c>
      <c r="W2" t="s">
        <v>168</v>
      </c>
      <c r="Y2" s="1" t="str">
        <f>HYPERLINK("#2026042015hbase1!W62","info_geometry_dml_single_pk_urp")</f>
        <v>info_geometry_dml_single_pk_urp</v>
      </c>
      <c r="Z2" s="1" t="str">
        <f>HYPERLINK("#2026042015hbase1!W119","info_xml_dml_single_pk_urp")</f>
        <v>info_xml_dml_single_pk_urp</v>
      </c>
      <c r="AA2" s="1" t="str">
        <f>HYPERLINK("#2026042015hbase1!W148","info_int_dml_batch1_pk_urp2")</f>
        <v>info_int_dml_batch1_pk_urp2</v>
      </c>
      <c r="AB2" s="1" t="str">
        <f>HYPERLINK("#2026042015hbase1!W240","info_geometry_dml_single_pk")</f>
        <v>info_geometry_dml_single_pk</v>
      </c>
      <c r="AC2" s="1" t="str">
        <f>HYPERLINK("#2026042015hbase1!W302","info_int_dml_batch1_pk_drp2")</f>
        <v>info_int_dml_batch1_pk_drp2</v>
      </c>
      <c r="AD2" s="1" t="str">
        <f>HYPERLINK("#2026042015hbase1!W344","info_hierarchyid_dml_single_pk_irp")</f>
        <v>info_hierarchyid_dml_single_pk_irp</v>
      </c>
      <c r="AE2" s="3" t="str">
        <f>HYPERLINK("#2026042015hbase1!W675","info_int_dml_single_pk_irp")</f>
        <v>info_int_dml_single_pk_irp</v>
      </c>
      <c r="AF2" s="1" t="str">
        <f>HYPERLINK("#2026042015hbase1!W722","info_int_dml_single_pk_urp")</f>
        <v>info_int_dml_single_pk_urp</v>
      </c>
      <c r="AG2" s="1" t="str">
        <f>HYPERLINK("#2026042015hbase1!W786","info_int_dml_single_pk_drp")</f>
        <v>info_int_dml_single_pk_drp</v>
      </c>
      <c r="AH2" s="3" t="str">
        <f>HYPERLINK("#2026042015hbase1!W842","info_timestamp_dml_single_pk_irp")</f>
        <v>info_timestamp_dml_single_pk_irp</v>
      </c>
      <c r="AI2" s="1" t="str">
        <f>HYPERLINK("#2026042015hbase1!W888","info_timestamp_dml_single_pk_drp")</f>
        <v>info_timestamp_dml_single_pk_drp</v>
      </c>
      <c r="AJ2" s="1" t="str">
        <f>HYPERLINK("#2026042015hbase1!W930","info_sql_variant_dml_single_pk_irp")</f>
        <v>info_sql_variant_dml_single_pk_irp</v>
      </c>
      <c r="AK2" s="1" t="str">
        <f>HYPERLINK("#2026042015hbase1!W992","info_geography_dml_single_pk_irp")</f>
        <v>info_geography_dml_single_pk_irp</v>
      </c>
      <c r="AL2" s="1" t="str">
        <f>HYPERLINK("#2026042015hbase1!W1026","info_sql_variant_dml_single_pk_urp")</f>
        <v>info_sql_variant_dml_single_pk_urp</v>
      </c>
      <c r="AM2" s="1" t="str">
        <f>HYPERLINK("#2026042015hbase1!W1063","info_int_dml_batch1_pk_irp1")</f>
        <v>info_int_dml_batch1_pk_irp1</v>
      </c>
      <c r="AN2" s="1" t="str">
        <f>HYPERLINK("#2026042015hbase1!W1084","info_sql_variant_dml_single_pk_drp")</f>
        <v>info_sql_variant_dml_single_pk_drp</v>
      </c>
      <c r="AO2" s="1" t="str">
        <f>HYPERLINK("#2026042015hbase1!W1123","info_geography_dml_single_pk_urp")</f>
        <v>info_geography_dml_single_pk_urp</v>
      </c>
      <c r="AP2" s="4" t="str">
        <f>HYPERLINK("#2026042015hbase1!W1141","info_sql_variant_dml_single_pk")</f>
        <v>info_sql_variant_dml_single_pk</v>
      </c>
      <c r="AQ2" s="1" t="str">
        <f>HYPERLINK("#2026042015hbase1!W1219","info_int_dml_batch1_pk_irp2")</f>
        <v>info_int_dml_batch1_pk_irp2</v>
      </c>
      <c r="AR2" s="1" t="str">
        <f>HYPERLINK("#2026042015hbase1!W1240","info_geography_dml_single_pk_drp")</f>
        <v>info_geography_dml_single_pk_drp</v>
      </c>
      <c r="AS2" s="1" t="str">
        <f>HYPERLINK("#2026042015hbase1!W1328","info_int_dml_batch2_pk_irp1")</f>
        <v>info_int_dml_batch2_pk_irp1</v>
      </c>
      <c r="AT2" s="1" t="str">
        <f>HYPERLINK("#2026042015hbase1!W1367","info_int_dml_batch2_pk_irp2")</f>
        <v>info_int_dml_batch2_pk_irp2</v>
      </c>
    </row>
    <row r="3" spans="1:46">
      <c r="A3" t="s">
        <v>169</v>
      </c>
      <c r="K3" t="s">
        <v>170</v>
      </c>
      <c r="W3" t="s">
        <v>171</v>
      </c>
      <c r="X3" t="str">
        <f>A3</f>
        <v>info_text_dml_single_pk_irp</v>
      </c>
      <c r="Y3" t="s">
        <v>173</v>
      </c>
      <c r="Z3" t="s">
        <v>174</v>
      </c>
      <c r="AA3" t="s">
        <v>1198</v>
      </c>
      <c r="AB3" t="s">
        <v>175</v>
      </c>
      <c r="AC3" t="s">
        <v>2252</v>
      </c>
      <c r="AD3" t="s">
        <v>177</v>
      </c>
      <c r="AE3" t="s">
        <v>2253</v>
      </c>
      <c r="AF3" t="s">
        <v>2253</v>
      </c>
      <c r="AG3" t="s">
        <v>2253</v>
      </c>
      <c r="AH3" t="s">
        <v>184</v>
      </c>
      <c r="AI3" t="s">
        <v>187</v>
      </c>
      <c r="AJ3" t="s">
        <v>189</v>
      </c>
      <c r="AK3" t="s">
        <v>190</v>
      </c>
      <c r="AL3" t="s">
        <v>191</v>
      </c>
      <c r="AM3" t="s">
        <v>2253</v>
      </c>
      <c r="AN3" t="s">
        <v>192</v>
      </c>
      <c r="AO3" t="s">
        <v>193</v>
      </c>
      <c r="AP3" t="s">
        <v>194</v>
      </c>
      <c r="AQ3" t="s">
        <v>2253</v>
      </c>
      <c r="AR3" t="s">
        <v>195</v>
      </c>
      <c r="AS3" t="s">
        <v>2253</v>
      </c>
      <c r="AT3" t="s">
        <v>2253</v>
      </c>
    </row>
    <row r="4" spans="1:46">
      <c r="B4" t="s">
        <v>196</v>
      </c>
      <c r="C4" t="s">
        <v>197</v>
      </c>
      <c r="D4" t="s">
        <v>197</v>
      </c>
      <c r="E4" t="s">
        <v>197</v>
      </c>
      <c r="F4" t="s">
        <v>197</v>
      </c>
      <c r="G4" t="s">
        <v>197</v>
      </c>
      <c r="H4" t="s">
        <v>197</v>
      </c>
      <c r="I4" t="s">
        <v>198</v>
      </c>
      <c r="J4" t="s">
        <v>199</v>
      </c>
      <c r="K4" t="s">
        <v>200</v>
      </c>
      <c r="Y4" t="s">
        <v>175</v>
      </c>
      <c r="Z4" t="s">
        <v>202</v>
      </c>
      <c r="AA4" t="s">
        <v>1201</v>
      </c>
      <c r="AB4" t="s">
        <v>203</v>
      </c>
      <c r="AC4" t="s">
        <v>2254</v>
      </c>
      <c r="AD4" t="s">
        <v>206</v>
      </c>
      <c r="AE4" t="s">
        <v>2255</v>
      </c>
      <c r="AF4" t="s">
        <v>2255</v>
      </c>
      <c r="AG4" t="s">
        <v>2255</v>
      </c>
      <c r="AH4" t="s">
        <v>216</v>
      </c>
      <c r="AI4" t="s">
        <v>219</v>
      </c>
      <c r="AJ4" t="s">
        <v>221</v>
      </c>
      <c r="AK4" t="s">
        <v>195</v>
      </c>
      <c r="AL4" t="s">
        <v>223</v>
      </c>
      <c r="AM4" t="s">
        <v>2252</v>
      </c>
      <c r="AN4" t="s">
        <v>224</v>
      </c>
      <c r="AO4" t="s">
        <v>225</v>
      </c>
      <c r="AP4" t="s">
        <v>226</v>
      </c>
      <c r="AQ4" t="s">
        <v>2252</v>
      </c>
      <c r="AR4" t="s">
        <v>227</v>
      </c>
      <c r="AS4" t="s">
        <v>2252</v>
      </c>
      <c r="AT4" t="s">
        <v>2252</v>
      </c>
    </row>
    <row r="5" spans="1:46">
      <c r="B5" t="s">
        <v>197</v>
      </c>
      <c r="C5" t="s">
        <v>197</v>
      </c>
      <c r="D5" t="s">
        <v>197</v>
      </c>
      <c r="E5" t="s">
        <v>197</v>
      </c>
      <c r="F5" t="s">
        <v>197</v>
      </c>
      <c r="G5" t="s">
        <v>197</v>
      </c>
      <c r="H5" t="s">
        <v>197</v>
      </c>
      <c r="I5" t="s">
        <v>197</v>
      </c>
      <c r="J5" t="s">
        <v>197</v>
      </c>
      <c r="K5" t="s">
        <v>229</v>
      </c>
      <c r="Y5" t="s">
        <v>230</v>
      </c>
      <c r="Z5" t="s">
        <v>231</v>
      </c>
      <c r="AA5" t="s">
        <v>1228</v>
      </c>
      <c r="AC5" t="s">
        <v>2256</v>
      </c>
      <c r="AD5" t="s">
        <v>234</v>
      </c>
      <c r="AE5" t="s">
        <v>1207</v>
      </c>
      <c r="AF5" t="s">
        <v>2257</v>
      </c>
      <c r="AG5" t="s">
        <v>1207</v>
      </c>
      <c r="AH5" t="s">
        <v>219</v>
      </c>
      <c r="AJ5" t="s">
        <v>245</v>
      </c>
      <c r="AK5" t="s">
        <v>227</v>
      </c>
      <c r="AL5" t="s">
        <v>247</v>
      </c>
      <c r="AM5" t="s">
        <v>2254</v>
      </c>
      <c r="AO5" t="s">
        <v>248</v>
      </c>
      <c r="AQ5" t="s">
        <v>2254</v>
      </c>
      <c r="AR5" t="s">
        <v>249</v>
      </c>
      <c r="AS5" t="s">
        <v>2254</v>
      </c>
      <c r="AT5" t="s">
        <v>2254</v>
      </c>
    </row>
    <row r="6" spans="1:46">
      <c r="B6" t="s">
        <v>197</v>
      </c>
      <c r="C6" t="s">
        <v>197</v>
      </c>
      <c r="D6" t="s">
        <v>197</v>
      </c>
      <c r="E6" t="s">
        <v>197</v>
      </c>
      <c r="F6" t="s">
        <v>197</v>
      </c>
      <c r="G6" t="s">
        <v>197</v>
      </c>
      <c r="H6" t="s">
        <v>197</v>
      </c>
      <c r="I6" t="s">
        <v>197</v>
      </c>
      <c r="J6" t="s">
        <v>197</v>
      </c>
      <c r="K6" t="s">
        <v>251</v>
      </c>
      <c r="Y6" t="s">
        <v>253</v>
      </c>
      <c r="Z6" t="s">
        <v>254</v>
      </c>
      <c r="AA6" t="s">
        <v>1230</v>
      </c>
      <c r="AC6" t="s">
        <v>2258</v>
      </c>
      <c r="AD6" t="s">
        <v>257</v>
      </c>
      <c r="AE6" t="s">
        <v>2257</v>
      </c>
      <c r="AF6" t="s">
        <v>2259</v>
      </c>
      <c r="AG6" t="s">
        <v>2257</v>
      </c>
      <c r="AH6" t="s">
        <v>263</v>
      </c>
      <c r="AJ6" t="s">
        <v>268</v>
      </c>
      <c r="AK6" t="s">
        <v>270</v>
      </c>
      <c r="AL6" t="s">
        <v>272</v>
      </c>
      <c r="AM6" t="s">
        <v>2256</v>
      </c>
      <c r="AO6" t="s">
        <v>273</v>
      </c>
      <c r="AQ6" t="s">
        <v>2256</v>
      </c>
      <c r="AR6" t="s">
        <v>275</v>
      </c>
      <c r="AS6" t="s">
        <v>2256</v>
      </c>
      <c r="AT6" t="s">
        <v>2256</v>
      </c>
    </row>
    <row r="7" spans="1:46">
      <c r="A7" t="s">
        <v>277</v>
      </c>
      <c r="K7" t="s">
        <v>278</v>
      </c>
      <c r="W7" t="s">
        <v>171</v>
      </c>
      <c r="X7" t="str">
        <f>A7</f>
        <v>info_datetimeoffset_dml_single_pk_urp</v>
      </c>
      <c r="Y7" t="s">
        <v>203</v>
      </c>
      <c r="AA7" t="s">
        <v>1236</v>
      </c>
      <c r="AC7" t="s">
        <v>2260</v>
      </c>
      <c r="AE7" t="s">
        <v>2259</v>
      </c>
      <c r="AG7" t="s">
        <v>2259</v>
      </c>
      <c r="AK7" t="s">
        <v>288</v>
      </c>
      <c r="AM7" t="s">
        <v>2255</v>
      </c>
      <c r="AQ7" t="s">
        <v>2255</v>
      </c>
      <c r="AS7" t="s">
        <v>2255</v>
      </c>
      <c r="AT7" t="s">
        <v>2255</v>
      </c>
    </row>
    <row r="8" spans="1:46">
      <c r="B8" t="s">
        <v>196</v>
      </c>
      <c r="C8" t="s">
        <v>197</v>
      </c>
      <c r="D8" t="s">
        <v>197</v>
      </c>
      <c r="E8" t="s">
        <v>197</v>
      </c>
      <c r="F8" t="s">
        <v>197</v>
      </c>
      <c r="G8" t="s">
        <v>197</v>
      </c>
      <c r="H8" t="s">
        <v>197</v>
      </c>
      <c r="I8" t="s">
        <v>291</v>
      </c>
      <c r="J8" t="s">
        <v>199</v>
      </c>
      <c r="K8" t="s">
        <v>200</v>
      </c>
      <c r="Y8" t="s">
        <v>292</v>
      </c>
      <c r="AA8" t="s">
        <v>1239</v>
      </c>
      <c r="AC8" t="s">
        <v>2261</v>
      </c>
      <c r="AE8" t="s">
        <v>2262</v>
      </c>
      <c r="AG8" t="s">
        <v>2262</v>
      </c>
      <c r="AK8" t="s">
        <v>249</v>
      </c>
      <c r="AM8" t="s">
        <v>2258</v>
      </c>
      <c r="AQ8" t="s">
        <v>2258</v>
      </c>
      <c r="AS8" t="s">
        <v>2258</v>
      </c>
      <c r="AT8" t="s">
        <v>2258</v>
      </c>
    </row>
    <row r="9" spans="1:46">
      <c r="B9" t="s">
        <v>197</v>
      </c>
      <c r="C9" t="s">
        <v>197</v>
      </c>
      <c r="D9" t="s">
        <v>197</v>
      </c>
      <c r="E9" t="s">
        <v>197</v>
      </c>
      <c r="F9" t="s">
        <v>197</v>
      </c>
      <c r="G9" t="s">
        <v>197</v>
      </c>
      <c r="H9" t="s">
        <v>197</v>
      </c>
      <c r="I9" t="s">
        <v>197</v>
      </c>
      <c r="J9" t="s">
        <v>197</v>
      </c>
      <c r="K9" t="s">
        <v>301</v>
      </c>
      <c r="AA9" t="s">
        <v>1245</v>
      </c>
      <c r="AC9" t="s">
        <v>2263</v>
      </c>
      <c r="AK9" t="s">
        <v>275</v>
      </c>
      <c r="AM9" t="s">
        <v>1219</v>
      </c>
      <c r="AQ9" t="s">
        <v>2264</v>
      </c>
      <c r="AS9" t="s">
        <v>1219</v>
      </c>
      <c r="AT9" t="s">
        <v>2264</v>
      </c>
    </row>
    <row r="10" spans="1:46">
      <c r="B10" t="s">
        <v>197</v>
      </c>
      <c r="C10" t="s">
        <v>197</v>
      </c>
      <c r="D10" t="s">
        <v>197</v>
      </c>
      <c r="E10" t="s">
        <v>197</v>
      </c>
      <c r="F10" t="s">
        <v>197</v>
      </c>
      <c r="G10" t="s">
        <v>197</v>
      </c>
      <c r="H10" t="s">
        <v>197</v>
      </c>
      <c r="I10" t="s">
        <v>197</v>
      </c>
      <c r="J10" t="s">
        <v>197</v>
      </c>
      <c r="K10" t="s">
        <v>314</v>
      </c>
      <c r="AA10" t="s">
        <v>1249</v>
      </c>
      <c r="AC10" t="s">
        <v>2265</v>
      </c>
      <c r="AK10" t="s">
        <v>321</v>
      </c>
      <c r="AM10" t="s">
        <v>312</v>
      </c>
      <c r="AQ10" t="s">
        <v>2266</v>
      </c>
      <c r="AS10" t="s">
        <v>312</v>
      </c>
      <c r="AT10" t="s">
        <v>2266</v>
      </c>
    </row>
    <row r="11" spans="1:46">
      <c r="B11" t="s">
        <v>197</v>
      </c>
      <c r="C11" t="s">
        <v>197</v>
      </c>
      <c r="D11" t="s">
        <v>197</v>
      </c>
      <c r="E11" t="s">
        <v>197</v>
      </c>
      <c r="F11" t="s">
        <v>197</v>
      </c>
      <c r="G11" t="s">
        <v>197</v>
      </c>
      <c r="H11" t="s">
        <v>197</v>
      </c>
      <c r="I11" t="s">
        <v>197</v>
      </c>
      <c r="J11" t="s">
        <v>197</v>
      </c>
      <c r="K11" t="s">
        <v>324</v>
      </c>
      <c r="AA11" t="s">
        <v>1251</v>
      </c>
      <c r="AM11" t="s">
        <v>2257</v>
      </c>
      <c r="AQ11" t="s">
        <v>1226</v>
      </c>
      <c r="AS11" t="s">
        <v>2257</v>
      </c>
      <c r="AT11" t="s">
        <v>1226</v>
      </c>
    </row>
    <row r="12" spans="1:46">
      <c r="B12" t="s">
        <v>197</v>
      </c>
      <c r="C12" t="s">
        <v>197</v>
      </c>
      <c r="D12" t="s">
        <v>197</v>
      </c>
      <c r="E12" t="s">
        <v>197</v>
      </c>
      <c r="F12" t="s">
        <v>197</v>
      </c>
      <c r="G12" t="s">
        <v>197</v>
      </c>
      <c r="H12" t="s">
        <v>197</v>
      </c>
      <c r="I12" t="s">
        <v>197</v>
      </c>
      <c r="J12" t="s">
        <v>197</v>
      </c>
      <c r="K12" t="s">
        <v>335</v>
      </c>
      <c r="AA12" t="s">
        <v>1253</v>
      </c>
      <c r="AM12" t="s">
        <v>2259</v>
      </c>
      <c r="AQ12" t="s">
        <v>2267</v>
      </c>
      <c r="AS12" t="s">
        <v>2259</v>
      </c>
      <c r="AT12" t="s">
        <v>2267</v>
      </c>
    </row>
    <row r="13" spans="1:46">
      <c r="B13" t="s">
        <v>197</v>
      </c>
      <c r="C13" t="s">
        <v>197</v>
      </c>
      <c r="D13" t="s">
        <v>197</v>
      </c>
      <c r="E13" t="s">
        <v>197</v>
      </c>
      <c r="F13" t="s">
        <v>197</v>
      </c>
      <c r="G13" t="s">
        <v>197</v>
      </c>
      <c r="H13" t="s">
        <v>197</v>
      </c>
      <c r="I13" t="s">
        <v>197</v>
      </c>
      <c r="J13" t="s">
        <v>197</v>
      </c>
      <c r="K13" t="s">
        <v>350</v>
      </c>
      <c r="AA13" t="s">
        <v>1256</v>
      </c>
      <c r="AM13" t="s">
        <v>2268</v>
      </c>
      <c r="AQ13" t="s">
        <v>2269</v>
      </c>
      <c r="AS13" t="s">
        <v>2268</v>
      </c>
      <c r="AT13" t="s">
        <v>2269</v>
      </c>
    </row>
    <row r="14" spans="1:46">
      <c r="B14" t="s">
        <v>197</v>
      </c>
      <c r="C14" t="s">
        <v>197</v>
      </c>
      <c r="D14" t="s">
        <v>197</v>
      </c>
      <c r="E14" t="s">
        <v>197</v>
      </c>
      <c r="F14" t="s">
        <v>197</v>
      </c>
      <c r="G14" t="s">
        <v>197</v>
      </c>
      <c r="H14" t="s">
        <v>197</v>
      </c>
      <c r="I14" t="s">
        <v>197</v>
      </c>
      <c r="J14" t="s">
        <v>197</v>
      </c>
      <c r="K14" t="s">
        <v>360</v>
      </c>
      <c r="AA14" t="s">
        <v>1262</v>
      </c>
      <c r="AM14" t="s">
        <v>346</v>
      </c>
      <c r="AQ14" t="s">
        <v>2270</v>
      </c>
      <c r="AS14" t="s">
        <v>346</v>
      </c>
      <c r="AT14" t="s">
        <v>2270</v>
      </c>
    </row>
    <row r="15" spans="1:46">
      <c r="B15" t="s">
        <v>197</v>
      </c>
      <c r="C15" t="s">
        <v>197</v>
      </c>
      <c r="D15" t="s">
        <v>197</v>
      </c>
      <c r="E15" t="s">
        <v>197</v>
      </c>
      <c r="F15" t="s">
        <v>197</v>
      </c>
      <c r="G15" t="s">
        <v>197</v>
      </c>
      <c r="H15" t="s">
        <v>197</v>
      </c>
      <c r="I15" t="s">
        <v>197</v>
      </c>
      <c r="J15" t="s">
        <v>197</v>
      </c>
      <c r="K15" t="s">
        <v>367</v>
      </c>
      <c r="AA15" t="s">
        <v>1266</v>
      </c>
      <c r="AC15">
        <v>-3.402823466e+38</v>
      </c>
      <c r="AM15" t="s">
        <v>2260</v>
      </c>
      <c r="AQ15" t="s">
        <v>2271</v>
      </c>
      <c r="AS15" t="s">
        <v>2260</v>
      </c>
      <c r="AT15" t="s">
        <v>2271</v>
      </c>
    </row>
    <row r="16" spans="1:46">
      <c r="B16" t="s">
        <v>197</v>
      </c>
      <c r="C16" t="s">
        <v>197</v>
      </c>
      <c r="D16" t="s">
        <v>197</v>
      </c>
      <c r="E16" t="s">
        <v>197</v>
      </c>
      <c r="F16" t="s">
        <v>197</v>
      </c>
      <c r="G16" t="s">
        <v>197</v>
      </c>
      <c r="H16" t="s">
        <v>197</v>
      </c>
      <c r="I16" t="s">
        <v>197</v>
      </c>
      <c r="J16" t="s">
        <v>197</v>
      </c>
      <c r="K16" t="s">
        <v>373</v>
      </c>
      <c r="AA16" t="s">
        <v>1285</v>
      </c>
      <c r="AC16" s="5"/>
      <c r="AM16" t="s">
        <v>2261</v>
      </c>
      <c r="AQ16" t="s">
        <v>1219</v>
      </c>
      <c r="AS16" t="s">
        <v>2261</v>
      </c>
      <c r="AT16" t="s">
        <v>1219</v>
      </c>
    </row>
    <row r="17" spans="1:46">
      <c r="A17" t="s">
        <v>380</v>
      </c>
      <c r="K17" t="s">
        <v>381</v>
      </c>
      <c r="W17" t="s">
        <v>171</v>
      </c>
      <c r="X17" t="str">
        <f>A17</f>
        <v>info_geometry_dml_single_pk_irp</v>
      </c>
      <c r="AM17" t="s">
        <v>2263</v>
      </c>
      <c r="AQ17" t="s">
        <v>371</v>
      </c>
      <c r="AS17" t="s">
        <v>2263</v>
      </c>
      <c r="AT17" t="s">
        <v>371</v>
      </c>
    </row>
    <row r="18" spans="1:46">
      <c r="B18" t="s">
        <v>196</v>
      </c>
      <c r="C18" t="s">
        <v>197</v>
      </c>
      <c r="D18" t="s">
        <v>197</v>
      </c>
      <c r="E18" t="s">
        <v>197</v>
      </c>
      <c r="F18" t="s">
        <v>197</v>
      </c>
      <c r="G18" t="s">
        <v>197</v>
      </c>
      <c r="H18" t="s">
        <v>197</v>
      </c>
      <c r="I18" t="s">
        <v>385</v>
      </c>
      <c r="J18" t="s">
        <v>199</v>
      </c>
      <c r="K18" t="s">
        <v>200</v>
      </c>
      <c r="AM18" t="s">
        <v>2265</v>
      </c>
      <c r="AQ18" t="s">
        <v>378</v>
      </c>
      <c r="AS18" t="s">
        <v>2265</v>
      </c>
      <c r="AT18" t="s">
        <v>378</v>
      </c>
    </row>
    <row r="19" spans="1:46">
      <c r="B19" t="s">
        <v>197</v>
      </c>
      <c r="C19" t="s">
        <v>197</v>
      </c>
      <c r="D19" t="s">
        <v>197</v>
      </c>
      <c r="E19" t="s">
        <v>197</v>
      </c>
      <c r="F19" t="s">
        <v>197</v>
      </c>
      <c r="G19" t="s">
        <v>197</v>
      </c>
      <c r="H19" t="s">
        <v>197</v>
      </c>
      <c r="I19" t="s">
        <v>197</v>
      </c>
      <c r="J19" t="s">
        <v>197</v>
      </c>
      <c r="K19" t="s">
        <v>393</v>
      </c>
      <c r="AQ19" t="s">
        <v>312</v>
      </c>
      <c r="AT19" t="s">
        <v>312</v>
      </c>
    </row>
    <row r="20" spans="1:46">
      <c r="A20" t="s">
        <v>417</v>
      </c>
      <c r="K20" t="s">
        <v>418</v>
      </c>
      <c r="W20" t="s">
        <v>171</v>
      </c>
      <c r="X20" t="str">
        <f>A20</f>
        <v>info_sdt_dml_batch2_pk_irp2</v>
      </c>
      <c r="AQ20" t="s">
        <v>2272</v>
      </c>
      <c r="AT20" t="s">
        <v>2272</v>
      </c>
    </row>
    <row r="21" spans="1:46">
      <c r="B21" t="s">
        <v>196</v>
      </c>
      <c r="C21" t="s">
        <v>197</v>
      </c>
      <c r="D21" t="s">
        <v>197</v>
      </c>
      <c r="E21" t="s">
        <v>197</v>
      </c>
      <c r="F21" t="s">
        <v>197</v>
      </c>
      <c r="G21" t="s">
        <v>197</v>
      </c>
      <c r="H21" t="s">
        <v>197</v>
      </c>
      <c r="I21" t="s">
        <v>420</v>
      </c>
      <c r="J21" t="s">
        <v>199</v>
      </c>
      <c r="K21" t="s">
        <v>200</v>
      </c>
      <c r="AQ21" t="s">
        <v>2273</v>
      </c>
      <c r="AT21" t="s">
        <v>2273</v>
      </c>
    </row>
    <row r="22" spans="1:46">
      <c r="B22" t="s">
        <v>197</v>
      </c>
      <c r="C22" t="s">
        <v>197</v>
      </c>
      <c r="D22" t="s">
        <v>197</v>
      </c>
      <c r="E22" t="s">
        <v>197</v>
      </c>
      <c r="F22" t="s">
        <v>197</v>
      </c>
      <c r="G22" t="s">
        <v>197</v>
      </c>
      <c r="H22" t="s">
        <v>197</v>
      </c>
      <c r="I22" t="s">
        <v>197</v>
      </c>
      <c r="J22" t="s">
        <v>197</v>
      </c>
      <c r="K22" t="s">
        <v>422</v>
      </c>
      <c r="AQ22" t="s">
        <v>2274</v>
      </c>
      <c r="AT22" t="s">
        <v>2274</v>
      </c>
    </row>
    <row r="23" spans="1:46">
      <c r="A23" t="s">
        <v>423</v>
      </c>
      <c r="K23" t="s">
        <v>424</v>
      </c>
      <c r="W23" t="s">
        <v>171</v>
      </c>
      <c r="X23" t="str">
        <f>A23</f>
        <v>info_varchar_dml_batch1_pk_drp1</v>
      </c>
      <c r="AQ23" t="s">
        <v>2275</v>
      </c>
      <c r="AT23" t="s">
        <v>2257</v>
      </c>
    </row>
    <row r="24" spans="1:46">
      <c r="B24" t="s">
        <v>196</v>
      </c>
      <c r="C24" t="s">
        <v>197</v>
      </c>
      <c r="D24" t="s">
        <v>197</v>
      </c>
      <c r="E24" t="s">
        <v>197</v>
      </c>
      <c r="F24" t="s">
        <v>197</v>
      </c>
      <c r="G24" t="s">
        <v>197</v>
      </c>
      <c r="H24" t="s">
        <v>197</v>
      </c>
      <c r="I24" t="s">
        <v>427</v>
      </c>
      <c r="J24" t="s">
        <v>199</v>
      </c>
      <c r="K24" t="s">
        <v>200</v>
      </c>
      <c r="AQ24" t="s">
        <v>2276</v>
      </c>
      <c r="AT24" t="s">
        <v>2259</v>
      </c>
    </row>
    <row r="25" spans="1:46">
      <c r="B25" t="s">
        <v>197</v>
      </c>
      <c r="C25" t="s">
        <v>197</v>
      </c>
      <c r="D25" t="s">
        <v>197</v>
      </c>
      <c r="E25" t="s">
        <v>197</v>
      </c>
      <c r="F25" t="s">
        <v>197</v>
      </c>
      <c r="G25" t="s">
        <v>197</v>
      </c>
      <c r="H25" t="s">
        <v>197</v>
      </c>
      <c r="I25" t="s">
        <v>197</v>
      </c>
      <c r="J25" t="s">
        <v>197</v>
      </c>
      <c r="K25" t="s">
        <v>431</v>
      </c>
      <c r="AQ25" t="s">
        <v>2277</v>
      </c>
      <c r="AT25" t="s">
        <v>2268</v>
      </c>
    </row>
    <row r="26" spans="1:46">
      <c r="B26" t="s">
        <v>197</v>
      </c>
      <c r="C26" t="s">
        <v>197</v>
      </c>
      <c r="D26" t="s">
        <v>197</v>
      </c>
      <c r="E26" t="s">
        <v>197</v>
      </c>
      <c r="F26" t="s">
        <v>197</v>
      </c>
      <c r="G26" t="s">
        <v>197</v>
      </c>
      <c r="H26" t="s">
        <v>197</v>
      </c>
      <c r="I26" t="s">
        <v>197</v>
      </c>
      <c r="J26" t="s">
        <v>197</v>
      </c>
      <c r="K26" t="s">
        <v>434</v>
      </c>
      <c r="AQ26" t="s">
        <v>2257</v>
      </c>
      <c r="AT26" t="s">
        <v>346</v>
      </c>
    </row>
    <row r="27" spans="1:46">
      <c r="B27" t="s">
        <v>197</v>
      </c>
      <c r="C27" t="s">
        <v>197</v>
      </c>
      <c r="D27" t="s">
        <v>197</v>
      </c>
      <c r="E27" t="s">
        <v>197</v>
      </c>
      <c r="F27" t="s">
        <v>197</v>
      </c>
      <c r="G27" t="s">
        <v>197</v>
      </c>
      <c r="H27" t="s">
        <v>197</v>
      </c>
      <c r="I27" t="s">
        <v>197</v>
      </c>
      <c r="J27" t="s">
        <v>197</v>
      </c>
      <c r="K27" t="s">
        <v>439</v>
      </c>
      <c r="AQ27" t="s">
        <v>2259</v>
      </c>
      <c r="AT27" t="s">
        <v>2260</v>
      </c>
    </row>
    <row r="28" spans="1:46">
      <c r="K28" t="s">
        <v>443</v>
      </c>
      <c r="AQ28" t="s">
        <v>2268</v>
      </c>
      <c r="AT28" t="s">
        <v>2261</v>
      </c>
    </row>
    <row r="29" spans="1:46">
      <c r="A29" t="s">
        <v>397</v>
      </c>
      <c r="K29" t="s">
        <v>398</v>
      </c>
      <c r="W29" t="s">
        <v>171</v>
      </c>
      <c r="X29" t="str">
        <f>A29</f>
        <v>info_nvarchar_dml_batch1_pk_urp1</v>
      </c>
      <c r="AQ29" t="s">
        <v>346</v>
      </c>
      <c r="AT29" t="s">
        <v>2263</v>
      </c>
    </row>
    <row r="30" spans="1:46">
      <c r="B30" t="s">
        <v>196</v>
      </c>
      <c r="C30" t="s">
        <v>197</v>
      </c>
      <c r="D30" t="s">
        <v>197</v>
      </c>
      <c r="E30" t="s">
        <v>197</v>
      </c>
      <c r="F30" t="s">
        <v>197</v>
      </c>
      <c r="G30" t="s">
        <v>197</v>
      </c>
      <c r="H30" t="s">
        <v>197</v>
      </c>
      <c r="I30" t="s">
        <v>403</v>
      </c>
      <c r="J30" t="s">
        <v>199</v>
      </c>
      <c r="K30" t="s">
        <v>200</v>
      </c>
      <c r="AQ30" t="s">
        <v>2260</v>
      </c>
      <c r="AT30" t="s">
        <v>2265</v>
      </c>
    </row>
    <row r="31" spans="1:46">
      <c r="B31" t="s">
        <v>197</v>
      </c>
      <c r="C31" t="s">
        <v>197</v>
      </c>
      <c r="D31" t="s">
        <v>197</v>
      </c>
      <c r="E31" t="s">
        <v>197</v>
      </c>
      <c r="F31" t="s">
        <v>197</v>
      </c>
      <c r="G31" t="s">
        <v>197</v>
      </c>
      <c r="H31" t="s">
        <v>197</v>
      </c>
      <c r="I31" t="s">
        <v>197</v>
      </c>
      <c r="J31" t="s">
        <v>197</v>
      </c>
      <c r="K31" t="s">
        <v>408</v>
      </c>
      <c r="AQ31" t="s">
        <v>2261</v>
      </c>
      <c r="AT31" t="s">
        <v>426</v>
      </c>
    </row>
    <row r="32" spans="1:46">
      <c r="B32" t="s">
        <v>197</v>
      </c>
      <c r="C32" t="s">
        <v>197</v>
      </c>
      <c r="D32" t="s">
        <v>197</v>
      </c>
      <c r="E32" t="s">
        <v>197</v>
      </c>
      <c r="F32" t="s">
        <v>197</v>
      </c>
      <c r="G32" t="s">
        <v>197</v>
      </c>
      <c r="H32" t="s">
        <v>197</v>
      </c>
      <c r="I32" t="s">
        <v>197</v>
      </c>
      <c r="J32" t="s">
        <v>197</v>
      </c>
      <c r="K32" t="s">
        <v>412</v>
      </c>
      <c r="AQ32" t="s">
        <v>2263</v>
      </c>
      <c r="AT32" t="s">
        <v>430</v>
      </c>
    </row>
    <row r="33" spans="1:46">
      <c r="B33" t="s">
        <v>197</v>
      </c>
      <c r="C33" t="s">
        <v>197</v>
      </c>
      <c r="D33" t="s">
        <v>197</v>
      </c>
      <c r="E33" t="s">
        <v>197</v>
      </c>
      <c r="F33" t="s">
        <v>197</v>
      </c>
      <c r="G33" t="s">
        <v>197</v>
      </c>
      <c r="H33" t="s">
        <v>197</v>
      </c>
      <c r="I33" t="s">
        <v>197</v>
      </c>
      <c r="J33" t="s">
        <v>197</v>
      </c>
      <c r="K33" t="s">
        <v>416</v>
      </c>
      <c r="AQ33" t="s">
        <v>2265</v>
      </c>
      <c r="AT33" t="s">
        <v>2278</v>
      </c>
    </row>
    <row r="34" spans="1:46">
      <c r="A34" t="s">
        <v>448</v>
      </c>
      <c r="K34" t="s">
        <v>449</v>
      </c>
      <c r="W34" t="s">
        <v>171</v>
      </c>
      <c r="X34" t="str">
        <f>A34</f>
        <v>info_sdt_dml_batch1_pk_urp1</v>
      </c>
      <c r="AQ34" t="s">
        <v>426</v>
      </c>
      <c r="AT34" t="s">
        <v>2279</v>
      </c>
    </row>
    <row r="35" spans="1:46">
      <c r="B35" t="s">
        <v>196</v>
      </c>
      <c r="C35" t="s">
        <v>197</v>
      </c>
      <c r="D35" t="s">
        <v>197</v>
      </c>
      <c r="E35" t="s">
        <v>197</v>
      </c>
      <c r="F35" t="s">
        <v>197</v>
      </c>
      <c r="G35" t="s">
        <v>197</v>
      </c>
      <c r="H35" t="s">
        <v>197</v>
      </c>
      <c r="I35" t="s">
        <v>454</v>
      </c>
      <c r="J35" t="s">
        <v>199</v>
      </c>
      <c r="K35" t="s">
        <v>200</v>
      </c>
      <c r="AQ35" t="s">
        <v>430</v>
      </c>
      <c r="AT35" t="s">
        <v>2280</v>
      </c>
    </row>
    <row r="36" spans="1:46">
      <c r="B36" t="s">
        <v>197</v>
      </c>
      <c r="C36" t="s">
        <v>197</v>
      </c>
      <c r="D36" t="s">
        <v>197</v>
      </c>
      <c r="E36" t="s">
        <v>197</v>
      </c>
      <c r="F36" t="s">
        <v>197</v>
      </c>
      <c r="G36" t="s">
        <v>197</v>
      </c>
      <c r="H36" t="s">
        <v>197</v>
      </c>
      <c r="I36" t="s">
        <v>197</v>
      </c>
      <c r="J36" t="s">
        <v>197</v>
      </c>
      <c r="K36" t="s">
        <v>422</v>
      </c>
      <c r="AQ36" t="s">
        <v>2278</v>
      </c>
      <c r="AT36" t="s">
        <v>2281</v>
      </c>
    </row>
    <row r="37" spans="1:46">
      <c r="A37" t="s">
        <v>462</v>
      </c>
      <c r="K37" t="s">
        <v>463</v>
      </c>
      <c r="W37" t="s">
        <v>171</v>
      </c>
      <c r="X37" t="str">
        <f>A37</f>
        <v>info_xml_dml_single_pk_irp</v>
      </c>
      <c r="AQ37" t="s">
        <v>2279</v>
      </c>
      <c r="AT37" t="s">
        <v>2282</v>
      </c>
    </row>
    <row r="38" spans="1:46">
      <c r="B38" t="s">
        <v>196</v>
      </c>
      <c r="C38" t="s">
        <v>197</v>
      </c>
      <c r="D38" t="s">
        <v>197</v>
      </c>
      <c r="E38" t="s">
        <v>197</v>
      </c>
      <c r="F38" t="s">
        <v>197</v>
      </c>
      <c r="G38" t="s">
        <v>197</v>
      </c>
      <c r="H38" t="s">
        <v>197</v>
      </c>
      <c r="I38" t="s">
        <v>467</v>
      </c>
      <c r="J38" t="s">
        <v>199</v>
      </c>
      <c r="K38" t="s">
        <v>200</v>
      </c>
      <c r="AQ38" t="s">
        <v>2280</v>
      </c>
      <c r="AT38" t="s">
        <v>2283</v>
      </c>
    </row>
    <row r="39" spans="1:46">
      <c r="B39" t="s">
        <v>197</v>
      </c>
      <c r="C39" t="s">
        <v>197</v>
      </c>
      <c r="D39" t="s">
        <v>197</v>
      </c>
      <c r="E39" t="s">
        <v>197</v>
      </c>
      <c r="F39" t="s">
        <v>197</v>
      </c>
      <c r="G39" t="s">
        <v>197</v>
      </c>
      <c r="H39" t="s">
        <v>197</v>
      </c>
      <c r="I39" t="s">
        <v>197</v>
      </c>
      <c r="J39" t="s">
        <v>197</v>
      </c>
      <c r="K39" t="s">
        <v>472</v>
      </c>
      <c r="AQ39" t="s">
        <v>2281</v>
      </c>
      <c r="AT39" t="s">
        <v>2284</v>
      </c>
    </row>
    <row r="40" spans="1:46">
      <c r="A40" t="s">
        <v>476</v>
      </c>
      <c r="K40" t="s">
        <v>477</v>
      </c>
      <c r="W40" t="s">
        <v>171</v>
      </c>
      <c r="X40" t="str">
        <f>A40</f>
        <v>info_sdt_dml_batch1_pk_urp2</v>
      </c>
      <c r="AQ40" t="s">
        <v>2282</v>
      </c>
      <c r="AT40" t="s">
        <v>2285</v>
      </c>
    </row>
    <row r="41" spans="1:46">
      <c r="B41" t="s">
        <v>196</v>
      </c>
      <c r="C41" t="s">
        <v>197</v>
      </c>
      <c r="D41" t="s">
        <v>197</v>
      </c>
      <c r="E41" t="s">
        <v>197</v>
      </c>
      <c r="F41" t="s">
        <v>197</v>
      </c>
      <c r="G41" t="s">
        <v>197</v>
      </c>
      <c r="H41" t="s">
        <v>197</v>
      </c>
      <c r="I41" t="s">
        <v>481</v>
      </c>
      <c r="J41" t="s">
        <v>199</v>
      </c>
      <c r="K41" t="s">
        <v>200</v>
      </c>
      <c r="AQ41" t="s">
        <v>2283</v>
      </c>
      <c r="AT41" t="s">
        <v>2286</v>
      </c>
    </row>
    <row r="42" spans="1:46">
      <c r="B42" t="s">
        <v>197</v>
      </c>
      <c r="C42" t="s">
        <v>197</v>
      </c>
      <c r="D42" t="s">
        <v>197</v>
      </c>
      <c r="E42" t="s">
        <v>197</v>
      </c>
      <c r="F42" t="s">
        <v>197</v>
      </c>
      <c r="G42" t="s">
        <v>197</v>
      </c>
      <c r="H42" t="s">
        <v>197</v>
      </c>
      <c r="I42" t="s">
        <v>197</v>
      </c>
      <c r="J42" t="s">
        <v>197</v>
      </c>
      <c r="K42" t="s">
        <v>422</v>
      </c>
      <c r="AQ42" t="s">
        <v>2284</v>
      </c>
      <c r="AT42" t="s">
        <v>2287</v>
      </c>
    </row>
    <row r="43" spans="1:46">
      <c r="A43" t="s">
        <v>504</v>
      </c>
      <c r="K43" t="s">
        <v>505</v>
      </c>
      <c r="W43" t="s">
        <v>171</v>
      </c>
      <c r="X43" t="str">
        <f>A43</f>
        <v>info_sdt_dml_batch1_pk_drp1</v>
      </c>
      <c r="AQ43" t="s">
        <v>2285</v>
      </c>
    </row>
    <row r="44" spans="1:46">
      <c r="B44" t="s">
        <v>196</v>
      </c>
      <c r="C44" t="s">
        <v>197</v>
      </c>
      <c r="D44" t="s">
        <v>197</v>
      </c>
      <c r="E44" t="s">
        <v>197</v>
      </c>
      <c r="F44" t="s">
        <v>197</v>
      </c>
      <c r="G44" t="s">
        <v>197</v>
      </c>
      <c r="H44" t="s">
        <v>197</v>
      </c>
      <c r="I44" t="s">
        <v>507</v>
      </c>
      <c r="J44" t="s">
        <v>199</v>
      </c>
      <c r="K44" t="s">
        <v>200</v>
      </c>
      <c r="AQ44" t="s">
        <v>2286</v>
      </c>
    </row>
    <row r="45" spans="1:46">
      <c r="B45" t="s">
        <v>197</v>
      </c>
      <c r="C45" t="s">
        <v>197</v>
      </c>
      <c r="D45" t="s">
        <v>197</v>
      </c>
      <c r="E45" t="s">
        <v>197</v>
      </c>
      <c r="F45" t="s">
        <v>197</v>
      </c>
      <c r="G45" t="s">
        <v>197</v>
      </c>
      <c r="H45" t="s">
        <v>197</v>
      </c>
      <c r="I45" t="s">
        <v>197</v>
      </c>
      <c r="J45" t="s">
        <v>197</v>
      </c>
      <c r="K45" t="s">
        <v>422</v>
      </c>
      <c r="AQ45" t="s">
        <v>2287</v>
      </c>
    </row>
    <row r="46" spans="1:46">
      <c r="K46" t="s">
        <v>443</v>
      </c>
      <c r="AQ46" t="s">
        <v>2288</v>
      </c>
    </row>
    <row r="47" spans="1:46">
      <c r="A47" t="s">
        <v>486</v>
      </c>
      <c r="K47" t="s">
        <v>487</v>
      </c>
      <c r="W47" t="s">
        <v>171</v>
      </c>
      <c r="X47" t="str">
        <f>A47</f>
        <v>info_varbinary_dml_batch1_pk_urp1</v>
      </c>
      <c r="AQ47" t="s">
        <v>2289</v>
      </c>
    </row>
    <row r="48" spans="1:46">
      <c r="B48" t="s">
        <v>196</v>
      </c>
      <c r="C48" t="s">
        <v>197</v>
      </c>
      <c r="D48" t="s">
        <v>197</v>
      </c>
      <c r="E48" t="s">
        <v>197</v>
      </c>
      <c r="F48" t="s">
        <v>197</v>
      </c>
      <c r="G48" t="s">
        <v>197</v>
      </c>
      <c r="H48" t="s">
        <v>197</v>
      </c>
      <c r="I48" t="s">
        <v>491</v>
      </c>
      <c r="J48" t="s">
        <v>199</v>
      </c>
      <c r="K48" t="s">
        <v>200</v>
      </c>
      <c r="AQ48" t="s">
        <v>2290</v>
      </c>
    </row>
    <row r="49" spans="1:24">
      <c r="B49" t="s">
        <v>197</v>
      </c>
      <c r="C49" t="s">
        <v>197</v>
      </c>
      <c r="D49" t="s">
        <v>197</v>
      </c>
      <c r="E49" t="s">
        <v>197</v>
      </c>
      <c r="F49" t="s">
        <v>197</v>
      </c>
      <c r="G49" t="s">
        <v>197</v>
      </c>
      <c r="H49" t="s">
        <v>197</v>
      </c>
      <c r="I49" t="s">
        <v>197</v>
      </c>
      <c r="J49" t="s">
        <v>197</v>
      </c>
      <c r="K49" t="s">
        <v>495</v>
      </c>
    </row>
    <row r="50" spans="1:24">
      <c r="B50" t="s">
        <v>197</v>
      </c>
      <c r="C50" t="s">
        <v>197</v>
      </c>
      <c r="D50" t="s">
        <v>197</v>
      </c>
      <c r="E50" t="s">
        <v>197</v>
      </c>
      <c r="F50" t="s">
        <v>197</v>
      </c>
      <c r="G50" t="s">
        <v>197</v>
      </c>
      <c r="H50" t="s">
        <v>197</v>
      </c>
      <c r="I50" t="s">
        <v>197</v>
      </c>
      <c r="J50" t="s">
        <v>197</v>
      </c>
      <c r="K50" t="s">
        <v>499</v>
      </c>
    </row>
    <row r="51" spans="1:24">
      <c r="B51" t="s">
        <v>197</v>
      </c>
      <c r="C51" t="s">
        <v>197</v>
      </c>
      <c r="D51" t="s">
        <v>197</v>
      </c>
      <c r="E51" t="s">
        <v>197</v>
      </c>
      <c r="F51" t="s">
        <v>197</v>
      </c>
      <c r="G51" t="s">
        <v>197</v>
      </c>
      <c r="H51" t="s">
        <v>197</v>
      </c>
      <c r="I51" t="s">
        <v>197</v>
      </c>
      <c r="J51" t="s">
        <v>197</v>
      </c>
      <c r="K51" t="s">
        <v>503</v>
      </c>
    </row>
    <row r="52" spans="1:24">
      <c r="A52" t="s">
        <v>519</v>
      </c>
      <c r="K52" t="s">
        <v>520</v>
      </c>
      <c r="W52" t="s">
        <v>171</v>
      </c>
      <c r="X52" t="str">
        <f>A52</f>
        <v>info_datetimeoffset_dml_single_pk_drp</v>
      </c>
    </row>
    <row r="53" spans="1:24">
      <c r="B53" t="s">
        <v>196</v>
      </c>
      <c r="C53" t="s">
        <v>197</v>
      </c>
      <c r="D53" t="s">
        <v>197</v>
      </c>
      <c r="E53" t="s">
        <v>197</v>
      </c>
      <c r="F53" t="s">
        <v>197</v>
      </c>
      <c r="G53" t="s">
        <v>197</v>
      </c>
      <c r="H53" t="s">
        <v>197</v>
      </c>
      <c r="I53" t="s">
        <v>522</v>
      </c>
      <c r="J53" t="s">
        <v>199</v>
      </c>
      <c r="K53" t="s">
        <v>200</v>
      </c>
    </row>
    <row r="54" spans="1:24">
      <c r="B54" t="s">
        <v>197</v>
      </c>
      <c r="C54" t="s">
        <v>197</v>
      </c>
      <c r="D54" t="s">
        <v>197</v>
      </c>
      <c r="E54" t="s">
        <v>197</v>
      </c>
      <c r="F54" t="s">
        <v>197</v>
      </c>
      <c r="G54" t="s">
        <v>197</v>
      </c>
      <c r="H54" t="s">
        <v>197</v>
      </c>
      <c r="I54" t="s">
        <v>197</v>
      </c>
      <c r="J54" t="s">
        <v>197</v>
      </c>
      <c r="K54" t="s">
        <v>301</v>
      </c>
    </row>
    <row r="55" spans="1:24">
      <c r="B55" t="s">
        <v>197</v>
      </c>
      <c r="C55" t="s">
        <v>197</v>
      </c>
      <c r="D55" t="s">
        <v>197</v>
      </c>
      <c r="E55" t="s">
        <v>197</v>
      </c>
      <c r="F55" t="s">
        <v>197</v>
      </c>
      <c r="G55" t="s">
        <v>197</v>
      </c>
      <c r="H55" t="s">
        <v>197</v>
      </c>
      <c r="I55" t="s">
        <v>197</v>
      </c>
      <c r="J55" t="s">
        <v>197</v>
      </c>
      <c r="K55" t="s">
        <v>314</v>
      </c>
    </row>
    <row r="56" spans="1:24">
      <c r="B56" t="s">
        <v>197</v>
      </c>
      <c r="C56" t="s">
        <v>197</v>
      </c>
      <c r="D56" t="s">
        <v>197</v>
      </c>
      <c r="E56" t="s">
        <v>197</v>
      </c>
      <c r="F56" t="s">
        <v>197</v>
      </c>
      <c r="G56" t="s">
        <v>197</v>
      </c>
      <c r="H56" t="s">
        <v>197</v>
      </c>
      <c r="I56" t="s">
        <v>197</v>
      </c>
      <c r="J56" t="s">
        <v>197</v>
      </c>
      <c r="K56" t="s">
        <v>324</v>
      </c>
    </row>
    <row r="57" spans="1:24">
      <c r="B57" t="s">
        <v>197</v>
      </c>
      <c r="C57" t="s">
        <v>197</v>
      </c>
      <c r="D57" t="s">
        <v>197</v>
      </c>
      <c r="E57" t="s">
        <v>197</v>
      </c>
      <c r="F57" t="s">
        <v>197</v>
      </c>
      <c r="G57" t="s">
        <v>197</v>
      </c>
      <c r="H57" t="s">
        <v>197</v>
      </c>
      <c r="I57" t="s">
        <v>197</v>
      </c>
      <c r="J57" t="s">
        <v>197</v>
      </c>
      <c r="K57" t="s">
        <v>335</v>
      </c>
    </row>
    <row r="58" spans="1:24">
      <c r="B58" t="s">
        <v>197</v>
      </c>
      <c r="C58" t="s">
        <v>197</v>
      </c>
      <c r="D58" t="s">
        <v>197</v>
      </c>
      <c r="E58" t="s">
        <v>197</v>
      </c>
      <c r="F58" t="s">
        <v>197</v>
      </c>
      <c r="G58" t="s">
        <v>197</v>
      </c>
      <c r="H58" t="s">
        <v>197</v>
      </c>
      <c r="I58" t="s">
        <v>197</v>
      </c>
      <c r="J58" t="s">
        <v>197</v>
      </c>
      <c r="K58" t="s">
        <v>350</v>
      </c>
    </row>
    <row r="59" spans="1:24">
      <c r="B59" t="s">
        <v>197</v>
      </c>
      <c r="C59" t="s">
        <v>197</v>
      </c>
      <c r="D59" t="s">
        <v>197</v>
      </c>
      <c r="E59" t="s">
        <v>197</v>
      </c>
      <c r="F59" t="s">
        <v>197</v>
      </c>
      <c r="G59" t="s">
        <v>197</v>
      </c>
      <c r="H59" t="s">
        <v>197</v>
      </c>
      <c r="I59" t="s">
        <v>197</v>
      </c>
      <c r="J59" t="s">
        <v>197</v>
      </c>
      <c r="K59" t="s">
        <v>360</v>
      </c>
    </row>
    <row r="60" spans="1:24">
      <c r="B60" t="s">
        <v>197</v>
      </c>
      <c r="C60" t="s">
        <v>197</v>
      </c>
      <c r="D60" t="s">
        <v>197</v>
      </c>
      <c r="E60" t="s">
        <v>197</v>
      </c>
      <c r="F60" t="s">
        <v>197</v>
      </c>
      <c r="G60" t="s">
        <v>197</v>
      </c>
      <c r="H60" t="s">
        <v>197</v>
      </c>
      <c r="I60" t="s">
        <v>197</v>
      </c>
      <c r="J60" t="s">
        <v>197</v>
      </c>
      <c r="K60" t="s">
        <v>367</v>
      </c>
    </row>
    <row r="61" spans="1:24">
      <c r="B61" t="s">
        <v>197</v>
      </c>
      <c r="C61" t="s">
        <v>197</v>
      </c>
      <c r="D61" t="s">
        <v>197</v>
      </c>
      <c r="E61" t="s">
        <v>197</v>
      </c>
      <c r="F61" t="s">
        <v>197</v>
      </c>
      <c r="G61" t="s">
        <v>197</v>
      </c>
      <c r="H61" t="s">
        <v>197</v>
      </c>
      <c r="I61" t="s">
        <v>197</v>
      </c>
      <c r="J61" t="s">
        <v>197</v>
      </c>
      <c r="K61" t="s">
        <v>373</v>
      </c>
    </row>
    <row r="62" spans="1:24">
      <c r="A62" t="s">
        <v>531</v>
      </c>
      <c r="K62" t="s">
        <v>532</v>
      </c>
      <c r="W62" s="1" t="str">
        <f>HYPERLINK("#2026042015hbase1!Y2","NO 源备存在差异，共6个")</f>
        <v>NO 源备存在差异，共6个</v>
      </c>
      <c r="X62" t="str">
        <f>A62</f>
        <v>info_geometry_dml_single_pk_urp</v>
      </c>
    </row>
    <row r="63" spans="1:24">
      <c r="B63" t="s">
        <v>196</v>
      </c>
      <c r="C63" t="s">
        <v>197</v>
      </c>
      <c r="D63" t="s">
        <v>197</v>
      </c>
      <c r="E63" t="s">
        <v>197</v>
      </c>
      <c r="F63" t="s">
        <v>197</v>
      </c>
      <c r="G63" t="s">
        <v>197</v>
      </c>
      <c r="H63" t="s">
        <v>197</v>
      </c>
      <c r="I63" t="s">
        <v>533</v>
      </c>
      <c r="J63" t="s">
        <v>199</v>
      </c>
      <c r="K63" t="s">
        <v>200</v>
      </c>
    </row>
    <row r="64" spans="1:24">
      <c r="B64" t="s">
        <v>197</v>
      </c>
      <c r="C64" t="s">
        <v>197</v>
      </c>
      <c r="D64" t="s">
        <v>197</v>
      </c>
      <c r="E64" t="s">
        <v>197</v>
      </c>
      <c r="F64" t="s">
        <v>197</v>
      </c>
      <c r="G64" t="s">
        <v>197</v>
      </c>
      <c r="H64" t="s">
        <v>197</v>
      </c>
      <c r="I64" t="s">
        <v>197</v>
      </c>
      <c r="J64" t="s">
        <v>197</v>
      </c>
      <c r="K64" t="s">
        <v>393</v>
      </c>
    </row>
    <row r="65" spans="1:24">
      <c r="A65" t="s">
        <v>528</v>
      </c>
      <c r="K65" t="s">
        <v>529</v>
      </c>
      <c r="W65" t="s">
        <v>171</v>
      </c>
      <c r="X65" t="str">
        <f>A65</f>
        <v>info_text_dml_single_pk_urp</v>
      </c>
    </row>
    <row r="66" spans="1:24">
      <c r="B66" t="s">
        <v>196</v>
      </c>
      <c r="C66" t="s">
        <v>197</v>
      </c>
      <c r="D66" t="s">
        <v>197</v>
      </c>
      <c r="E66" t="s">
        <v>197</v>
      </c>
      <c r="F66" t="s">
        <v>197</v>
      </c>
      <c r="G66" t="s">
        <v>197</v>
      </c>
      <c r="H66" t="s">
        <v>197</v>
      </c>
      <c r="I66" t="s">
        <v>530</v>
      </c>
      <c r="J66" t="s">
        <v>199</v>
      </c>
      <c r="K66" t="s">
        <v>200</v>
      </c>
    </row>
    <row r="67" spans="1:24">
      <c r="B67" t="s">
        <v>197</v>
      </c>
      <c r="C67" t="s">
        <v>197</v>
      </c>
      <c r="D67" t="s">
        <v>197</v>
      </c>
      <c r="E67" t="s">
        <v>197</v>
      </c>
      <c r="F67" t="s">
        <v>197</v>
      </c>
      <c r="G67" t="s">
        <v>197</v>
      </c>
      <c r="H67" t="s">
        <v>197</v>
      </c>
      <c r="I67" t="s">
        <v>197</v>
      </c>
      <c r="J67" t="s">
        <v>197</v>
      </c>
      <c r="K67" t="s">
        <v>229</v>
      </c>
    </row>
    <row r="68" spans="1:24">
      <c r="B68" t="s">
        <v>197</v>
      </c>
      <c r="C68" t="s">
        <v>197</v>
      </c>
      <c r="D68" t="s">
        <v>197</v>
      </c>
      <c r="E68" t="s">
        <v>197</v>
      </c>
      <c r="F68" t="s">
        <v>197</v>
      </c>
      <c r="G68" t="s">
        <v>197</v>
      </c>
      <c r="H68" t="s">
        <v>197</v>
      </c>
      <c r="I68" t="s">
        <v>197</v>
      </c>
      <c r="J68" t="s">
        <v>197</v>
      </c>
      <c r="K68" t="s">
        <v>251</v>
      </c>
    </row>
    <row r="69" spans="1:24">
      <c r="A69" t="s">
        <v>537</v>
      </c>
      <c r="K69" t="s">
        <v>538</v>
      </c>
      <c r="W69" t="s">
        <v>171</v>
      </c>
      <c r="X69" t="str">
        <f>A69</f>
        <v>info_nvarchar_dml_batch2_pk_urp2</v>
      </c>
    </row>
    <row r="70" spans="1:24">
      <c r="B70" t="s">
        <v>196</v>
      </c>
      <c r="C70" t="s">
        <v>197</v>
      </c>
      <c r="D70" t="s">
        <v>197</v>
      </c>
      <c r="E70" t="s">
        <v>197</v>
      </c>
      <c r="F70" t="s">
        <v>197</v>
      </c>
      <c r="G70" t="s">
        <v>197</v>
      </c>
      <c r="H70" t="s">
        <v>197</v>
      </c>
      <c r="I70" t="s">
        <v>539</v>
      </c>
      <c r="J70" t="s">
        <v>199</v>
      </c>
      <c r="K70" t="s">
        <v>200</v>
      </c>
    </row>
    <row r="71" spans="1:24">
      <c r="B71" t="s">
        <v>197</v>
      </c>
      <c r="C71" t="s">
        <v>197</v>
      </c>
      <c r="D71" t="s">
        <v>197</v>
      </c>
      <c r="E71" t="s">
        <v>197</v>
      </c>
      <c r="F71" t="s">
        <v>197</v>
      </c>
      <c r="G71" t="s">
        <v>197</v>
      </c>
      <c r="H71" t="s">
        <v>197</v>
      </c>
      <c r="I71" t="s">
        <v>197</v>
      </c>
      <c r="J71" t="s">
        <v>197</v>
      </c>
      <c r="K71" t="s">
        <v>408</v>
      </c>
    </row>
    <row r="72" spans="1:24">
      <c r="B72" t="s">
        <v>197</v>
      </c>
      <c r="C72" t="s">
        <v>197</v>
      </c>
      <c r="D72" t="s">
        <v>197</v>
      </c>
      <c r="E72" t="s">
        <v>197</v>
      </c>
      <c r="F72" t="s">
        <v>197</v>
      </c>
      <c r="G72" t="s">
        <v>197</v>
      </c>
      <c r="H72" t="s">
        <v>197</v>
      </c>
      <c r="I72" t="s">
        <v>197</v>
      </c>
      <c r="J72" t="s">
        <v>197</v>
      </c>
      <c r="K72" t="s">
        <v>412</v>
      </c>
    </row>
    <row r="73" spans="1:24">
      <c r="B73" t="s">
        <v>197</v>
      </c>
      <c r="C73" t="s">
        <v>197</v>
      </c>
      <c r="D73" t="s">
        <v>197</v>
      </c>
      <c r="E73" t="s">
        <v>197</v>
      </c>
      <c r="F73" t="s">
        <v>197</v>
      </c>
      <c r="G73" t="s">
        <v>197</v>
      </c>
      <c r="H73" t="s">
        <v>197</v>
      </c>
      <c r="I73" t="s">
        <v>197</v>
      </c>
      <c r="J73" t="s">
        <v>197</v>
      </c>
      <c r="K73" t="s">
        <v>416</v>
      </c>
    </row>
    <row r="74" spans="1:24">
      <c r="A74" t="s">
        <v>510</v>
      </c>
      <c r="K74" t="s">
        <v>511</v>
      </c>
      <c r="W74" t="s">
        <v>171</v>
      </c>
      <c r="X74" t="str">
        <f>A74</f>
        <v>info_nchar_dml_single_pk_irp</v>
      </c>
    </row>
    <row r="75" spans="1:24">
      <c r="B75" t="s">
        <v>196</v>
      </c>
      <c r="C75" t="s">
        <v>197</v>
      </c>
      <c r="D75" t="s">
        <v>197</v>
      </c>
      <c r="E75" t="s">
        <v>197</v>
      </c>
      <c r="F75" t="s">
        <v>197</v>
      </c>
      <c r="G75" t="s">
        <v>197</v>
      </c>
      <c r="H75" t="s">
        <v>197</v>
      </c>
      <c r="I75" t="s">
        <v>512</v>
      </c>
      <c r="J75" t="s">
        <v>199</v>
      </c>
      <c r="K75" t="s">
        <v>200</v>
      </c>
    </row>
    <row r="76" spans="1:24">
      <c r="B76" t="s">
        <v>197</v>
      </c>
      <c r="C76" t="s">
        <v>197</v>
      </c>
      <c r="D76" t="s">
        <v>197</v>
      </c>
      <c r="E76" t="s">
        <v>197</v>
      </c>
      <c r="F76" t="s">
        <v>197</v>
      </c>
      <c r="G76" t="s">
        <v>197</v>
      </c>
      <c r="H76" t="s">
        <v>197</v>
      </c>
      <c r="I76" t="s">
        <v>197</v>
      </c>
      <c r="J76" t="s">
        <v>197</v>
      </c>
      <c r="K76" t="s">
        <v>514</v>
      </c>
    </row>
    <row r="77" spans="1:24">
      <c r="B77" t="s">
        <v>197</v>
      </c>
      <c r="C77" t="s">
        <v>197</v>
      </c>
      <c r="D77" t="s">
        <v>197</v>
      </c>
      <c r="E77" t="s">
        <v>197</v>
      </c>
      <c r="F77" t="s">
        <v>197</v>
      </c>
      <c r="G77" t="s">
        <v>197</v>
      </c>
      <c r="H77" t="s">
        <v>197</v>
      </c>
      <c r="I77" t="s">
        <v>197</v>
      </c>
      <c r="J77" t="s">
        <v>197</v>
      </c>
      <c r="K77" t="s">
        <v>516</v>
      </c>
    </row>
    <row r="78" spans="1:24">
      <c r="B78" t="s">
        <v>197</v>
      </c>
      <c r="C78" t="s">
        <v>197</v>
      </c>
      <c r="D78" t="s">
        <v>197</v>
      </c>
      <c r="E78" t="s">
        <v>197</v>
      </c>
      <c r="F78" t="s">
        <v>197</v>
      </c>
      <c r="G78" t="s">
        <v>197</v>
      </c>
      <c r="H78" t="s">
        <v>197</v>
      </c>
      <c r="I78" t="s">
        <v>197</v>
      </c>
      <c r="J78" t="s">
        <v>197</v>
      </c>
      <c r="K78" t="s">
        <v>517</v>
      </c>
    </row>
    <row r="79" spans="1:24">
      <c r="A79" t="s">
        <v>534</v>
      </c>
      <c r="K79" t="s">
        <v>535</v>
      </c>
      <c r="W79" t="s">
        <v>171</v>
      </c>
      <c r="X79" t="str">
        <f>A79</f>
        <v>info_sdt_dml_batch1_pk_drp2</v>
      </c>
    </row>
    <row r="80" spans="1:24">
      <c r="B80" t="s">
        <v>196</v>
      </c>
      <c r="C80" t="s">
        <v>197</v>
      </c>
      <c r="D80" t="s">
        <v>197</v>
      </c>
      <c r="E80" t="s">
        <v>197</v>
      </c>
      <c r="F80" t="s">
        <v>197</v>
      </c>
      <c r="G80" t="s">
        <v>197</v>
      </c>
      <c r="H80" t="s">
        <v>197</v>
      </c>
      <c r="I80" t="s">
        <v>536</v>
      </c>
      <c r="J80" t="s">
        <v>199</v>
      </c>
      <c r="K80" t="s">
        <v>200</v>
      </c>
    </row>
    <row r="81" spans="1:24">
      <c r="B81" t="s">
        <v>197</v>
      </c>
      <c r="C81" t="s">
        <v>197</v>
      </c>
      <c r="D81" t="s">
        <v>197</v>
      </c>
      <c r="E81" t="s">
        <v>197</v>
      </c>
      <c r="F81" t="s">
        <v>197</v>
      </c>
      <c r="G81" t="s">
        <v>197</v>
      </c>
      <c r="H81" t="s">
        <v>197</v>
      </c>
      <c r="I81" t="s">
        <v>197</v>
      </c>
      <c r="J81" t="s">
        <v>197</v>
      </c>
      <c r="K81" t="s">
        <v>422</v>
      </c>
    </row>
    <row r="82" spans="1:24">
      <c r="A82" t="s">
        <v>543</v>
      </c>
      <c r="K82" t="s">
        <v>544</v>
      </c>
      <c r="W82" t="s">
        <v>171</v>
      </c>
      <c r="X82" t="str">
        <f>A82</f>
        <v>info_sdt_dml_batch1_pk</v>
      </c>
    </row>
    <row r="83" spans="1:24">
      <c r="B83" t="s">
        <v>196</v>
      </c>
      <c r="C83" t="s">
        <v>197</v>
      </c>
      <c r="D83" t="s">
        <v>197</v>
      </c>
      <c r="E83" t="s">
        <v>197</v>
      </c>
      <c r="F83" t="s">
        <v>197</v>
      </c>
      <c r="G83" t="s">
        <v>197</v>
      </c>
      <c r="H83" t="s">
        <v>197</v>
      </c>
      <c r="I83" t="s">
        <v>545</v>
      </c>
      <c r="J83" t="s">
        <v>199</v>
      </c>
      <c r="K83" t="s">
        <v>200</v>
      </c>
    </row>
    <row r="84" spans="1:24">
      <c r="B84" t="s">
        <v>197</v>
      </c>
      <c r="C84" t="s">
        <v>197</v>
      </c>
      <c r="D84" t="s">
        <v>197</v>
      </c>
      <c r="E84" t="s">
        <v>197</v>
      </c>
      <c r="F84" t="s">
        <v>197</v>
      </c>
      <c r="G84" t="s">
        <v>197</v>
      </c>
      <c r="H84" t="s">
        <v>197</v>
      </c>
      <c r="I84" t="s">
        <v>197</v>
      </c>
      <c r="J84" t="s">
        <v>197</v>
      </c>
      <c r="K84" t="s">
        <v>422</v>
      </c>
    </row>
    <row r="85" spans="1:24">
      <c r="A85" t="s">
        <v>540</v>
      </c>
      <c r="K85" t="s">
        <v>541</v>
      </c>
      <c r="W85" t="s">
        <v>171</v>
      </c>
      <c r="X85" t="str">
        <f>A85</f>
        <v>info_varchar_dml_batch1_pk_drp2</v>
      </c>
    </row>
    <row r="86" spans="1:24">
      <c r="B86" t="s">
        <v>196</v>
      </c>
      <c r="C86" t="s">
        <v>197</v>
      </c>
      <c r="D86" t="s">
        <v>197</v>
      </c>
      <c r="E86" t="s">
        <v>197</v>
      </c>
      <c r="F86" t="s">
        <v>197</v>
      </c>
      <c r="G86" t="s">
        <v>197</v>
      </c>
      <c r="H86" t="s">
        <v>197</v>
      </c>
      <c r="I86" t="s">
        <v>542</v>
      </c>
      <c r="J86" t="s">
        <v>199</v>
      </c>
      <c r="K86" t="s">
        <v>200</v>
      </c>
    </row>
    <row r="87" spans="1:24">
      <c r="B87" t="s">
        <v>197</v>
      </c>
      <c r="C87" t="s">
        <v>197</v>
      </c>
      <c r="D87" t="s">
        <v>197</v>
      </c>
      <c r="E87" t="s">
        <v>197</v>
      </c>
      <c r="F87" t="s">
        <v>197</v>
      </c>
      <c r="G87" t="s">
        <v>197</v>
      </c>
      <c r="H87" t="s">
        <v>197</v>
      </c>
      <c r="I87" t="s">
        <v>197</v>
      </c>
      <c r="J87" t="s">
        <v>197</v>
      </c>
      <c r="K87" t="s">
        <v>431</v>
      </c>
    </row>
    <row r="88" spans="1:24">
      <c r="B88" t="s">
        <v>197</v>
      </c>
      <c r="C88" t="s">
        <v>197</v>
      </c>
      <c r="D88" t="s">
        <v>197</v>
      </c>
      <c r="E88" t="s">
        <v>197</v>
      </c>
      <c r="F88" t="s">
        <v>197</v>
      </c>
      <c r="G88" t="s">
        <v>197</v>
      </c>
      <c r="H88" t="s">
        <v>197</v>
      </c>
      <c r="I88" t="s">
        <v>197</v>
      </c>
      <c r="J88" t="s">
        <v>197</v>
      </c>
      <c r="K88" t="s">
        <v>434</v>
      </c>
    </row>
    <row r="89" spans="1:24">
      <c r="B89" t="s">
        <v>197</v>
      </c>
      <c r="C89" t="s">
        <v>197</v>
      </c>
      <c r="D89" t="s">
        <v>197</v>
      </c>
      <c r="E89" t="s">
        <v>197</v>
      </c>
      <c r="F89" t="s">
        <v>197</v>
      </c>
      <c r="G89" t="s">
        <v>197</v>
      </c>
      <c r="H89" t="s">
        <v>197</v>
      </c>
      <c r="I89" t="s">
        <v>197</v>
      </c>
      <c r="J89" t="s">
        <v>197</v>
      </c>
      <c r="K89" t="s">
        <v>439</v>
      </c>
    </row>
    <row r="90" spans="1:24">
      <c r="A90" t="s">
        <v>546</v>
      </c>
      <c r="K90" t="s">
        <v>547</v>
      </c>
      <c r="W90" t="s">
        <v>171</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571</v>
      </c>
      <c r="K111" t="s">
        <v>572</v>
      </c>
      <c r="W111" t="s">
        <v>171</v>
      </c>
      <c r="X111" t="str">
        <f>A111</f>
        <v>info_datetime_dml_batch1_pk_irp1</v>
      </c>
    </row>
    <row r="112" spans="1:24">
      <c r="B112" t="s">
        <v>196</v>
      </c>
      <c r="C112" t="s">
        <v>197</v>
      </c>
      <c r="D112" t="s">
        <v>197</v>
      </c>
      <c r="E112" t="s">
        <v>197</v>
      </c>
      <c r="F112" t="s">
        <v>197</v>
      </c>
      <c r="G112" t="s">
        <v>197</v>
      </c>
      <c r="H112" t="s">
        <v>197</v>
      </c>
      <c r="I112" t="s">
        <v>573</v>
      </c>
      <c r="J112" t="s">
        <v>199</v>
      </c>
      <c r="K112" t="s">
        <v>200</v>
      </c>
    </row>
    <row r="113" spans="1:24">
      <c r="B113" t="s">
        <v>197</v>
      </c>
      <c r="C113" t="s">
        <v>197</v>
      </c>
      <c r="D113" t="s">
        <v>197</v>
      </c>
      <c r="E113" t="s">
        <v>197</v>
      </c>
      <c r="F113" t="s">
        <v>197</v>
      </c>
      <c r="G113" t="s">
        <v>197</v>
      </c>
      <c r="H113" t="s">
        <v>197</v>
      </c>
      <c r="I113" t="s">
        <v>197</v>
      </c>
      <c r="J113" t="s">
        <v>197</v>
      </c>
      <c r="K113" t="s">
        <v>574</v>
      </c>
    </row>
    <row r="114" spans="1:24">
      <c r="A114" t="s">
        <v>575</v>
      </c>
      <c r="K114" t="s">
        <v>576</v>
      </c>
      <c r="W114" t="s">
        <v>171</v>
      </c>
      <c r="X114" t="str">
        <f>A114</f>
        <v>info_varbinary_dml_batch1_pk_urp2</v>
      </c>
    </row>
    <row r="115" spans="1:24">
      <c r="B115" t="s">
        <v>196</v>
      </c>
      <c r="C115" t="s">
        <v>197</v>
      </c>
      <c r="D115" t="s">
        <v>197</v>
      </c>
      <c r="E115" t="s">
        <v>197</v>
      </c>
      <c r="F115" t="s">
        <v>197</v>
      </c>
      <c r="G115" t="s">
        <v>197</v>
      </c>
      <c r="H115" t="s">
        <v>197</v>
      </c>
      <c r="I115" t="s">
        <v>577</v>
      </c>
      <c r="J115" t="s">
        <v>199</v>
      </c>
      <c r="K115" t="s">
        <v>200</v>
      </c>
    </row>
    <row r="116" spans="1:24">
      <c r="B116" t="s">
        <v>197</v>
      </c>
      <c r="C116" t="s">
        <v>197</v>
      </c>
      <c r="D116" t="s">
        <v>197</v>
      </c>
      <c r="E116" t="s">
        <v>197</v>
      </c>
      <c r="F116" t="s">
        <v>197</v>
      </c>
      <c r="G116" t="s">
        <v>197</v>
      </c>
      <c r="H116" t="s">
        <v>197</v>
      </c>
      <c r="I116" t="s">
        <v>197</v>
      </c>
      <c r="J116" t="s">
        <v>197</v>
      </c>
      <c r="K116" t="s">
        <v>495</v>
      </c>
    </row>
    <row r="117" spans="1:24">
      <c r="B117" t="s">
        <v>197</v>
      </c>
      <c r="C117" t="s">
        <v>197</v>
      </c>
      <c r="D117" t="s">
        <v>197</v>
      </c>
      <c r="E117" t="s">
        <v>197</v>
      </c>
      <c r="F117" t="s">
        <v>197</v>
      </c>
      <c r="G117" t="s">
        <v>197</v>
      </c>
      <c r="H117" t="s">
        <v>197</v>
      </c>
      <c r="I117" t="s">
        <v>197</v>
      </c>
      <c r="J117" t="s">
        <v>197</v>
      </c>
      <c r="K117" t="s">
        <v>499</v>
      </c>
    </row>
    <row r="118" spans="1:24">
      <c r="B118" t="s">
        <v>197</v>
      </c>
      <c r="C118" t="s">
        <v>197</v>
      </c>
      <c r="D118" t="s">
        <v>197</v>
      </c>
      <c r="E118" t="s">
        <v>197</v>
      </c>
      <c r="F118" t="s">
        <v>197</v>
      </c>
      <c r="G118" t="s">
        <v>197</v>
      </c>
      <c r="H118" t="s">
        <v>197</v>
      </c>
      <c r="I118" t="s">
        <v>197</v>
      </c>
      <c r="J118" t="s">
        <v>197</v>
      </c>
      <c r="K118" t="s">
        <v>503</v>
      </c>
    </row>
    <row r="119" spans="1:24">
      <c r="A119" t="s">
        <v>568</v>
      </c>
      <c r="K119" t="s">
        <v>569</v>
      </c>
      <c r="W119" s="1" t="str">
        <f>HYPERLINK("#2026042015hbase1!Z2","NO 源备存在差异，共4个")</f>
        <v>NO 源备存在差异，共4个</v>
      </c>
      <c r="X119" t="str">
        <f>A119</f>
        <v>info_xml_dml_single_pk_urp</v>
      </c>
    </row>
    <row r="120" spans="1:24">
      <c r="B120" t="s">
        <v>196</v>
      </c>
      <c r="C120" t="s">
        <v>197</v>
      </c>
      <c r="D120" t="s">
        <v>197</v>
      </c>
      <c r="E120" t="s">
        <v>197</v>
      </c>
      <c r="F120" t="s">
        <v>197</v>
      </c>
      <c r="G120" t="s">
        <v>197</v>
      </c>
      <c r="H120" t="s">
        <v>197</v>
      </c>
      <c r="I120" t="s">
        <v>570</v>
      </c>
      <c r="J120" t="s">
        <v>199</v>
      </c>
      <c r="K120" t="s">
        <v>200</v>
      </c>
    </row>
    <row r="121" spans="1:24">
      <c r="B121" t="s">
        <v>197</v>
      </c>
      <c r="C121" t="s">
        <v>197</v>
      </c>
      <c r="D121" t="s">
        <v>197</v>
      </c>
      <c r="E121" t="s">
        <v>197</v>
      </c>
      <c r="F121" t="s">
        <v>197</v>
      </c>
      <c r="G121" t="s">
        <v>197</v>
      </c>
      <c r="H121" t="s">
        <v>197</v>
      </c>
      <c r="I121" t="s">
        <v>197</v>
      </c>
      <c r="J121" t="s">
        <v>197</v>
      </c>
      <c r="K121" t="s">
        <v>472</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593</v>
      </c>
      <c r="K148" t="s">
        <v>594</v>
      </c>
      <c r="W148" s="1" t="str">
        <f>HYPERLINK("#2026042015hbase1!AA2","NO 源备存在差异，共14个")</f>
        <v>NO 源备存在差异，共14个</v>
      </c>
      <c r="X148" t="str">
        <f>A148</f>
        <v>info_int_dml_batch1_pk_urp2</v>
      </c>
    </row>
    <row r="149" spans="1:24">
      <c r="B149" t="s">
        <v>196</v>
      </c>
      <c r="C149" t="s">
        <v>197</v>
      </c>
      <c r="D149" t="s">
        <v>197</v>
      </c>
      <c r="E149" t="s">
        <v>197</v>
      </c>
      <c r="F149" t="s">
        <v>197</v>
      </c>
      <c r="G149" t="s">
        <v>197</v>
      </c>
      <c r="H149" t="s">
        <v>197</v>
      </c>
      <c r="I149" t="s">
        <v>595</v>
      </c>
      <c r="J149" t="s">
        <v>199</v>
      </c>
      <c r="K149" t="s">
        <v>200</v>
      </c>
    </row>
    <row r="150" spans="1:24">
      <c r="B150" t="s">
        <v>197</v>
      </c>
      <c r="C150" t="s">
        <v>197</v>
      </c>
      <c r="D150" t="s">
        <v>197</v>
      </c>
      <c r="E150" t="s">
        <v>197</v>
      </c>
      <c r="F150" t="s">
        <v>197</v>
      </c>
      <c r="G150" t="s">
        <v>197</v>
      </c>
      <c r="H150" t="s">
        <v>197</v>
      </c>
      <c r="I150" t="s">
        <v>197</v>
      </c>
      <c r="J150" t="s">
        <v>197</v>
      </c>
      <c r="K150" t="s">
        <v>549</v>
      </c>
    </row>
    <row r="151" spans="1:24">
      <c r="B151" t="s">
        <v>197</v>
      </c>
      <c r="C151" t="s">
        <v>197</v>
      </c>
      <c r="D151" t="s">
        <v>197</v>
      </c>
      <c r="E151" t="s">
        <v>197</v>
      </c>
      <c r="F151" t="s">
        <v>197</v>
      </c>
      <c r="G151" t="s">
        <v>197</v>
      </c>
      <c r="H151" t="s">
        <v>197</v>
      </c>
      <c r="I151" t="s">
        <v>197</v>
      </c>
      <c r="J151" t="s">
        <v>197</v>
      </c>
      <c r="K151" t="s">
        <v>550</v>
      </c>
    </row>
    <row r="152" spans="1:24">
      <c r="B152" t="s">
        <v>197</v>
      </c>
      <c r="C152" t="s">
        <v>197</v>
      </c>
      <c r="D152" t="s">
        <v>197</v>
      </c>
      <c r="E152" t="s">
        <v>197</v>
      </c>
      <c r="F152" t="s">
        <v>197</v>
      </c>
      <c r="G152" t="s">
        <v>197</v>
      </c>
      <c r="H152" t="s">
        <v>197</v>
      </c>
      <c r="I152" t="s">
        <v>197</v>
      </c>
      <c r="J152" t="s">
        <v>197</v>
      </c>
      <c r="K152" t="s">
        <v>551</v>
      </c>
    </row>
    <row r="153" spans="1:24">
      <c r="B153" t="s">
        <v>197</v>
      </c>
      <c r="C153" t="s">
        <v>197</v>
      </c>
      <c r="D153" t="s">
        <v>197</v>
      </c>
      <c r="E153" t="s">
        <v>197</v>
      </c>
      <c r="F153" t="s">
        <v>197</v>
      </c>
      <c r="G153" t="s">
        <v>197</v>
      </c>
      <c r="H153" t="s">
        <v>197</v>
      </c>
      <c r="I153" t="s">
        <v>197</v>
      </c>
      <c r="J153" t="s">
        <v>197</v>
      </c>
      <c r="K153" t="s">
        <v>552</v>
      </c>
    </row>
    <row r="154" spans="1:24">
      <c r="B154" t="s">
        <v>197</v>
      </c>
      <c r="C154" t="s">
        <v>197</v>
      </c>
      <c r="D154" t="s">
        <v>197</v>
      </c>
      <c r="E154" t="s">
        <v>197</v>
      </c>
      <c r="F154" t="s">
        <v>197</v>
      </c>
      <c r="G154" t="s">
        <v>197</v>
      </c>
      <c r="H154" t="s">
        <v>197</v>
      </c>
      <c r="I154" t="s">
        <v>197</v>
      </c>
      <c r="J154" t="s">
        <v>197</v>
      </c>
      <c r="K154" t="s">
        <v>553</v>
      </c>
    </row>
    <row r="155" spans="1:24">
      <c r="B155" t="s">
        <v>197</v>
      </c>
      <c r="C155" t="s">
        <v>197</v>
      </c>
      <c r="D155" t="s">
        <v>197</v>
      </c>
      <c r="E155" t="s">
        <v>197</v>
      </c>
      <c r="F155" t="s">
        <v>197</v>
      </c>
      <c r="G155" t="s">
        <v>197</v>
      </c>
      <c r="H155" t="s">
        <v>197</v>
      </c>
      <c r="I155" t="s">
        <v>197</v>
      </c>
      <c r="J155" t="s">
        <v>197</v>
      </c>
      <c r="K155" t="s">
        <v>554</v>
      </c>
    </row>
    <row r="156" spans="1:24">
      <c r="B156" t="s">
        <v>197</v>
      </c>
      <c r="C156" t="s">
        <v>197</v>
      </c>
      <c r="D156" t="s">
        <v>197</v>
      </c>
      <c r="E156" t="s">
        <v>197</v>
      </c>
      <c r="F156" t="s">
        <v>197</v>
      </c>
      <c r="G156" t="s">
        <v>197</v>
      </c>
      <c r="H156" t="s">
        <v>197</v>
      </c>
      <c r="I156" t="s">
        <v>197</v>
      </c>
      <c r="J156" t="s">
        <v>197</v>
      </c>
      <c r="K156" t="s">
        <v>555</v>
      </c>
    </row>
    <row r="157" spans="1:24">
      <c r="B157" t="s">
        <v>197</v>
      </c>
      <c r="C157" t="s">
        <v>197</v>
      </c>
      <c r="D157" t="s">
        <v>197</v>
      </c>
      <c r="E157" t="s">
        <v>197</v>
      </c>
      <c r="F157" t="s">
        <v>197</v>
      </c>
      <c r="G157" t="s">
        <v>197</v>
      </c>
      <c r="H157" t="s">
        <v>197</v>
      </c>
      <c r="I157" t="s">
        <v>197</v>
      </c>
      <c r="J157" t="s">
        <v>197</v>
      </c>
      <c r="K157" t="s">
        <v>556</v>
      </c>
    </row>
    <row r="158" spans="1:24">
      <c r="B158" t="s">
        <v>197</v>
      </c>
      <c r="C158" t="s">
        <v>197</v>
      </c>
      <c r="D158" t="s">
        <v>197</v>
      </c>
      <c r="E158" t="s">
        <v>197</v>
      </c>
      <c r="F158" t="s">
        <v>197</v>
      </c>
      <c r="G158" t="s">
        <v>197</v>
      </c>
      <c r="H158" t="s">
        <v>197</v>
      </c>
      <c r="I158" t="s">
        <v>197</v>
      </c>
      <c r="J158" t="s">
        <v>197</v>
      </c>
      <c r="K158" t="s">
        <v>557</v>
      </c>
    </row>
    <row r="159" spans="1:24">
      <c r="B159" t="s">
        <v>197</v>
      </c>
      <c r="C159" t="s">
        <v>197</v>
      </c>
      <c r="D159" t="s">
        <v>197</v>
      </c>
      <c r="E159" t="s">
        <v>197</v>
      </c>
      <c r="F159" t="s">
        <v>197</v>
      </c>
      <c r="G159" t="s">
        <v>197</v>
      </c>
      <c r="H159" t="s">
        <v>197</v>
      </c>
      <c r="I159" t="s">
        <v>197</v>
      </c>
      <c r="J159" t="s">
        <v>197</v>
      </c>
      <c r="K159" t="s">
        <v>558</v>
      </c>
    </row>
    <row r="160" spans="1:24">
      <c r="B160" t="s">
        <v>197</v>
      </c>
      <c r="C160" t="s">
        <v>197</v>
      </c>
      <c r="D160" t="s">
        <v>197</v>
      </c>
      <c r="E160" t="s">
        <v>197</v>
      </c>
      <c r="F160" t="s">
        <v>197</v>
      </c>
      <c r="G160" t="s">
        <v>197</v>
      </c>
      <c r="H160" t="s">
        <v>197</v>
      </c>
      <c r="I160" t="s">
        <v>197</v>
      </c>
      <c r="J160" t="s">
        <v>197</v>
      </c>
      <c r="K160" t="s">
        <v>559</v>
      </c>
    </row>
    <row r="161" spans="1:24">
      <c r="B161" t="s">
        <v>197</v>
      </c>
      <c r="C161" t="s">
        <v>197</v>
      </c>
      <c r="D161" t="s">
        <v>197</v>
      </c>
      <c r="E161" t="s">
        <v>197</v>
      </c>
      <c r="F161" t="s">
        <v>197</v>
      </c>
      <c r="G161" t="s">
        <v>197</v>
      </c>
      <c r="H161" t="s">
        <v>197</v>
      </c>
      <c r="I161" t="s">
        <v>197</v>
      </c>
      <c r="J161" t="s">
        <v>197</v>
      </c>
      <c r="K161" t="s">
        <v>560</v>
      </c>
    </row>
    <row r="162" spans="1:24">
      <c r="B162" t="s">
        <v>197</v>
      </c>
      <c r="C162" t="s">
        <v>197</v>
      </c>
      <c r="D162" t="s">
        <v>197</v>
      </c>
      <c r="E162" t="s">
        <v>197</v>
      </c>
      <c r="F162" t="s">
        <v>197</v>
      </c>
      <c r="G162" t="s">
        <v>197</v>
      </c>
      <c r="H162" t="s">
        <v>197</v>
      </c>
      <c r="I162" t="s">
        <v>197</v>
      </c>
      <c r="J162" t="s">
        <v>197</v>
      </c>
      <c r="K162" t="s">
        <v>561</v>
      </c>
    </row>
    <row r="163" spans="1:24">
      <c r="B163" t="s">
        <v>197</v>
      </c>
      <c r="C163" t="s">
        <v>197</v>
      </c>
      <c r="D163" t="s">
        <v>197</v>
      </c>
      <c r="E163" t="s">
        <v>197</v>
      </c>
      <c r="F163" t="s">
        <v>197</v>
      </c>
      <c r="G163" t="s">
        <v>197</v>
      </c>
      <c r="H163" t="s">
        <v>197</v>
      </c>
      <c r="I163" t="s">
        <v>197</v>
      </c>
      <c r="J163" t="s">
        <v>197</v>
      </c>
      <c r="K163" t="s">
        <v>562</v>
      </c>
    </row>
    <row r="164" spans="1:24">
      <c r="B164" t="s">
        <v>197</v>
      </c>
      <c r="C164" t="s">
        <v>197</v>
      </c>
      <c r="D164" t="s">
        <v>197</v>
      </c>
      <c r="E164" t="s">
        <v>197</v>
      </c>
      <c r="F164" t="s">
        <v>197</v>
      </c>
      <c r="G164" t="s">
        <v>197</v>
      </c>
      <c r="H164" t="s">
        <v>197</v>
      </c>
      <c r="I164" t="s">
        <v>197</v>
      </c>
      <c r="J164" t="s">
        <v>197</v>
      </c>
      <c r="K164" t="s">
        <v>563</v>
      </c>
    </row>
    <row r="165" spans="1:24">
      <c r="B165" t="s">
        <v>197</v>
      </c>
      <c r="C165" t="s">
        <v>197</v>
      </c>
      <c r="D165" t="s">
        <v>197</v>
      </c>
      <c r="E165" t="s">
        <v>197</v>
      </c>
      <c r="F165" t="s">
        <v>197</v>
      </c>
      <c r="G165" t="s">
        <v>197</v>
      </c>
      <c r="H165" t="s">
        <v>197</v>
      </c>
      <c r="I165" t="s">
        <v>197</v>
      </c>
      <c r="J165" t="s">
        <v>197</v>
      </c>
      <c r="K165" t="s">
        <v>564</v>
      </c>
    </row>
    <row r="166" spans="1:24">
      <c r="B166" t="s">
        <v>197</v>
      </c>
      <c r="C166" t="s">
        <v>197</v>
      </c>
      <c r="D166" t="s">
        <v>197</v>
      </c>
      <c r="E166" t="s">
        <v>197</v>
      </c>
      <c r="F166" t="s">
        <v>197</v>
      </c>
      <c r="G166" t="s">
        <v>197</v>
      </c>
      <c r="H166" t="s">
        <v>197</v>
      </c>
      <c r="I166" t="s">
        <v>197</v>
      </c>
      <c r="J166" t="s">
        <v>197</v>
      </c>
      <c r="K166" t="s">
        <v>565</v>
      </c>
    </row>
    <row r="167" spans="1:24">
      <c r="B167" t="s">
        <v>197</v>
      </c>
      <c r="C167" t="s">
        <v>197</v>
      </c>
      <c r="D167" t="s">
        <v>197</v>
      </c>
      <c r="E167" t="s">
        <v>197</v>
      </c>
      <c r="F167" t="s">
        <v>197</v>
      </c>
      <c r="G167" t="s">
        <v>197</v>
      </c>
      <c r="H167" t="s">
        <v>197</v>
      </c>
      <c r="I167" t="s">
        <v>197</v>
      </c>
      <c r="J167" t="s">
        <v>197</v>
      </c>
      <c r="K167" t="s">
        <v>566</v>
      </c>
    </row>
    <row r="168" spans="1:24">
      <c r="B168" t="s">
        <v>197</v>
      </c>
      <c r="C168" t="s">
        <v>197</v>
      </c>
      <c r="D168" t="s">
        <v>197</v>
      </c>
      <c r="E168" t="s">
        <v>197</v>
      </c>
      <c r="F168" t="s">
        <v>197</v>
      </c>
      <c r="G168" t="s">
        <v>197</v>
      </c>
      <c r="H168" t="s">
        <v>197</v>
      </c>
      <c r="I168" t="s">
        <v>197</v>
      </c>
      <c r="J168" t="s">
        <v>197</v>
      </c>
      <c r="K168" t="s">
        <v>567</v>
      </c>
    </row>
    <row r="169" spans="1:24">
      <c r="A169" t="s">
        <v>596</v>
      </c>
      <c r="K169" t="s">
        <v>597</v>
      </c>
      <c r="W169" t="s">
        <v>171</v>
      </c>
      <c r="X169" t="str">
        <f>A169</f>
        <v>info_text_dml_single_pk</v>
      </c>
    </row>
    <row r="170" spans="1:24">
      <c r="B170" t="s">
        <v>196</v>
      </c>
      <c r="C170" t="s">
        <v>197</v>
      </c>
      <c r="D170" t="s">
        <v>197</v>
      </c>
      <c r="E170" t="s">
        <v>197</v>
      </c>
      <c r="F170" t="s">
        <v>197</v>
      </c>
      <c r="G170" t="s">
        <v>197</v>
      </c>
      <c r="H170" t="s">
        <v>197</v>
      </c>
      <c r="I170" t="s">
        <v>598</v>
      </c>
      <c r="J170" t="s">
        <v>199</v>
      </c>
      <c r="K170" t="s">
        <v>200</v>
      </c>
    </row>
    <row r="171" spans="1:24">
      <c r="B171" t="s">
        <v>197</v>
      </c>
      <c r="C171" t="s">
        <v>197</v>
      </c>
      <c r="D171" t="s">
        <v>197</v>
      </c>
      <c r="E171" t="s">
        <v>197</v>
      </c>
      <c r="F171" t="s">
        <v>197</v>
      </c>
      <c r="G171" t="s">
        <v>197</v>
      </c>
      <c r="H171" t="s">
        <v>197</v>
      </c>
      <c r="I171" t="s">
        <v>197</v>
      </c>
      <c r="J171" t="s">
        <v>197</v>
      </c>
      <c r="K171" t="s">
        <v>229</v>
      </c>
    </row>
    <row r="172" spans="1:24">
      <c r="B172" t="s">
        <v>197</v>
      </c>
      <c r="C172" t="s">
        <v>197</v>
      </c>
      <c r="D172" t="s">
        <v>197</v>
      </c>
      <c r="E172" t="s">
        <v>197</v>
      </c>
      <c r="F172" t="s">
        <v>197</v>
      </c>
      <c r="G172" t="s">
        <v>197</v>
      </c>
      <c r="H172" t="s">
        <v>197</v>
      </c>
      <c r="I172" t="s">
        <v>197</v>
      </c>
      <c r="J172" t="s">
        <v>197</v>
      </c>
      <c r="K172" t="s">
        <v>251</v>
      </c>
    </row>
    <row r="173" spans="1:24">
      <c r="K173" t="s">
        <v>443</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606</v>
      </c>
      <c r="K177" t="s">
        <v>607</v>
      </c>
      <c r="W177" t="s">
        <v>171</v>
      </c>
      <c r="X177" t="str">
        <f>A177</f>
        <v>info_xml_dml_single_pk_drp</v>
      </c>
    </row>
    <row r="178" spans="1:24">
      <c r="B178" t="s">
        <v>196</v>
      </c>
      <c r="C178" t="s">
        <v>197</v>
      </c>
      <c r="D178" t="s">
        <v>197</v>
      </c>
      <c r="E178" t="s">
        <v>197</v>
      </c>
      <c r="F178" t="s">
        <v>197</v>
      </c>
      <c r="G178" t="s">
        <v>197</v>
      </c>
      <c r="H178" t="s">
        <v>197</v>
      </c>
      <c r="I178" t="s">
        <v>608</v>
      </c>
      <c r="J178" t="s">
        <v>199</v>
      </c>
      <c r="K178" t="s">
        <v>200</v>
      </c>
    </row>
    <row r="179" spans="1:24">
      <c r="B179" t="s">
        <v>197</v>
      </c>
      <c r="C179" t="s">
        <v>197</v>
      </c>
      <c r="D179" t="s">
        <v>197</v>
      </c>
      <c r="E179" t="s">
        <v>197</v>
      </c>
      <c r="F179" t="s">
        <v>197</v>
      </c>
      <c r="G179" t="s">
        <v>197</v>
      </c>
      <c r="H179" t="s">
        <v>197</v>
      </c>
      <c r="I179" t="s">
        <v>197</v>
      </c>
      <c r="J179" t="s">
        <v>197</v>
      </c>
      <c r="K179" t="s">
        <v>472</v>
      </c>
    </row>
    <row r="180" spans="1:24">
      <c r="A180" t="s">
        <v>609</v>
      </c>
      <c r="K180" t="s">
        <v>610</v>
      </c>
      <c r="W180" t="s">
        <v>171</v>
      </c>
      <c r="X180" t="str">
        <f>A180</f>
        <v>info_nchar_dml_single_pk_urp</v>
      </c>
    </row>
    <row r="181" spans="1:24">
      <c r="B181" t="s">
        <v>196</v>
      </c>
      <c r="C181" t="s">
        <v>197</v>
      </c>
      <c r="D181" t="s">
        <v>197</v>
      </c>
      <c r="E181" t="s">
        <v>197</v>
      </c>
      <c r="F181" t="s">
        <v>197</v>
      </c>
      <c r="G181" t="s">
        <v>197</v>
      </c>
      <c r="H181" t="s">
        <v>197</v>
      </c>
      <c r="I181" t="s">
        <v>611</v>
      </c>
      <c r="J181" t="s">
        <v>199</v>
      </c>
      <c r="K181" t="s">
        <v>200</v>
      </c>
    </row>
    <row r="182" spans="1:24">
      <c r="B182" t="s">
        <v>197</v>
      </c>
      <c r="C182" t="s">
        <v>197</v>
      </c>
      <c r="D182" t="s">
        <v>197</v>
      </c>
      <c r="E182" t="s">
        <v>197</v>
      </c>
      <c r="F182" t="s">
        <v>197</v>
      </c>
      <c r="G182" t="s">
        <v>197</v>
      </c>
      <c r="H182" t="s">
        <v>197</v>
      </c>
      <c r="I182" t="s">
        <v>197</v>
      </c>
      <c r="J182" t="s">
        <v>197</v>
      </c>
      <c r="K182" t="s">
        <v>514</v>
      </c>
    </row>
    <row r="183" spans="1:24">
      <c r="B183" t="s">
        <v>197</v>
      </c>
      <c r="C183" t="s">
        <v>197</v>
      </c>
      <c r="D183" t="s">
        <v>197</v>
      </c>
      <c r="E183" t="s">
        <v>197</v>
      </c>
      <c r="F183" t="s">
        <v>197</v>
      </c>
      <c r="G183" t="s">
        <v>197</v>
      </c>
      <c r="H183" t="s">
        <v>197</v>
      </c>
      <c r="I183" t="s">
        <v>197</v>
      </c>
      <c r="J183" t="s">
        <v>197</v>
      </c>
      <c r="K183" t="s">
        <v>516</v>
      </c>
    </row>
    <row r="184" spans="1:24">
      <c r="B184" t="s">
        <v>197</v>
      </c>
      <c r="C184" t="s">
        <v>197</v>
      </c>
      <c r="D184" t="s">
        <v>197</v>
      </c>
      <c r="E184" t="s">
        <v>197</v>
      </c>
      <c r="F184" t="s">
        <v>197</v>
      </c>
      <c r="G184" t="s">
        <v>197</v>
      </c>
      <c r="H184" t="s">
        <v>197</v>
      </c>
      <c r="I184" t="s">
        <v>197</v>
      </c>
      <c r="J184" t="s">
        <v>197</v>
      </c>
      <c r="K184" t="s">
        <v>612</v>
      </c>
    </row>
    <row r="185" spans="1:24">
      <c r="A185" t="s">
        <v>613</v>
      </c>
      <c r="K185" t="s">
        <v>614</v>
      </c>
      <c r="W185" t="s">
        <v>171</v>
      </c>
      <c r="X185" t="str">
        <f>A185</f>
        <v>info_datetime_dml_batch1_pk_urp1</v>
      </c>
    </row>
    <row r="186" spans="1:24">
      <c r="B186" t="s">
        <v>196</v>
      </c>
      <c r="C186" t="s">
        <v>197</v>
      </c>
      <c r="D186" t="s">
        <v>197</v>
      </c>
      <c r="E186" t="s">
        <v>197</v>
      </c>
      <c r="F186" t="s">
        <v>197</v>
      </c>
      <c r="G186" t="s">
        <v>197</v>
      </c>
      <c r="H186" t="s">
        <v>197</v>
      </c>
      <c r="I186" t="s">
        <v>615</v>
      </c>
      <c r="J186" t="s">
        <v>199</v>
      </c>
      <c r="K186" t="s">
        <v>200</v>
      </c>
    </row>
    <row r="187" spans="1:24">
      <c r="B187" t="s">
        <v>197</v>
      </c>
      <c r="C187" t="s">
        <v>197</v>
      </c>
      <c r="D187" t="s">
        <v>197</v>
      </c>
      <c r="E187" t="s">
        <v>197</v>
      </c>
      <c r="F187" t="s">
        <v>197</v>
      </c>
      <c r="G187" t="s">
        <v>197</v>
      </c>
      <c r="H187" t="s">
        <v>197</v>
      </c>
      <c r="I187" t="s">
        <v>197</v>
      </c>
      <c r="J187" t="s">
        <v>197</v>
      </c>
      <c r="K187" t="s">
        <v>574</v>
      </c>
    </row>
    <row r="188" spans="1:24">
      <c r="A188" t="s">
        <v>602</v>
      </c>
      <c r="K188" t="s">
        <v>603</v>
      </c>
      <c r="W188" t="s">
        <v>171</v>
      </c>
      <c r="X188" t="str">
        <f>A188</f>
        <v>info_nvarchar_dml_batch1_pk_drp2</v>
      </c>
    </row>
    <row r="189" spans="1:24">
      <c r="B189" t="s">
        <v>196</v>
      </c>
      <c r="C189" t="s">
        <v>197</v>
      </c>
      <c r="D189" t="s">
        <v>197</v>
      </c>
      <c r="E189" t="s">
        <v>197</v>
      </c>
      <c r="F189" t="s">
        <v>197</v>
      </c>
      <c r="G189" t="s">
        <v>197</v>
      </c>
      <c r="H189" t="s">
        <v>197</v>
      </c>
      <c r="I189" t="s">
        <v>604</v>
      </c>
      <c r="J189" t="s">
        <v>199</v>
      </c>
      <c r="K189" t="s">
        <v>200</v>
      </c>
    </row>
    <row r="190" spans="1:24">
      <c r="B190" t="s">
        <v>197</v>
      </c>
      <c r="C190" t="s">
        <v>197</v>
      </c>
      <c r="D190" t="s">
        <v>197</v>
      </c>
      <c r="E190" t="s">
        <v>197</v>
      </c>
      <c r="F190" t="s">
        <v>197</v>
      </c>
      <c r="G190" t="s">
        <v>197</v>
      </c>
      <c r="H190" t="s">
        <v>197</v>
      </c>
      <c r="I190" t="s">
        <v>197</v>
      </c>
      <c r="J190" t="s">
        <v>197</v>
      </c>
      <c r="K190" t="s">
        <v>408</v>
      </c>
    </row>
    <row r="191" spans="1:24">
      <c r="B191" t="s">
        <v>197</v>
      </c>
      <c r="C191" t="s">
        <v>197</v>
      </c>
      <c r="D191" t="s">
        <v>197</v>
      </c>
      <c r="E191" t="s">
        <v>197</v>
      </c>
      <c r="F191" t="s">
        <v>197</v>
      </c>
      <c r="G191" t="s">
        <v>197</v>
      </c>
      <c r="H191" t="s">
        <v>197</v>
      </c>
      <c r="I191" t="s">
        <v>197</v>
      </c>
      <c r="J191" t="s">
        <v>197</v>
      </c>
      <c r="K191" t="s">
        <v>412</v>
      </c>
    </row>
    <row r="192" spans="1:24">
      <c r="B192" t="s">
        <v>197</v>
      </c>
      <c r="C192" t="s">
        <v>197</v>
      </c>
      <c r="D192" t="s">
        <v>197</v>
      </c>
      <c r="E192" t="s">
        <v>197</v>
      </c>
      <c r="F192" t="s">
        <v>197</v>
      </c>
      <c r="G192" t="s">
        <v>197</v>
      </c>
      <c r="H192" t="s">
        <v>197</v>
      </c>
      <c r="I192" t="s">
        <v>197</v>
      </c>
      <c r="J192" t="s">
        <v>197</v>
      </c>
      <c r="K192" t="s">
        <v>605</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1" t="str">
        <f>HYPERLINK("#2026042015hbase1!AB2","NO 源备存在差异，共2个")</f>
        <v>NO 源备存在差异，共2个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658</v>
      </c>
      <c r="K250" t="s">
        <v>659</v>
      </c>
      <c r="W250" t="s">
        <v>171</v>
      </c>
      <c r="X250" t="str">
        <f>A250</f>
        <v>info_char_dml_batch1_pk_irp2</v>
      </c>
    </row>
    <row r="251" spans="1:24">
      <c r="B251" t="s">
        <v>196</v>
      </c>
      <c r="C251" t="s">
        <v>197</v>
      </c>
      <c r="D251" t="s">
        <v>197</v>
      </c>
      <c r="E251" t="s">
        <v>197</v>
      </c>
      <c r="F251" t="s">
        <v>197</v>
      </c>
      <c r="G251" t="s">
        <v>197</v>
      </c>
      <c r="H251" t="s">
        <v>197</v>
      </c>
      <c r="I251" t="s">
        <v>660</v>
      </c>
      <c r="J251" t="s">
        <v>199</v>
      </c>
      <c r="K251" t="s">
        <v>200</v>
      </c>
    </row>
    <row r="252" spans="1:24">
      <c r="B252" t="s">
        <v>197</v>
      </c>
      <c r="C252" t="s">
        <v>197</v>
      </c>
      <c r="D252" t="s">
        <v>197</v>
      </c>
      <c r="E252" t="s">
        <v>197</v>
      </c>
      <c r="F252" t="s">
        <v>197</v>
      </c>
      <c r="G252" t="s">
        <v>197</v>
      </c>
      <c r="H252" t="s">
        <v>197</v>
      </c>
      <c r="I252" t="s">
        <v>197</v>
      </c>
      <c r="J252" t="s">
        <v>197</v>
      </c>
      <c r="K252" t="s">
        <v>622</v>
      </c>
    </row>
    <row r="253" spans="1:24">
      <c r="B253" t="s">
        <v>197</v>
      </c>
      <c r="C253" t="s">
        <v>197</v>
      </c>
      <c r="D253" t="s">
        <v>197</v>
      </c>
      <c r="E253" t="s">
        <v>197</v>
      </c>
      <c r="F253" t="s">
        <v>197</v>
      </c>
      <c r="G253" t="s">
        <v>197</v>
      </c>
      <c r="H253" t="s">
        <v>197</v>
      </c>
      <c r="I253" t="s">
        <v>197</v>
      </c>
      <c r="J253" t="s">
        <v>197</v>
      </c>
      <c r="K253" t="s">
        <v>623</v>
      </c>
    </row>
    <row r="254" spans="1:24">
      <c r="B254" t="s">
        <v>197</v>
      </c>
      <c r="C254" t="s">
        <v>197</v>
      </c>
      <c r="D254" t="s">
        <v>197</v>
      </c>
      <c r="E254" t="s">
        <v>197</v>
      </c>
      <c r="F254" t="s">
        <v>197</v>
      </c>
      <c r="G254" t="s">
        <v>197</v>
      </c>
      <c r="H254" t="s">
        <v>197</v>
      </c>
      <c r="I254" t="s">
        <v>197</v>
      </c>
      <c r="J254" t="s">
        <v>197</v>
      </c>
      <c r="K254" t="s">
        <v>624</v>
      </c>
    </row>
    <row r="255" spans="1:24">
      <c r="K255" t="s">
        <v>443</v>
      </c>
    </row>
    <row r="256" spans="1:24">
      <c r="A256" t="s">
        <v>652</v>
      </c>
      <c r="K256" t="s">
        <v>653</v>
      </c>
      <c r="W256" t="s">
        <v>171</v>
      </c>
      <c r="X256" t="str">
        <f>A256</f>
        <v>info_nvarchar_dml_batch1_pk</v>
      </c>
    </row>
    <row r="257" spans="1:24">
      <c r="B257" t="s">
        <v>196</v>
      </c>
      <c r="C257" t="s">
        <v>197</v>
      </c>
      <c r="D257" t="s">
        <v>197</v>
      </c>
      <c r="E257" t="s">
        <v>197</v>
      </c>
      <c r="F257" t="s">
        <v>197</v>
      </c>
      <c r="G257" t="s">
        <v>197</v>
      </c>
      <c r="H257" t="s">
        <v>197</v>
      </c>
      <c r="I257" t="s">
        <v>654</v>
      </c>
      <c r="J257" t="s">
        <v>199</v>
      </c>
      <c r="K257" t="s">
        <v>200</v>
      </c>
    </row>
    <row r="258" spans="1:24">
      <c r="B258" t="s">
        <v>197</v>
      </c>
      <c r="C258" t="s">
        <v>197</v>
      </c>
      <c r="D258" t="s">
        <v>197</v>
      </c>
      <c r="E258" t="s">
        <v>197</v>
      </c>
      <c r="F258" t="s">
        <v>197</v>
      </c>
      <c r="G258" t="s">
        <v>197</v>
      </c>
      <c r="H258" t="s">
        <v>197</v>
      </c>
      <c r="I258" t="s">
        <v>197</v>
      </c>
      <c r="J258" t="s">
        <v>197</v>
      </c>
      <c r="K258" t="s">
        <v>408</v>
      </c>
    </row>
    <row r="259" spans="1:24">
      <c r="B259" t="s">
        <v>197</v>
      </c>
      <c r="C259" t="s">
        <v>197</v>
      </c>
      <c r="D259" t="s">
        <v>197</v>
      </c>
      <c r="E259" t="s">
        <v>197</v>
      </c>
      <c r="F259" t="s">
        <v>197</v>
      </c>
      <c r="G259" t="s">
        <v>197</v>
      </c>
      <c r="H259" t="s">
        <v>197</v>
      </c>
      <c r="I259" t="s">
        <v>197</v>
      </c>
      <c r="J259" t="s">
        <v>197</v>
      </c>
      <c r="K259" t="s">
        <v>412</v>
      </c>
    </row>
    <row r="260" spans="1:24">
      <c r="B260" t="s">
        <v>197</v>
      </c>
      <c r="C260" t="s">
        <v>197</v>
      </c>
      <c r="D260" t="s">
        <v>197</v>
      </c>
      <c r="E260" t="s">
        <v>197</v>
      </c>
      <c r="F260" t="s">
        <v>197</v>
      </c>
      <c r="G260" t="s">
        <v>197</v>
      </c>
      <c r="H260" t="s">
        <v>197</v>
      </c>
      <c r="I260" t="s">
        <v>197</v>
      </c>
      <c r="J260" t="s">
        <v>197</v>
      </c>
      <c r="K260" t="s">
        <v>605</v>
      </c>
    </row>
    <row r="261" spans="1:24">
      <c r="A261" t="s">
        <v>655</v>
      </c>
      <c r="K261" t="s">
        <v>656</v>
      </c>
      <c r="W261" t="s">
        <v>171</v>
      </c>
      <c r="X261" t="str">
        <f>A261</f>
        <v>info_datetime_dml_batch1_pk</v>
      </c>
    </row>
    <row r="262" spans="1:24">
      <c r="B262" t="s">
        <v>196</v>
      </c>
      <c r="C262" t="s">
        <v>197</v>
      </c>
      <c r="D262" t="s">
        <v>197</v>
      </c>
      <c r="E262" t="s">
        <v>197</v>
      </c>
      <c r="F262" t="s">
        <v>197</v>
      </c>
      <c r="G262" t="s">
        <v>197</v>
      </c>
      <c r="H262" t="s">
        <v>197</v>
      </c>
      <c r="I262" t="s">
        <v>657</v>
      </c>
      <c r="J262" t="s">
        <v>199</v>
      </c>
      <c r="K262" t="s">
        <v>200</v>
      </c>
    </row>
    <row r="263" spans="1:24">
      <c r="B263" t="s">
        <v>197</v>
      </c>
      <c r="C263" t="s">
        <v>197</v>
      </c>
      <c r="D263" t="s">
        <v>197</v>
      </c>
      <c r="E263" t="s">
        <v>197</v>
      </c>
      <c r="F263" t="s">
        <v>197</v>
      </c>
      <c r="G263" t="s">
        <v>197</v>
      </c>
      <c r="H263" t="s">
        <v>197</v>
      </c>
      <c r="I263" t="s">
        <v>197</v>
      </c>
      <c r="J263" t="s">
        <v>197</v>
      </c>
      <c r="K263" t="s">
        <v>574</v>
      </c>
    </row>
    <row r="264" spans="1:24">
      <c r="A264" t="s">
        <v>661</v>
      </c>
      <c r="K264" t="s">
        <v>662</v>
      </c>
      <c r="W264" t="s">
        <v>171</v>
      </c>
      <c r="X264" t="str">
        <f>A264</f>
        <v>info_nchar_dml_single_pk</v>
      </c>
    </row>
    <row r="265" spans="1:24">
      <c r="B265" t="s">
        <v>196</v>
      </c>
      <c r="C265" t="s">
        <v>197</v>
      </c>
      <c r="D265" t="s">
        <v>197</v>
      </c>
      <c r="E265" t="s">
        <v>197</v>
      </c>
      <c r="F265" t="s">
        <v>197</v>
      </c>
      <c r="G265" t="s">
        <v>197</v>
      </c>
      <c r="H265" t="s">
        <v>197</v>
      </c>
      <c r="I265" t="s">
        <v>663</v>
      </c>
      <c r="J265" t="s">
        <v>199</v>
      </c>
      <c r="K265" t="s">
        <v>200</v>
      </c>
    </row>
    <row r="266" spans="1:24">
      <c r="B266" t="s">
        <v>197</v>
      </c>
      <c r="C266" t="s">
        <v>197</v>
      </c>
      <c r="D266" t="s">
        <v>197</v>
      </c>
      <c r="E266" t="s">
        <v>197</v>
      </c>
      <c r="F266" t="s">
        <v>197</v>
      </c>
      <c r="G266" t="s">
        <v>197</v>
      </c>
      <c r="H266" t="s">
        <v>197</v>
      </c>
      <c r="I266" t="s">
        <v>197</v>
      </c>
      <c r="J266" t="s">
        <v>197</v>
      </c>
      <c r="K266" t="s">
        <v>514</v>
      </c>
    </row>
    <row r="267" spans="1:24">
      <c r="B267" t="s">
        <v>197</v>
      </c>
      <c r="C267" t="s">
        <v>197</v>
      </c>
      <c r="D267" t="s">
        <v>197</v>
      </c>
      <c r="E267" t="s">
        <v>197</v>
      </c>
      <c r="F267" t="s">
        <v>197</v>
      </c>
      <c r="G267" t="s">
        <v>197</v>
      </c>
      <c r="H267" t="s">
        <v>197</v>
      </c>
      <c r="I267" t="s">
        <v>197</v>
      </c>
      <c r="J267" t="s">
        <v>197</v>
      </c>
      <c r="K267" t="s">
        <v>516</v>
      </c>
    </row>
    <row r="268" spans="1:24">
      <c r="B268" t="s">
        <v>197</v>
      </c>
      <c r="C268" t="s">
        <v>197</v>
      </c>
      <c r="D268" t="s">
        <v>197</v>
      </c>
      <c r="E268" t="s">
        <v>197</v>
      </c>
      <c r="F268" t="s">
        <v>197</v>
      </c>
      <c r="G268" t="s">
        <v>197</v>
      </c>
      <c r="H268" t="s">
        <v>197</v>
      </c>
      <c r="I268" t="s">
        <v>197</v>
      </c>
      <c r="J268" t="s">
        <v>197</v>
      </c>
      <c r="K268" t="s">
        <v>612</v>
      </c>
    </row>
    <row r="269" spans="1:24">
      <c r="A269" t="s">
        <v>675</v>
      </c>
      <c r="K269" t="s">
        <v>676</v>
      </c>
      <c r="W269" t="s">
        <v>171</v>
      </c>
      <c r="X269" t="str">
        <f>A269</f>
        <v>info_date_dml_single_pk_irp</v>
      </c>
    </row>
    <row r="270" spans="1:24">
      <c r="B270" t="s">
        <v>196</v>
      </c>
      <c r="C270" t="s">
        <v>197</v>
      </c>
      <c r="D270" t="s">
        <v>197</v>
      </c>
      <c r="E270" t="s">
        <v>197</v>
      </c>
      <c r="F270" t="s">
        <v>197</v>
      </c>
      <c r="G270" t="s">
        <v>197</v>
      </c>
      <c r="H270" t="s">
        <v>197</v>
      </c>
      <c r="I270" t="s">
        <v>677</v>
      </c>
      <c r="J270" t="s">
        <v>199</v>
      </c>
      <c r="K270" t="s">
        <v>200</v>
      </c>
    </row>
    <row r="271" spans="1:24">
      <c r="B271" t="s">
        <v>197</v>
      </c>
      <c r="C271" t="s">
        <v>197</v>
      </c>
      <c r="D271" t="s">
        <v>197</v>
      </c>
      <c r="E271" t="s">
        <v>197</v>
      </c>
      <c r="F271" t="s">
        <v>197</v>
      </c>
      <c r="G271" t="s">
        <v>197</v>
      </c>
      <c r="H271" t="s">
        <v>197</v>
      </c>
      <c r="I271" t="s">
        <v>197</v>
      </c>
      <c r="J271" t="s">
        <v>197</v>
      </c>
      <c r="K271" t="s">
        <v>678</v>
      </c>
    </row>
    <row r="272" spans="1:24">
      <c r="A272" t="s">
        <v>664</v>
      </c>
      <c r="K272" t="s">
        <v>665</v>
      </c>
      <c r="W272" t="s">
        <v>171</v>
      </c>
      <c r="X272" t="str">
        <f>A272</f>
        <v>info_datetime2_dml_batch1_pk_irp1</v>
      </c>
    </row>
    <row r="273" spans="1:24">
      <c r="B273" t="s">
        <v>196</v>
      </c>
      <c r="C273" t="s">
        <v>197</v>
      </c>
      <c r="D273" t="s">
        <v>197</v>
      </c>
      <c r="E273" t="s">
        <v>197</v>
      </c>
      <c r="F273" t="s">
        <v>197</v>
      </c>
      <c r="G273" t="s">
        <v>197</v>
      </c>
      <c r="H273" t="s">
        <v>197</v>
      </c>
      <c r="I273" t="s">
        <v>666</v>
      </c>
      <c r="J273" t="s">
        <v>199</v>
      </c>
      <c r="K273" t="s">
        <v>200</v>
      </c>
    </row>
    <row r="274" spans="1:24">
      <c r="B274" t="s">
        <v>197</v>
      </c>
      <c r="C274" t="s">
        <v>197</v>
      </c>
      <c r="D274" t="s">
        <v>197</v>
      </c>
      <c r="E274" t="s">
        <v>197</v>
      </c>
      <c r="F274" t="s">
        <v>197</v>
      </c>
      <c r="G274" t="s">
        <v>197</v>
      </c>
      <c r="H274" t="s">
        <v>197</v>
      </c>
      <c r="I274" t="s">
        <v>197</v>
      </c>
      <c r="J274" t="s">
        <v>197</v>
      </c>
      <c r="K274" t="s">
        <v>667</v>
      </c>
    </row>
    <row r="275" spans="1:24">
      <c r="B275" t="s">
        <v>197</v>
      </c>
      <c r="C275" t="s">
        <v>197</v>
      </c>
      <c r="D275" t="s">
        <v>197</v>
      </c>
      <c r="E275" t="s">
        <v>197</v>
      </c>
      <c r="F275" t="s">
        <v>197</v>
      </c>
      <c r="G275" t="s">
        <v>197</v>
      </c>
      <c r="H275" t="s">
        <v>197</v>
      </c>
      <c r="I275" t="s">
        <v>197</v>
      </c>
      <c r="J275" t="s">
        <v>197</v>
      </c>
      <c r="K275" t="s">
        <v>668</v>
      </c>
    </row>
    <row r="276" spans="1:24">
      <c r="B276" t="s">
        <v>197</v>
      </c>
      <c r="C276" t="s">
        <v>197</v>
      </c>
      <c r="D276" t="s">
        <v>197</v>
      </c>
      <c r="E276" t="s">
        <v>197</v>
      </c>
      <c r="F276" t="s">
        <v>197</v>
      </c>
      <c r="G276" t="s">
        <v>197</v>
      </c>
      <c r="H276" t="s">
        <v>197</v>
      </c>
      <c r="I276" t="s">
        <v>197</v>
      </c>
      <c r="J276" t="s">
        <v>197</v>
      </c>
      <c r="K276" t="s">
        <v>669</v>
      </c>
    </row>
    <row r="277" spans="1:24">
      <c r="B277" t="s">
        <v>197</v>
      </c>
      <c r="C277" t="s">
        <v>197</v>
      </c>
      <c r="D277" t="s">
        <v>197</v>
      </c>
      <c r="E277" t="s">
        <v>197</v>
      </c>
      <c r="F277" t="s">
        <v>197</v>
      </c>
      <c r="G277" t="s">
        <v>197</v>
      </c>
      <c r="H277" t="s">
        <v>197</v>
      </c>
      <c r="I277" t="s">
        <v>197</v>
      </c>
      <c r="J277" t="s">
        <v>197</v>
      </c>
      <c r="K277" t="s">
        <v>670</v>
      </c>
    </row>
    <row r="278" spans="1:24">
      <c r="B278" t="s">
        <v>197</v>
      </c>
      <c r="C278" t="s">
        <v>197</v>
      </c>
      <c r="D278" t="s">
        <v>197</v>
      </c>
      <c r="E278" t="s">
        <v>197</v>
      </c>
      <c r="F278" t="s">
        <v>197</v>
      </c>
      <c r="G278" t="s">
        <v>197</v>
      </c>
      <c r="H278" t="s">
        <v>197</v>
      </c>
      <c r="I278" t="s">
        <v>197</v>
      </c>
      <c r="J278" t="s">
        <v>197</v>
      </c>
      <c r="K278" t="s">
        <v>671</v>
      </c>
    </row>
    <row r="279" spans="1:24">
      <c r="B279" t="s">
        <v>197</v>
      </c>
      <c r="C279" t="s">
        <v>197</v>
      </c>
      <c r="D279" t="s">
        <v>197</v>
      </c>
      <c r="E279" t="s">
        <v>197</v>
      </c>
      <c r="F279" t="s">
        <v>197</v>
      </c>
      <c r="G279" t="s">
        <v>197</v>
      </c>
      <c r="H279" t="s">
        <v>197</v>
      </c>
      <c r="I279" t="s">
        <v>197</v>
      </c>
      <c r="J279" t="s">
        <v>197</v>
      </c>
      <c r="K279" t="s">
        <v>672</v>
      </c>
    </row>
    <row r="280" spans="1:24">
      <c r="B280" t="s">
        <v>197</v>
      </c>
      <c r="C280" t="s">
        <v>197</v>
      </c>
      <c r="D280" t="s">
        <v>197</v>
      </c>
      <c r="E280" t="s">
        <v>197</v>
      </c>
      <c r="F280" t="s">
        <v>197</v>
      </c>
      <c r="G280" t="s">
        <v>197</v>
      </c>
      <c r="H280" t="s">
        <v>197</v>
      </c>
      <c r="I280" t="s">
        <v>197</v>
      </c>
      <c r="J280" t="s">
        <v>197</v>
      </c>
      <c r="K280" t="s">
        <v>673</v>
      </c>
    </row>
    <row r="281" spans="1:24">
      <c r="B281" t="s">
        <v>197</v>
      </c>
      <c r="C281" t="s">
        <v>197</v>
      </c>
      <c r="D281" t="s">
        <v>197</v>
      </c>
      <c r="E281" t="s">
        <v>197</v>
      </c>
      <c r="F281" t="s">
        <v>197</v>
      </c>
      <c r="G281" t="s">
        <v>197</v>
      </c>
      <c r="H281" t="s">
        <v>197</v>
      </c>
      <c r="I281" t="s">
        <v>197</v>
      </c>
      <c r="J281" t="s">
        <v>197</v>
      </c>
      <c r="K281" t="s">
        <v>674</v>
      </c>
    </row>
    <row r="282" spans="1:24">
      <c r="A282" t="s">
        <v>679</v>
      </c>
      <c r="K282" t="s">
        <v>680</v>
      </c>
      <c r="W282" t="s">
        <v>171</v>
      </c>
      <c r="X282" t="str">
        <f>A282</f>
        <v>info_datetime2_dml_batch1_pk_irp2</v>
      </c>
    </row>
    <row r="283" spans="1:24">
      <c r="B283" t="s">
        <v>196</v>
      </c>
      <c r="C283" t="s">
        <v>197</v>
      </c>
      <c r="D283" t="s">
        <v>197</v>
      </c>
      <c r="E283" t="s">
        <v>197</v>
      </c>
      <c r="F283" t="s">
        <v>197</v>
      </c>
      <c r="G283" t="s">
        <v>197</v>
      </c>
      <c r="H283" t="s">
        <v>197</v>
      </c>
      <c r="I283" t="s">
        <v>681</v>
      </c>
      <c r="J283" t="s">
        <v>199</v>
      </c>
      <c r="K283" t="s">
        <v>200</v>
      </c>
    </row>
    <row r="284" spans="1:24">
      <c r="B284" t="s">
        <v>197</v>
      </c>
      <c r="C284" t="s">
        <v>197</v>
      </c>
      <c r="D284" t="s">
        <v>197</v>
      </c>
      <c r="E284" t="s">
        <v>197</v>
      </c>
      <c r="F284" t="s">
        <v>197</v>
      </c>
      <c r="G284" t="s">
        <v>197</v>
      </c>
      <c r="H284" t="s">
        <v>197</v>
      </c>
      <c r="I284" t="s">
        <v>197</v>
      </c>
      <c r="J284" t="s">
        <v>197</v>
      </c>
      <c r="K284" t="s">
        <v>667</v>
      </c>
    </row>
    <row r="285" spans="1:24">
      <c r="B285" t="s">
        <v>197</v>
      </c>
      <c r="C285" t="s">
        <v>197</v>
      </c>
      <c r="D285" t="s">
        <v>197</v>
      </c>
      <c r="E285" t="s">
        <v>197</v>
      </c>
      <c r="F285" t="s">
        <v>197</v>
      </c>
      <c r="G285" t="s">
        <v>197</v>
      </c>
      <c r="H285" t="s">
        <v>197</v>
      </c>
      <c r="I285" t="s">
        <v>197</v>
      </c>
      <c r="J285" t="s">
        <v>197</v>
      </c>
      <c r="K285" t="s">
        <v>668</v>
      </c>
    </row>
    <row r="286" spans="1:24">
      <c r="B286" t="s">
        <v>197</v>
      </c>
      <c r="C286" t="s">
        <v>197</v>
      </c>
      <c r="D286" t="s">
        <v>197</v>
      </c>
      <c r="E286" t="s">
        <v>197</v>
      </c>
      <c r="F286" t="s">
        <v>197</v>
      </c>
      <c r="G286" t="s">
        <v>197</v>
      </c>
      <c r="H286" t="s">
        <v>197</v>
      </c>
      <c r="I286" t="s">
        <v>197</v>
      </c>
      <c r="J286" t="s">
        <v>197</v>
      </c>
      <c r="K286" t="s">
        <v>669</v>
      </c>
    </row>
    <row r="287" spans="1:24">
      <c r="B287" t="s">
        <v>197</v>
      </c>
      <c r="C287" t="s">
        <v>197</v>
      </c>
      <c r="D287" t="s">
        <v>197</v>
      </c>
      <c r="E287" t="s">
        <v>197</v>
      </c>
      <c r="F287" t="s">
        <v>197</v>
      </c>
      <c r="G287" t="s">
        <v>197</v>
      </c>
      <c r="H287" t="s">
        <v>197</v>
      </c>
      <c r="I287" t="s">
        <v>197</v>
      </c>
      <c r="J287" t="s">
        <v>197</v>
      </c>
      <c r="K287" t="s">
        <v>670</v>
      </c>
    </row>
    <row r="288" spans="1:24">
      <c r="B288" t="s">
        <v>197</v>
      </c>
      <c r="C288" t="s">
        <v>197</v>
      </c>
      <c r="D288" t="s">
        <v>197</v>
      </c>
      <c r="E288" t="s">
        <v>197</v>
      </c>
      <c r="F288" t="s">
        <v>197</v>
      </c>
      <c r="G288" t="s">
        <v>197</v>
      </c>
      <c r="H288" t="s">
        <v>197</v>
      </c>
      <c r="I288" t="s">
        <v>197</v>
      </c>
      <c r="J288" t="s">
        <v>197</v>
      </c>
      <c r="K288" t="s">
        <v>671</v>
      </c>
    </row>
    <row r="289" spans="1:24">
      <c r="B289" t="s">
        <v>197</v>
      </c>
      <c r="C289" t="s">
        <v>197</v>
      </c>
      <c r="D289" t="s">
        <v>197</v>
      </c>
      <c r="E289" t="s">
        <v>197</v>
      </c>
      <c r="F289" t="s">
        <v>197</v>
      </c>
      <c r="G289" t="s">
        <v>197</v>
      </c>
      <c r="H289" t="s">
        <v>197</v>
      </c>
      <c r="I289" t="s">
        <v>197</v>
      </c>
      <c r="J289" t="s">
        <v>197</v>
      </c>
      <c r="K289" t="s">
        <v>672</v>
      </c>
    </row>
    <row r="290" spans="1:24">
      <c r="B290" t="s">
        <v>197</v>
      </c>
      <c r="C290" t="s">
        <v>197</v>
      </c>
      <c r="D290" t="s">
        <v>197</v>
      </c>
      <c r="E290" t="s">
        <v>197</v>
      </c>
      <c r="F290" t="s">
        <v>197</v>
      </c>
      <c r="G290" t="s">
        <v>197</v>
      </c>
      <c r="H290" t="s">
        <v>197</v>
      </c>
      <c r="I290" t="s">
        <v>197</v>
      </c>
      <c r="J290" t="s">
        <v>197</v>
      </c>
      <c r="K290" t="s">
        <v>673</v>
      </c>
    </row>
    <row r="291" spans="1:24">
      <c r="B291" t="s">
        <v>197</v>
      </c>
      <c r="C291" t="s">
        <v>197</v>
      </c>
      <c r="D291" t="s">
        <v>197</v>
      </c>
      <c r="E291" t="s">
        <v>197</v>
      </c>
      <c r="F291" t="s">
        <v>197</v>
      </c>
      <c r="G291" t="s">
        <v>197</v>
      </c>
      <c r="H291" t="s">
        <v>197</v>
      </c>
      <c r="I291" t="s">
        <v>197</v>
      </c>
      <c r="J291" t="s">
        <v>197</v>
      </c>
      <c r="K291" t="s">
        <v>674</v>
      </c>
    </row>
    <row r="292" spans="1:24">
      <c r="A292" t="s">
        <v>682</v>
      </c>
      <c r="K292" t="s">
        <v>683</v>
      </c>
      <c r="W292" t="s">
        <v>171</v>
      </c>
      <c r="X292" t="str">
        <f>A292</f>
        <v>info_datetime2_dml_batch2_pk_irp1</v>
      </c>
    </row>
    <row r="293" spans="1:24">
      <c r="B293" t="s">
        <v>196</v>
      </c>
      <c r="C293" t="s">
        <v>197</v>
      </c>
      <c r="D293" t="s">
        <v>197</v>
      </c>
      <c r="E293" t="s">
        <v>197</v>
      </c>
      <c r="F293" t="s">
        <v>197</v>
      </c>
      <c r="G293" t="s">
        <v>197</v>
      </c>
      <c r="H293" t="s">
        <v>197</v>
      </c>
      <c r="I293" t="s">
        <v>684</v>
      </c>
      <c r="J293" t="s">
        <v>199</v>
      </c>
      <c r="K293" t="s">
        <v>200</v>
      </c>
    </row>
    <row r="294" spans="1:24">
      <c r="B294" t="s">
        <v>197</v>
      </c>
      <c r="C294" t="s">
        <v>197</v>
      </c>
      <c r="D294" t="s">
        <v>197</v>
      </c>
      <c r="E294" t="s">
        <v>197</v>
      </c>
      <c r="F294" t="s">
        <v>197</v>
      </c>
      <c r="G294" t="s">
        <v>197</v>
      </c>
      <c r="H294" t="s">
        <v>197</v>
      </c>
      <c r="I294" t="s">
        <v>197</v>
      </c>
      <c r="J294" t="s">
        <v>197</v>
      </c>
      <c r="K294" t="s">
        <v>667</v>
      </c>
    </row>
    <row r="295" spans="1:24">
      <c r="B295" t="s">
        <v>197</v>
      </c>
      <c r="C295" t="s">
        <v>197</v>
      </c>
      <c r="D295" t="s">
        <v>197</v>
      </c>
      <c r="E295" t="s">
        <v>197</v>
      </c>
      <c r="F295" t="s">
        <v>197</v>
      </c>
      <c r="G295" t="s">
        <v>197</v>
      </c>
      <c r="H295" t="s">
        <v>197</v>
      </c>
      <c r="I295" t="s">
        <v>197</v>
      </c>
      <c r="J295" t="s">
        <v>197</v>
      </c>
      <c r="K295" t="s">
        <v>668</v>
      </c>
    </row>
    <row r="296" spans="1:24">
      <c r="B296" t="s">
        <v>197</v>
      </c>
      <c r="C296" t="s">
        <v>197</v>
      </c>
      <c r="D296" t="s">
        <v>197</v>
      </c>
      <c r="E296" t="s">
        <v>197</v>
      </c>
      <c r="F296" t="s">
        <v>197</v>
      </c>
      <c r="G296" t="s">
        <v>197</v>
      </c>
      <c r="H296" t="s">
        <v>197</v>
      </c>
      <c r="I296" t="s">
        <v>197</v>
      </c>
      <c r="J296" t="s">
        <v>197</v>
      </c>
      <c r="K296" t="s">
        <v>669</v>
      </c>
    </row>
    <row r="297" spans="1:24">
      <c r="B297" t="s">
        <v>197</v>
      </c>
      <c r="C297" t="s">
        <v>197</v>
      </c>
      <c r="D297" t="s">
        <v>197</v>
      </c>
      <c r="E297" t="s">
        <v>197</v>
      </c>
      <c r="F297" t="s">
        <v>197</v>
      </c>
      <c r="G297" t="s">
        <v>197</v>
      </c>
      <c r="H297" t="s">
        <v>197</v>
      </c>
      <c r="I297" t="s">
        <v>197</v>
      </c>
      <c r="J297" t="s">
        <v>197</v>
      </c>
      <c r="K297" t="s">
        <v>670</v>
      </c>
    </row>
    <row r="298" spans="1:24">
      <c r="B298" t="s">
        <v>197</v>
      </c>
      <c r="C298" t="s">
        <v>197</v>
      </c>
      <c r="D298" t="s">
        <v>197</v>
      </c>
      <c r="E298" t="s">
        <v>197</v>
      </c>
      <c r="F298" t="s">
        <v>197</v>
      </c>
      <c r="G298" t="s">
        <v>197</v>
      </c>
      <c r="H298" t="s">
        <v>197</v>
      </c>
      <c r="I298" t="s">
        <v>197</v>
      </c>
      <c r="J298" t="s">
        <v>197</v>
      </c>
      <c r="K298" t="s">
        <v>671</v>
      </c>
    </row>
    <row r="299" spans="1:24">
      <c r="B299" t="s">
        <v>197</v>
      </c>
      <c r="C299" t="s">
        <v>197</v>
      </c>
      <c r="D299" t="s">
        <v>197</v>
      </c>
      <c r="E299" t="s">
        <v>197</v>
      </c>
      <c r="F299" t="s">
        <v>197</v>
      </c>
      <c r="G299" t="s">
        <v>197</v>
      </c>
      <c r="H299" t="s">
        <v>197</v>
      </c>
      <c r="I299" t="s">
        <v>197</v>
      </c>
      <c r="J299" t="s">
        <v>197</v>
      </c>
      <c r="K299" t="s">
        <v>672</v>
      </c>
    </row>
    <row r="300" spans="1:24">
      <c r="B300" t="s">
        <v>197</v>
      </c>
      <c r="C300" t="s">
        <v>197</v>
      </c>
      <c r="D300" t="s">
        <v>197</v>
      </c>
      <c r="E300" t="s">
        <v>197</v>
      </c>
      <c r="F300" t="s">
        <v>197</v>
      </c>
      <c r="G300" t="s">
        <v>197</v>
      </c>
      <c r="H300" t="s">
        <v>197</v>
      </c>
      <c r="I300" t="s">
        <v>197</v>
      </c>
      <c r="J300" t="s">
        <v>197</v>
      </c>
      <c r="K300" t="s">
        <v>673</v>
      </c>
    </row>
    <row r="301" spans="1:24">
      <c r="B301" t="s">
        <v>197</v>
      </c>
      <c r="C301" t="s">
        <v>197</v>
      </c>
      <c r="D301" t="s">
        <v>197</v>
      </c>
      <c r="E301" t="s">
        <v>197</v>
      </c>
      <c r="F301" t="s">
        <v>197</v>
      </c>
      <c r="G301" t="s">
        <v>197</v>
      </c>
      <c r="H301" t="s">
        <v>197</v>
      </c>
      <c r="I301" t="s">
        <v>197</v>
      </c>
      <c r="J301" t="s">
        <v>197</v>
      </c>
      <c r="K301" t="s">
        <v>674</v>
      </c>
    </row>
    <row r="302" spans="1:24">
      <c r="A302" t="s">
        <v>685</v>
      </c>
      <c r="K302" t="s">
        <v>686</v>
      </c>
      <c r="W302" s="1" t="str">
        <f>HYPERLINK("#2026042015hbase1!AC2","NO 源备存在差异，共8个")</f>
        <v>NO 源备存在差异，共8个</v>
      </c>
      <c r="X302" t="str">
        <f>A302</f>
        <v>info_int_dml_batch1_pk_drp2</v>
      </c>
    </row>
    <row r="303" spans="1:24">
      <c r="B303" t="s">
        <v>196</v>
      </c>
      <c r="C303" t="s">
        <v>197</v>
      </c>
      <c r="D303" t="s">
        <v>197</v>
      </c>
      <c r="E303" t="s">
        <v>197</v>
      </c>
      <c r="F303" t="s">
        <v>197</v>
      </c>
      <c r="G303" t="s">
        <v>197</v>
      </c>
      <c r="H303" t="s">
        <v>197</v>
      </c>
      <c r="I303" t="s">
        <v>687</v>
      </c>
      <c r="J303" t="s">
        <v>199</v>
      </c>
      <c r="K303" t="s">
        <v>200</v>
      </c>
    </row>
    <row r="304" spans="1:24">
      <c r="B304" t="s">
        <v>197</v>
      </c>
      <c r="C304" t="s">
        <v>197</v>
      </c>
      <c r="D304" t="s">
        <v>197</v>
      </c>
      <c r="E304" t="s">
        <v>197</v>
      </c>
      <c r="F304" t="s">
        <v>197</v>
      </c>
      <c r="G304" t="s">
        <v>197</v>
      </c>
      <c r="H304" t="s">
        <v>197</v>
      </c>
      <c r="I304" t="s">
        <v>197</v>
      </c>
      <c r="J304" t="s">
        <v>197</v>
      </c>
      <c r="K304" t="s">
        <v>549</v>
      </c>
    </row>
    <row r="305" spans="2:11">
      <c r="B305" t="s">
        <v>197</v>
      </c>
      <c r="C305" t="s">
        <v>197</v>
      </c>
      <c r="D305" t="s">
        <v>197</v>
      </c>
      <c r="E305" t="s">
        <v>197</v>
      </c>
      <c r="F305" t="s">
        <v>197</v>
      </c>
      <c r="G305" t="s">
        <v>197</v>
      </c>
      <c r="H305" t="s">
        <v>197</v>
      </c>
      <c r="I305" t="s">
        <v>197</v>
      </c>
      <c r="J305" t="s">
        <v>197</v>
      </c>
      <c r="K305" t="s">
        <v>550</v>
      </c>
    </row>
    <row r="306" spans="2:11">
      <c r="B306" t="s">
        <v>197</v>
      </c>
      <c r="C306" t="s">
        <v>197</v>
      </c>
      <c r="D306" t="s">
        <v>197</v>
      </c>
      <c r="E306" t="s">
        <v>197</v>
      </c>
      <c r="F306" t="s">
        <v>197</v>
      </c>
      <c r="G306" t="s">
        <v>197</v>
      </c>
      <c r="H306" t="s">
        <v>197</v>
      </c>
      <c r="I306" t="s">
        <v>197</v>
      </c>
      <c r="J306" t="s">
        <v>197</v>
      </c>
      <c r="K306" t="s">
        <v>551</v>
      </c>
    </row>
    <row r="307" spans="2:11">
      <c r="B307" t="s">
        <v>197</v>
      </c>
      <c r="C307" t="s">
        <v>197</v>
      </c>
      <c r="D307" t="s">
        <v>197</v>
      </c>
      <c r="E307" t="s">
        <v>197</v>
      </c>
      <c r="F307" t="s">
        <v>197</v>
      </c>
      <c r="G307" t="s">
        <v>197</v>
      </c>
      <c r="H307" t="s">
        <v>197</v>
      </c>
      <c r="I307" t="s">
        <v>197</v>
      </c>
      <c r="J307" t="s">
        <v>197</v>
      </c>
      <c r="K307" t="s">
        <v>552</v>
      </c>
    </row>
    <row r="308" spans="2:11">
      <c r="B308" t="s">
        <v>197</v>
      </c>
      <c r="C308" t="s">
        <v>197</v>
      </c>
      <c r="D308" t="s">
        <v>197</v>
      </c>
      <c r="E308" t="s">
        <v>197</v>
      </c>
      <c r="F308" t="s">
        <v>197</v>
      </c>
      <c r="G308" t="s">
        <v>197</v>
      </c>
      <c r="H308" t="s">
        <v>197</v>
      </c>
      <c r="I308" t="s">
        <v>197</v>
      </c>
      <c r="J308" t="s">
        <v>197</v>
      </c>
      <c r="K308" t="s">
        <v>553</v>
      </c>
    </row>
    <row r="309" spans="2:11">
      <c r="B309" t="s">
        <v>197</v>
      </c>
      <c r="C309" t="s">
        <v>197</v>
      </c>
      <c r="D309" t="s">
        <v>197</v>
      </c>
      <c r="E309" t="s">
        <v>197</v>
      </c>
      <c r="F309" t="s">
        <v>197</v>
      </c>
      <c r="G309" t="s">
        <v>197</v>
      </c>
      <c r="H309" t="s">
        <v>197</v>
      </c>
      <c r="I309" t="s">
        <v>197</v>
      </c>
      <c r="J309" t="s">
        <v>197</v>
      </c>
      <c r="K309" t="s">
        <v>554</v>
      </c>
    </row>
    <row r="310" spans="2:11">
      <c r="B310" t="s">
        <v>197</v>
      </c>
      <c r="C310" t="s">
        <v>197</v>
      </c>
      <c r="D310" t="s">
        <v>197</v>
      </c>
      <c r="E310" t="s">
        <v>197</v>
      </c>
      <c r="F310" t="s">
        <v>197</v>
      </c>
      <c r="G310" t="s">
        <v>197</v>
      </c>
      <c r="H310" t="s">
        <v>197</v>
      </c>
      <c r="I310" t="s">
        <v>197</v>
      </c>
      <c r="J310" t="s">
        <v>197</v>
      </c>
      <c r="K310" t="s">
        <v>555</v>
      </c>
    </row>
    <row r="311" spans="2:11">
      <c r="B311" t="s">
        <v>197</v>
      </c>
      <c r="C311" t="s">
        <v>197</v>
      </c>
      <c r="D311" t="s">
        <v>197</v>
      </c>
      <c r="E311" t="s">
        <v>197</v>
      </c>
      <c r="F311" t="s">
        <v>197</v>
      </c>
      <c r="G311" t="s">
        <v>197</v>
      </c>
      <c r="H311" t="s">
        <v>197</v>
      </c>
      <c r="I311" t="s">
        <v>197</v>
      </c>
      <c r="J311" t="s">
        <v>197</v>
      </c>
      <c r="K311" t="s">
        <v>556</v>
      </c>
    </row>
    <row r="312" spans="2:11">
      <c r="B312" t="s">
        <v>197</v>
      </c>
      <c r="C312" t="s">
        <v>197</v>
      </c>
      <c r="D312" t="s">
        <v>197</v>
      </c>
      <c r="E312" t="s">
        <v>197</v>
      </c>
      <c r="F312" t="s">
        <v>197</v>
      </c>
      <c r="G312" t="s">
        <v>197</v>
      </c>
      <c r="H312" t="s">
        <v>197</v>
      </c>
      <c r="I312" t="s">
        <v>197</v>
      </c>
      <c r="J312" t="s">
        <v>197</v>
      </c>
      <c r="K312" t="s">
        <v>557</v>
      </c>
    </row>
    <row r="313" spans="2:11">
      <c r="B313" t="s">
        <v>197</v>
      </c>
      <c r="C313" t="s">
        <v>197</v>
      </c>
      <c r="D313" t="s">
        <v>197</v>
      </c>
      <c r="E313" t="s">
        <v>197</v>
      </c>
      <c r="F313" t="s">
        <v>197</v>
      </c>
      <c r="G313" t="s">
        <v>197</v>
      </c>
      <c r="H313" t="s">
        <v>197</v>
      </c>
      <c r="I313" t="s">
        <v>197</v>
      </c>
      <c r="J313" t="s">
        <v>197</v>
      </c>
      <c r="K313" t="s">
        <v>558</v>
      </c>
    </row>
    <row r="314" spans="2:11">
      <c r="B314" t="s">
        <v>197</v>
      </c>
      <c r="C314" t="s">
        <v>197</v>
      </c>
      <c r="D314" t="s">
        <v>197</v>
      </c>
      <c r="E314" t="s">
        <v>197</v>
      </c>
      <c r="F314" t="s">
        <v>197</v>
      </c>
      <c r="G314" t="s">
        <v>197</v>
      </c>
      <c r="H314" t="s">
        <v>197</v>
      </c>
      <c r="I314" t="s">
        <v>197</v>
      </c>
      <c r="J314" t="s">
        <v>197</v>
      </c>
      <c r="K314" t="s">
        <v>559</v>
      </c>
    </row>
    <row r="315" spans="2:11">
      <c r="B315" t="s">
        <v>197</v>
      </c>
      <c r="C315" t="s">
        <v>197</v>
      </c>
      <c r="D315" t="s">
        <v>197</v>
      </c>
      <c r="E315" t="s">
        <v>197</v>
      </c>
      <c r="F315" t="s">
        <v>197</v>
      </c>
      <c r="G315" t="s">
        <v>197</v>
      </c>
      <c r="H315" t="s">
        <v>197</v>
      </c>
      <c r="I315" t="s">
        <v>197</v>
      </c>
      <c r="J315" t="s">
        <v>197</v>
      </c>
      <c r="K315" t="s">
        <v>560</v>
      </c>
    </row>
    <row r="316" spans="2:11">
      <c r="B316" t="s">
        <v>197</v>
      </c>
      <c r="C316" t="s">
        <v>197</v>
      </c>
      <c r="D316" t="s">
        <v>197</v>
      </c>
      <c r="E316" t="s">
        <v>197</v>
      </c>
      <c r="F316" t="s">
        <v>197</v>
      </c>
      <c r="G316" t="s">
        <v>197</v>
      </c>
      <c r="H316" t="s">
        <v>197</v>
      </c>
      <c r="I316" t="s">
        <v>197</v>
      </c>
      <c r="J316" t="s">
        <v>197</v>
      </c>
      <c r="K316" t="s">
        <v>561</v>
      </c>
    </row>
    <row r="317" spans="2:11">
      <c r="B317" t="s">
        <v>197</v>
      </c>
      <c r="C317" t="s">
        <v>197</v>
      </c>
      <c r="D317" t="s">
        <v>197</v>
      </c>
      <c r="E317" t="s">
        <v>197</v>
      </c>
      <c r="F317" t="s">
        <v>197</v>
      </c>
      <c r="G317" t="s">
        <v>197</v>
      </c>
      <c r="H317" t="s">
        <v>197</v>
      </c>
      <c r="I317" t="s">
        <v>197</v>
      </c>
      <c r="J317" t="s">
        <v>197</v>
      </c>
      <c r="K317" t="s">
        <v>562</v>
      </c>
    </row>
    <row r="318" spans="2:11">
      <c r="B318" t="s">
        <v>197</v>
      </c>
      <c r="C318" t="s">
        <v>197</v>
      </c>
      <c r="D318" t="s">
        <v>197</v>
      </c>
      <c r="E318" t="s">
        <v>197</v>
      </c>
      <c r="F318" t="s">
        <v>197</v>
      </c>
      <c r="G318" t="s">
        <v>197</v>
      </c>
      <c r="H318" t="s">
        <v>197</v>
      </c>
      <c r="I318" t="s">
        <v>197</v>
      </c>
      <c r="J318" t="s">
        <v>197</v>
      </c>
      <c r="K318" t="s">
        <v>563</v>
      </c>
    </row>
    <row r="319" spans="2:11">
      <c r="B319" t="s">
        <v>197</v>
      </c>
      <c r="C319" t="s">
        <v>197</v>
      </c>
      <c r="D319" t="s">
        <v>197</v>
      </c>
      <c r="E319" t="s">
        <v>197</v>
      </c>
      <c r="F319" t="s">
        <v>197</v>
      </c>
      <c r="G319" t="s">
        <v>197</v>
      </c>
      <c r="H319" t="s">
        <v>197</v>
      </c>
      <c r="I319" t="s">
        <v>197</v>
      </c>
      <c r="J319" t="s">
        <v>197</v>
      </c>
      <c r="K319" t="s">
        <v>564</v>
      </c>
    </row>
    <row r="320" spans="2:11">
      <c r="B320" t="s">
        <v>197</v>
      </c>
      <c r="C320" t="s">
        <v>197</v>
      </c>
      <c r="D320" t="s">
        <v>197</v>
      </c>
      <c r="E320" t="s">
        <v>197</v>
      </c>
      <c r="F320" t="s">
        <v>197</v>
      </c>
      <c r="G320" t="s">
        <v>197</v>
      </c>
      <c r="H320" t="s">
        <v>197</v>
      </c>
      <c r="I320" t="s">
        <v>197</v>
      </c>
      <c r="J320" t="s">
        <v>197</v>
      </c>
      <c r="K320" t="s">
        <v>565</v>
      </c>
    </row>
    <row r="321" spans="1:24">
      <c r="B321" t="s">
        <v>197</v>
      </c>
      <c r="C321" t="s">
        <v>197</v>
      </c>
      <c r="D321" t="s">
        <v>197</v>
      </c>
      <c r="E321" t="s">
        <v>197</v>
      </c>
      <c r="F321" t="s">
        <v>197</v>
      </c>
      <c r="G321" t="s">
        <v>197</v>
      </c>
      <c r="H321" t="s">
        <v>197</v>
      </c>
      <c r="I321" t="s">
        <v>197</v>
      </c>
      <c r="J321" t="s">
        <v>197</v>
      </c>
      <c r="K321" t="s">
        <v>566</v>
      </c>
    </row>
    <row r="322" spans="1:24">
      <c r="B322" t="s">
        <v>197</v>
      </c>
      <c r="C322" t="s">
        <v>197</v>
      </c>
      <c r="D322" t="s">
        <v>197</v>
      </c>
      <c r="E322" t="s">
        <v>197</v>
      </c>
      <c r="F322" t="s">
        <v>197</v>
      </c>
      <c r="G322" t="s">
        <v>197</v>
      </c>
      <c r="H322" t="s">
        <v>197</v>
      </c>
      <c r="I322" t="s">
        <v>197</v>
      </c>
      <c r="J322" t="s">
        <v>197</v>
      </c>
      <c r="K322" t="s">
        <v>567</v>
      </c>
    </row>
    <row r="323" spans="1:24">
      <c r="A323" t="s">
        <v>688</v>
      </c>
      <c r="K323" t="s">
        <v>689</v>
      </c>
      <c r="W323" t="s">
        <v>171</v>
      </c>
      <c r="X323" t="str">
        <f>A323</f>
        <v>info_binary_dml_batch1_pk_irp1</v>
      </c>
    </row>
    <row r="324" spans="1:24">
      <c r="B324" t="s">
        <v>196</v>
      </c>
      <c r="C324" t="s">
        <v>197</v>
      </c>
      <c r="D324" t="s">
        <v>197</v>
      </c>
      <c r="E324" t="s">
        <v>197</v>
      </c>
      <c r="F324" t="s">
        <v>197</v>
      </c>
      <c r="G324" t="s">
        <v>197</v>
      </c>
      <c r="H324" t="s">
        <v>197</v>
      </c>
      <c r="I324" t="s">
        <v>690</v>
      </c>
      <c r="J324" t="s">
        <v>199</v>
      </c>
      <c r="K324" t="s">
        <v>200</v>
      </c>
    </row>
    <row r="325" spans="1:24">
      <c r="B325" t="s">
        <v>197</v>
      </c>
      <c r="C325" t="s">
        <v>197</v>
      </c>
      <c r="D325" t="s">
        <v>197</v>
      </c>
      <c r="E325" t="s">
        <v>197</v>
      </c>
      <c r="F325" t="s">
        <v>197</v>
      </c>
      <c r="G325" t="s">
        <v>197</v>
      </c>
      <c r="H325" t="s">
        <v>197</v>
      </c>
      <c r="I325" t="s">
        <v>197</v>
      </c>
      <c r="J325" t="s">
        <v>197</v>
      </c>
      <c r="K325" t="s">
        <v>691</v>
      </c>
    </row>
    <row r="326" spans="1:24">
      <c r="B326" t="s">
        <v>197</v>
      </c>
      <c r="C326" t="s">
        <v>197</v>
      </c>
      <c r="D326" t="s">
        <v>197</v>
      </c>
      <c r="E326" t="s">
        <v>197</v>
      </c>
      <c r="F326" t="s">
        <v>197</v>
      </c>
      <c r="G326" t="s">
        <v>197</v>
      </c>
      <c r="H326" t="s">
        <v>197</v>
      </c>
      <c r="I326" t="s">
        <v>197</v>
      </c>
      <c r="J326" t="s">
        <v>197</v>
      </c>
      <c r="K326" t="s">
        <v>692</v>
      </c>
    </row>
    <row r="327" spans="1:24">
      <c r="B327" t="s">
        <v>197</v>
      </c>
      <c r="C327" t="s">
        <v>197</v>
      </c>
      <c r="D327" t="s">
        <v>197</v>
      </c>
      <c r="E327" t="s">
        <v>197</v>
      </c>
      <c r="F327" t="s">
        <v>197</v>
      </c>
      <c r="G327" t="s">
        <v>197</v>
      </c>
      <c r="H327" t="s">
        <v>197</v>
      </c>
      <c r="I327" t="s">
        <v>197</v>
      </c>
      <c r="J327" t="s">
        <v>197</v>
      </c>
      <c r="K327" t="s">
        <v>693</v>
      </c>
    </row>
    <row r="328" spans="1:24">
      <c r="A328" t="s">
        <v>694</v>
      </c>
      <c r="K328" t="s">
        <v>695</v>
      </c>
      <c r="W328" t="s">
        <v>171</v>
      </c>
      <c r="X328" t="str">
        <f>A328</f>
        <v>info_datetime2_dml_batch2_pk_irp2</v>
      </c>
    </row>
    <row r="329" spans="1:24">
      <c r="B329" t="s">
        <v>196</v>
      </c>
      <c r="C329" t="s">
        <v>197</v>
      </c>
      <c r="D329" t="s">
        <v>197</v>
      </c>
      <c r="E329" t="s">
        <v>197</v>
      </c>
      <c r="F329" t="s">
        <v>197</v>
      </c>
      <c r="G329" t="s">
        <v>197</v>
      </c>
      <c r="H329" t="s">
        <v>197</v>
      </c>
      <c r="I329" t="s">
        <v>696</v>
      </c>
      <c r="J329" t="s">
        <v>199</v>
      </c>
      <c r="K329" t="s">
        <v>200</v>
      </c>
    </row>
    <row r="330" spans="1:24">
      <c r="B330" t="s">
        <v>197</v>
      </c>
      <c r="C330" t="s">
        <v>197</v>
      </c>
      <c r="D330" t="s">
        <v>197</v>
      </c>
      <c r="E330" t="s">
        <v>197</v>
      </c>
      <c r="F330" t="s">
        <v>197</v>
      </c>
      <c r="G330" t="s">
        <v>197</v>
      </c>
      <c r="H330" t="s">
        <v>197</v>
      </c>
      <c r="I330" t="s">
        <v>197</v>
      </c>
      <c r="J330" t="s">
        <v>197</v>
      </c>
      <c r="K330" t="s">
        <v>667</v>
      </c>
    </row>
    <row r="331" spans="1:24">
      <c r="B331" t="s">
        <v>197</v>
      </c>
      <c r="C331" t="s">
        <v>197</v>
      </c>
      <c r="D331" t="s">
        <v>197</v>
      </c>
      <c r="E331" t="s">
        <v>197</v>
      </c>
      <c r="F331" t="s">
        <v>197</v>
      </c>
      <c r="G331" t="s">
        <v>197</v>
      </c>
      <c r="H331" t="s">
        <v>197</v>
      </c>
      <c r="I331" t="s">
        <v>197</v>
      </c>
      <c r="J331" t="s">
        <v>197</v>
      </c>
      <c r="K331" t="s">
        <v>668</v>
      </c>
    </row>
    <row r="332" spans="1:24">
      <c r="B332" t="s">
        <v>197</v>
      </c>
      <c r="C332" t="s">
        <v>197</v>
      </c>
      <c r="D332" t="s">
        <v>197</v>
      </c>
      <c r="E332" t="s">
        <v>197</v>
      </c>
      <c r="F332" t="s">
        <v>197</v>
      </c>
      <c r="G332" t="s">
        <v>197</v>
      </c>
      <c r="H332" t="s">
        <v>197</v>
      </c>
      <c r="I332" t="s">
        <v>197</v>
      </c>
      <c r="J332" t="s">
        <v>197</v>
      </c>
      <c r="K332" t="s">
        <v>669</v>
      </c>
    </row>
    <row r="333" spans="1:24">
      <c r="B333" t="s">
        <v>197</v>
      </c>
      <c r="C333" t="s">
        <v>197</v>
      </c>
      <c r="D333" t="s">
        <v>197</v>
      </c>
      <c r="E333" t="s">
        <v>197</v>
      </c>
      <c r="F333" t="s">
        <v>197</v>
      </c>
      <c r="G333" t="s">
        <v>197</v>
      </c>
      <c r="H333" t="s">
        <v>197</v>
      </c>
      <c r="I333" t="s">
        <v>197</v>
      </c>
      <c r="J333" t="s">
        <v>197</v>
      </c>
      <c r="K333" t="s">
        <v>670</v>
      </c>
    </row>
    <row r="334" spans="1:24">
      <c r="B334" t="s">
        <v>197</v>
      </c>
      <c r="C334" t="s">
        <v>197</v>
      </c>
      <c r="D334" t="s">
        <v>197</v>
      </c>
      <c r="E334" t="s">
        <v>197</v>
      </c>
      <c r="F334" t="s">
        <v>197</v>
      </c>
      <c r="G334" t="s">
        <v>197</v>
      </c>
      <c r="H334" t="s">
        <v>197</v>
      </c>
      <c r="I334" t="s">
        <v>197</v>
      </c>
      <c r="J334" t="s">
        <v>197</v>
      </c>
      <c r="K334" t="s">
        <v>671</v>
      </c>
    </row>
    <row r="335" spans="1:24">
      <c r="B335" t="s">
        <v>197</v>
      </c>
      <c r="C335" t="s">
        <v>197</v>
      </c>
      <c r="D335" t="s">
        <v>197</v>
      </c>
      <c r="E335" t="s">
        <v>197</v>
      </c>
      <c r="F335" t="s">
        <v>197</v>
      </c>
      <c r="G335" t="s">
        <v>197</v>
      </c>
      <c r="H335" t="s">
        <v>197</v>
      </c>
      <c r="I335" t="s">
        <v>197</v>
      </c>
      <c r="J335" t="s">
        <v>197</v>
      </c>
      <c r="K335" t="s">
        <v>672</v>
      </c>
    </row>
    <row r="336" spans="1:24">
      <c r="B336" t="s">
        <v>197</v>
      </c>
      <c r="C336" t="s">
        <v>197</v>
      </c>
      <c r="D336" t="s">
        <v>197</v>
      </c>
      <c r="E336" t="s">
        <v>197</v>
      </c>
      <c r="F336" t="s">
        <v>197</v>
      </c>
      <c r="G336" t="s">
        <v>197</v>
      </c>
      <c r="H336" t="s">
        <v>197</v>
      </c>
      <c r="I336" t="s">
        <v>197</v>
      </c>
      <c r="J336" t="s">
        <v>197</v>
      </c>
      <c r="K336" t="s">
        <v>673</v>
      </c>
    </row>
    <row r="337" spans="1:24">
      <c r="B337" t="s">
        <v>197</v>
      </c>
      <c r="C337" t="s">
        <v>197</v>
      </c>
      <c r="D337" t="s">
        <v>197</v>
      </c>
      <c r="E337" t="s">
        <v>197</v>
      </c>
      <c r="F337" t="s">
        <v>197</v>
      </c>
      <c r="G337" t="s">
        <v>197</v>
      </c>
      <c r="H337" t="s">
        <v>197</v>
      </c>
      <c r="I337" t="s">
        <v>197</v>
      </c>
      <c r="J337" t="s">
        <v>197</v>
      </c>
      <c r="K337" t="s">
        <v>674</v>
      </c>
    </row>
    <row r="338" spans="1:24">
      <c r="A338" t="s">
        <v>700</v>
      </c>
      <c r="K338" t="s">
        <v>701</v>
      </c>
      <c r="W338" t="s">
        <v>171</v>
      </c>
      <c r="X338" t="str">
        <f>A338</f>
        <v>info_char_dml_batch2_pk_irp1</v>
      </c>
    </row>
    <row r="339" spans="1:24">
      <c r="B339" t="s">
        <v>196</v>
      </c>
      <c r="C339" t="s">
        <v>197</v>
      </c>
      <c r="D339" t="s">
        <v>197</v>
      </c>
      <c r="E339" t="s">
        <v>197</v>
      </c>
      <c r="F339" t="s">
        <v>197</v>
      </c>
      <c r="G339" t="s">
        <v>197</v>
      </c>
      <c r="H339" t="s">
        <v>197</v>
      </c>
      <c r="I339" t="s">
        <v>702</v>
      </c>
      <c r="J339" t="s">
        <v>199</v>
      </c>
      <c r="K339" t="s">
        <v>200</v>
      </c>
    </row>
    <row r="340" spans="1:24">
      <c r="B340" t="s">
        <v>197</v>
      </c>
      <c r="C340" t="s">
        <v>197</v>
      </c>
      <c r="D340" t="s">
        <v>197</v>
      </c>
      <c r="E340" t="s">
        <v>197</v>
      </c>
      <c r="F340" t="s">
        <v>197</v>
      </c>
      <c r="G340" t="s">
        <v>197</v>
      </c>
      <c r="H340" t="s">
        <v>197</v>
      </c>
      <c r="I340" t="s">
        <v>197</v>
      </c>
      <c r="J340" t="s">
        <v>197</v>
      </c>
      <c r="K340" t="s">
        <v>622</v>
      </c>
    </row>
    <row r="341" spans="1:24">
      <c r="B341" t="s">
        <v>197</v>
      </c>
      <c r="C341" t="s">
        <v>197</v>
      </c>
      <c r="D341" t="s">
        <v>197</v>
      </c>
      <c r="E341" t="s">
        <v>197</v>
      </c>
      <c r="F341" t="s">
        <v>197</v>
      </c>
      <c r="G341" t="s">
        <v>197</v>
      </c>
      <c r="H341" t="s">
        <v>197</v>
      </c>
      <c r="I341" t="s">
        <v>197</v>
      </c>
      <c r="J341" t="s">
        <v>197</v>
      </c>
      <c r="K341" t="s">
        <v>623</v>
      </c>
    </row>
    <row r="342" spans="1:24">
      <c r="B342" t="s">
        <v>197</v>
      </c>
      <c r="C342" t="s">
        <v>197</v>
      </c>
      <c r="D342" t="s">
        <v>197</v>
      </c>
      <c r="E342" t="s">
        <v>197</v>
      </c>
      <c r="F342" t="s">
        <v>197</v>
      </c>
      <c r="G342" t="s">
        <v>197</v>
      </c>
      <c r="H342" t="s">
        <v>197</v>
      </c>
      <c r="I342" t="s">
        <v>197</v>
      </c>
      <c r="J342" t="s">
        <v>197</v>
      </c>
      <c r="K342" t="s">
        <v>624</v>
      </c>
    </row>
    <row r="343" spans="1:24">
      <c r="K343" t="s">
        <v>443</v>
      </c>
    </row>
    <row r="344" spans="1:24">
      <c r="A344" t="s">
        <v>703</v>
      </c>
      <c r="K344" t="s">
        <v>704</v>
      </c>
      <c r="W344" s="1" t="str">
        <f>HYPERLINK("#2026042015hbase1!AD2","NO 源备存在差异，共4个")</f>
        <v>NO 源备存在差异，共4个</v>
      </c>
      <c r="X344" t="str">
        <f>A344</f>
        <v>info_hierarchyid_dml_single_pk_irp</v>
      </c>
    </row>
    <row r="345" spans="1:24">
      <c r="B345" t="s">
        <v>196</v>
      </c>
      <c r="C345" t="s">
        <v>197</v>
      </c>
      <c r="D345" t="s">
        <v>197</v>
      </c>
      <c r="E345" t="s">
        <v>197</v>
      </c>
      <c r="F345" t="s">
        <v>197</v>
      </c>
      <c r="G345" t="s">
        <v>197</v>
      </c>
      <c r="H345" t="s">
        <v>197</v>
      </c>
      <c r="I345" t="s">
        <v>705</v>
      </c>
      <c r="J345" t="s">
        <v>199</v>
      </c>
      <c r="K345" t="s">
        <v>200</v>
      </c>
    </row>
    <row r="346" spans="1:24">
      <c r="B346" t="s">
        <v>197</v>
      </c>
      <c r="C346" t="s">
        <v>197</v>
      </c>
      <c r="D346" t="s">
        <v>197</v>
      </c>
      <c r="E346" t="s">
        <v>197</v>
      </c>
      <c r="F346" t="s">
        <v>197</v>
      </c>
      <c r="G346" t="s">
        <v>197</v>
      </c>
      <c r="H346" t="s">
        <v>197</v>
      </c>
      <c r="I346" t="s">
        <v>197</v>
      </c>
      <c r="J346" t="s">
        <v>197</v>
      </c>
      <c r="K346" t="s">
        <v>706</v>
      </c>
    </row>
    <row r="347" spans="1:24">
      <c r="A347" t="s">
        <v>707</v>
      </c>
      <c r="K347" t="s">
        <v>708</v>
      </c>
      <c r="W347" t="s">
        <v>171</v>
      </c>
      <c r="X347" t="str">
        <f>A347</f>
        <v>info_datetime2_dml_batch1_pk_urp1</v>
      </c>
    </row>
    <row r="348" spans="1:24">
      <c r="B348" t="s">
        <v>196</v>
      </c>
      <c r="C348" t="s">
        <v>197</v>
      </c>
      <c r="D348" t="s">
        <v>197</v>
      </c>
      <c r="E348" t="s">
        <v>197</v>
      </c>
      <c r="F348" t="s">
        <v>197</v>
      </c>
      <c r="G348" t="s">
        <v>197</v>
      </c>
      <c r="H348" t="s">
        <v>197</v>
      </c>
      <c r="I348" t="s">
        <v>709</v>
      </c>
      <c r="J348" t="s">
        <v>199</v>
      </c>
      <c r="K348" t="s">
        <v>200</v>
      </c>
    </row>
    <row r="349" spans="1:24">
      <c r="B349" t="s">
        <v>197</v>
      </c>
      <c r="C349" t="s">
        <v>197</v>
      </c>
      <c r="D349" t="s">
        <v>197</v>
      </c>
      <c r="E349" t="s">
        <v>197</v>
      </c>
      <c r="F349" t="s">
        <v>197</v>
      </c>
      <c r="G349" t="s">
        <v>197</v>
      </c>
      <c r="H349" t="s">
        <v>197</v>
      </c>
      <c r="I349" t="s">
        <v>197</v>
      </c>
      <c r="J349" t="s">
        <v>197</v>
      </c>
      <c r="K349" t="s">
        <v>667</v>
      </c>
    </row>
    <row r="350" spans="1:24">
      <c r="B350" t="s">
        <v>197</v>
      </c>
      <c r="C350" t="s">
        <v>197</v>
      </c>
      <c r="D350" t="s">
        <v>197</v>
      </c>
      <c r="E350" t="s">
        <v>197</v>
      </c>
      <c r="F350" t="s">
        <v>197</v>
      </c>
      <c r="G350" t="s">
        <v>197</v>
      </c>
      <c r="H350" t="s">
        <v>197</v>
      </c>
      <c r="I350" t="s">
        <v>197</v>
      </c>
      <c r="J350" t="s">
        <v>197</v>
      </c>
      <c r="K350" t="s">
        <v>668</v>
      </c>
    </row>
    <row r="351" spans="1:24">
      <c r="B351" t="s">
        <v>197</v>
      </c>
      <c r="C351" t="s">
        <v>197</v>
      </c>
      <c r="D351" t="s">
        <v>197</v>
      </c>
      <c r="E351" t="s">
        <v>197</v>
      </c>
      <c r="F351" t="s">
        <v>197</v>
      </c>
      <c r="G351" t="s">
        <v>197</v>
      </c>
      <c r="H351" t="s">
        <v>197</v>
      </c>
      <c r="I351" t="s">
        <v>197</v>
      </c>
      <c r="J351" t="s">
        <v>197</v>
      </c>
      <c r="K351" t="s">
        <v>669</v>
      </c>
    </row>
    <row r="352" spans="1:24">
      <c r="B352" t="s">
        <v>197</v>
      </c>
      <c r="C352" t="s">
        <v>197</v>
      </c>
      <c r="D352" t="s">
        <v>197</v>
      </c>
      <c r="E352" t="s">
        <v>197</v>
      </c>
      <c r="F352" t="s">
        <v>197</v>
      </c>
      <c r="G352" t="s">
        <v>197</v>
      </c>
      <c r="H352" t="s">
        <v>197</v>
      </c>
      <c r="I352" t="s">
        <v>197</v>
      </c>
      <c r="J352" t="s">
        <v>197</v>
      </c>
      <c r="K352" t="s">
        <v>670</v>
      </c>
    </row>
    <row r="353" spans="1:24">
      <c r="B353" t="s">
        <v>197</v>
      </c>
      <c r="C353" t="s">
        <v>197</v>
      </c>
      <c r="D353" t="s">
        <v>197</v>
      </c>
      <c r="E353" t="s">
        <v>197</v>
      </c>
      <c r="F353" t="s">
        <v>197</v>
      </c>
      <c r="G353" t="s">
        <v>197</v>
      </c>
      <c r="H353" t="s">
        <v>197</v>
      </c>
      <c r="I353" t="s">
        <v>197</v>
      </c>
      <c r="J353" t="s">
        <v>197</v>
      </c>
      <c r="K353" t="s">
        <v>671</v>
      </c>
    </row>
    <row r="354" spans="1:24">
      <c r="B354" t="s">
        <v>197</v>
      </c>
      <c r="C354" t="s">
        <v>197</v>
      </c>
      <c r="D354" t="s">
        <v>197</v>
      </c>
      <c r="E354" t="s">
        <v>197</v>
      </c>
      <c r="F354" t="s">
        <v>197</v>
      </c>
      <c r="G354" t="s">
        <v>197</v>
      </c>
      <c r="H354" t="s">
        <v>197</v>
      </c>
      <c r="I354" t="s">
        <v>197</v>
      </c>
      <c r="J354" t="s">
        <v>197</v>
      </c>
      <c r="K354" t="s">
        <v>672</v>
      </c>
    </row>
    <row r="355" spans="1:24">
      <c r="B355" t="s">
        <v>197</v>
      </c>
      <c r="C355" t="s">
        <v>197</v>
      </c>
      <c r="D355" t="s">
        <v>197</v>
      </c>
      <c r="E355" t="s">
        <v>197</v>
      </c>
      <c r="F355" t="s">
        <v>197</v>
      </c>
      <c r="G355" t="s">
        <v>197</v>
      </c>
      <c r="H355" t="s">
        <v>197</v>
      </c>
      <c r="I355" t="s">
        <v>197</v>
      </c>
      <c r="J355" t="s">
        <v>197</v>
      </c>
      <c r="K355" t="s">
        <v>673</v>
      </c>
    </row>
    <row r="356" spans="1:24">
      <c r="B356" t="s">
        <v>197</v>
      </c>
      <c r="C356" t="s">
        <v>197</v>
      </c>
      <c r="D356" t="s">
        <v>197</v>
      </c>
      <c r="E356" t="s">
        <v>197</v>
      </c>
      <c r="F356" t="s">
        <v>197</v>
      </c>
      <c r="G356" t="s">
        <v>197</v>
      </c>
      <c r="H356" t="s">
        <v>197</v>
      </c>
      <c r="I356" t="s">
        <v>197</v>
      </c>
      <c r="J356" t="s">
        <v>197</v>
      </c>
      <c r="K356" t="s">
        <v>674</v>
      </c>
    </row>
    <row r="357" spans="1:24">
      <c r="A357" t="s">
        <v>710</v>
      </c>
      <c r="K357" t="s">
        <v>711</v>
      </c>
      <c r="W357" t="s">
        <v>171</v>
      </c>
      <c r="X357" t="str">
        <f>A357</f>
        <v>info_char_dml_batch2_pk_irp2</v>
      </c>
    </row>
    <row r="358" spans="1:24">
      <c r="B358" t="s">
        <v>196</v>
      </c>
      <c r="C358" t="s">
        <v>197</v>
      </c>
      <c r="D358" t="s">
        <v>197</v>
      </c>
      <c r="E358" t="s">
        <v>197</v>
      </c>
      <c r="F358" t="s">
        <v>197</v>
      </c>
      <c r="G358" t="s">
        <v>197</v>
      </c>
      <c r="H358" t="s">
        <v>197</v>
      </c>
      <c r="I358" t="s">
        <v>712</v>
      </c>
      <c r="J358" t="s">
        <v>199</v>
      </c>
      <c r="K358" t="s">
        <v>200</v>
      </c>
    </row>
    <row r="359" spans="1:24">
      <c r="B359" t="s">
        <v>197</v>
      </c>
      <c r="C359" t="s">
        <v>197</v>
      </c>
      <c r="D359" t="s">
        <v>197</v>
      </c>
      <c r="E359" t="s">
        <v>197</v>
      </c>
      <c r="F359" t="s">
        <v>197</v>
      </c>
      <c r="G359" t="s">
        <v>197</v>
      </c>
      <c r="H359" t="s">
        <v>197</v>
      </c>
      <c r="I359" t="s">
        <v>197</v>
      </c>
      <c r="J359" t="s">
        <v>197</v>
      </c>
      <c r="K359" t="s">
        <v>622</v>
      </c>
    </row>
    <row r="360" spans="1:24">
      <c r="B360" t="s">
        <v>197</v>
      </c>
      <c r="C360" t="s">
        <v>197</v>
      </c>
      <c r="D360" t="s">
        <v>197</v>
      </c>
      <c r="E360" t="s">
        <v>197</v>
      </c>
      <c r="F360" t="s">
        <v>197</v>
      </c>
      <c r="G360" t="s">
        <v>197</v>
      </c>
      <c r="H360" t="s">
        <v>197</v>
      </c>
      <c r="I360" t="s">
        <v>197</v>
      </c>
      <c r="J360" t="s">
        <v>197</v>
      </c>
      <c r="K360" t="s">
        <v>623</v>
      </c>
    </row>
    <row r="361" spans="1:24">
      <c r="B361" t="s">
        <v>197</v>
      </c>
      <c r="C361" t="s">
        <v>197</v>
      </c>
      <c r="D361" t="s">
        <v>197</v>
      </c>
      <c r="E361" t="s">
        <v>197</v>
      </c>
      <c r="F361" t="s">
        <v>197</v>
      </c>
      <c r="G361" t="s">
        <v>197</v>
      </c>
      <c r="H361" t="s">
        <v>197</v>
      </c>
      <c r="I361" t="s">
        <v>197</v>
      </c>
      <c r="J361" t="s">
        <v>197</v>
      </c>
      <c r="K361" t="s">
        <v>624</v>
      </c>
    </row>
    <row r="362" spans="1:24">
      <c r="K362" t="s">
        <v>443</v>
      </c>
    </row>
    <row r="363" spans="1:24">
      <c r="A363" t="s">
        <v>716</v>
      </c>
      <c r="K363" t="s">
        <v>717</v>
      </c>
      <c r="W363" t="s">
        <v>171</v>
      </c>
      <c r="X363" t="str">
        <f>A363</f>
        <v>info_date_dml_single_pk_urp</v>
      </c>
    </row>
    <row r="364" spans="1:24">
      <c r="B364" t="s">
        <v>196</v>
      </c>
      <c r="C364" t="s">
        <v>197</v>
      </c>
      <c r="D364" t="s">
        <v>197</v>
      </c>
      <c r="E364" t="s">
        <v>197</v>
      </c>
      <c r="F364" t="s">
        <v>197</v>
      </c>
      <c r="G364" t="s">
        <v>197</v>
      </c>
      <c r="H364" t="s">
        <v>197</v>
      </c>
      <c r="I364" t="s">
        <v>718</v>
      </c>
      <c r="J364" t="s">
        <v>199</v>
      </c>
      <c r="K364" t="s">
        <v>200</v>
      </c>
    </row>
    <row r="365" spans="1:24">
      <c r="B365" t="s">
        <v>197</v>
      </c>
      <c r="C365" t="s">
        <v>197</v>
      </c>
      <c r="D365" t="s">
        <v>197</v>
      </c>
      <c r="E365" t="s">
        <v>197</v>
      </c>
      <c r="F365" t="s">
        <v>197</v>
      </c>
      <c r="G365" t="s">
        <v>197</v>
      </c>
      <c r="H365" t="s">
        <v>197</v>
      </c>
      <c r="I365" t="s">
        <v>197</v>
      </c>
      <c r="J365" t="s">
        <v>197</v>
      </c>
      <c r="K365" t="s">
        <v>678</v>
      </c>
    </row>
    <row r="366" spans="1:24">
      <c r="A366" t="s">
        <v>719</v>
      </c>
      <c r="K366" t="s">
        <v>720</v>
      </c>
      <c r="W366" t="s">
        <v>171</v>
      </c>
      <c r="X366" t="str">
        <f>A366</f>
        <v>info_datetime2_dml_batch1_pk_urp2</v>
      </c>
    </row>
    <row r="367" spans="1:24">
      <c r="B367" t="s">
        <v>196</v>
      </c>
      <c r="C367" t="s">
        <v>197</v>
      </c>
      <c r="D367" t="s">
        <v>197</v>
      </c>
      <c r="E367" t="s">
        <v>197</v>
      </c>
      <c r="F367" t="s">
        <v>197</v>
      </c>
      <c r="G367" t="s">
        <v>197</v>
      </c>
      <c r="H367" t="s">
        <v>197</v>
      </c>
      <c r="I367" t="s">
        <v>721</v>
      </c>
      <c r="J367" t="s">
        <v>199</v>
      </c>
      <c r="K367" t="s">
        <v>200</v>
      </c>
    </row>
    <row r="368" spans="1:24">
      <c r="B368" t="s">
        <v>197</v>
      </c>
      <c r="C368" t="s">
        <v>197</v>
      </c>
      <c r="D368" t="s">
        <v>197</v>
      </c>
      <c r="E368" t="s">
        <v>197</v>
      </c>
      <c r="F368" t="s">
        <v>197</v>
      </c>
      <c r="G368" t="s">
        <v>197</v>
      </c>
      <c r="H368" t="s">
        <v>197</v>
      </c>
      <c r="I368" t="s">
        <v>197</v>
      </c>
      <c r="J368" t="s">
        <v>197</v>
      </c>
      <c r="K368" t="s">
        <v>667</v>
      </c>
    </row>
    <row r="369" spans="1:24">
      <c r="B369" t="s">
        <v>197</v>
      </c>
      <c r="C369" t="s">
        <v>197</v>
      </c>
      <c r="D369" t="s">
        <v>197</v>
      </c>
      <c r="E369" t="s">
        <v>197</v>
      </c>
      <c r="F369" t="s">
        <v>197</v>
      </c>
      <c r="G369" t="s">
        <v>197</v>
      </c>
      <c r="H369" t="s">
        <v>197</v>
      </c>
      <c r="I369" t="s">
        <v>197</v>
      </c>
      <c r="J369" t="s">
        <v>197</v>
      </c>
      <c r="K369" t="s">
        <v>668</v>
      </c>
    </row>
    <row r="370" spans="1:24">
      <c r="B370" t="s">
        <v>197</v>
      </c>
      <c r="C370" t="s">
        <v>197</v>
      </c>
      <c r="D370" t="s">
        <v>197</v>
      </c>
      <c r="E370" t="s">
        <v>197</v>
      </c>
      <c r="F370" t="s">
        <v>197</v>
      </c>
      <c r="G370" t="s">
        <v>197</v>
      </c>
      <c r="H370" t="s">
        <v>197</v>
      </c>
      <c r="I370" t="s">
        <v>197</v>
      </c>
      <c r="J370" t="s">
        <v>197</v>
      </c>
      <c r="K370" t="s">
        <v>669</v>
      </c>
    </row>
    <row r="371" spans="1:24">
      <c r="B371" t="s">
        <v>197</v>
      </c>
      <c r="C371" t="s">
        <v>197</v>
      </c>
      <c r="D371" t="s">
        <v>197</v>
      </c>
      <c r="E371" t="s">
        <v>197</v>
      </c>
      <c r="F371" t="s">
        <v>197</v>
      </c>
      <c r="G371" t="s">
        <v>197</v>
      </c>
      <c r="H371" t="s">
        <v>197</v>
      </c>
      <c r="I371" t="s">
        <v>197</v>
      </c>
      <c r="J371" t="s">
        <v>197</v>
      </c>
      <c r="K371" t="s">
        <v>670</v>
      </c>
    </row>
    <row r="372" spans="1:24">
      <c r="B372" t="s">
        <v>197</v>
      </c>
      <c r="C372" t="s">
        <v>197</v>
      </c>
      <c r="D372" t="s">
        <v>197</v>
      </c>
      <c r="E372" t="s">
        <v>197</v>
      </c>
      <c r="F372" t="s">
        <v>197</v>
      </c>
      <c r="G372" t="s">
        <v>197</v>
      </c>
      <c r="H372" t="s">
        <v>197</v>
      </c>
      <c r="I372" t="s">
        <v>197</v>
      </c>
      <c r="J372" t="s">
        <v>197</v>
      </c>
      <c r="K372" t="s">
        <v>671</v>
      </c>
    </row>
    <row r="373" spans="1:24">
      <c r="B373" t="s">
        <v>197</v>
      </c>
      <c r="C373" t="s">
        <v>197</v>
      </c>
      <c r="D373" t="s">
        <v>197</v>
      </c>
      <c r="E373" t="s">
        <v>197</v>
      </c>
      <c r="F373" t="s">
        <v>197</v>
      </c>
      <c r="G373" t="s">
        <v>197</v>
      </c>
      <c r="H373" t="s">
        <v>197</v>
      </c>
      <c r="I373" t="s">
        <v>197</v>
      </c>
      <c r="J373" t="s">
        <v>197</v>
      </c>
      <c r="K373" t="s">
        <v>672</v>
      </c>
    </row>
    <row r="374" spans="1:24">
      <c r="B374" t="s">
        <v>197</v>
      </c>
      <c r="C374" t="s">
        <v>197</v>
      </c>
      <c r="D374" t="s">
        <v>197</v>
      </c>
      <c r="E374" t="s">
        <v>197</v>
      </c>
      <c r="F374" t="s">
        <v>197</v>
      </c>
      <c r="G374" t="s">
        <v>197</v>
      </c>
      <c r="H374" t="s">
        <v>197</v>
      </c>
      <c r="I374" t="s">
        <v>197</v>
      </c>
      <c r="J374" t="s">
        <v>197</v>
      </c>
      <c r="K374" t="s">
        <v>673</v>
      </c>
    </row>
    <row r="375" spans="1:24">
      <c r="B375" t="s">
        <v>197</v>
      </c>
      <c r="C375" t="s">
        <v>197</v>
      </c>
      <c r="D375" t="s">
        <v>197</v>
      </c>
      <c r="E375" t="s">
        <v>197</v>
      </c>
      <c r="F375" t="s">
        <v>197</v>
      </c>
      <c r="G375" t="s">
        <v>197</v>
      </c>
      <c r="H375" t="s">
        <v>197</v>
      </c>
      <c r="I375" t="s">
        <v>197</v>
      </c>
      <c r="J375" t="s">
        <v>197</v>
      </c>
      <c r="K375" t="s">
        <v>674</v>
      </c>
    </row>
    <row r="376" spans="1:24">
      <c r="A376" t="s">
        <v>646</v>
      </c>
      <c r="K376" t="s">
        <v>647</v>
      </c>
      <c r="W376" t="s">
        <v>171</v>
      </c>
      <c r="X376" t="str">
        <f>A376</f>
        <v>info_nchar_dml_batch1_pk_irp1</v>
      </c>
    </row>
    <row r="377" spans="1:24">
      <c r="B377" t="s">
        <v>196</v>
      </c>
      <c r="C377" t="s">
        <v>197</v>
      </c>
      <c r="D377" t="s">
        <v>197</v>
      </c>
      <c r="E377" t="s">
        <v>197</v>
      </c>
      <c r="F377" t="s">
        <v>197</v>
      </c>
      <c r="G377" t="s">
        <v>197</v>
      </c>
      <c r="H377" t="s">
        <v>197</v>
      </c>
      <c r="I377" t="s">
        <v>648</v>
      </c>
      <c r="J377" t="s">
        <v>199</v>
      </c>
      <c r="K377" t="s">
        <v>200</v>
      </c>
    </row>
    <row r="378" spans="1:24">
      <c r="B378" t="s">
        <v>197</v>
      </c>
      <c r="C378" t="s">
        <v>197</v>
      </c>
      <c r="D378" t="s">
        <v>197</v>
      </c>
      <c r="E378" t="s">
        <v>197</v>
      </c>
      <c r="F378" t="s">
        <v>197</v>
      </c>
      <c r="G378" t="s">
        <v>197</v>
      </c>
      <c r="H378" t="s">
        <v>197</v>
      </c>
      <c r="I378" t="s">
        <v>197</v>
      </c>
      <c r="J378" t="s">
        <v>197</v>
      </c>
      <c r="K378" t="s">
        <v>514</v>
      </c>
    </row>
    <row r="379" spans="1:24">
      <c r="B379" t="s">
        <v>197</v>
      </c>
      <c r="C379" t="s">
        <v>197</v>
      </c>
      <c r="D379" t="s">
        <v>197</v>
      </c>
      <c r="E379" t="s">
        <v>197</v>
      </c>
      <c r="F379" t="s">
        <v>197</v>
      </c>
      <c r="G379" t="s">
        <v>197</v>
      </c>
      <c r="H379" t="s">
        <v>197</v>
      </c>
      <c r="I379" t="s">
        <v>197</v>
      </c>
      <c r="J379" t="s">
        <v>197</v>
      </c>
      <c r="K379" t="s">
        <v>516</v>
      </c>
    </row>
    <row r="380" spans="1:24">
      <c r="B380" t="s">
        <v>197</v>
      </c>
      <c r="C380" t="s">
        <v>197</v>
      </c>
      <c r="D380" t="s">
        <v>197</v>
      </c>
      <c r="E380" t="s">
        <v>197</v>
      </c>
      <c r="F380" t="s">
        <v>197</v>
      </c>
      <c r="G380" t="s">
        <v>197</v>
      </c>
      <c r="H380" t="s">
        <v>197</v>
      </c>
      <c r="I380" t="s">
        <v>197</v>
      </c>
      <c r="J380" t="s">
        <v>197</v>
      </c>
      <c r="K380" t="s">
        <v>517</v>
      </c>
    </row>
    <row r="381" spans="1:24">
      <c r="A381" t="s">
        <v>722</v>
      </c>
      <c r="K381" t="s">
        <v>723</v>
      </c>
      <c r="W381" t="s">
        <v>171</v>
      </c>
      <c r="X381" t="str">
        <f>A381</f>
        <v>info_varcharmax_dml_batch1_pk_irp1</v>
      </c>
    </row>
    <row r="382" spans="1:24">
      <c r="B382" t="s">
        <v>196</v>
      </c>
      <c r="C382" t="s">
        <v>197</v>
      </c>
      <c r="D382" t="s">
        <v>197</v>
      </c>
      <c r="E382" t="s">
        <v>197</v>
      </c>
      <c r="F382" t="s">
        <v>197</v>
      </c>
      <c r="G382" t="s">
        <v>197</v>
      </c>
      <c r="H382" t="s">
        <v>197</v>
      </c>
      <c r="I382" t="s">
        <v>724</v>
      </c>
      <c r="J382" t="s">
        <v>199</v>
      </c>
      <c r="K382" t="s">
        <v>200</v>
      </c>
    </row>
    <row r="383" spans="1:24">
      <c r="B383" t="s">
        <v>197</v>
      </c>
      <c r="C383" t="s">
        <v>197</v>
      </c>
      <c r="D383" t="s">
        <v>197</v>
      </c>
      <c r="E383" t="s">
        <v>197</v>
      </c>
      <c r="F383" t="s">
        <v>197</v>
      </c>
      <c r="G383" t="s">
        <v>197</v>
      </c>
      <c r="H383" t="s">
        <v>197</v>
      </c>
      <c r="I383" t="s">
        <v>197</v>
      </c>
      <c r="J383" t="s">
        <v>197</v>
      </c>
      <c r="K383" t="s">
        <v>725</v>
      </c>
    </row>
    <row r="384" spans="1:24">
      <c r="B384" t="s">
        <v>197</v>
      </c>
      <c r="C384" t="s">
        <v>197</v>
      </c>
      <c r="D384" t="s">
        <v>197</v>
      </c>
      <c r="E384" t="s">
        <v>197</v>
      </c>
      <c r="F384" t="s">
        <v>197</v>
      </c>
      <c r="G384" t="s">
        <v>197</v>
      </c>
      <c r="H384" t="s">
        <v>197</v>
      </c>
      <c r="I384" t="s">
        <v>197</v>
      </c>
      <c r="J384" t="s">
        <v>197</v>
      </c>
      <c r="K384" t="s">
        <v>726</v>
      </c>
    </row>
    <row r="385" spans="1:24">
      <c r="K385" t="s">
        <v>443</v>
      </c>
    </row>
    <row r="386" spans="1:24">
      <c r="A386" t="s">
        <v>713</v>
      </c>
      <c r="K386" t="s">
        <v>714</v>
      </c>
      <c r="W386" t="s">
        <v>171</v>
      </c>
      <c r="X386" t="str">
        <f>A386</f>
        <v>info_nchar_dml_batch1_pk_irp2</v>
      </c>
    </row>
    <row r="387" spans="1:24">
      <c r="B387" t="s">
        <v>196</v>
      </c>
      <c r="C387" t="s">
        <v>197</v>
      </c>
      <c r="D387" t="s">
        <v>197</v>
      </c>
      <c r="E387" t="s">
        <v>197</v>
      </c>
      <c r="F387" t="s">
        <v>197</v>
      </c>
      <c r="G387" t="s">
        <v>197</v>
      </c>
      <c r="H387" t="s">
        <v>197</v>
      </c>
      <c r="I387" t="s">
        <v>715</v>
      </c>
      <c r="J387" t="s">
        <v>199</v>
      </c>
      <c r="K387" t="s">
        <v>200</v>
      </c>
    </row>
    <row r="388" spans="1:24">
      <c r="B388" t="s">
        <v>197</v>
      </c>
      <c r="C388" t="s">
        <v>197</v>
      </c>
      <c r="D388" t="s">
        <v>197</v>
      </c>
      <c r="E388" t="s">
        <v>197</v>
      </c>
      <c r="F388" t="s">
        <v>197</v>
      </c>
      <c r="G388" t="s">
        <v>197</v>
      </c>
      <c r="H388" t="s">
        <v>197</v>
      </c>
      <c r="I388" t="s">
        <v>197</v>
      </c>
      <c r="J388" t="s">
        <v>197</v>
      </c>
      <c r="K388" t="s">
        <v>514</v>
      </c>
    </row>
    <row r="389" spans="1:24">
      <c r="B389" t="s">
        <v>197</v>
      </c>
      <c r="C389" t="s">
        <v>197</v>
      </c>
      <c r="D389" t="s">
        <v>197</v>
      </c>
      <c r="E389" t="s">
        <v>197</v>
      </c>
      <c r="F389" t="s">
        <v>197</v>
      </c>
      <c r="G389" t="s">
        <v>197</v>
      </c>
      <c r="H389" t="s">
        <v>197</v>
      </c>
      <c r="I389" t="s">
        <v>197</v>
      </c>
      <c r="J389" t="s">
        <v>197</v>
      </c>
      <c r="K389" t="s">
        <v>516</v>
      </c>
    </row>
    <row r="390" spans="1:24">
      <c r="B390" t="s">
        <v>197</v>
      </c>
      <c r="C390" t="s">
        <v>197</v>
      </c>
      <c r="D390" t="s">
        <v>197</v>
      </c>
      <c r="E390" t="s">
        <v>197</v>
      </c>
      <c r="F390" t="s">
        <v>197</v>
      </c>
      <c r="G390" t="s">
        <v>197</v>
      </c>
      <c r="H390" t="s">
        <v>197</v>
      </c>
      <c r="I390" t="s">
        <v>197</v>
      </c>
      <c r="J390" t="s">
        <v>197</v>
      </c>
      <c r="K390" t="s">
        <v>612</v>
      </c>
    </row>
    <row r="391" spans="1:24">
      <c r="A391" t="s">
        <v>727</v>
      </c>
      <c r="K391" t="s">
        <v>728</v>
      </c>
      <c r="W391" t="s">
        <v>171</v>
      </c>
      <c r="X391" t="str">
        <f>A391</f>
        <v>info_nvarchar_dml_single_pk_irp</v>
      </c>
    </row>
    <row r="392" spans="1:24">
      <c r="B392" t="s">
        <v>196</v>
      </c>
      <c r="C392" t="s">
        <v>197</v>
      </c>
      <c r="D392" t="s">
        <v>197</v>
      </c>
      <c r="E392" t="s">
        <v>197</v>
      </c>
      <c r="F392" t="s">
        <v>197</v>
      </c>
      <c r="G392" t="s">
        <v>197</v>
      </c>
      <c r="H392" t="s">
        <v>197</v>
      </c>
      <c r="I392" t="s">
        <v>729</v>
      </c>
      <c r="J392" t="s">
        <v>199</v>
      </c>
      <c r="K392" t="s">
        <v>200</v>
      </c>
    </row>
    <row r="393" spans="1:24">
      <c r="B393" t="s">
        <v>197</v>
      </c>
      <c r="C393" t="s">
        <v>197</v>
      </c>
      <c r="D393" t="s">
        <v>197</v>
      </c>
      <c r="E393" t="s">
        <v>197</v>
      </c>
      <c r="F393" t="s">
        <v>197</v>
      </c>
      <c r="G393" t="s">
        <v>197</v>
      </c>
      <c r="H393" t="s">
        <v>197</v>
      </c>
      <c r="I393" t="s">
        <v>197</v>
      </c>
      <c r="J393" t="s">
        <v>197</v>
      </c>
      <c r="K393" t="s">
        <v>408</v>
      </c>
    </row>
    <row r="394" spans="1:24">
      <c r="B394" t="s">
        <v>197</v>
      </c>
      <c r="C394" t="s">
        <v>197</v>
      </c>
      <c r="D394" t="s">
        <v>197</v>
      </c>
      <c r="E394" t="s">
        <v>197</v>
      </c>
      <c r="F394" t="s">
        <v>197</v>
      </c>
      <c r="G394" t="s">
        <v>197</v>
      </c>
      <c r="H394" t="s">
        <v>197</v>
      </c>
      <c r="I394" t="s">
        <v>197</v>
      </c>
      <c r="J394" t="s">
        <v>197</v>
      </c>
      <c r="K394" t="s">
        <v>412</v>
      </c>
    </row>
    <row r="395" spans="1:24">
      <c r="B395" t="s">
        <v>197</v>
      </c>
      <c r="C395" t="s">
        <v>197</v>
      </c>
      <c r="D395" t="s">
        <v>197</v>
      </c>
      <c r="E395" t="s">
        <v>197</v>
      </c>
      <c r="F395" t="s">
        <v>197</v>
      </c>
      <c r="G395" t="s">
        <v>197</v>
      </c>
      <c r="H395" t="s">
        <v>197</v>
      </c>
      <c r="I395" t="s">
        <v>197</v>
      </c>
      <c r="J395" t="s">
        <v>197</v>
      </c>
      <c r="K395" t="s">
        <v>730</v>
      </c>
    </row>
    <row r="396" spans="1:24">
      <c r="A396" t="s">
        <v>731</v>
      </c>
      <c r="K396" t="s">
        <v>732</v>
      </c>
      <c r="W396" t="s">
        <v>171</v>
      </c>
      <c r="X396" t="str">
        <f>A396</f>
        <v>info_datetime2_dml_batch1_pk_drp1</v>
      </c>
    </row>
    <row r="397" spans="1:24">
      <c r="B397" t="s">
        <v>196</v>
      </c>
      <c r="C397" t="s">
        <v>197</v>
      </c>
      <c r="D397" t="s">
        <v>197</v>
      </c>
      <c r="E397" t="s">
        <v>197</v>
      </c>
      <c r="F397" t="s">
        <v>197</v>
      </c>
      <c r="G397" t="s">
        <v>197</v>
      </c>
      <c r="H397" t="s">
        <v>197</v>
      </c>
      <c r="I397" t="s">
        <v>733</v>
      </c>
      <c r="J397" t="s">
        <v>199</v>
      </c>
      <c r="K397" t="s">
        <v>200</v>
      </c>
    </row>
    <row r="398" spans="1:24">
      <c r="B398" t="s">
        <v>197</v>
      </c>
      <c r="C398" t="s">
        <v>197</v>
      </c>
      <c r="D398" t="s">
        <v>197</v>
      </c>
      <c r="E398" t="s">
        <v>197</v>
      </c>
      <c r="F398" t="s">
        <v>197</v>
      </c>
      <c r="G398" t="s">
        <v>197</v>
      </c>
      <c r="H398" t="s">
        <v>197</v>
      </c>
      <c r="I398" t="s">
        <v>197</v>
      </c>
      <c r="J398" t="s">
        <v>197</v>
      </c>
      <c r="K398" t="s">
        <v>667</v>
      </c>
    </row>
    <row r="399" spans="1:24">
      <c r="B399" t="s">
        <v>197</v>
      </c>
      <c r="C399" t="s">
        <v>197</v>
      </c>
      <c r="D399" t="s">
        <v>197</v>
      </c>
      <c r="E399" t="s">
        <v>197</v>
      </c>
      <c r="F399" t="s">
        <v>197</v>
      </c>
      <c r="G399" t="s">
        <v>197</v>
      </c>
      <c r="H399" t="s">
        <v>197</v>
      </c>
      <c r="I399" t="s">
        <v>197</v>
      </c>
      <c r="J399" t="s">
        <v>197</v>
      </c>
      <c r="K399" t="s">
        <v>668</v>
      </c>
    </row>
    <row r="400" spans="1:24">
      <c r="B400" t="s">
        <v>197</v>
      </c>
      <c r="C400" t="s">
        <v>197</v>
      </c>
      <c r="D400" t="s">
        <v>197</v>
      </c>
      <c r="E400" t="s">
        <v>197</v>
      </c>
      <c r="F400" t="s">
        <v>197</v>
      </c>
      <c r="G400" t="s">
        <v>197</v>
      </c>
      <c r="H400" t="s">
        <v>197</v>
      </c>
      <c r="I400" t="s">
        <v>197</v>
      </c>
      <c r="J400" t="s">
        <v>197</v>
      </c>
      <c r="K400" t="s">
        <v>669</v>
      </c>
    </row>
    <row r="401" spans="1:24">
      <c r="B401" t="s">
        <v>197</v>
      </c>
      <c r="C401" t="s">
        <v>197</v>
      </c>
      <c r="D401" t="s">
        <v>197</v>
      </c>
      <c r="E401" t="s">
        <v>197</v>
      </c>
      <c r="F401" t="s">
        <v>197</v>
      </c>
      <c r="G401" t="s">
        <v>197</v>
      </c>
      <c r="H401" t="s">
        <v>197</v>
      </c>
      <c r="I401" t="s">
        <v>197</v>
      </c>
      <c r="J401" t="s">
        <v>197</v>
      </c>
      <c r="K401" t="s">
        <v>670</v>
      </c>
    </row>
    <row r="402" spans="1:24">
      <c r="B402" t="s">
        <v>197</v>
      </c>
      <c r="C402" t="s">
        <v>197</v>
      </c>
      <c r="D402" t="s">
        <v>197</v>
      </c>
      <c r="E402" t="s">
        <v>197</v>
      </c>
      <c r="F402" t="s">
        <v>197</v>
      </c>
      <c r="G402" t="s">
        <v>197</v>
      </c>
      <c r="H402" t="s">
        <v>197</v>
      </c>
      <c r="I402" t="s">
        <v>197</v>
      </c>
      <c r="J402" t="s">
        <v>197</v>
      </c>
      <c r="K402" t="s">
        <v>671</v>
      </c>
    </row>
    <row r="403" spans="1:24">
      <c r="B403" t="s">
        <v>197</v>
      </c>
      <c r="C403" t="s">
        <v>197</v>
      </c>
      <c r="D403" t="s">
        <v>197</v>
      </c>
      <c r="E403" t="s">
        <v>197</v>
      </c>
      <c r="F403" t="s">
        <v>197</v>
      </c>
      <c r="G403" t="s">
        <v>197</v>
      </c>
      <c r="H403" t="s">
        <v>197</v>
      </c>
      <c r="I403" t="s">
        <v>197</v>
      </c>
      <c r="J403" t="s">
        <v>197</v>
      </c>
      <c r="K403" t="s">
        <v>672</v>
      </c>
    </row>
    <row r="404" spans="1:24">
      <c r="B404" t="s">
        <v>197</v>
      </c>
      <c r="C404" t="s">
        <v>197</v>
      </c>
      <c r="D404" t="s">
        <v>197</v>
      </c>
      <c r="E404" t="s">
        <v>197</v>
      </c>
      <c r="F404" t="s">
        <v>197</v>
      </c>
      <c r="G404" t="s">
        <v>197</v>
      </c>
      <c r="H404" t="s">
        <v>197</v>
      </c>
      <c r="I404" t="s">
        <v>197</v>
      </c>
      <c r="J404" t="s">
        <v>197</v>
      </c>
      <c r="K404" t="s">
        <v>673</v>
      </c>
    </row>
    <row r="405" spans="1:24">
      <c r="B405" t="s">
        <v>197</v>
      </c>
      <c r="C405" t="s">
        <v>197</v>
      </c>
      <c r="D405" t="s">
        <v>197</v>
      </c>
      <c r="E405" t="s">
        <v>197</v>
      </c>
      <c r="F405" t="s">
        <v>197</v>
      </c>
      <c r="G405" t="s">
        <v>197</v>
      </c>
      <c r="H405" t="s">
        <v>197</v>
      </c>
      <c r="I405" t="s">
        <v>197</v>
      </c>
      <c r="J405" t="s">
        <v>197</v>
      </c>
      <c r="K405" t="s">
        <v>674</v>
      </c>
    </row>
    <row r="406" spans="1:24">
      <c r="K406" t="s">
        <v>443</v>
      </c>
    </row>
    <row r="407" spans="1:24">
      <c r="A407" t="s">
        <v>734</v>
      </c>
      <c r="K407" t="s">
        <v>735</v>
      </c>
      <c r="W407" t="s">
        <v>171</v>
      </c>
      <c r="X407" t="str">
        <f>A407</f>
        <v>info_varcharmax_dml_batch1_pk_irp2</v>
      </c>
    </row>
    <row r="408" spans="1:24">
      <c r="B408" t="s">
        <v>196</v>
      </c>
      <c r="C408" t="s">
        <v>197</v>
      </c>
      <c r="D408" t="s">
        <v>197</v>
      </c>
      <c r="E408" t="s">
        <v>197</v>
      </c>
      <c r="F408" t="s">
        <v>197</v>
      </c>
      <c r="G408" t="s">
        <v>197</v>
      </c>
      <c r="H408" t="s">
        <v>197</v>
      </c>
      <c r="I408" t="s">
        <v>736</v>
      </c>
      <c r="J408" t="s">
        <v>199</v>
      </c>
      <c r="K408" t="s">
        <v>200</v>
      </c>
    </row>
    <row r="409" spans="1:24">
      <c r="B409" t="s">
        <v>197</v>
      </c>
      <c r="C409" t="s">
        <v>197</v>
      </c>
      <c r="D409" t="s">
        <v>197</v>
      </c>
      <c r="E409" t="s">
        <v>197</v>
      </c>
      <c r="F409" t="s">
        <v>197</v>
      </c>
      <c r="G409" t="s">
        <v>197</v>
      </c>
      <c r="H409" t="s">
        <v>197</v>
      </c>
      <c r="I409" t="s">
        <v>197</v>
      </c>
      <c r="J409" t="s">
        <v>197</v>
      </c>
      <c r="K409" t="s">
        <v>725</v>
      </c>
    </row>
    <row r="410" spans="1:24">
      <c r="B410" t="s">
        <v>197</v>
      </c>
      <c r="C410" t="s">
        <v>197</v>
      </c>
      <c r="D410" t="s">
        <v>197</v>
      </c>
      <c r="E410" t="s">
        <v>197</v>
      </c>
      <c r="F410" t="s">
        <v>197</v>
      </c>
      <c r="G410" t="s">
        <v>197</v>
      </c>
      <c r="H410" t="s">
        <v>197</v>
      </c>
      <c r="I410" t="s">
        <v>197</v>
      </c>
      <c r="J410" t="s">
        <v>197</v>
      </c>
      <c r="K410" t="s">
        <v>726</v>
      </c>
    </row>
    <row r="411" spans="1:24">
      <c r="K411" t="s">
        <v>443</v>
      </c>
    </row>
    <row r="412" spans="1:24">
      <c r="A412" t="s">
        <v>740</v>
      </c>
      <c r="K412" t="s">
        <v>741</v>
      </c>
      <c r="W412" t="s">
        <v>171</v>
      </c>
      <c r="X412" t="str">
        <f>A412</f>
        <v>info_datetime2_dml_batch1_pk_drp2</v>
      </c>
    </row>
    <row r="413" spans="1:24">
      <c r="B413" t="s">
        <v>196</v>
      </c>
      <c r="C413" t="s">
        <v>197</v>
      </c>
      <c r="D413" t="s">
        <v>197</v>
      </c>
      <c r="E413" t="s">
        <v>197</v>
      </c>
      <c r="F413" t="s">
        <v>197</v>
      </c>
      <c r="G413" t="s">
        <v>197</v>
      </c>
      <c r="H413" t="s">
        <v>197</v>
      </c>
      <c r="I413" t="s">
        <v>742</v>
      </c>
      <c r="J413" t="s">
        <v>199</v>
      </c>
      <c r="K413" t="s">
        <v>200</v>
      </c>
    </row>
    <row r="414" spans="1:24">
      <c r="B414" t="s">
        <v>197</v>
      </c>
      <c r="C414" t="s">
        <v>197</v>
      </c>
      <c r="D414" t="s">
        <v>197</v>
      </c>
      <c r="E414" t="s">
        <v>197</v>
      </c>
      <c r="F414" t="s">
        <v>197</v>
      </c>
      <c r="G414" t="s">
        <v>197</v>
      </c>
      <c r="H414" t="s">
        <v>197</v>
      </c>
      <c r="I414" t="s">
        <v>197</v>
      </c>
      <c r="J414" t="s">
        <v>197</v>
      </c>
      <c r="K414" t="s">
        <v>667</v>
      </c>
    </row>
    <row r="415" spans="1:24">
      <c r="B415" t="s">
        <v>197</v>
      </c>
      <c r="C415" t="s">
        <v>197</v>
      </c>
      <c r="D415" t="s">
        <v>197</v>
      </c>
      <c r="E415" t="s">
        <v>197</v>
      </c>
      <c r="F415" t="s">
        <v>197</v>
      </c>
      <c r="G415" t="s">
        <v>197</v>
      </c>
      <c r="H415" t="s">
        <v>197</v>
      </c>
      <c r="I415" t="s">
        <v>197</v>
      </c>
      <c r="J415" t="s">
        <v>197</v>
      </c>
      <c r="K415" t="s">
        <v>668</v>
      </c>
    </row>
    <row r="416" spans="1:24">
      <c r="B416" t="s">
        <v>197</v>
      </c>
      <c r="C416" t="s">
        <v>197</v>
      </c>
      <c r="D416" t="s">
        <v>197</v>
      </c>
      <c r="E416" t="s">
        <v>197</v>
      </c>
      <c r="F416" t="s">
        <v>197</v>
      </c>
      <c r="G416" t="s">
        <v>197</v>
      </c>
      <c r="H416" t="s">
        <v>197</v>
      </c>
      <c r="I416" t="s">
        <v>197</v>
      </c>
      <c r="J416" t="s">
        <v>197</v>
      </c>
      <c r="K416" t="s">
        <v>669</v>
      </c>
    </row>
    <row r="417" spans="1:24">
      <c r="B417" t="s">
        <v>197</v>
      </c>
      <c r="C417" t="s">
        <v>197</v>
      </c>
      <c r="D417" t="s">
        <v>197</v>
      </c>
      <c r="E417" t="s">
        <v>197</v>
      </c>
      <c r="F417" t="s">
        <v>197</v>
      </c>
      <c r="G417" t="s">
        <v>197</v>
      </c>
      <c r="H417" t="s">
        <v>197</v>
      </c>
      <c r="I417" t="s">
        <v>197</v>
      </c>
      <c r="J417" t="s">
        <v>197</v>
      </c>
      <c r="K417" t="s">
        <v>670</v>
      </c>
    </row>
    <row r="418" spans="1:24">
      <c r="B418" t="s">
        <v>197</v>
      </c>
      <c r="C418" t="s">
        <v>197</v>
      </c>
      <c r="D418" t="s">
        <v>197</v>
      </c>
      <c r="E418" t="s">
        <v>197</v>
      </c>
      <c r="F418" t="s">
        <v>197</v>
      </c>
      <c r="G418" t="s">
        <v>197</v>
      </c>
      <c r="H418" t="s">
        <v>197</v>
      </c>
      <c r="I418" t="s">
        <v>197</v>
      </c>
      <c r="J418" t="s">
        <v>197</v>
      </c>
      <c r="K418" t="s">
        <v>671</v>
      </c>
    </row>
    <row r="419" spans="1:24">
      <c r="B419" t="s">
        <v>197</v>
      </c>
      <c r="C419" t="s">
        <v>197</v>
      </c>
      <c r="D419" t="s">
        <v>197</v>
      </c>
      <c r="E419" t="s">
        <v>197</v>
      </c>
      <c r="F419" t="s">
        <v>197</v>
      </c>
      <c r="G419" t="s">
        <v>197</v>
      </c>
      <c r="H419" t="s">
        <v>197</v>
      </c>
      <c r="I419" t="s">
        <v>197</v>
      </c>
      <c r="J419" t="s">
        <v>197</v>
      </c>
      <c r="K419" t="s">
        <v>672</v>
      </c>
    </row>
    <row r="420" spans="1:24">
      <c r="B420" t="s">
        <v>197</v>
      </c>
      <c r="C420" t="s">
        <v>197</v>
      </c>
      <c r="D420" t="s">
        <v>197</v>
      </c>
      <c r="E420" t="s">
        <v>197</v>
      </c>
      <c r="F420" t="s">
        <v>197</v>
      </c>
      <c r="G420" t="s">
        <v>197</v>
      </c>
      <c r="H420" t="s">
        <v>197</v>
      </c>
      <c r="I420" t="s">
        <v>197</v>
      </c>
      <c r="J420" t="s">
        <v>197</v>
      </c>
      <c r="K420" t="s">
        <v>673</v>
      </c>
    </row>
    <row r="421" spans="1:24">
      <c r="B421" t="s">
        <v>197</v>
      </c>
      <c r="C421" t="s">
        <v>197</v>
      </c>
      <c r="D421" t="s">
        <v>197</v>
      </c>
      <c r="E421" t="s">
        <v>197</v>
      </c>
      <c r="F421" t="s">
        <v>197</v>
      </c>
      <c r="G421" t="s">
        <v>197</v>
      </c>
      <c r="H421" t="s">
        <v>197</v>
      </c>
      <c r="I421" t="s">
        <v>197</v>
      </c>
      <c r="J421" t="s">
        <v>197</v>
      </c>
      <c r="K421" t="s">
        <v>674</v>
      </c>
    </row>
    <row r="422" spans="1:24">
      <c r="A422" t="s">
        <v>737</v>
      </c>
      <c r="K422" t="s">
        <v>738</v>
      </c>
      <c r="W422" t="s">
        <v>171</v>
      </c>
      <c r="X422" t="str">
        <f>A422</f>
        <v>info_binary_dml_batch1_pk_irp2</v>
      </c>
    </row>
    <row r="423" spans="1:24">
      <c r="B423" t="s">
        <v>196</v>
      </c>
      <c r="C423" t="s">
        <v>197</v>
      </c>
      <c r="D423" t="s">
        <v>197</v>
      </c>
      <c r="E423" t="s">
        <v>197</v>
      </c>
      <c r="F423" t="s">
        <v>197</v>
      </c>
      <c r="G423" t="s">
        <v>197</v>
      </c>
      <c r="H423" t="s">
        <v>197</v>
      </c>
      <c r="I423" t="s">
        <v>739</v>
      </c>
      <c r="J423" t="s">
        <v>199</v>
      </c>
      <c r="K423" t="s">
        <v>200</v>
      </c>
    </row>
    <row r="424" spans="1:24">
      <c r="B424" t="s">
        <v>197</v>
      </c>
      <c r="C424" t="s">
        <v>197</v>
      </c>
      <c r="D424" t="s">
        <v>197</v>
      </c>
      <c r="E424" t="s">
        <v>197</v>
      </c>
      <c r="F424" t="s">
        <v>197</v>
      </c>
      <c r="G424" t="s">
        <v>197</v>
      </c>
      <c r="H424" t="s">
        <v>197</v>
      </c>
      <c r="I424" t="s">
        <v>197</v>
      </c>
      <c r="J424" t="s">
        <v>197</v>
      </c>
      <c r="K424" t="s">
        <v>691</v>
      </c>
    </row>
    <row r="425" spans="1:24">
      <c r="B425" t="s">
        <v>197</v>
      </c>
      <c r="C425" t="s">
        <v>197</v>
      </c>
      <c r="D425" t="s">
        <v>197</v>
      </c>
      <c r="E425" t="s">
        <v>197</v>
      </c>
      <c r="F425" t="s">
        <v>197</v>
      </c>
      <c r="G425" t="s">
        <v>197</v>
      </c>
      <c r="H425" t="s">
        <v>197</v>
      </c>
      <c r="I425" t="s">
        <v>197</v>
      </c>
      <c r="J425" t="s">
        <v>197</v>
      </c>
      <c r="K425" t="s">
        <v>692</v>
      </c>
    </row>
    <row r="426" spans="1:24">
      <c r="B426" t="s">
        <v>197</v>
      </c>
      <c r="C426" t="s">
        <v>197</v>
      </c>
      <c r="D426" t="s">
        <v>197</v>
      </c>
      <c r="E426" t="s">
        <v>197</v>
      </c>
      <c r="F426" t="s">
        <v>197</v>
      </c>
      <c r="G426" t="s">
        <v>197</v>
      </c>
      <c r="H426" t="s">
        <v>197</v>
      </c>
      <c r="I426" t="s">
        <v>197</v>
      </c>
      <c r="J426" t="s">
        <v>197</v>
      </c>
      <c r="K426" t="s">
        <v>693</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755</v>
      </c>
      <c r="K435" t="s">
        <v>756</v>
      </c>
      <c r="W435" t="s">
        <v>171</v>
      </c>
      <c r="X435" t="str">
        <f>A435</f>
        <v>info_binary_dml_batch2_pk_irp1</v>
      </c>
    </row>
    <row r="436" spans="1:24">
      <c r="B436" t="s">
        <v>196</v>
      </c>
      <c r="C436" t="s">
        <v>197</v>
      </c>
      <c r="D436" t="s">
        <v>197</v>
      </c>
      <c r="E436" t="s">
        <v>197</v>
      </c>
      <c r="F436" t="s">
        <v>197</v>
      </c>
      <c r="G436" t="s">
        <v>197</v>
      </c>
      <c r="H436" t="s">
        <v>197</v>
      </c>
      <c r="I436" t="s">
        <v>757</v>
      </c>
      <c r="J436" t="s">
        <v>199</v>
      </c>
      <c r="K436" t="s">
        <v>200</v>
      </c>
    </row>
    <row r="437" spans="1:24">
      <c r="B437" t="s">
        <v>197</v>
      </c>
      <c r="C437" t="s">
        <v>197</v>
      </c>
      <c r="D437" t="s">
        <v>197</v>
      </c>
      <c r="E437" t="s">
        <v>197</v>
      </c>
      <c r="F437" t="s">
        <v>197</v>
      </c>
      <c r="G437" t="s">
        <v>197</v>
      </c>
      <c r="H437" t="s">
        <v>197</v>
      </c>
      <c r="I437" t="s">
        <v>197</v>
      </c>
      <c r="J437" t="s">
        <v>197</v>
      </c>
      <c r="K437" t="s">
        <v>691</v>
      </c>
    </row>
    <row r="438" spans="1:24">
      <c r="B438" t="s">
        <v>197</v>
      </c>
      <c r="C438" t="s">
        <v>197</v>
      </c>
      <c r="D438" t="s">
        <v>197</v>
      </c>
      <c r="E438" t="s">
        <v>197</v>
      </c>
      <c r="F438" t="s">
        <v>197</v>
      </c>
      <c r="G438" t="s">
        <v>197</v>
      </c>
      <c r="H438" t="s">
        <v>197</v>
      </c>
      <c r="I438" t="s">
        <v>197</v>
      </c>
      <c r="J438" t="s">
        <v>197</v>
      </c>
      <c r="K438" t="s">
        <v>692</v>
      </c>
    </row>
    <row r="439" spans="1:24">
      <c r="B439" t="s">
        <v>197</v>
      </c>
      <c r="C439" t="s">
        <v>197</v>
      </c>
      <c r="D439" t="s">
        <v>197</v>
      </c>
      <c r="E439" t="s">
        <v>197</v>
      </c>
      <c r="F439" t="s">
        <v>197</v>
      </c>
      <c r="G439" t="s">
        <v>197</v>
      </c>
      <c r="H439" t="s">
        <v>197</v>
      </c>
      <c r="I439" t="s">
        <v>197</v>
      </c>
      <c r="J439" t="s">
        <v>197</v>
      </c>
      <c r="K439" t="s">
        <v>693</v>
      </c>
    </row>
    <row r="440" spans="1:24">
      <c r="A440" t="s">
        <v>758</v>
      </c>
      <c r="K440" t="s">
        <v>759</v>
      </c>
      <c r="W440" t="s">
        <v>171</v>
      </c>
      <c r="X440" t="str">
        <f>A440</f>
        <v>info_date_dml_single_pk_drp</v>
      </c>
    </row>
    <row r="441" spans="1:24">
      <c r="B441" t="s">
        <v>196</v>
      </c>
      <c r="C441" t="s">
        <v>197</v>
      </c>
      <c r="D441" t="s">
        <v>197</v>
      </c>
      <c r="E441" t="s">
        <v>197</v>
      </c>
      <c r="F441" t="s">
        <v>197</v>
      </c>
      <c r="G441" t="s">
        <v>197</v>
      </c>
      <c r="H441" t="s">
        <v>197</v>
      </c>
      <c r="I441" t="s">
        <v>760</v>
      </c>
      <c r="J441" t="s">
        <v>199</v>
      </c>
      <c r="K441" t="s">
        <v>200</v>
      </c>
    </row>
    <row r="442" spans="1:24">
      <c r="B442" t="s">
        <v>197</v>
      </c>
      <c r="C442" t="s">
        <v>197</v>
      </c>
      <c r="D442" t="s">
        <v>197</v>
      </c>
      <c r="E442" t="s">
        <v>197</v>
      </c>
      <c r="F442" t="s">
        <v>197</v>
      </c>
      <c r="G442" t="s">
        <v>197</v>
      </c>
      <c r="H442" t="s">
        <v>197</v>
      </c>
      <c r="I442" t="s">
        <v>197</v>
      </c>
      <c r="J442" t="s">
        <v>197</v>
      </c>
      <c r="K442" t="s">
        <v>678</v>
      </c>
    </row>
    <row r="443" spans="1:24">
      <c r="A443" t="s">
        <v>761</v>
      </c>
      <c r="K443" t="s">
        <v>762</v>
      </c>
      <c r="W443" t="s">
        <v>171</v>
      </c>
      <c r="X443" t="str">
        <f>A443</f>
        <v>info_hierarchyid_dml_single_pk_drp</v>
      </c>
    </row>
    <row r="444" spans="1:24">
      <c r="B444" t="s">
        <v>196</v>
      </c>
      <c r="C444" t="s">
        <v>197</v>
      </c>
      <c r="D444" t="s">
        <v>197</v>
      </c>
      <c r="E444" t="s">
        <v>197</v>
      </c>
      <c r="F444" t="s">
        <v>197</v>
      </c>
      <c r="G444" t="s">
        <v>197</v>
      </c>
      <c r="H444" t="s">
        <v>197</v>
      </c>
      <c r="I444" t="s">
        <v>763</v>
      </c>
      <c r="J444" t="s">
        <v>199</v>
      </c>
      <c r="K444" t="s">
        <v>200</v>
      </c>
    </row>
    <row r="445" spans="1:24">
      <c r="B445" t="s">
        <v>197</v>
      </c>
      <c r="C445" t="s">
        <v>197</v>
      </c>
      <c r="D445" t="s">
        <v>197</v>
      </c>
      <c r="E445" t="s">
        <v>197</v>
      </c>
      <c r="F445" t="s">
        <v>197</v>
      </c>
      <c r="G445" t="s">
        <v>197</v>
      </c>
      <c r="H445" t="s">
        <v>197</v>
      </c>
      <c r="I445" t="s">
        <v>197</v>
      </c>
      <c r="J445" t="s">
        <v>197</v>
      </c>
      <c r="K445" t="s">
        <v>706</v>
      </c>
    </row>
    <row r="446" spans="1:24">
      <c r="A446" t="s">
        <v>749</v>
      </c>
      <c r="K446" t="s">
        <v>750</v>
      </c>
      <c r="W446" t="s">
        <v>171</v>
      </c>
      <c r="X446" t="str">
        <f>A446</f>
        <v>info_datetime2_dml_batch1_pk</v>
      </c>
    </row>
    <row r="447" spans="1:24">
      <c r="B447" t="s">
        <v>196</v>
      </c>
      <c r="C447" t="s">
        <v>197</v>
      </c>
      <c r="D447" t="s">
        <v>197</v>
      </c>
      <c r="E447" t="s">
        <v>197</v>
      </c>
      <c r="F447" t="s">
        <v>197</v>
      </c>
      <c r="G447" t="s">
        <v>197</v>
      </c>
      <c r="H447" t="s">
        <v>197</v>
      </c>
      <c r="I447" t="s">
        <v>751</v>
      </c>
      <c r="J447" t="s">
        <v>199</v>
      </c>
      <c r="K447" t="s">
        <v>200</v>
      </c>
    </row>
    <row r="448" spans="1:24">
      <c r="B448" t="s">
        <v>197</v>
      </c>
      <c r="C448" t="s">
        <v>197</v>
      </c>
      <c r="D448" t="s">
        <v>197</v>
      </c>
      <c r="E448" t="s">
        <v>197</v>
      </c>
      <c r="F448" t="s">
        <v>197</v>
      </c>
      <c r="G448" t="s">
        <v>197</v>
      </c>
      <c r="H448" t="s">
        <v>197</v>
      </c>
      <c r="I448" t="s">
        <v>197</v>
      </c>
      <c r="J448" t="s">
        <v>197</v>
      </c>
      <c r="K448" t="s">
        <v>667</v>
      </c>
    </row>
    <row r="449" spans="1:24">
      <c r="B449" t="s">
        <v>197</v>
      </c>
      <c r="C449" t="s">
        <v>197</v>
      </c>
      <c r="D449" t="s">
        <v>197</v>
      </c>
      <c r="E449" t="s">
        <v>197</v>
      </c>
      <c r="F449" t="s">
        <v>197</v>
      </c>
      <c r="G449" t="s">
        <v>197</v>
      </c>
      <c r="H449" t="s">
        <v>197</v>
      </c>
      <c r="I449" t="s">
        <v>197</v>
      </c>
      <c r="J449" t="s">
        <v>197</v>
      </c>
      <c r="K449" t="s">
        <v>668</v>
      </c>
    </row>
    <row r="450" spans="1:24">
      <c r="B450" t="s">
        <v>197</v>
      </c>
      <c r="C450" t="s">
        <v>197</v>
      </c>
      <c r="D450" t="s">
        <v>197</v>
      </c>
      <c r="E450" t="s">
        <v>197</v>
      </c>
      <c r="F450" t="s">
        <v>197</v>
      </c>
      <c r="G450" t="s">
        <v>197</v>
      </c>
      <c r="H450" t="s">
        <v>197</v>
      </c>
      <c r="I450" t="s">
        <v>197</v>
      </c>
      <c r="J450" t="s">
        <v>197</v>
      </c>
      <c r="K450" t="s">
        <v>669</v>
      </c>
    </row>
    <row r="451" spans="1:24">
      <c r="B451" t="s">
        <v>197</v>
      </c>
      <c r="C451" t="s">
        <v>197</v>
      </c>
      <c r="D451" t="s">
        <v>197</v>
      </c>
      <c r="E451" t="s">
        <v>197</v>
      </c>
      <c r="F451" t="s">
        <v>197</v>
      </c>
      <c r="G451" t="s">
        <v>197</v>
      </c>
      <c r="H451" t="s">
        <v>197</v>
      </c>
      <c r="I451" t="s">
        <v>197</v>
      </c>
      <c r="J451" t="s">
        <v>197</v>
      </c>
      <c r="K451" t="s">
        <v>670</v>
      </c>
    </row>
    <row r="452" spans="1:24">
      <c r="B452" t="s">
        <v>197</v>
      </c>
      <c r="C452" t="s">
        <v>197</v>
      </c>
      <c r="D452" t="s">
        <v>197</v>
      </c>
      <c r="E452" t="s">
        <v>197</v>
      </c>
      <c r="F452" t="s">
        <v>197</v>
      </c>
      <c r="G452" t="s">
        <v>197</v>
      </c>
      <c r="H452" t="s">
        <v>197</v>
      </c>
      <c r="I452" t="s">
        <v>197</v>
      </c>
      <c r="J452" t="s">
        <v>197</v>
      </c>
      <c r="K452" t="s">
        <v>671</v>
      </c>
    </row>
    <row r="453" spans="1:24">
      <c r="B453" t="s">
        <v>197</v>
      </c>
      <c r="C453" t="s">
        <v>197</v>
      </c>
      <c r="D453" t="s">
        <v>197</v>
      </c>
      <c r="E453" t="s">
        <v>197</v>
      </c>
      <c r="F453" t="s">
        <v>197</v>
      </c>
      <c r="G453" t="s">
        <v>197</v>
      </c>
      <c r="H453" t="s">
        <v>197</v>
      </c>
      <c r="I453" t="s">
        <v>197</v>
      </c>
      <c r="J453" t="s">
        <v>197</v>
      </c>
      <c r="K453" t="s">
        <v>672</v>
      </c>
    </row>
    <row r="454" spans="1:24">
      <c r="B454" t="s">
        <v>197</v>
      </c>
      <c r="C454" t="s">
        <v>197</v>
      </c>
      <c r="D454" t="s">
        <v>197</v>
      </c>
      <c r="E454" t="s">
        <v>197</v>
      </c>
      <c r="F454" t="s">
        <v>197</v>
      </c>
      <c r="G454" t="s">
        <v>197</v>
      </c>
      <c r="H454" t="s">
        <v>197</v>
      </c>
      <c r="I454" t="s">
        <v>197</v>
      </c>
      <c r="J454" t="s">
        <v>197</v>
      </c>
      <c r="K454" t="s">
        <v>673</v>
      </c>
    </row>
    <row r="455" spans="1:24">
      <c r="B455" t="s">
        <v>197</v>
      </c>
      <c r="C455" t="s">
        <v>197</v>
      </c>
      <c r="D455" t="s">
        <v>197</v>
      </c>
      <c r="E455" t="s">
        <v>197</v>
      </c>
      <c r="F455" t="s">
        <v>197</v>
      </c>
      <c r="G455" t="s">
        <v>197</v>
      </c>
      <c r="H455" t="s">
        <v>197</v>
      </c>
      <c r="I455" t="s">
        <v>197</v>
      </c>
      <c r="J455" t="s">
        <v>197</v>
      </c>
      <c r="K455" t="s">
        <v>674</v>
      </c>
    </row>
    <row r="456" spans="1:24">
      <c r="A456" t="s">
        <v>764</v>
      </c>
      <c r="K456" t="s">
        <v>765</v>
      </c>
      <c r="W456" t="s">
        <v>171</v>
      </c>
      <c r="X456" t="str">
        <f>A456</f>
        <v>info_datetimeoffset_dml_batch1_pk_irp1</v>
      </c>
    </row>
    <row r="457" spans="1:24">
      <c r="B457" t="s">
        <v>196</v>
      </c>
      <c r="C457" t="s">
        <v>197</v>
      </c>
      <c r="D457" t="s">
        <v>197</v>
      </c>
      <c r="E457" t="s">
        <v>197</v>
      </c>
      <c r="F457" t="s">
        <v>197</v>
      </c>
      <c r="G457" t="s">
        <v>197</v>
      </c>
      <c r="H457" t="s">
        <v>197</v>
      </c>
      <c r="I457" t="s">
        <v>766</v>
      </c>
      <c r="J457" t="s">
        <v>199</v>
      </c>
      <c r="K457" t="s">
        <v>200</v>
      </c>
    </row>
    <row r="458" spans="1:24">
      <c r="B458" t="s">
        <v>197</v>
      </c>
      <c r="C458" t="s">
        <v>197</v>
      </c>
      <c r="D458" t="s">
        <v>197</v>
      </c>
      <c r="E458" t="s">
        <v>197</v>
      </c>
      <c r="F458" t="s">
        <v>197</v>
      </c>
      <c r="G458" t="s">
        <v>197</v>
      </c>
      <c r="H458" t="s">
        <v>197</v>
      </c>
      <c r="I458" t="s">
        <v>197</v>
      </c>
      <c r="J458" t="s">
        <v>197</v>
      </c>
      <c r="K458" t="s">
        <v>301</v>
      </c>
    </row>
    <row r="459" spans="1:24">
      <c r="B459" t="s">
        <v>197</v>
      </c>
      <c r="C459" t="s">
        <v>197</v>
      </c>
      <c r="D459" t="s">
        <v>197</v>
      </c>
      <c r="E459" t="s">
        <v>197</v>
      </c>
      <c r="F459" t="s">
        <v>197</v>
      </c>
      <c r="G459" t="s">
        <v>197</v>
      </c>
      <c r="H459" t="s">
        <v>197</v>
      </c>
      <c r="I459" t="s">
        <v>197</v>
      </c>
      <c r="J459" t="s">
        <v>197</v>
      </c>
      <c r="K459" t="s">
        <v>314</v>
      </c>
    </row>
    <row r="460" spans="1:24">
      <c r="B460" t="s">
        <v>197</v>
      </c>
      <c r="C460" t="s">
        <v>197</v>
      </c>
      <c r="D460" t="s">
        <v>197</v>
      </c>
      <c r="E460" t="s">
        <v>197</v>
      </c>
      <c r="F460" t="s">
        <v>197</v>
      </c>
      <c r="G460" t="s">
        <v>197</v>
      </c>
      <c r="H460" t="s">
        <v>197</v>
      </c>
      <c r="I460" t="s">
        <v>197</v>
      </c>
      <c r="J460" t="s">
        <v>197</v>
      </c>
      <c r="K460" t="s">
        <v>324</v>
      </c>
    </row>
    <row r="461" spans="1:24">
      <c r="B461" t="s">
        <v>197</v>
      </c>
      <c r="C461" t="s">
        <v>197</v>
      </c>
      <c r="D461" t="s">
        <v>197</v>
      </c>
      <c r="E461" t="s">
        <v>197</v>
      </c>
      <c r="F461" t="s">
        <v>197</v>
      </c>
      <c r="G461" t="s">
        <v>197</v>
      </c>
      <c r="H461" t="s">
        <v>197</v>
      </c>
      <c r="I461" t="s">
        <v>197</v>
      </c>
      <c r="J461" t="s">
        <v>197</v>
      </c>
      <c r="K461" t="s">
        <v>335</v>
      </c>
    </row>
    <row r="462" spans="1:24">
      <c r="B462" t="s">
        <v>197</v>
      </c>
      <c r="C462" t="s">
        <v>197</v>
      </c>
      <c r="D462" t="s">
        <v>197</v>
      </c>
      <c r="E462" t="s">
        <v>197</v>
      </c>
      <c r="F462" t="s">
        <v>197</v>
      </c>
      <c r="G462" t="s">
        <v>197</v>
      </c>
      <c r="H462" t="s">
        <v>197</v>
      </c>
      <c r="I462" t="s">
        <v>197</v>
      </c>
      <c r="J462" t="s">
        <v>197</v>
      </c>
      <c r="K462" t="s">
        <v>350</v>
      </c>
    </row>
    <row r="463" spans="1:24">
      <c r="B463" t="s">
        <v>197</v>
      </c>
      <c r="C463" t="s">
        <v>197</v>
      </c>
      <c r="D463" t="s">
        <v>197</v>
      </c>
      <c r="E463" t="s">
        <v>197</v>
      </c>
      <c r="F463" t="s">
        <v>197</v>
      </c>
      <c r="G463" t="s">
        <v>197</v>
      </c>
      <c r="H463" t="s">
        <v>197</v>
      </c>
      <c r="I463" t="s">
        <v>197</v>
      </c>
      <c r="J463" t="s">
        <v>197</v>
      </c>
      <c r="K463" t="s">
        <v>360</v>
      </c>
    </row>
    <row r="464" spans="1:24">
      <c r="B464" t="s">
        <v>197</v>
      </c>
      <c r="C464" t="s">
        <v>197</v>
      </c>
      <c r="D464" t="s">
        <v>197</v>
      </c>
      <c r="E464" t="s">
        <v>197</v>
      </c>
      <c r="F464" t="s">
        <v>197</v>
      </c>
      <c r="G464" t="s">
        <v>197</v>
      </c>
      <c r="H464" t="s">
        <v>197</v>
      </c>
      <c r="I464" t="s">
        <v>197</v>
      </c>
      <c r="J464" t="s">
        <v>197</v>
      </c>
      <c r="K464" t="s">
        <v>367</v>
      </c>
    </row>
    <row r="465" spans="1:24">
      <c r="B465" t="s">
        <v>197</v>
      </c>
      <c r="C465" t="s">
        <v>197</v>
      </c>
      <c r="D465" t="s">
        <v>197</v>
      </c>
      <c r="E465" t="s">
        <v>197</v>
      </c>
      <c r="F465" t="s">
        <v>197</v>
      </c>
      <c r="G465" t="s">
        <v>197</v>
      </c>
      <c r="H465" t="s">
        <v>197</v>
      </c>
      <c r="I465" t="s">
        <v>197</v>
      </c>
      <c r="J465" t="s">
        <v>197</v>
      </c>
      <c r="K465" t="s">
        <v>373</v>
      </c>
    </row>
    <row r="466" spans="1:24">
      <c r="A466" t="s">
        <v>767</v>
      </c>
      <c r="K466" t="s">
        <v>768</v>
      </c>
      <c r="W466" t="s">
        <v>171</v>
      </c>
      <c r="X466" t="str">
        <f>A466</f>
        <v>info_nchar_dml_batch2_pk_irp2</v>
      </c>
    </row>
    <row r="467" spans="1:24">
      <c r="B467" t="s">
        <v>196</v>
      </c>
      <c r="C467" t="s">
        <v>197</v>
      </c>
      <c r="D467" t="s">
        <v>197</v>
      </c>
      <c r="E467" t="s">
        <v>197</v>
      </c>
      <c r="F467" t="s">
        <v>197</v>
      </c>
      <c r="G467" t="s">
        <v>197</v>
      </c>
      <c r="H467" t="s">
        <v>197</v>
      </c>
      <c r="I467" t="s">
        <v>769</v>
      </c>
      <c r="J467" t="s">
        <v>199</v>
      </c>
      <c r="K467" t="s">
        <v>200</v>
      </c>
    </row>
    <row r="468" spans="1:24">
      <c r="B468" t="s">
        <v>197</v>
      </c>
      <c r="C468" t="s">
        <v>197</v>
      </c>
      <c r="D468" t="s">
        <v>197</v>
      </c>
      <c r="E468" t="s">
        <v>197</v>
      </c>
      <c r="F468" t="s">
        <v>197</v>
      </c>
      <c r="G468" t="s">
        <v>197</v>
      </c>
      <c r="H468" t="s">
        <v>197</v>
      </c>
      <c r="I468" t="s">
        <v>197</v>
      </c>
      <c r="J468" t="s">
        <v>197</v>
      </c>
      <c r="K468" t="s">
        <v>514</v>
      </c>
    </row>
    <row r="469" spans="1:24">
      <c r="B469" t="s">
        <v>197</v>
      </c>
      <c r="C469" t="s">
        <v>197</v>
      </c>
      <c r="D469" t="s">
        <v>197</v>
      </c>
      <c r="E469" t="s">
        <v>197</v>
      </c>
      <c r="F469" t="s">
        <v>197</v>
      </c>
      <c r="G469" t="s">
        <v>197</v>
      </c>
      <c r="H469" t="s">
        <v>197</v>
      </c>
      <c r="I469" t="s">
        <v>197</v>
      </c>
      <c r="J469" t="s">
        <v>197</v>
      </c>
      <c r="K469" t="s">
        <v>516</v>
      </c>
    </row>
    <row r="470" spans="1:24">
      <c r="B470" t="s">
        <v>197</v>
      </c>
      <c r="C470" t="s">
        <v>197</v>
      </c>
      <c r="D470" t="s">
        <v>197</v>
      </c>
      <c r="E470" t="s">
        <v>197</v>
      </c>
      <c r="F470" t="s">
        <v>197</v>
      </c>
      <c r="G470" t="s">
        <v>197</v>
      </c>
      <c r="H470" t="s">
        <v>197</v>
      </c>
      <c r="I470" t="s">
        <v>197</v>
      </c>
      <c r="J470" t="s">
        <v>197</v>
      </c>
      <c r="K470" t="s">
        <v>612</v>
      </c>
    </row>
    <row r="471" spans="1:24">
      <c r="A471" t="s">
        <v>770</v>
      </c>
      <c r="K471" t="s">
        <v>771</v>
      </c>
      <c r="W471" t="s">
        <v>171</v>
      </c>
      <c r="X471" t="str">
        <f>A471</f>
        <v>info_date_dml_single_pk</v>
      </c>
    </row>
    <row r="472" spans="1:24">
      <c r="B472" t="s">
        <v>196</v>
      </c>
      <c r="C472" t="s">
        <v>197</v>
      </c>
      <c r="D472" t="s">
        <v>197</v>
      </c>
      <c r="E472" t="s">
        <v>197</v>
      </c>
      <c r="F472" t="s">
        <v>197</v>
      </c>
      <c r="G472" t="s">
        <v>197</v>
      </c>
      <c r="H472" t="s">
        <v>197</v>
      </c>
      <c r="I472" t="s">
        <v>772</v>
      </c>
      <c r="J472" t="s">
        <v>199</v>
      </c>
      <c r="K472" t="s">
        <v>200</v>
      </c>
    </row>
    <row r="473" spans="1:24">
      <c r="B473" t="s">
        <v>197</v>
      </c>
      <c r="C473" t="s">
        <v>197</v>
      </c>
      <c r="D473" t="s">
        <v>197</v>
      </c>
      <c r="E473" t="s">
        <v>197</v>
      </c>
      <c r="F473" t="s">
        <v>197</v>
      </c>
      <c r="G473" t="s">
        <v>197</v>
      </c>
      <c r="H473" t="s">
        <v>197</v>
      </c>
      <c r="I473" t="s">
        <v>197</v>
      </c>
      <c r="J473" t="s">
        <v>197</v>
      </c>
      <c r="K473" t="s">
        <v>678</v>
      </c>
    </row>
    <row r="474" spans="1:24">
      <c r="A474" t="s">
        <v>773</v>
      </c>
      <c r="K474" t="s">
        <v>774</v>
      </c>
      <c r="W474" t="s">
        <v>171</v>
      </c>
      <c r="X474" t="str">
        <f>A474</f>
        <v>info_date_dml_batch1_pk_irp1</v>
      </c>
    </row>
    <row r="475" spans="1:24">
      <c r="B475" t="s">
        <v>196</v>
      </c>
      <c r="C475" t="s">
        <v>197</v>
      </c>
      <c r="D475" t="s">
        <v>197</v>
      </c>
      <c r="E475" t="s">
        <v>197</v>
      </c>
      <c r="F475" t="s">
        <v>197</v>
      </c>
      <c r="G475" t="s">
        <v>197</v>
      </c>
      <c r="H475" t="s">
        <v>197</v>
      </c>
      <c r="I475" t="s">
        <v>775</v>
      </c>
      <c r="J475" t="s">
        <v>199</v>
      </c>
      <c r="K475" t="s">
        <v>200</v>
      </c>
    </row>
    <row r="476" spans="1:24">
      <c r="B476" t="s">
        <v>197</v>
      </c>
      <c r="C476" t="s">
        <v>197</v>
      </c>
      <c r="D476" t="s">
        <v>197</v>
      </c>
      <c r="E476" t="s">
        <v>197</v>
      </c>
      <c r="F476" t="s">
        <v>197</v>
      </c>
      <c r="G476" t="s">
        <v>197</v>
      </c>
      <c r="H476" t="s">
        <v>197</v>
      </c>
      <c r="I476" t="s">
        <v>197</v>
      </c>
      <c r="J476" t="s">
        <v>197</v>
      </c>
      <c r="K476" t="s">
        <v>678</v>
      </c>
    </row>
    <row r="477" spans="1:24">
      <c r="K477" t="s">
        <v>443</v>
      </c>
    </row>
    <row r="478" spans="1:24">
      <c r="A478" t="s">
        <v>776</v>
      </c>
      <c r="K478" t="s">
        <v>777</v>
      </c>
      <c r="W478" t="s">
        <v>171</v>
      </c>
      <c r="X478" t="str">
        <f>A478</f>
        <v>info_datetimeoffset_dml_batch1_pk_irp2</v>
      </c>
    </row>
    <row r="479" spans="1:24">
      <c r="B479" t="s">
        <v>196</v>
      </c>
      <c r="C479" t="s">
        <v>197</v>
      </c>
      <c r="D479" t="s">
        <v>197</v>
      </c>
      <c r="E479" t="s">
        <v>197</v>
      </c>
      <c r="F479" t="s">
        <v>197</v>
      </c>
      <c r="G479" t="s">
        <v>197</v>
      </c>
      <c r="H479" t="s">
        <v>197</v>
      </c>
      <c r="I479" t="s">
        <v>778</v>
      </c>
      <c r="J479" t="s">
        <v>199</v>
      </c>
      <c r="K479" t="s">
        <v>200</v>
      </c>
    </row>
    <row r="480" spans="1:24">
      <c r="B480" t="s">
        <v>197</v>
      </c>
      <c r="C480" t="s">
        <v>197</v>
      </c>
      <c r="D480" t="s">
        <v>197</v>
      </c>
      <c r="E480" t="s">
        <v>197</v>
      </c>
      <c r="F480" t="s">
        <v>197</v>
      </c>
      <c r="G480" t="s">
        <v>197</v>
      </c>
      <c r="H480" t="s">
        <v>197</v>
      </c>
      <c r="I480" t="s">
        <v>197</v>
      </c>
      <c r="J480" t="s">
        <v>197</v>
      </c>
      <c r="K480" t="s">
        <v>301</v>
      </c>
    </row>
    <row r="481" spans="1:24">
      <c r="B481" t="s">
        <v>197</v>
      </c>
      <c r="C481" t="s">
        <v>197</v>
      </c>
      <c r="D481" t="s">
        <v>197</v>
      </c>
      <c r="E481" t="s">
        <v>197</v>
      </c>
      <c r="F481" t="s">
        <v>197</v>
      </c>
      <c r="G481" t="s">
        <v>197</v>
      </c>
      <c r="H481" t="s">
        <v>197</v>
      </c>
      <c r="I481" t="s">
        <v>197</v>
      </c>
      <c r="J481" t="s">
        <v>197</v>
      </c>
      <c r="K481" t="s">
        <v>314</v>
      </c>
    </row>
    <row r="482" spans="1:24">
      <c r="B482" t="s">
        <v>197</v>
      </c>
      <c r="C482" t="s">
        <v>197</v>
      </c>
      <c r="D482" t="s">
        <v>197</v>
      </c>
      <c r="E482" t="s">
        <v>197</v>
      </c>
      <c r="F482" t="s">
        <v>197</v>
      </c>
      <c r="G482" t="s">
        <v>197</v>
      </c>
      <c r="H482" t="s">
        <v>197</v>
      </c>
      <c r="I482" t="s">
        <v>197</v>
      </c>
      <c r="J482" t="s">
        <v>197</v>
      </c>
      <c r="K482" t="s">
        <v>324</v>
      </c>
    </row>
    <row r="483" spans="1:24">
      <c r="B483" t="s">
        <v>197</v>
      </c>
      <c r="C483" t="s">
        <v>197</v>
      </c>
      <c r="D483" t="s">
        <v>197</v>
      </c>
      <c r="E483" t="s">
        <v>197</v>
      </c>
      <c r="F483" t="s">
        <v>197</v>
      </c>
      <c r="G483" t="s">
        <v>197</v>
      </c>
      <c r="H483" t="s">
        <v>197</v>
      </c>
      <c r="I483" t="s">
        <v>197</v>
      </c>
      <c r="J483" t="s">
        <v>197</v>
      </c>
      <c r="K483" t="s">
        <v>335</v>
      </c>
    </row>
    <row r="484" spans="1:24">
      <c r="B484" t="s">
        <v>197</v>
      </c>
      <c r="C484" t="s">
        <v>197</v>
      </c>
      <c r="D484" t="s">
        <v>197</v>
      </c>
      <c r="E484" t="s">
        <v>197</v>
      </c>
      <c r="F484" t="s">
        <v>197</v>
      </c>
      <c r="G484" t="s">
        <v>197</v>
      </c>
      <c r="H484" t="s">
        <v>197</v>
      </c>
      <c r="I484" t="s">
        <v>197</v>
      </c>
      <c r="J484" t="s">
        <v>197</v>
      </c>
      <c r="K484" t="s">
        <v>350</v>
      </c>
    </row>
    <row r="485" spans="1:24">
      <c r="B485" t="s">
        <v>197</v>
      </c>
      <c r="C485" t="s">
        <v>197</v>
      </c>
      <c r="D485" t="s">
        <v>197</v>
      </c>
      <c r="E485" t="s">
        <v>197</v>
      </c>
      <c r="F485" t="s">
        <v>197</v>
      </c>
      <c r="G485" t="s">
        <v>197</v>
      </c>
      <c r="H485" t="s">
        <v>197</v>
      </c>
      <c r="I485" t="s">
        <v>197</v>
      </c>
      <c r="J485" t="s">
        <v>197</v>
      </c>
      <c r="K485" t="s">
        <v>360</v>
      </c>
    </row>
    <row r="486" spans="1:24">
      <c r="B486" t="s">
        <v>197</v>
      </c>
      <c r="C486" t="s">
        <v>197</v>
      </c>
      <c r="D486" t="s">
        <v>197</v>
      </c>
      <c r="E486" t="s">
        <v>197</v>
      </c>
      <c r="F486" t="s">
        <v>197</v>
      </c>
      <c r="G486" t="s">
        <v>197</v>
      </c>
      <c r="H486" t="s">
        <v>197</v>
      </c>
      <c r="I486" t="s">
        <v>197</v>
      </c>
      <c r="J486" t="s">
        <v>197</v>
      </c>
      <c r="K486" t="s">
        <v>367</v>
      </c>
    </row>
    <row r="487" spans="1:24">
      <c r="B487" t="s">
        <v>197</v>
      </c>
      <c r="C487" t="s">
        <v>197</v>
      </c>
      <c r="D487" t="s">
        <v>197</v>
      </c>
      <c r="E487" t="s">
        <v>197</v>
      </c>
      <c r="F487" t="s">
        <v>197</v>
      </c>
      <c r="G487" t="s">
        <v>197</v>
      </c>
      <c r="H487" t="s">
        <v>197</v>
      </c>
      <c r="I487" t="s">
        <v>197</v>
      </c>
      <c r="J487" t="s">
        <v>197</v>
      </c>
      <c r="K487" t="s">
        <v>373</v>
      </c>
    </row>
    <row r="488" spans="1:24">
      <c r="A488" t="s">
        <v>752</v>
      </c>
      <c r="K488" t="s">
        <v>753</v>
      </c>
      <c r="W488" t="s">
        <v>171</v>
      </c>
      <c r="X488" t="str">
        <f>A488</f>
        <v>info_nchar_dml_batch2_pk_irp1</v>
      </c>
    </row>
    <row r="489" spans="1:24">
      <c r="B489" t="s">
        <v>196</v>
      </c>
      <c r="C489" t="s">
        <v>197</v>
      </c>
      <c r="D489" t="s">
        <v>197</v>
      </c>
      <c r="E489" t="s">
        <v>197</v>
      </c>
      <c r="F489" t="s">
        <v>197</v>
      </c>
      <c r="G489" t="s">
        <v>197</v>
      </c>
      <c r="H489" t="s">
        <v>197</v>
      </c>
      <c r="I489" t="s">
        <v>754</v>
      </c>
      <c r="J489" t="s">
        <v>199</v>
      </c>
      <c r="K489" t="s">
        <v>200</v>
      </c>
    </row>
    <row r="490" spans="1:24">
      <c r="B490" t="s">
        <v>197</v>
      </c>
      <c r="C490" t="s">
        <v>197</v>
      </c>
      <c r="D490" t="s">
        <v>197</v>
      </c>
      <c r="E490" t="s">
        <v>197</v>
      </c>
      <c r="F490" t="s">
        <v>197</v>
      </c>
      <c r="G490" t="s">
        <v>197</v>
      </c>
      <c r="H490" t="s">
        <v>197</v>
      </c>
      <c r="I490" t="s">
        <v>197</v>
      </c>
      <c r="J490" t="s">
        <v>197</v>
      </c>
      <c r="K490" t="s">
        <v>514</v>
      </c>
    </row>
    <row r="491" spans="1:24">
      <c r="B491" t="s">
        <v>197</v>
      </c>
      <c r="C491" t="s">
        <v>197</v>
      </c>
      <c r="D491" t="s">
        <v>197</v>
      </c>
      <c r="E491" t="s">
        <v>197</v>
      </c>
      <c r="F491" t="s">
        <v>197</v>
      </c>
      <c r="G491" t="s">
        <v>197</v>
      </c>
      <c r="H491" t="s">
        <v>197</v>
      </c>
      <c r="I491" t="s">
        <v>197</v>
      </c>
      <c r="J491" t="s">
        <v>197</v>
      </c>
      <c r="K491" t="s">
        <v>516</v>
      </c>
    </row>
    <row r="492" spans="1:24">
      <c r="B492" t="s">
        <v>197</v>
      </c>
      <c r="C492" t="s">
        <v>197</v>
      </c>
      <c r="D492" t="s">
        <v>197</v>
      </c>
      <c r="E492" t="s">
        <v>197</v>
      </c>
      <c r="F492" t="s">
        <v>197</v>
      </c>
      <c r="G492" t="s">
        <v>197</v>
      </c>
      <c r="H492" t="s">
        <v>197</v>
      </c>
      <c r="I492" t="s">
        <v>197</v>
      </c>
      <c r="J492" t="s">
        <v>197</v>
      </c>
      <c r="K492" t="s">
        <v>612</v>
      </c>
    </row>
    <row r="493" spans="1:24">
      <c r="A493" t="s">
        <v>782</v>
      </c>
      <c r="K493" t="s">
        <v>783</v>
      </c>
      <c r="W493" t="s">
        <v>171</v>
      </c>
      <c r="X493" t="str">
        <f>A493</f>
        <v>info_datetimeoffset_dml_batch2_pk_irp1</v>
      </c>
    </row>
    <row r="494" spans="1:24">
      <c r="B494" t="s">
        <v>196</v>
      </c>
      <c r="C494" t="s">
        <v>197</v>
      </c>
      <c r="D494" t="s">
        <v>197</v>
      </c>
      <c r="E494" t="s">
        <v>197</v>
      </c>
      <c r="F494" t="s">
        <v>197</v>
      </c>
      <c r="G494" t="s">
        <v>197</v>
      </c>
      <c r="H494" t="s">
        <v>197</v>
      </c>
      <c r="I494" t="s">
        <v>784</v>
      </c>
      <c r="J494" t="s">
        <v>199</v>
      </c>
      <c r="K494" t="s">
        <v>200</v>
      </c>
    </row>
    <row r="495" spans="1:24">
      <c r="B495" t="s">
        <v>197</v>
      </c>
      <c r="C495" t="s">
        <v>197</v>
      </c>
      <c r="D495" t="s">
        <v>197</v>
      </c>
      <c r="E495" t="s">
        <v>197</v>
      </c>
      <c r="F495" t="s">
        <v>197</v>
      </c>
      <c r="G495" t="s">
        <v>197</v>
      </c>
      <c r="H495" t="s">
        <v>197</v>
      </c>
      <c r="I495" t="s">
        <v>197</v>
      </c>
      <c r="J495" t="s">
        <v>197</v>
      </c>
      <c r="K495" t="s">
        <v>301</v>
      </c>
    </row>
    <row r="496" spans="1:24">
      <c r="B496" t="s">
        <v>197</v>
      </c>
      <c r="C496" t="s">
        <v>197</v>
      </c>
      <c r="D496" t="s">
        <v>197</v>
      </c>
      <c r="E496" t="s">
        <v>197</v>
      </c>
      <c r="F496" t="s">
        <v>197</v>
      </c>
      <c r="G496" t="s">
        <v>197</v>
      </c>
      <c r="H496" t="s">
        <v>197</v>
      </c>
      <c r="I496" t="s">
        <v>197</v>
      </c>
      <c r="J496" t="s">
        <v>197</v>
      </c>
      <c r="K496" t="s">
        <v>314</v>
      </c>
    </row>
    <row r="497" spans="1:24">
      <c r="B497" t="s">
        <v>197</v>
      </c>
      <c r="C497" t="s">
        <v>197</v>
      </c>
      <c r="D497" t="s">
        <v>197</v>
      </c>
      <c r="E497" t="s">
        <v>197</v>
      </c>
      <c r="F497" t="s">
        <v>197</v>
      </c>
      <c r="G497" t="s">
        <v>197</v>
      </c>
      <c r="H497" t="s">
        <v>197</v>
      </c>
      <c r="I497" t="s">
        <v>197</v>
      </c>
      <c r="J497" t="s">
        <v>197</v>
      </c>
      <c r="K497" t="s">
        <v>324</v>
      </c>
    </row>
    <row r="498" spans="1:24">
      <c r="B498" t="s">
        <v>197</v>
      </c>
      <c r="C498" t="s">
        <v>197</v>
      </c>
      <c r="D498" t="s">
        <v>197</v>
      </c>
      <c r="E498" t="s">
        <v>197</v>
      </c>
      <c r="F498" t="s">
        <v>197</v>
      </c>
      <c r="G498" t="s">
        <v>197</v>
      </c>
      <c r="H498" t="s">
        <v>197</v>
      </c>
      <c r="I498" t="s">
        <v>197</v>
      </c>
      <c r="J498" t="s">
        <v>197</v>
      </c>
      <c r="K498" t="s">
        <v>335</v>
      </c>
    </row>
    <row r="499" spans="1:24">
      <c r="B499" t="s">
        <v>197</v>
      </c>
      <c r="C499" t="s">
        <v>197</v>
      </c>
      <c r="D499" t="s">
        <v>197</v>
      </c>
      <c r="E499" t="s">
        <v>197</v>
      </c>
      <c r="F499" t="s">
        <v>197</v>
      </c>
      <c r="G499" t="s">
        <v>197</v>
      </c>
      <c r="H499" t="s">
        <v>197</v>
      </c>
      <c r="I499" t="s">
        <v>197</v>
      </c>
      <c r="J499" t="s">
        <v>197</v>
      </c>
      <c r="K499" t="s">
        <v>350</v>
      </c>
    </row>
    <row r="500" spans="1:24">
      <c r="B500" t="s">
        <v>197</v>
      </c>
      <c r="C500" t="s">
        <v>197</v>
      </c>
      <c r="D500" t="s">
        <v>197</v>
      </c>
      <c r="E500" t="s">
        <v>197</v>
      </c>
      <c r="F500" t="s">
        <v>197</v>
      </c>
      <c r="G500" t="s">
        <v>197</v>
      </c>
      <c r="H500" t="s">
        <v>197</v>
      </c>
      <c r="I500" t="s">
        <v>197</v>
      </c>
      <c r="J500" t="s">
        <v>197</v>
      </c>
      <c r="K500" t="s">
        <v>360</v>
      </c>
    </row>
    <row r="501" spans="1:24">
      <c r="B501" t="s">
        <v>197</v>
      </c>
      <c r="C501" t="s">
        <v>197</v>
      </c>
      <c r="D501" t="s">
        <v>197</v>
      </c>
      <c r="E501" t="s">
        <v>197</v>
      </c>
      <c r="F501" t="s">
        <v>197</v>
      </c>
      <c r="G501" t="s">
        <v>197</v>
      </c>
      <c r="H501" t="s">
        <v>197</v>
      </c>
      <c r="I501" t="s">
        <v>197</v>
      </c>
      <c r="J501" t="s">
        <v>197</v>
      </c>
      <c r="K501" t="s">
        <v>367</v>
      </c>
    </row>
    <row r="502" spans="1:24">
      <c r="B502" t="s">
        <v>197</v>
      </c>
      <c r="C502" t="s">
        <v>197</v>
      </c>
      <c r="D502" t="s">
        <v>197</v>
      </c>
      <c r="E502" t="s">
        <v>197</v>
      </c>
      <c r="F502" t="s">
        <v>197</v>
      </c>
      <c r="G502" t="s">
        <v>197</v>
      </c>
      <c r="H502" t="s">
        <v>197</v>
      </c>
      <c r="I502" t="s">
        <v>197</v>
      </c>
      <c r="J502" t="s">
        <v>197</v>
      </c>
      <c r="K502" t="s">
        <v>373</v>
      </c>
    </row>
    <row r="503" spans="1:24">
      <c r="A503" t="s">
        <v>785</v>
      </c>
      <c r="K503" t="s">
        <v>786</v>
      </c>
      <c r="W503" t="s">
        <v>171</v>
      </c>
      <c r="X503" t="str">
        <f>A503</f>
        <v>info_nvarchar_dml_single_pk_drp</v>
      </c>
    </row>
    <row r="504" spans="1:24">
      <c r="B504" t="s">
        <v>196</v>
      </c>
      <c r="C504" t="s">
        <v>197</v>
      </c>
      <c r="D504" t="s">
        <v>197</v>
      </c>
      <c r="E504" t="s">
        <v>197</v>
      </c>
      <c r="F504" t="s">
        <v>197</v>
      </c>
      <c r="G504" t="s">
        <v>197</v>
      </c>
      <c r="H504" t="s">
        <v>197</v>
      </c>
      <c r="I504" t="s">
        <v>787</v>
      </c>
      <c r="J504" t="s">
        <v>199</v>
      </c>
      <c r="K504" t="s">
        <v>200</v>
      </c>
    </row>
    <row r="505" spans="1:24">
      <c r="B505" t="s">
        <v>197</v>
      </c>
      <c r="C505" t="s">
        <v>197</v>
      </c>
      <c r="D505" t="s">
        <v>197</v>
      </c>
      <c r="E505" t="s">
        <v>197</v>
      </c>
      <c r="F505" t="s">
        <v>197</v>
      </c>
      <c r="G505" t="s">
        <v>197</v>
      </c>
      <c r="H505" t="s">
        <v>197</v>
      </c>
      <c r="I505" t="s">
        <v>197</v>
      </c>
      <c r="J505" t="s">
        <v>197</v>
      </c>
      <c r="K505" t="s">
        <v>408</v>
      </c>
    </row>
    <row r="506" spans="1:24">
      <c r="B506" t="s">
        <v>197</v>
      </c>
      <c r="C506" t="s">
        <v>197</v>
      </c>
      <c r="D506" t="s">
        <v>197</v>
      </c>
      <c r="E506" t="s">
        <v>197</v>
      </c>
      <c r="F506" t="s">
        <v>197</v>
      </c>
      <c r="G506" t="s">
        <v>197</v>
      </c>
      <c r="H506" t="s">
        <v>197</v>
      </c>
      <c r="I506" t="s">
        <v>197</v>
      </c>
      <c r="J506" t="s">
        <v>197</v>
      </c>
      <c r="K506" t="s">
        <v>412</v>
      </c>
    </row>
    <row r="507" spans="1:24">
      <c r="B507" t="s">
        <v>197</v>
      </c>
      <c r="C507" t="s">
        <v>197</v>
      </c>
      <c r="D507" t="s">
        <v>197</v>
      </c>
      <c r="E507" t="s">
        <v>197</v>
      </c>
      <c r="F507" t="s">
        <v>197</v>
      </c>
      <c r="G507" t="s">
        <v>197</v>
      </c>
      <c r="H507" t="s">
        <v>197</v>
      </c>
      <c r="I507" t="s">
        <v>197</v>
      </c>
      <c r="J507" t="s">
        <v>197</v>
      </c>
      <c r="K507" t="s">
        <v>730</v>
      </c>
    </row>
    <row r="508" spans="1:24">
      <c r="A508" t="s">
        <v>794</v>
      </c>
      <c r="K508" t="s">
        <v>795</v>
      </c>
      <c r="W508" t="s">
        <v>171</v>
      </c>
      <c r="X508" t="str">
        <f>A508</f>
        <v>info_datetimeoffset_dml_batch1_pk_urp1</v>
      </c>
    </row>
    <row r="509" spans="1:24">
      <c r="B509" t="s">
        <v>196</v>
      </c>
      <c r="C509" t="s">
        <v>197</v>
      </c>
      <c r="D509" t="s">
        <v>197</v>
      </c>
      <c r="E509" t="s">
        <v>197</v>
      </c>
      <c r="F509" t="s">
        <v>197</v>
      </c>
      <c r="G509" t="s">
        <v>197</v>
      </c>
      <c r="H509" t="s">
        <v>197</v>
      </c>
      <c r="I509" t="s">
        <v>796</v>
      </c>
      <c r="J509" t="s">
        <v>199</v>
      </c>
      <c r="K509" t="s">
        <v>200</v>
      </c>
    </row>
    <row r="510" spans="1:24">
      <c r="B510" t="s">
        <v>197</v>
      </c>
      <c r="C510" t="s">
        <v>197</v>
      </c>
      <c r="D510" t="s">
        <v>197</v>
      </c>
      <c r="E510" t="s">
        <v>197</v>
      </c>
      <c r="F510" t="s">
        <v>197</v>
      </c>
      <c r="G510" t="s">
        <v>197</v>
      </c>
      <c r="H510" t="s">
        <v>197</v>
      </c>
      <c r="I510" t="s">
        <v>197</v>
      </c>
      <c r="J510" t="s">
        <v>197</v>
      </c>
      <c r="K510" t="s">
        <v>301</v>
      </c>
    </row>
    <row r="511" spans="1:24">
      <c r="B511" t="s">
        <v>197</v>
      </c>
      <c r="C511" t="s">
        <v>197</v>
      </c>
      <c r="D511" t="s">
        <v>197</v>
      </c>
      <c r="E511" t="s">
        <v>197</v>
      </c>
      <c r="F511" t="s">
        <v>197</v>
      </c>
      <c r="G511" t="s">
        <v>197</v>
      </c>
      <c r="H511" t="s">
        <v>197</v>
      </c>
      <c r="I511" t="s">
        <v>197</v>
      </c>
      <c r="J511" t="s">
        <v>197</v>
      </c>
      <c r="K511" t="s">
        <v>314</v>
      </c>
    </row>
    <row r="512" spans="1:24">
      <c r="B512" t="s">
        <v>197</v>
      </c>
      <c r="C512" t="s">
        <v>197</v>
      </c>
      <c r="D512" t="s">
        <v>197</v>
      </c>
      <c r="E512" t="s">
        <v>197</v>
      </c>
      <c r="F512" t="s">
        <v>197</v>
      </c>
      <c r="G512" t="s">
        <v>197</v>
      </c>
      <c r="H512" t="s">
        <v>197</v>
      </c>
      <c r="I512" t="s">
        <v>197</v>
      </c>
      <c r="J512" t="s">
        <v>197</v>
      </c>
      <c r="K512" t="s">
        <v>324</v>
      </c>
    </row>
    <row r="513" spans="1:24">
      <c r="B513" t="s">
        <v>197</v>
      </c>
      <c r="C513" t="s">
        <v>197</v>
      </c>
      <c r="D513" t="s">
        <v>197</v>
      </c>
      <c r="E513" t="s">
        <v>197</v>
      </c>
      <c r="F513" t="s">
        <v>197</v>
      </c>
      <c r="G513" t="s">
        <v>197</v>
      </c>
      <c r="H513" t="s">
        <v>197</v>
      </c>
      <c r="I513" t="s">
        <v>197</v>
      </c>
      <c r="J513" t="s">
        <v>197</v>
      </c>
      <c r="K513" t="s">
        <v>335</v>
      </c>
    </row>
    <row r="514" spans="1:24">
      <c r="B514" t="s">
        <v>197</v>
      </c>
      <c r="C514" t="s">
        <v>197</v>
      </c>
      <c r="D514" t="s">
        <v>197</v>
      </c>
      <c r="E514" t="s">
        <v>197</v>
      </c>
      <c r="F514" t="s">
        <v>197</v>
      </c>
      <c r="G514" t="s">
        <v>197</v>
      </c>
      <c r="H514" t="s">
        <v>197</v>
      </c>
      <c r="I514" t="s">
        <v>197</v>
      </c>
      <c r="J514" t="s">
        <v>197</v>
      </c>
      <c r="K514" t="s">
        <v>350</v>
      </c>
    </row>
    <row r="515" spans="1:24">
      <c r="B515" t="s">
        <v>197</v>
      </c>
      <c r="C515" t="s">
        <v>197</v>
      </c>
      <c r="D515" t="s">
        <v>197</v>
      </c>
      <c r="E515" t="s">
        <v>197</v>
      </c>
      <c r="F515" t="s">
        <v>197</v>
      </c>
      <c r="G515" t="s">
        <v>197</v>
      </c>
      <c r="H515" t="s">
        <v>197</v>
      </c>
      <c r="I515" t="s">
        <v>197</v>
      </c>
      <c r="J515" t="s">
        <v>197</v>
      </c>
      <c r="K515" t="s">
        <v>360</v>
      </c>
    </row>
    <row r="516" spans="1:24">
      <c r="B516" t="s">
        <v>197</v>
      </c>
      <c r="C516" t="s">
        <v>197</v>
      </c>
      <c r="D516" t="s">
        <v>197</v>
      </c>
      <c r="E516" t="s">
        <v>197</v>
      </c>
      <c r="F516" t="s">
        <v>197</v>
      </c>
      <c r="G516" t="s">
        <v>197</v>
      </c>
      <c r="H516" t="s">
        <v>197</v>
      </c>
      <c r="I516" t="s">
        <v>197</v>
      </c>
      <c r="J516" t="s">
        <v>197</v>
      </c>
      <c r="K516" t="s">
        <v>367</v>
      </c>
    </row>
    <row r="517" spans="1:24">
      <c r="B517" t="s">
        <v>197</v>
      </c>
      <c r="C517" t="s">
        <v>197</v>
      </c>
      <c r="D517" t="s">
        <v>197</v>
      </c>
      <c r="E517" t="s">
        <v>197</v>
      </c>
      <c r="F517" t="s">
        <v>197</v>
      </c>
      <c r="G517" t="s">
        <v>197</v>
      </c>
      <c r="H517" t="s">
        <v>197</v>
      </c>
      <c r="I517" t="s">
        <v>197</v>
      </c>
      <c r="J517" t="s">
        <v>197</v>
      </c>
      <c r="K517" t="s">
        <v>373</v>
      </c>
    </row>
    <row r="518" spans="1:24">
      <c r="A518" t="s">
        <v>779</v>
      </c>
      <c r="K518" t="s">
        <v>780</v>
      </c>
      <c r="W518" t="s">
        <v>171</v>
      </c>
      <c r="X518" t="str">
        <f>A518</f>
        <v>info_binary_dml_batch2_pk_irp2</v>
      </c>
    </row>
    <row r="519" spans="1:24">
      <c r="B519" t="s">
        <v>196</v>
      </c>
      <c r="C519" t="s">
        <v>197</v>
      </c>
      <c r="D519" t="s">
        <v>197</v>
      </c>
      <c r="E519" t="s">
        <v>197</v>
      </c>
      <c r="F519" t="s">
        <v>197</v>
      </c>
      <c r="G519" t="s">
        <v>197</v>
      </c>
      <c r="H519" t="s">
        <v>197</v>
      </c>
      <c r="I519" t="s">
        <v>781</v>
      </c>
      <c r="J519" t="s">
        <v>199</v>
      </c>
      <c r="K519" t="s">
        <v>200</v>
      </c>
    </row>
    <row r="520" spans="1:24">
      <c r="B520" t="s">
        <v>197</v>
      </c>
      <c r="C520" t="s">
        <v>197</v>
      </c>
      <c r="D520" t="s">
        <v>197</v>
      </c>
      <c r="E520" t="s">
        <v>197</v>
      </c>
      <c r="F520" t="s">
        <v>197</v>
      </c>
      <c r="G520" t="s">
        <v>197</v>
      </c>
      <c r="H520" t="s">
        <v>197</v>
      </c>
      <c r="I520" t="s">
        <v>197</v>
      </c>
      <c r="J520" t="s">
        <v>197</v>
      </c>
      <c r="K520" t="s">
        <v>691</v>
      </c>
    </row>
    <row r="521" spans="1:24">
      <c r="B521" t="s">
        <v>197</v>
      </c>
      <c r="C521" t="s">
        <v>197</v>
      </c>
      <c r="D521" t="s">
        <v>197</v>
      </c>
      <c r="E521" t="s">
        <v>197</v>
      </c>
      <c r="F521" t="s">
        <v>197</v>
      </c>
      <c r="G521" t="s">
        <v>197</v>
      </c>
      <c r="H521" t="s">
        <v>197</v>
      </c>
      <c r="I521" t="s">
        <v>197</v>
      </c>
      <c r="J521" t="s">
        <v>197</v>
      </c>
      <c r="K521" t="s">
        <v>692</v>
      </c>
    </row>
    <row r="522" spans="1:24">
      <c r="B522" t="s">
        <v>197</v>
      </c>
      <c r="C522" t="s">
        <v>197</v>
      </c>
      <c r="D522" t="s">
        <v>197</v>
      </c>
      <c r="E522" t="s">
        <v>197</v>
      </c>
      <c r="F522" t="s">
        <v>197</v>
      </c>
      <c r="G522" t="s">
        <v>197</v>
      </c>
      <c r="H522" t="s">
        <v>197</v>
      </c>
      <c r="I522" t="s">
        <v>197</v>
      </c>
      <c r="J522" t="s">
        <v>197</v>
      </c>
      <c r="K522" t="s">
        <v>693</v>
      </c>
    </row>
    <row r="523" spans="1:24">
      <c r="A523" t="s">
        <v>788</v>
      </c>
      <c r="K523" t="s">
        <v>789</v>
      </c>
      <c r="W523" t="s">
        <v>171</v>
      </c>
      <c r="X523" t="str">
        <f>A523</f>
        <v>info_datetimeoffset_dml_batch2_pk_irp2</v>
      </c>
    </row>
    <row r="524" spans="1:24">
      <c r="B524" t="s">
        <v>196</v>
      </c>
      <c r="C524" t="s">
        <v>197</v>
      </c>
      <c r="D524" t="s">
        <v>197</v>
      </c>
      <c r="E524" t="s">
        <v>197</v>
      </c>
      <c r="F524" t="s">
        <v>197</v>
      </c>
      <c r="G524" t="s">
        <v>197</v>
      </c>
      <c r="H524" t="s">
        <v>197</v>
      </c>
      <c r="I524" t="s">
        <v>790</v>
      </c>
      <c r="J524" t="s">
        <v>199</v>
      </c>
      <c r="K524" t="s">
        <v>200</v>
      </c>
    </row>
    <row r="525" spans="1:24">
      <c r="B525" t="s">
        <v>197</v>
      </c>
      <c r="C525" t="s">
        <v>197</v>
      </c>
      <c r="D525" t="s">
        <v>197</v>
      </c>
      <c r="E525" t="s">
        <v>197</v>
      </c>
      <c r="F525" t="s">
        <v>197</v>
      </c>
      <c r="G525" t="s">
        <v>197</v>
      </c>
      <c r="H525" t="s">
        <v>197</v>
      </c>
      <c r="I525" t="s">
        <v>197</v>
      </c>
      <c r="J525" t="s">
        <v>197</v>
      </c>
      <c r="K525" t="s">
        <v>301</v>
      </c>
    </row>
    <row r="526" spans="1:24">
      <c r="B526" t="s">
        <v>197</v>
      </c>
      <c r="C526" t="s">
        <v>197</v>
      </c>
      <c r="D526" t="s">
        <v>197</v>
      </c>
      <c r="E526" t="s">
        <v>197</v>
      </c>
      <c r="F526" t="s">
        <v>197</v>
      </c>
      <c r="G526" t="s">
        <v>197</v>
      </c>
      <c r="H526" t="s">
        <v>197</v>
      </c>
      <c r="I526" t="s">
        <v>197</v>
      </c>
      <c r="J526" t="s">
        <v>197</v>
      </c>
      <c r="K526" t="s">
        <v>314</v>
      </c>
    </row>
    <row r="527" spans="1:24">
      <c r="B527" t="s">
        <v>197</v>
      </c>
      <c r="C527" t="s">
        <v>197</v>
      </c>
      <c r="D527" t="s">
        <v>197</v>
      </c>
      <c r="E527" t="s">
        <v>197</v>
      </c>
      <c r="F527" t="s">
        <v>197</v>
      </c>
      <c r="G527" t="s">
        <v>197</v>
      </c>
      <c r="H527" t="s">
        <v>197</v>
      </c>
      <c r="I527" t="s">
        <v>197</v>
      </c>
      <c r="J527" t="s">
        <v>197</v>
      </c>
      <c r="K527" t="s">
        <v>324</v>
      </c>
    </row>
    <row r="528" spans="1:24">
      <c r="B528" t="s">
        <v>197</v>
      </c>
      <c r="C528" t="s">
        <v>197</v>
      </c>
      <c r="D528" t="s">
        <v>197</v>
      </c>
      <c r="E528" t="s">
        <v>197</v>
      </c>
      <c r="F528" t="s">
        <v>197</v>
      </c>
      <c r="G528" t="s">
        <v>197</v>
      </c>
      <c r="H528" t="s">
        <v>197</v>
      </c>
      <c r="I528" t="s">
        <v>197</v>
      </c>
      <c r="J528" t="s">
        <v>197</v>
      </c>
      <c r="K528" t="s">
        <v>335</v>
      </c>
    </row>
    <row r="529" spans="1:24">
      <c r="B529" t="s">
        <v>197</v>
      </c>
      <c r="C529" t="s">
        <v>197</v>
      </c>
      <c r="D529" t="s">
        <v>197</v>
      </c>
      <c r="E529" t="s">
        <v>197</v>
      </c>
      <c r="F529" t="s">
        <v>197</v>
      </c>
      <c r="G529" t="s">
        <v>197</v>
      </c>
      <c r="H529" t="s">
        <v>197</v>
      </c>
      <c r="I529" t="s">
        <v>197</v>
      </c>
      <c r="J529" t="s">
        <v>197</v>
      </c>
      <c r="K529" t="s">
        <v>350</v>
      </c>
    </row>
    <row r="530" spans="1:24">
      <c r="B530" t="s">
        <v>197</v>
      </c>
      <c r="C530" t="s">
        <v>197</v>
      </c>
      <c r="D530" t="s">
        <v>197</v>
      </c>
      <c r="E530" t="s">
        <v>197</v>
      </c>
      <c r="F530" t="s">
        <v>197</v>
      </c>
      <c r="G530" t="s">
        <v>197</v>
      </c>
      <c r="H530" t="s">
        <v>197</v>
      </c>
      <c r="I530" t="s">
        <v>197</v>
      </c>
      <c r="J530" t="s">
        <v>197</v>
      </c>
      <c r="K530" t="s">
        <v>360</v>
      </c>
    </row>
    <row r="531" spans="1:24">
      <c r="B531" t="s">
        <v>197</v>
      </c>
      <c r="C531" t="s">
        <v>197</v>
      </c>
      <c r="D531" t="s">
        <v>197</v>
      </c>
      <c r="E531" t="s">
        <v>197</v>
      </c>
      <c r="F531" t="s">
        <v>197</v>
      </c>
      <c r="G531" t="s">
        <v>197</v>
      </c>
      <c r="H531" t="s">
        <v>197</v>
      </c>
      <c r="I531" t="s">
        <v>197</v>
      </c>
      <c r="J531" t="s">
        <v>197</v>
      </c>
      <c r="K531" t="s">
        <v>367</v>
      </c>
    </row>
    <row r="532" spans="1:24">
      <c r="B532" t="s">
        <v>197</v>
      </c>
      <c r="C532" t="s">
        <v>197</v>
      </c>
      <c r="D532" t="s">
        <v>197</v>
      </c>
      <c r="E532" t="s">
        <v>197</v>
      </c>
      <c r="F532" t="s">
        <v>197</v>
      </c>
      <c r="G532" t="s">
        <v>197</v>
      </c>
      <c r="H532" t="s">
        <v>197</v>
      </c>
      <c r="I532" t="s">
        <v>197</v>
      </c>
      <c r="J532" t="s">
        <v>197</v>
      </c>
      <c r="K532" t="s">
        <v>373</v>
      </c>
    </row>
    <row r="533" spans="1:24">
      <c r="A533" t="s">
        <v>791</v>
      </c>
      <c r="K533" t="s">
        <v>792</v>
      </c>
      <c r="W533" t="s">
        <v>171</v>
      </c>
      <c r="X533" t="str">
        <f>A533</f>
        <v>info_varcharmax_dml_batch2_pk_irp1</v>
      </c>
    </row>
    <row r="534" spans="1:24">
      <c r="B534" t="s">
        <v>196</v>
      </c>
      <c r="C534" t="s">
        <v>197</v>
      </c>
      <c r="D534" t="s">
        <v>197</v>
      </c>
      <c r="E534" t="s">
        <v>197</v>
      </c>
      <c r="F534" t="s">
        <v>197</v>
      </c>
      <c r="G534" t="s">
        <v>197</v>
      </c>
      <c r="H534" t="s">
        <v>197</v>
      </c>
      <c r="I534" t="s">
        <v>793</v>
      </c>
      <c r="J534" t="s">
        <v>199</v>
      </c>
      <c r="K534" t="s">
        <v>200</v>
      </c>
    </row>
    <row r="535" spans="1:24">
      <c r="B535" t="s">
        <v>197</v>
      </c>
      <c r="C535" t="s">
        <v>197</v>
      </c>
      <c r="D535" t="s">
        <v>197</v>
      </c>
      <c r="E535" t="s">
        <v>197</v>
      </c>
      <c r="F535" t="s">
        <v>197</v>
      </c>
      <c r="G535" t="s">
        <v>197</v>
      </c>
      <c r="H535" t="s">
        <v>197</v>
      </c>
      <c r="I535" t="s">
        <v>197</v>
      </c>
      <c r="J535" t="s">
        <v>197</v>
      </c>
      <c r="K535" t="s">
        <v>725</v>
      </c>
    </row>
    <row r="536" spans="1:24">
      <c r="B536" t="s">
        <v>197</v>
      </c>
      <c r="C536" t="s">
        <v>197</v>
      </c>
      <c r="D536" t="s">
        <v>197</v>
      </c>
      <c r="E536" t="s">
        <v>197</v>
      </c>
      <c r="F536" t="s">
        <v>197</v>
      </c>
      <c r="G536" t="s">
        <v>197</v>
      </c>
      <c r="H536" t="s">
        <v>197</v>
      </c>
      <c r="I536" t="s">
        <v>197</v>
      </c>
      <c r="J536" t="s">
        <v>197</v>
      </c>
      <c r="K536" t="s">
        <v>726</v>
      </c>
    </row>
    <row r="537" spans="1:24">
      <c r="K537" t="s">
        <v>443</v>
      </c>
    </row>
    <row r="538" spans="1:24">
      <c r="A538" t="s">
        <v>797</v>
      </c>
      <c r="K538" t="s">
        <v>798</v>
      </c>
      <c r="W538" t="s">
        <v>171</v>
      </c>
      <c r="X538" t="str">
        <f>A538</f>
        <v>info_time_dml_single_pk_irp</v>
      </c>
    </row>
    <row r="539" spans="1:24">
      <c r="B539" t="s">
        <v>196</v>
      </c>
      <c r="C539" t="s">
        <v>197</v>
      </c>
      <c r="D539" t="s">
        <v>197</v>
      </c>
      <c r="E539" t="s">
        <v>197</v>
      </c>
      <c r="F539" t="s">
        <v>197</v>
      </c>
      <c r="G539" t="s">
        <v>197</v>
      </c>
      <c r="H539" t="s">
        <v>197</v>
      </c>
      <c r="I539" t="s">
        <v>799</v>
      </c>
      <c r="J539" t="s">
        <v>199</v>
      </c>
      <c r="K539" t="s">
        <v>200</v>
      </c>
    </row>
    <row r="540" spans="1:24">
      <c r="B540" t="s">
        <v>197</v>
      </c>
      <c r="C540" t="s">
        <v>197</v>
      </c>
      <c r="D540" t="s">
        <v>197</v>
      </c>
      <c r="E540" t="s">
        <v>197</v>
      </c>
      <c r="F540" t="s">
        <v>197</v>
      </c>
      <c r="G540" t="s">
        <v>197</v>
      </c>
      <c r="H540" t="s">
        <v>197</v>
      </c>
      <c r="I540" t="s">
        <v>197</v>
      </c>
      <c r="J540" t="s">
        <v>197</v>
      </c>
      <c r="K540" t="s">
        <v>800</v>
      </c>
    </row>
    <row r="541" spans="1:24">
      <c r="B541" t="s">
        <v>197</v>
      </c>
      <c r="C541" t="s">
        <v>197</v>
      </c>
      <c r="D541" t="s">
        <v>197</v>
      </c>
      <c r="E541" t="s">
        <v>197</v>
      </c>
      <c r="F541" t="s">
        <v>197</v>
      </c>
      <c r="G541" t="s">
        <v>197</v>
      </c>
      <c r="H541" t="s">
        <v>197</v>
      </c>
      <c r="I541" t="s">
        <v>197</v>
      </c>
      <c r="J541" t="s">
        <v>197</v>
      </c>
      <c r="K541" t="s">
        <v>801</v>
      </c>
    </row>
    <row r="542" spans="1:24">
      <c r="B542" t="s">
        <v>197</v>
      </c>
      <c r="C542" t="s">
        <v>197</v>
      </c>
      <c r="D542" t="s">
        <v>197</v>
      </c>
      <c r="E542" t="s">
        <v>197</v>
      </c>
      <c r="F542" t="s">
        <v>197</v>
      </c>
      <c r="G542" t="s">
        <v>197</v>
      </c>
      <c r="H542" t="s">
        <v>197</v>
      </c>
      <c r="I542" t="s">
        <v>197</v>
      </c>
      <c r="J542" t="s">
        <v>197</v>
      </c>
      <c r="K542" t="s">
        <v>802</v>
      </c>
    </row>
    <row r="543" spans="1:24">
      <c r="B543" t="s">
        <v>197</v>
      </c>
      <c r="C543" t="s">
        <v>197</v>
      </c>
      <c r="D543" t="s">
        <v>197</v>
      </c>
      <c r="E543" t="s">
        <v>197</v>
      </c>
      <c r="F543" t="s">
        <v>197</v>
      </c>
      <c r="G543" t="s">
        <v>197</v>
      </c>
      <c r="H543" t="s">
        <v>197</v>
      </c>
      <c r="I543" t="s">
        <v>197</v>
      </c>
      <c r="J543" t="s">
        <v>197</v>
      </c>
      <c r="K543" t="s">
        <v>803</v>
      </c>
    </row>
    <row r="544" spans="1:24">
      <c r="B544" t="s">
        <v>197</v>
      </c>
      <c r="C544" t="s">
        <v>197</v>
      </c>
      <c r="D544" t="s">
        <v>197</v>
      </c>
      <c r="E544" t="s">
        <v>197</v>
      </c>
      <c r="F544" t="s">
        <v>197</v>
      </c>
      <c r="G544" t="s">
        <v>197</v>
      </c>
      <c r="H544" t="s">
        <v>197</v>
      </c>
      <c r="I544" t="s">
        <v>197</v>
      </c>
      <c r="J544" t="s">
        <v>197</v>
      </c>
      <c r="K544" t="s">
        <v>804</v>
      </c>
    </row>
    <row r="545" spans="1:24">
      <c r="B545" t="s">
        <v>197</v>
      </c>
      <c r="C545" t="s">
        <v>197</v>
      </c>
      <c r="D545" t="s">
        <v>197</v>
      </c>
      <c r="E545" t="s">
        <v>197</v>
      </c>
      <c r="F545" t="s">
        <v>197</v>
      </c>
      <c r="G545" t="s">
        <v>197</v>
      </c>
      <c r="H545" t="s">
        <v>197</v>
      </c>
      <c r="I545" t="s">
        <v>197</v>
      </c>
      <c r="J545" t="s">
        <v>197</v>
      </c>
      <c r="K545" t="s">
        <v>805</v>
      </c>
    </row>
    <row r="546" spans="1:24">
      <c r="B546" t="s">
        <v>197</v>
      </c>
      <c r="C546" t="s">
        <v>197</v>
      </c>
      <c r="D546" t="s">
        <v>197</v>
      </c>
      <c r="E546" t="s">
        <v>197</v>
      </c>
      <c r="F546" t="s">
        <v>197</v>
      </c>
      <c r="G546" t="s">
        <v>197</v>
      </c>
      <c r="H546" t="s">
        <v>197</v>
      </c>
      <c r="I546" t="s">
        <v>197</v>
      </c>
      <c r="J546" t="s">
        <v>197</v>
      </c>
      <c r="K546" t="s">
        <v>806</v>
      </c>
    </row>
    <row r="547" spans="1:24">
      <c r="B547" t="s">
        <v>197</v>
      </c>
      <c r="C547" t="s">
        <v>197</v>
      </c>
      <c r="D547" t="s">
        <v>197</v>
      </c>
      <c r="E547" t="s">
        <v>197</v>
      </c>
      <c r="F547" t="s">
        <v>197</v>
      </c>
      <c r="G547" t="s">
        <v>197</v>
      </c>
      <c r="H547" t="s">
        <v>197</v>
      </c>
      <c r="I547" t="s">
        <v>197</v>
      </c>
      <c r="J547" t="s">
        <v>197</v>
      </c>
      <c r="K547" t="s">
        <v>807</v>
      </c>
    </row>
    <row r="548" spans="1:24">
      <c r="A548" t="s">
        <v>811</v>
      </c>
      <c r="K548" t="s">
        <v>812</v>
      </c>
      <c r="W548" t="s">
        <v>171</v>
      </c>
      <c r="X548" t="str">
        <f>A548</f>
        <v>info_datetimeoffset_dml_batch1_pk_urp2</v>
      </c>
    </row>
    <row r="549" spans="1:24">
      <c r="B549" t="s">
        <v>196</v>
      </c>
      <c r="C549" t="s">
        <v>197</v>
      </c>
      <c r="D549" t="s">
        <v>197</v>
      </c>
      <c r="E549" t="s">
        <v>197</v>
      </c>
      <c r="F549" t="s">
        <v>197</v>
      </c>
      <c r="G549" t="s">
        <v>197</v>
      </c>
      <c r="H549" t="s">
        <v>197</v>
      </c>
      <c r="I549" t="s">
        <v>813</v>
      </c>
      <c r="J549" t="s">
        <v>199</v>
      </c>
      <c r="K549" t="s">
        <v>200</v>
      </c>
    </row>
    <row r="550" spans="1:24">
      <c r="B550" t="s">
        <v>197</v>
      </c>
      <c r="C550" t="s">
        <v>197</v>
      </c>
      <c r="D550" t="s">
        <v>197</v>
      </c>
      <c r="E550" t="s">
        <v>197</v>
      </c>
      <c r="F550" t="s">
        <v>197</v>
      </c>
      <c r="G550" t="s">
        <v>197</v>
      </c>
      <c r="H550" t="s">
        <v>197</v>
      </c>
      <c r="I550" t="s">
        <v>197</v>
      </c>
      <c r="J550" t="s">
        <v>197</v>
      </c>
      <c r="K550" t="s">
        <v>301</v>
      </c>
    </row>
    <row r="551" spans="1:24">
      <c r="B551" t="s">
        <v>197</v>
      </c>
      <c r="C551" t="s">
        <v>197</v>
      </c>
      <c r="D551" t="s">
        <v>197</v>
      </c>
      <c r="E551" t="s">
        <v>197</v>
      </c>
      <c r="F551" t="s">
        <v>197</v>
      </c>
      <c r="G551" t="s">
        <v>197</v>
      </c>
      <c r="H551" t="s">
        <v>197</v>
      </c>
      <c r="I551" t="s">
        <v>197</v>
      </c>
      <c r="J551" t="s">
        <v>197</v>
      </c>
      <c r="K551" t="s">
        <v>314</v>
      </c>
    </row>
    <row r="552" spans="1:24">
      <c r="B552" t="s">
        <v>197</v>
      </c>
      <c r="C552" t="s">
        <v>197</v>
      </c>
      <c r="D552" t="s">
        <v>197</v>
      </c>
      <c r="E552" t="s">
        <v>197</v>
      </c>
      <c r="F552" t="s">
        <v>197</v>
      </c>
      <c r="G552" t="s">
        <v>197</v>
      </c>
      <c r="H552" t="s">
        <v>197</v>
      </c>
      <c r="I552" t="s">
        <v>197</v>
      </c>
      <c r="J552" t="s">
        <v>197</v>
      </c>
      <c r="K552" t="s">
        <v>324</v>
      </c>
    </row>
    <row r="553" spans="1:24">
      <c r="B553" t="s">
        <v>197</v>
      </c>
      <c r="C553" t="s">
        <v>197</v>
      </c>
      <c r="D553" t="s">
        <v>197</v>
      </c>
      <c r="E553" t="s">
        <v>197</v>
      </c>
      <c r="F553" t="s">
        <v>197</v>
      </c>
      <c r="G553" t="s">
        <v>197</v>
      </c>
      <c r="H553" t="s">
        <v>197</v>
      </c>
      <c r="I553" t="s">
        <v>197</v>
      </c>
      <c r="J553" t="s">
        <v>197</v>
      </c>
      <c r="K553" t="s">
        <v>335</v>
      </c>
    </row>
    <row r="554" spans="1:24">
      <c r="B554" t="s">
        <v>197</v>
      </c>
      <c r="C554" t="s">
        <v>197</v>
      </c>
      <c r="D554" t="s">
        <v>197</v>
      </c>
      <c r="E554" t="s">
        <v>197</v>
      </c>
      <c r="F554" t="s">
        <v>197</v>
      </c>
      <c r="G554" t="s">
        <v>197</v>
      </c>
      <c r="H554" t="s">
        <v>197</v>
      </c>
      <c r="I554" t="s">
        <v>197</v>
      </c>
      <c r="J554" t="s">
        <v>197</v>
      </c>
      <c r="K554" t="s">
        <v>350</v>
      </c>
    </row>
    <row r="555" spans="1:24">
      <c r="B555" t="s">
        <v>197</v>
      </c>
      <c r="C555" t="s">
        <v>197</v>
      </c>
      <c r="D555" t="s">
        <v>197</v>
      </c>
      <c r="E555" t="s">
        <v>197</v>
      </c>
      <c r="F555" t="s">
        <v>197</v>
      </c>
      <c r="G555" t="s">
        <v>197</v>
      </c>
      <c r="H555" t="s">
        <v>197</v>
      </c>
      <c r="I555" t="s">
        <v>197</v>
      </c>
      <c r="J555" t="s">
        <v>197</v>
      </c>
      <c r="K555" t="s">
        <v>360</v>
      </c>
    </row>
    <row r="556" spans="1:24">
      <c r="B556" t="s">
        <v>197</v>
      </c>
      <c r="C556" t="s">
        <v>197</v>
      </c>
      <c r="D556" t="s">
        <v>197</v>
      </c>
      <c r="E556" t="s">
        <v>197</v>
      </c>
      <c r="F556" t="s">
        <v>197</v>
      </c>
      <c r="G556" t="s">
        <v>197</v>
      </c>
      <c r="H556" t="s">
        <v>197</v>
      </c>
      <c r="I556" t="s">
        <v>197</v>
      </c>
      <c r="J556" t="s">
        <v>197</v>
      </c>
      <c r="K556" t="s">
        <v>367</v>
      </c>
    </row>
    <row r="557" spans="1:24">
      <c r="B557" t="s">
        <v>197</v>
      </c>
      <c r="C557" t="s">
        <v>197</v>
      </c>
      <c r="D557" t="s">
        <v>197</v>
      </c>
      <c r="E557" t="s">
        <v>197</v>
      </c>
      <c r="F557" t="s">
        <v>197</v>
      </c>
      <c r="G557" t="s">
        <v>197</v>
      </c>
      <c r="H557" t="s">
        <v>197</v>
      </c>
      <c r="I557" t="s">
        <v>197</v>
      </c>
      <c r="J557" t="s">
        <v>197</v>
      </c>
      <c r="K557" t="s">
        <v>373</v>
      </c>
    </row>
    <row r="558" spans="1:24">
      <c r="A558" t="s">
        <v>817</v>
      </c>
      <c r="K558" t="s">
        <v>818</v>
      </c>
      <c r="W558" t="s">
        <v>171</v>
      </c>
      <c r="X558" t="str">
        <f>A558</f>
        <v>info_datetimeoffset_dml_batch1_pk_drp1</v>
      </c>
    </row>
    <row r="559" spans="1:24">
      <c r="B559" t="s">
        <v>196</v>
      </c>
      <c r="C559" t="s">
        <v>197</v>
      </c>
      <c r="D559" t="s">
        <v>197</v>
      </c>
      <c r="E559" t="s">
        <v>197</v>
      </c>
      <c r="F559" t="s">
        <v>197</v>
      </c>
      <c r="G559" t="s">
        <v>197</v>
      </c>
      <c r="H559" t="s">
        <v>197</v>
      </c>
      <c r="I559" t="s">
        <v>819</v>
      </c>
      <c r="J559" t="s">
        <v>199</v>
      </c>
      <c r="K559" t="s">
        <v>200</v>
      </c>
    </row>
    <row r="560" spans="1:24">
      <c r="B560" t="s">
        <v>197</v>
      </c>
      <c r="C560" t="s">
        <v>197</v>
      </c>
      <c r="D560" t="s">
        <v>197</v>
      </c>
      <c r="E560" t="s">
        <v>197</v>
      </c>
      <c r="F560" t="s">
        <v>197</v>
      </c>
      <c r="G560" t="s">
        <v>197</v>
      </c>
      <c r="H560" t="s">
        <v>197</v>
      </c>
      <c r="I560" t="s">
        <v>197</v>
      </c>
      <c r="J560" t="s">
        <v>197</v>
      </c>
      <c r="K560" t="s">
        <v>301</v>
      </c>
    </row>
    <row r="561" spans="1:24">
      <c r="B561" t="s">
        <v>197</v>
      </c>
      <c r="C561" t="s">
        <v>197</v>
      </c>
      <c r="D561" t="s">
        <v>197</v>
      </c>
      <c r="E561" t="s">
        <v>197</v>
      </c>
      <c r="F561" t="s">
        <v>197</v>
      </c>
      <c r="G561" t="s">
        <v>197</v>
      </c>
      <c r="H561" t="s">
        <v>197</v>
      </c>
      <c r="I561" t="s">
        <v>197</v>
      </c>
      <c r="J561" t="s">
        <v>197</v>
      </c>
      <c r="K561" t="s">
        <v>314</v>
      </c>
    </row>
    <row r="562" spans="1:24">
      <c r="B562" t="s">
        <v>197</v>
      </c>
      <c r="C562" t="s">
        <v>197</v>
      </c>
      <c r="D562" t="s">
        <v>197</v>
      </c>
      <c r="E562" t="s">
        <v>197</v>
      </c>
      <c r="F562" t="s">
        <v>197</v>
      </c>
      <c r="G562" t="s">
        <v>197</v>
      </c>
      <c r="H562" t="s">
        <v>197</v>
      </c>
      <c r="I562" t="s">
        <v>197</v>
      </c>
      <c r="J562" t="s">
        <v>197</v>
      </c>
      <c r="K562" t="s">
        <v>324</v>
      </c>
    </row>
    <row r="563" spans="1:24">
      <c r="B563" t="s">
        <v>197</v>
      </c>
      <c r="C563" t="s">
        <v>197</v>
      </c>
      <c r="D563" t="s">
        <v>197</v>
      </c>
      <c r="E563" t="s">
        <v>197</v>
      </c>
      <c r="F563" t="s">
        <v>197</v>
      </c>
      <c r="G563" t="s">
        <v>197</v>
      </c>
      <c r="H563" t="s">
        <v>197</v>
      </c>
      <c r="I563" t="s">
        <v>197</v>
      </c>
      <c r="J563" t="s">
        <v>197</v>
      </c>
      <c r="K563" t="s">
        <v>335</v>
      </c>
    </row>
    <row r="564" spans="1:24">
      <c r="B564" t="s">
        <v>197</v>
      </c>
      <c r="C564" t="s">
        <v>197</v>
      </c>
      <c r="D564" t="s">
        <v>197</v>
      </c>
      <c r="E564" t="s">
        <v>197</v>
      </c>
      <c r="F564" t="s">
        <v>197</v>
      </c>
      <c r="G564" t="s">
        <v>197</v>
      </c>
      <c r="H564" t="s">
        <v>197</v>
      </c>
      <c r="I564" t="s">
        <v>197</v>
      </c>
      <c r="J564" t="s">
        <v>197</v>
      </c>
      <c r="K564" t="s">
        <v>350</v>
      </c>
    </row>
    <row r="565" spans="1:24">
      <c r="B565" t="s">
        <v>197</v>
      </c>
      <c r="C565" t="s">
        <v>197</v>
      </c>
      <c r="D565" t="s">
        <v>197</v>
      </c>
      <c r="E565" t="s">
        <v>197</v>
      </c>
      <c r="F565" t="s">
        <v>197</v>
      </c>
      <c r="G565" t="s">
        <v>197</v>
      </c>
      <c r="H565" t="s">
        <v>197</v>
      </c>
      <c r="I565" t="s">
        <v>197</v>
      </c>
      <c r="J565" t="s">
        <v>197</v>
      </c>
      <c r="K565" t="s">
        <v>360</v>
      </c>
    </row>
    <row r="566" spans="1:24">
      <c r="B566" t="s">
        <v>197</v>
      </c>
      <c r="C566" t="s">
        <v>197</v>
      </c>
      <c r="D566" t="s">
        <v>197</v>
      </c>
      <c r="E566" t="s">
        <v>197</v>
      </c>
      <c r="F566" t="s">
        <v>197</v>
      </c>
      <c r="G566" t="s">
        <v>197</v>
      </c>
      <c r="H566" t="s">
        <v>197</v>
      </c>
      <c r="I566" t="s">
        <v>197</v>
      </c>
      <c r="J566" t="s">
        <v>197</v>
      </c>
      <c r="K566" t="s">
        <v>367</v>
      </c>
    </row>
    <row r="567" spans="1:24">
      <c r="B567" t="s">
        <v>197</v>
      </c>
      <c r="C567" t="s">
        <v>197</v>
      </c>
      <c r="D567" t="s">
        <v>197</v>
      </c>
      <c r="E567" t="s">
        <v>197</v>
      </c>
      <c r="F567" t="s">
        <v>197</v>
      </c>
      <c r="G567" t="s">
        <v>197</v>
      </c>
      <c r="H567" t="s">
        <v>197</v>
      </c>
      <c r="I567" t="s">
        <v>197</v>
      </c>
      <c r="J567" t="s">
        <v>197</v>
      </c>
      <c r="K567" t="s">
        <v>373</v>
      </c>
    </row>
    <row r="568" spans="1:24">
      <c r="K568" t="s">
        <v>443</v>
      </c>
    </row>
    <row r="569" spans="1:24">
      <c r="A569" t="s">
        <v>814</v>
      </c>
      <c r="K569" t="s">
        <v>815</v>
      </c>
      <c r="W569" t="s">
        <v>171</v>
      </c>
      <c r="X569" t="str">
        <f>A569</f>
        <v>info_varcharmax_dml_batch2_pk_irp2</v>
      </c>
    </row>
    <row r="570" spans="1:24">
      <c r="B570" t="s">
        <v>196</v>
      </c>
      <c r="C570" t="s">
        <v>197</v>
      </c>
      <c r="D570" t="s">
        <v>197</v>
      </c>
      <c r="E570" t="s">
        <v>197</v>
      </c>
      <c r="F570" t="s">
        <v>197</v>
      </c>
      <c r="G570" t="s">
        <v>197</v>
      </c>
      <c r="H570" t="s">
        <v>197</v>
      </c>
      <c r="I570" t="s">
        <v>816</v>
      </c>
      <c r="J570" t="s">
        <v>199</v>
      </c>
      <c r="K570" t="s">
        <v>200</v>
      </c>
    </row>
    <row r="571" spans="1:24">
      <c r="B571" t="s">
        <v>197</v>
      </c>
      <c r="C571" t="s">
        <v>197</v>
      </c>
      <c r="D571" t="s">
        <v>197</v>
      </c>
      <c r="E571" t="s">
        <v>197</v>
      </c>
      <c r="F571" t="s">
        <v>197</v>
      </c>
      <c r="G571" t="s">
        <v>197</v>
      </c>
      <c r="H571" t="s">
        <v>197</v>
      </c>
      <c r="I571" t="s">
        <v>197</v>
      </c>
      <c r="J571" t="s">
        <v>197</v>
      </c>
      <c r="K571" t="s">
        <v>725</v>
      </c>
    </row>
    <row r="572" spans="1:24">
      <c r="B572" t="s">
        <v>197</v>
      </c>
      <c r="C572" t="s">
        <v>197</v>
      </c>
      <c r="D572" t="s">
        <v>197</v>
      </c>
      <c r="E572" t="s">
        <v>197</v>
      </c>
      <c r="F572" t="s">
        <v>197</v>
      </c>
      <c r="G572" t="s">
        <v>197</v>
      </c>
      <c r="H572" t="s">
        <v>197</v>
      </c>
      <c r="I572" t="s">
        <v>197</v>
      </c>
      <c r="J572" t="s">
        <v>197</v>
      </c>
      <c r="K572" t="s">
        <v>726</v>
      </c>
    </row>
    <row r="573" spans="1:24">
      <c r="K573" t="s">
        <v>443</v>
      </c>
    </row>
    <row r="574" spans="1:24">
      <c r="A574" t="s">
        <v>808</v>
      </c>
      <c r="K574" t="s">
        <v>809</v>
      </c>
      <c r="W574" t="s">
        <v>171</v>
      </c>
      <c r="X574" t="str">
        <f>A574</f>
        <v>info_date_dml_batch1_pk_irp2</v>
      </c>
    </row>
    <row r="575" spans="1:24">
      <c r="B575" t="s">
        <v>196</v>
      </c>
      <c r="C575" t="s">
        <v>197</v>
      </c>
      <c r="D575" t="s">
        <v>197</v>
      </c>
      <c r="E575" t="s">
        <v>197</v>
      </c>
      <c r="F575" t="s">
        <v>197</v>
      </c>
      <c r="G575" t="s">
        <v>197</v>
      </c>
      <c r="H575" t="s">
        <v>197</v>
      </c>
      <c r="I575" t="s">
        <v>810</v>
      </c>
      <c r="J575" t="s">
        <v>199</v>
      </c>
      <c r="K575" t="s">
        <v>200</v>
      </c>
    </row>
    <row r="576" spans="1:24">
      <c r="B576" t="s">
        <v>197</v>
      </c>
      <c r="C576" t="s">
        <v>197</v>
      </c>
      <c r="D576" t="s">
        <v>197</v>
      </c>
      <c r="E576" t="s">
        <v>197</v>
      </c>
      <c r="F576" t="s">
        <v>197</v>
      </c>
      <c r="G576" t="s">
        <v>197</v>
      </c>
      <c r="H576" t="s">
        <v>197</v>
      </c>
      <c r="I576" t="s">
        <v>197</v>
      </c>
      <c r="J576" t="s">
        <v>197</v>
      </c>
      <c r="K576" t="s">
        <v>678</v>
      </c>
    </row>
    <row r="577" spans="1:24">
      <c r="A577" t="s">
        <v>823</v>
      </c>
      <c r="K577" t="s">
        <v>824</v>
      </c>
      <c r="W577" t="s">
        <v>171</v>
      </c>
      <c r="X577" t="str">
        <f>A577</f>
        <v>info_hierarchyid_dml_single_pk</v>
      </c>
    </row>
    <row r="578" spans="1:24">
      <c r="B578" t="s">
        <v>196</v>
      </c>
      <c r="C578" t="s">
        <v>197</v>
      </c>
      <c r="D578" t="s">
        <v>197</v>
      </c>
      <c r="E578" t="s">
        <v>197</v>
      </c>
      <c r="F578" t="s">
        <v>197</v>
      </c>
      <c r="G578" t="s">
        <v>197</v>
      </c>
      <c r="H578" t="s">
        <v>197</v>
      </c>
      <c r="I578" t="s">
        <v>825</v>
      </c>
      <c r="J578" t="s">
        <v>199</v>
      </c>
      <c r="K578" t="s">
        <v>200</v>
      </c>
    </row>
    <row r="579" spans="1:24">
      <c r="B579" t="s">
        <v>197</v>
      </c>
      <c r="C579" t="s">
        <v>197</v>
      </c>
      <c r="D579" t="s">
        <v>197</v>
      </c>
      <c r="E579" t="s">
        <v>197</v>
      </c>
      <c r="F579" t="s">
        <v>197</v>
      </c>
      <c r="G579" t="s">
        <v>197</v>
      </c>
      <c r="H579" t="s">
        <v>197</v>
      </c>
      <c r="I579" t="s">
        <v>197</v>
      </c>
      <c r="J579" t="s">
        <v>197</v>
      </c>
      <c r="K579" t="s">
        <v>706</v>
      </c>
    </row>
    <row r="580" spans="1:24">
      <c r="A580" t="s">
        <v>820</v>
      </c>
      <c r="K580" t="s">
        <v>821</v>
      </c>
      <c r="W580" t="s">
        <v>171</v>
      </c>
      <c r="X580" t="str">
        <f>A580</f>
        <v>info_nchar_dml_batch1_pk_urp1</v>
      </c>
    </row>
    <row r="581" spans="1:24">
      <c r="B581" t="s">
        <v>196</v>
      </c>
      <c r="C581" t="s">
        <v>197</v>
      </c>
      <c r="D581" t="s">
        <v>197</v>
      </c>
      <c r="E581" t="s">
        <v>197</v>
      </c>
      <c r="F581" t="s">
        <v>197</v>
      </c>
      <c r="G581" t="s">
        <v>197</v>
      </c>
      <c r="H581" t="s">
        <v>197</v>
      </c>
      <c r="I581" t="s">
        <v>822</v>
      </c>
      <c r="J581" t="s">
        <v>199</v>
      </c>
      <c r="K581" t="s">
        <v>200</v>
      </c>
    </row>
    <row r="582" spans="1:24">
      <c r="B582" t="s">
        <v>197</v>
      </c>
      <c r="C582" t="s">
        <v>197</v>
      </c>
      <c r="D582" t="s">
        <v>197</v>
      </c>
      <c r="E582" t="s">
        <v>197</v>
      </c>
      <c r="F582" t="s">
        <v>197</v>
      </c>
      <c r="G582" t="s">
        <v>197</v>
      </c>
      <c r="H582" t="s">
        <v>197</v>
      </c>
      <c r="I582" t="s">
        <v>197</v>
      </c>
      <c r="J582" t="s">
        <v>197</v>
      </c>
      <c r="K582" t="s">
        <v>514</v>
      </c>
    </row>
    <row r="583" spans="1:24">
      <c r="B583" t="s">
        <v>197</v>
      </c>
      <c r="C583" t="s">
        <v>197</v>
      </c>
      <c r="D583" t="s">
        <v>197</v>
      </c>
      <c r="E583" t="s">
        <v>197</v>
      </c>
      <c r="F583" t="s">
        <v>197</v>
      </c>
      <c r="G583" t="s">
        <v>197</v>
      </c>
      <c r="H583" t="s">
        <v>197</v>
      </c>
      <c r="I583" t="s">
        <v>197</v>
      </c>
      <c r="J583" t="s">
        <v>197</v>
      </c>
      <c r="K583" t="s">
        <v>516</v>
      </c>
    </row>
    <row r="584" spans="1:24">
      <c r="B584" t="s">
        <v>197</v>
      </c>
      <c r="C584" t="s">
        <v>197</v>
      </c>
      <c r="D584" t="s">
        <v>197</v>
      </c>
      <c r="E584" t="s">
        <v>197</v>
      </c>
      <c r="F584" t="s">
        <v>197</v>
      </c>
      <c r="G584" t="s">
        <v>197</v>
      </c>
      <c r="H584" t="s">
        <v>197</v>
      </c>
      <c r="I584" t="s">
        <v>197</v>
      </c>
      <c r="J584" t="s">
        <v>197</v>
      </c>
      <c r="K584" t="s">
        <v>612</v>
      </c>
    </row>
    <row r="585" spans="1:24">
      <c r="A585" t="s">
        <v>826</v>
      </c>
      <c r="K585" t="s">
        <v>827</v>
      </c>
      <c r="W585" t="s">
        <v>171</v>
      </c>
      <c r="X585" t="str">
        <f>A585</f>
        <v>info_datetimeoffset_dml_batch1_pk_drp2</v>
      </c>
    </row>
    <row r="586" spans="1:24">
      <c r="B586" t="s">
        <v>196</v>
      </c>
      <c r="C586" t="s">
        <v>197</v>
      </c>
      <c r="D586" t="s">
        <v>197</v>
      </c>
      <c r="E586" t="s">
        <v>197</v>
      </c>
      <c r="F586" t="s">
        <v>197</v>
      </c>
      <c r="G586" t="s">
        <v>197</v>
      </c>
      <c r="H586" t="s">
        <v>197</v>
      </c>
      <c r="I586" t="s">
        <v>828</v>
      </c>
      <c r="J586" t="s">
        <v>199</v>
      </c>
      <c r="K586" t="s">
        <v>200</v>
      </c>
    </row>
    <row r="587" spans="1:24">
      <c r="B587" t="s">
        <v>197</v>
      </c>
      <c r="C587" t="s">
        <v>197</v>
      </c>
      <c r="D587" t="s">
        <v>197</v>
      </c>
      <c r="E587" t="s">
        <v>197</v>
      </c>
      <c r="F587" t="s">
        <v>197</v>
      </c>
      <c r="G587" t="s">
        <v>197</v>
      </c>
      <c r="H587" t="s">
        <v>197</v>
      </c>
      <c r="I587" t="s">
        <v>197</v>
      </c>
      <c r="J587" t="s">
        <v>197</v>
      </c>
      <c r="K587" t="s">
        <v>301</v>
      </c>
    </row>
    <row r="588" spans="1:24">
      <c r="B588" t="s">
        <v>197</v>
      </c>
      <c r="C588" t="s">
        <v>197</v>
      </c>
      <c r="D588" t="s">
        <v>197</v>
      </c>
      <c r="E588" t="s">
        <v>197</v>
      </c>
      <c r="F588" t="s">
        <v>197</v>
      </c>
      <c r="G588" t="s">
        <v>197</v>
      </c>
      <c r="H588" t="s">
        <v>197</v>
      </c>
      <c r="I588" t="s">
        <v>197</v>
      </c>
      <c r="J588" t="s">
        <v>197</v>
      </c>
      <c r="K588" t="s">
        <v>314</v>
      </c>
    </row>
    <row r="589" spans="1:24">
      <c r="B589" t="s">
        <v>197</v>
      </c>
      <c r="C589" t="s">
        <v>197</v>
      </c>
      <c r="D589" t="s">
        <v>197</v>
      </c>
      <c r="E589" t="s">
        <v>197</v>
      </c>
      <c r="F589" t="s">
        <v>197</v>
      </c>
      <c r="G589" t="s">
        <v>197</v>
      </c>
      <c r="H589" t="s">
        <v>197</v>
      </c>
      <c r="I589" t="s">
        <v>197</v>
      </c>
      <c r="J589" t="s">
        <v>197</v>
      </c>
      <c r="K589" t="s">
        <v>324</v>
      </c>
    </row>
    <row r="590" spans="1:24">
      <c r="B590" t="s">
        <v>197</v>
      </c>
      <c r="C590" t="s">
        <v>197</v>
      </c>
      <c r="D590" t="s">
        <v>197</v>
      </c>
      <c r="E590" t="s">
        <v>197</v>
      </c>
      <c r="F590" t="s">
        <v>197</v>
      </c>
      <c r="G590" t="s">
        <v>197</v>
      </c>
      <c r="H590" t="s">
        <v>197</v>
      </c>
      <c r="I590" t="s">
        <v>197</v>
      </c>
      <c r="J590" t="s">
        <v>197</v>
      </c>
      <c r="K590" t="s">
        <v>335</v>
      </c>
    </row>
    <row r="591" spans="1:24">
      <c r="B591" t="s">
        <v>197</v>
      </c>
      <c r="C591" t="s">
        <v>197</v>
      </c>
      <c r="D591" t="s">
        <v>197</v>
      </c>
      <c r="E591" t="s">
        <v>197</v>
      </c>
      <c r="F591" t="s">
        <v>197</v>
      </c>
      <c r="G591" t="s">
        <v>197</v>
      </c>
      <c r="H591" t="s">
        <v>197</v>
      </c>
      <c r="I591" t="s">
        <v>197</v>
      </c>
      <c r="J591" t="s">
        <v>197</v>
      </c>
      <c r="K591" t="s">
        <v>350</v>
      </c>
    </row>
    <row r="592" spans="1:24">
      <c r="B592" t="s">
        <v>197</v>
      </c>
      <c r="C592" t="s">
        <v>197</v>
      </c>
      <c r="D592" t="s">
        <v>197</v>
      </c>
      <c r="E592" t="s">
        <v>197</v>
      </c>
      <c r="F592" t="s">
        <v>197</v>
      </c>
      <c r="G592" t="s">
        <v>197</v>
      </c>
      <c r="H592" t="s">
        <v>197</v>
      </c>
      <c r="I592" t="s">
        <v>197</v>
      </c>
      <c r="J592" t="s">
        <v>197</v>
      </c>
      <c r="K592" t="s">
        <v>360</v>
      </c>
    </row>
    <row r="593" spans="1:24">
      <c r="B593" t="s">
        <v>197</v>
      </c>
      <c r="C593" t="s">
        <v>197</v>
      </c>
      <c r="D593" t="s">
        <v>197</v>
      </c>
      <c r="E593" t="s">
        <v>197</v>
      </c>
      <c r="F593" t="s">
        <v>197</v>
      </c>
      <c r="G593" t="s">
        <v>197</v>
      </c>
      <c r="H593" t="s">
        <v>197</v>
      </c>
      <c r="I593" t="s">
        <v>197</v>
      </c>
      <c r="J593" t="s">
        <v>197</v>
      </c>
      <c r="K593" t="s">
        <v>367</v>
      </c>
    </row>
    <row r="594" spans="1:24">
      <c r="B594" t="s">
        <v>197</v>
      </c>
      <c r="C594" t="s">
        <v>197</v>
      </c>
      <c r="D594" t="s">
        <v>197</v>
      </c>
      <c r="E594" t="s">
        <v>197</v>
      </c>
      <c r="F594" t="s">
        <v>197</v>
      </c>
      <c r="G594" t="s">
        <v>197</v>
      </c>
      <c r="H594" t="s">
        <v>197</v>
      </c>
      <c r="I594" t="s">
        <v>197</v>
      </c>
      <c r="J594" t="s">
        <v>197</v>
      </c>
      <c r="K594" t="s">
        <v>373</v>
      </c>
    </row>
    <row r="595" spans="1:24">
      <c r="A595" t="s">
        <v>833</v>
      </c>
      <c r="K595" t="s">
        <v>834</v>
      </c>
      <c r="W595" t="s">
        <v>171</v>
      </c>
      <c r="X595" t="str">
        <f>A595</f>
        <v>info_datetimeoffset_dml_batch1_pk</v>
      </c>
    </row>
    <row r="596" spans="1:24">
      <c r="B596" t="s">
        <v>196</v>
      </c>
      <c r="C596" t="s">
        <v>197</v>
      </c>
      <c r="D596" t="s">
        <v>197</v>
      </c>
      <c r="E596" t="s">
        <v>197</v>
      </c>
      <c r="F596" t="s">
        <v>197</v>
      </c>
      <c r="G596" t="s">
        <v>197</v>
      </c>
      <c r="H596" t="s">
        <v>197</v>
      </c>
      <c r="I596" t="s">
        <v>835</v>
      </c>
      <c r="J596" t="s">
        <v>199</v>
      </c>
      <c r="K596" t="s">
        <v>200</v>
      </c>
    </row>
    <row r="597" spans="1:24">
      <c r="B597" t="s">
        <v>197</v>
      </c>
      <c r="C597" t="s">
        <v>197</v>
      </c>
      <c r="D597" t="s">
        <v>197</v>
      </c>
      <c r="E597" t="s">
        <v>197</v>
      </c>
      <c r="F597" t="s">
        <v>197</v>
      </c>
      <c r="G597" t="s">
        <v>197</v>
      </c>
      <c r="H597" t="s">
        <v>197</v>
      </c>
      <c r="I597" t="s">
        <v>197</v>
      </c>
      <c r="J597" t="s">
        <v>197</v>
      </c>
      <c r="K597" t="s">
        <v>301</v>
      </c>
    </row>
    <row r="598" spans="1:24">
      <c r="B598" t="s">
        <v>197</v>
      </c>
      <c r="C598" t="s">
        <v>197</v>
      </c>
      <c r="D598" t="s">
        <v>197</v>
      </c>
      <c r="E598" t="s">
        <v>197</v>
      </c>
      <c r="F598" t="s">
        <v>197</v>
      </c>
      <c r="G598" t="s">
        <v>197</v>
      </c>
      <c r="H598" t="s">
        <v>197</v>
      </c>
      <c r="I598" t="s">
        <v>197</v>
      </c>
      <c r="J598" t="s">
        <v>197</v>
      </c>
      <c r="K598" t="s">
        <v>314</v>
      </c>
    </row>
    <row r="599" spans="1:24">
      <c r="B599" t="s">
        <v>197</v>
      </c>
      <c r="C599" t="s">
        <v>197</v>
      </c>
      <c r="D599" t="s">
        <v>197</v>
      </c>
      <c r="E599" t="s">
        <v>197</v>
      </c>
      <c r="F599" t="s">
        <v>197</v>
      </c>
      <c r="G599" t="s">
        <v>197</v>
      </c>
      <c r="H599" t="s">
        <v>197</v>
      </c>
      <c r="I599" t="s">
        <v>197</v>
      </c>
      <c r="J599" t="s">
        <v>197</v>
      </c>
      <c r="K599" t="s">
        <v>324</v>
      </c>
    </row>
    <row r="600" spans="1:24">
      <c r="B600" t="s">
        <v>197</v>
      </c>
      <c r="C600" t="s">
        <v>197</v>
      </c>
      <c r="D600" t="s">
        <v>197</v>
      </c>
      <c r="E600" t="s">
        <v>197</v>
      </c>
      <c r="F600" t="s">
        <v>197</v>
      </c>
      <c r="G600" t="s">
        <v>197</v>
      </c>
      <c r="H600" t="s">
        <v>197</v>
      </c>
      <c r="I600" t="s">
        <v>197</v>
      </c>
      <c r="J600" t="s">
        <v>197</v>
      </c>
      <c r="K600" t="s">
        <v>335</v>
      </c>
    </row>
    <row r="601" spans="1:24">
      <c r="B601" t="s">
        <v>197</v>
      </c>
      <c r="C601" t="s">
        <v>197</v>
      </c>
      <c r="D601" t="s">
        <v>197</v>
      </c>
      <c r="E601" t="s">
        <v>197</v>
      </c>
      <c r="F601" t="s">
        <v>197</v>
      </c>
      <c r="G601" t="s">
        <v>197</v>
      </c>
      <c r="H601" t="s">
        <v>197</v>
      </c>
      <c r="I601" t="s">
        <v>197</v>
      </c>
      <c r="J601" t="s">
        <v>197</v>
      </c>
      <c r="K601" t="s">
        <v>350</v>
      </c>
    </row>
    <row r="602" spans="1:24">
      <c r="B602" t="s">
        <v>197</v>
      </c>
      <c r="C602" t="s">
        <v>197</v>
      </c>
      <c r="D602" t="s">
        <v>197</v>
      </c>
      <c r="E602" t="s">
        <v>197</v>
      </c>
      <c r="F602" t="s">
        <v>197</v>
      </c>
      <c r="G602" t="s">
        <v>197</v>
      </c>
      <c r="H602" t="s">
        <v>197</v>
      </c>
      <c r="I602" t="s">
        <v>197</v>
      </c>
      <c r="J602" t="s">
        <v>197</v>
      </c>
      <c r="K602" t="s">
        <v>360</v>
      </c>
    </row>
    <row r="603" spans="1:24">
      <c r="B603" t="s">
        <v>197</v>
      </c>
      <c r="C603" t="s">
        <v>197</v>
      </c>
      <c r="D603" t="s">
        <v>197</v>
      </c>
      <c r="E603" t="s">
        <v>197</v>
      </c>
      <c r="F603" t="s">
        <v>197</v>
      </c>
      <c r="G603" t="s">
        <v>197</v>
      </c>
      <c r="H603" t="s">
        <v>197</v>
      </c>
      <c r="I603" t="s">
        <v>197</v>
      </c>
      <c r="J603" t="s">
        <v>197</v>
      </c>
      <c r="K603" t="s">
        <v>367</v>
      </c>
    </row>
    <row r="604" spans="1:24">
      <c r="B604" t="s">
        <v>197</v>
      </c>
      <c r="C604" t="s">
        <v>197</v>
      </c>
      <c r="D604" t="s">
        <v>197</v>
      </c>
      <c r="E604" t="s">
        <v>197</v>
      </c>
      <c r="F604" t="s">
        <v>197</v>
      </c>
      <c r="G604" t="s">
        <v>197</v>
      </c>
      <c r="H604" t="s">
        <v>197</v>
      </c>
      <c r="I604" t="s">
        <v>197</v>
      </c>
      <c r="J604" t="s">
        <v>197</v>
      </c>
      <c r="K604" t="s">
        <v>373</v>
      </c>
    </row>
    <row r="605" spans="1:24">
      <c r="A605" t="s">
        <v>836</v>
      </c>
      <c r="K605" t="s">
        <v>837</v>
      </c>
      <c r="W605" t="s">
        <v>171</v>
      </c>
      <c r="X605" t="str">
        <f>A605</f>
        <v>info_nchar_dml_batch2_pk_urp2</v>
      </c>
    </row>
    <row r="606" spans="1:24">
      <c r="B606" t="s">
        <v>196</v>
      </c>
      <c r="C606" t="s">
        <v>197</v>
      </c>
      <c r="D606" t="s">
        <v>197</v>
      </c>
      <c r="E606" t="s">
        <v>197</v>
      </c>
      <c r="F606" t="s">
        <v>197</v>
      </c>
      <c r="G606" t="s">
        <v>197</v>
      </c>
      <c r="H606" t="s">
        <v>197</v>
      </c>
      <c r="I606" t="s">
        <v>838</v>
      </c>
      <c r="J606" t="s">
        <v>199</v>
      </c>
      <c r="K606" t="s">
        <v>200</v>
      </c>
    </row>
    <row r="607" spans="1:24">
      <c r="B607" t="s">
        <v>197</v>
      </c>
      <c r="C607" t="s">
        <v>197</v>
      </c>
      <c r="D607" t="s">
        <v>197</v>
      </c>
      <c r="E607" t="s">
        <v>197</v>
      </c>
      <c r="F607" t="s">
        <v>197</v>
      </c>
      <c r="G607" t="s">
        <v>197</v>
      </c>
      <c r="H607" t="s">
        <v>197</v>
      </c>
      <c r="I607" t="s">
        <v>197</v>
      </c>
      <c r="J607" t="s">
        <v>197</v>
      </c>
      <c r="K607" t="s">
        <v>514</v>
      </c>
    </row>
    <row r="608" spans="1:24">
      <c r="B608" t="s">
        <v>197</v>
      </c>
      <c r="C608" t="s">
        <v>197</v>
      </c>
      <c r="D608" t="s">
        <v>197</v>
      </c>
      <c r="E608" t="s">
        <v>197</v>
      </c>
      <c r="F608" t="s">
        <v>197</v>
      </c>
      <c r="G608" t="s">
        <v>197</v>
      </c>
      <c r="H608" t="s">
        <v>197</v>
      </c>
      <c r="I608" t="s">
        <v>197</v>
      </c>
      <c r="J608" t="s">
        <v>197</v>
      </c>
      <c r="K608" t="s">
        <v>516</v>
      </c>
    </row>
    <row r="609" spans="1:24">
      <c r="B609" t="s">
        <v>197</v>
      </c>
      <c r="C609" t="s">
        <v>197</v>
      </c>
      <c r="D609" t="s">
        <v>197</v>
      </c>
      <c r="E609" t="s">
        <v>197</v>
      </c>
      <c r="F609" t="s">
        <v>197</v>
      </c>
      <c r="G609" t="s">
        <v>197</v>
      </c>
      <c r="H609" t="s">
        <v>197</v>
      </c>
      <c r="I609" t="s">
        <v>197</v>
      </c>
      <c r="J609" t="s">
        <v>197</v>
      </c>
      <c r="K609" t="s">
        <v>612</v>
      </c>
    </row>
    <row r="610" spans="1:24">
      <c r="A610" t="s">
        <v>839</v>
      </c>
      <c r="K610" t="s">
        <v>840</v>
      </c>
      <c r="W610" t="s">
        <v>171</v>
      </c>
      <c r="X610" t="str">
        <f>A610</f>
        <v>info_date_dml_batch2_pk_irp1</v>
      </c>
    </row>
    <row r="611" spans="1:24">
      <c r="B611" t="s">
        <v>196</v>
      </c>
      <c r="C611" t="s">
        <v>197</v>
      </c>
      <c r="D611" t="s">
        <v>197</v>
      </c>
      <c r="E611" t="s">
        <v>197</v>
      </c>
      <c r="F611" t="s">
        <v>197</v>
      </c>
      <c r="G611" t="s">
        <v>197</v>
      </c>
      <c r="H611" t="s">
        <v>197</v>
      </c>
      <c r="I611" t="s">
        <v>841</v>
      </c>
      <c r="J611" t="s">
        <v>199</v>
      </c>
      <c r="K611" t="s">
        <v>200</v>
      </c>
    </row>
    <row r="612" spans="1:24">
      <c r="B612" t="s">
        <v>197</v>
      </c>
      <c r="C612" t="s">
        <v>197</v>
      </c>
      <c r="D612" t="s">
        <v>197</v>
      </c>
      <c r="E612" t="s">
        <v>197</v>
      </c>
      <c r="F612" t="s">
        <v>197</v>
      </c>
      <c r="G612" t="s">
        <v>197</v>
      </c>
      <c r="H612" t="s">
        <v>197</v>
      </c>
      <c r="I612" t="s">
        <v>197</v>
      </c>
      <c r="J612" t="s">
        <v>197</v>
      </c>
      <c r="K612" t="s">
        <v>678</v>
      </c>
    </row>
    <row r="613" spans="1:24">
      <c r="A613" t="s">
        <v>829</v>
      </c>
      <c r="K613" t="s">
        <v>830</v>
      </c>
      <c r="W613" t="s">
        <v>171</v>
      </c>
      <c r="X613" t="str">
        <f>A613</f>
        <v>info_char_dml_batch1_pk_drp1</v>
      </c>
    </row>
    <row r="614" spans="1:24">
      <c r="B614" t="s">
        <v>196</v>
      </c>
      <c r="C614" t="s">
        <v>197</v>
      </c>
      <c r="D614" t="s">
        <v>197</v>
      </c>
      <c r="E614" t="s">
        <v>197</v>
      </c>
      <c r="F614" t="s">
        <v>197</v>
      </c>
      <c r="G614" t="s">
        <v>197</v>
      </c>
      <c r="H614" t="s">
        <v>197</v>
      </c>
      <c r="I614" t="s">
        <v>831</v>
      </c>
      <c r="J614" t="s">
        <v>199</v>
      </c>
      <c r="K614" t="s">
        <v>200</v>
      </c>
    </row>
    <row r="615" spans="1:24">
      <c r="B615" t="s">
        <v>197</v>
      </c>
      <c r="C615" t="s">
        <v>197</v>
      </c>
      <c r="D615" t="s">
        <v>197</v>
      </c>
      <c r="E615" t="s">
        <v>197</v>
      </c>
      <c r="F615" t="s">
        <v>197</v>
      </c>
      <c r="G615" t="s">
        <v>197</v>
      </c>
      <c r="H615" t="s">
        <v>197</v>
      </c>
      <c r="I615" t="s">
        <v>197</v>
      </c>
      <c r="J615" t="s">
        <v>197</v>
      </c>
      <c r="K615" t="s">
        <v>622</v>
      </c>
    </row>
    <row r="616" spans="1:24">
      <c r="B616" t="s">
        <v>197</v>
      </c>
      <c r="C616" t="s">
        <v>197</v>
      </c>
      <c r="D616" t="s">
        <v>197</v>
      </c>
      <c r="E616" t="s">
        <v>197</v>
      </c>
      <c r="F616" t="s">
        <v>197</v>
      </c>
      <c r="G616" t="s">
        <v>197</v>
      </c>
      <c r="H616" t="s">
        <v>197</v>
      </c>
      <c r="I616" t="s">
        <v>197</v>
      </c>
      <c r="J616" t="s">
        <v>197</v>
      </c>
      <c r="K616" t="s">
        <v>623</v>
      </c>
    </row>
    <row r="617" spans="1:24">
      <c r="B617" t="s">
        <v>197</v>
      </c>
      <c r="C617" t="s">
        <v>197</v>
      </c>
      <c r="D617" t="s">
        <v>197</v>
      </c>
      <c r="E617" t="s">
        <v>197</v>
      </c>
      <c r="F617" t="s">
        <v>197</v>
      </c>
      <c r="G617" t="s">
        <v>197</v>
      </c>
      <c r="H617" t="s">
        <v>197</v>
      </c>
      <c r="I617" t="s">
        <v>197</v>
      </c>
      <c r="J617" t="s">
        <v>197</v>
      </c>
      <c r="K617" t="s">
        <v>832</v>
      </c>
    </row>
    <row r="618" spans="1:24">
      <c r="K618" t="s">
        <v>443</v>
      </c>
    </row>
    <row r="619" spans="1:24">
      <c r="A619" t="s">
        <v>848</v>
      </c>
      <c r="K619" t="s">
        <v>849</v>
      </c>
      <c r="W619" t="s">
        <v>171</v>
      </c>
      <c r="X619" t="str">
        <f>A619</f>
        <v>info_time_dml_single_pk_drp</v>
      </c>
    </row>
    <row r="620" spans="1:24">
      <c r="B620" t="s">
        <v>196</v>
      </c>
      <c r="C620" t="s">
        <v>197</v>
      </c>
      <c r="D620" t="s">
        <v>197</v>
      </c>
      <c r="E620" t="s">
        <v>197</v>
      </c>
      <c r="F620" t="s">
        <v>197</v>
      </c>
      <c r="G620" t="s">
        <v>197</v>
      </c>
      <c r="H620" t="s">
        <v>197</v>
      </c>
      <c r="I620" t="s">
        <v>850</v>
      </c>
      <c r="J620" t="s">
        <v>199</v>
      </c>
      <c r="K620" t="s">
        <v>200</v>
      </c>
    </row>
    <row r="621" spans="1:24">
      <c r="B621" t="s">
        <v>197</v>
      </c>
      <c r="C621" t="s">
        <v>197</v>
      </c>
      <c r="D621" t="s">
        <v>197</v>
      </c>
      <c r="E621" t="s">
        <v>197</v>
      </c>
      <c r="F621" t="s">
        <v>197</v>
      </c>
      <c r="G621" t="s">
        <v>197</v>
      </c>
      <c r="H621" t="s">
        <v>197</v>
      </c>
      <c r="I621" t="s">
        <v>197</v>
      </c>
      <c r="J621" t="s">
        <v>197</v>
      </c>
      <c r="K621" t="s">
        <v>800</v>
      </c>
    </row>
    <row r="622" spans="1:24">
      <c r="B622" t="s">
        <v>197</v>
      </c>
      <c r="C622" t="s">
        <v>197</v>
      </c>
      <c r="D622" t="s">
        <v>197</v>
      </c>
      <c r="E622" t="s">
        <v>197</v>
      </c>
      <c r="F622" t="s">
        <v>197</v>
      </c>
      <c r="G622" t="s">
        <v>197</v>
      </c>
      <c r="H622" t="s">
        <v>197</v>
      </c>
      <c r="I622" t="s">
        <v>197</v>
      </c>
      <c r="J622" t="s">
        <v>197</v>
      </c>
      <c r="K622" t="s">
        <v>801</v>
      </c>
    </row>
    <row r="623" spans="1:24">
      <c r="B623" t="s">
        <v>197</v>
      </c>
      <c r="C623" t="s">
        <v>197</v>
      </c>
      <c r="D623" t="s">
        <v>197</v>
      </c>
      <c r="E623" t="s">
        <v>197</v>
      </c>
      <c r="F623" t="s">
        <v>197</v>
      </c>
      <c r="G623" t="s">
        <v>197</v>
      </c>
      <c r="H623" t="s">
        <v>197</v>
      </c>
      <c r="I623" t="s">
        <v>197</v>
      </c>
      <c r="J623" t="s">
        <v>197</v>
      </c>
      <c r="K623" t="s">
        <v>802</v>
      </c>
    </row>
    <row r="624" spans="1:24">
      <c r="B624" t="s">
        <v>197</v>
      </c>
      <c r="C624" t="s">
        <v>197</v>
      </c>
      <c r="D624" t="s">
        <v>197</v>
      </c>
      <c r="E624" t="s">
        <v>197</v>
      </c>
      <c r="F624" t="s">
        <v>197</v>
      </c>
      <c r="G624" t="s">
        <v>197</v>
      </c>
      <c r="H624" t="s">
        <v>197</v>
      </c>
      <c r="I624" t="s">
        <v>197</v>
      </c>
      <c r="J624" t="s">
        <v>197</v>
      </c>
      <c r="K624" t="s">
        <v>803</v>
      </c>
    </row>
    <row r="625" spans="1:24">
      <c r="B625" t="s">
        <v>197</v>
      </c>
      <c r="C625" t="s">
        <v>197</v>
      </c>
      <c r="D625" t="s">
        <v>197</v>
      </c>
      <c r="E625" t="s">
        <v>197</v>
      </c>
      <c r="F625" t="s">
        <v>197</v>
      </c>
      <c r="G625" t="s">
        <v>197</v>
      </c>
      <c r="H625" t="s">
        <v>197</v>
      </c>
      <c r="I625" t="s">
        <v>197</v>
      </c>
      <c r="J625" t="s">
        <v>197</v>
      </c>
      <c r="K625" t="s">
        <v>804</v>
      </c>
    </row>
    <row r="626" spans="1:24">
      <c r="B626" t="s">
        <v>197</v>
      </c>
      <c r="C626" t="s">
        <v>197</v>
      </c>
      <c r="D626" t="s">
        <v>197</v>
      </c>
      <c r="E626" t="s">
        <v>197</v>
      </c>
      <c r="F626" t="s">
        <v>197</v>
      </c>
      <c r="G626" t="s">
        <v>197</v>
      </c>
      <c r="H626" t="s">
        <v>197</v>
      </c>
      <c r="I626" t="s">
        <v>197</v>
      </c>
      <c r="J626" t="s">
        <v>197</v>
      </c>
      <c r="K626" t="s">
        <v>805</v>
      </c>
    </row>
    <row r="627" spans="1:24">
      <c r="B627" t="s">
        <v>197</v>
      </c>
      <c r="C627" t="s">
        <v>197</v>
      </c>
      <c r="D627" t="s">
        <v>197</v>
      </c>
      <c r="E627" t="s">
        <v>197</v>
      </c>
      <c r="F627" t="s">
        <v>197</v>
      </c>
      <c r="G627" t="s">
        <v>197</v>
      </c>
      <c r="H627" t="s">
        <v>197</v>
      </c>
      <c r="I627" t="s">
        <v>197</v>
      </c>
      <c r="J627" t="s">
        <v>197</v>
      </c>
      <c r="K627" t="s">
        <v>806</v>
      </c>
    </row>
    <row r="628" spans="1:24">
      <c r="B628" t="s">
        <v>197</v>
      </c>
      <c r="C628" t="s">
        <v>197</v>
      </c>
      <c r="D628" t="s">
        <v>197</v>
      </c>
      <c r="E628" t="s">
        <v>197</v>
      </c>
      <c r="F628" t="s">
        <v>197</v>
      </c>
      <c r="G628" t="s">
        <v>197</v>
      </c>
      <c r="H628" t="s">
        <v>197</v>
      </c>
      <c r="I628" t="s">
        <v>197</v>
      </c>
      <c r="J628" t="s">
        <v>197</v>
      </c>
      <c r="K628" t="s">
        <v>807</v>
      </c>
    </row>
    <row r="629" spans="1:24">
      <c r="A629" t="s">
        <v>845</v>
      </c>
      <c r="K629" t="s">
        <v>846</v>
      </c>
      <c r="W629" t="s">
        <v>171</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854</v>
      </c>
      <c r="K634" t="s">
        <v>855</v>
      </c>
      <c r="W634" t="s">
        <v>171</v>
      </c>
      <c r="X634" t="str">
        <f>A634</f>
        <v>info_date_dml_batch2_pk_irp2</v>
      </c>
    </row>
    <row r="635" spans="1:24">
      <c r="B635" t="s">
        <v>196</v>
      </c>
      <c r="C635" t="s">
        <v>197</v>
      </c>
      <c r="D635" t="s">
        <v>197</v>
      </c>
      <c r="E635" t="s">
        <v>197</v>
      </c>
      <c r="F635" t="s">
        <v>197</v>
      </c>
      <c r="G635" t="s">
        <v>197</v>
      </c>
      <c r="H635" t="s">
        <v>197</v>
      </c>
      <c r="I635" t="s">
        <v>856</v>
      </c>
      <c r="J635" t="s">
        <v>199</v>
      </c>
      <c r="K635" t="s">
        <v>200</v>
      </c>
    </row>
    <row r="636" spans="1:24">
      <c r="B636" t="s">
        <v>197</v>
      </c>
      <c r="C636" t="s">
        <v>197</v>
      </c>
      <c r="D636" t="s">
        <v>197</v>
      </c>
      <c r="E636" t="s">
        <v>197</v>
      </c>
      <c r="F636" t="s">
        <v>197</v>
      </c>
      <c r="G636" t="s">
        <v>197</v>
      </c>
      <c r="H636" t="s">
        <v>197</v>
      </c>
      <c r="I636" t="s">
        <v>197</v>
      </c>
      <c r="J636" t="s">
        <v>197</v>
      </c>
      <c r="K636" t="s">
        <v>678</v>
      </c>
    </row>
    <row r="637" spans="1:24">
      <c r="A637" t="s">
        <v>857</v>
      </c>
      <c r="K637" t="s">
        <v>858</v>
      </c>
      <c r="W637" t="s">
        <v>171</v>
      </c>
      <c r="X637" t="str">
        <f>A637</f>
        <v>info_binary_dml_batch1_pk_urp2</v>
      </c>
    </row>
    <row r="638" spans="1:24">
      <c r="B638" t="s">
        <v>196</v>
      </c>
      <c r="C638" t="s">
        <v>197</v>
      </c>
      <c r="D638" t="s">
        <v>197</v>
      </c>
      <c r="E638" t="s">
        <v>197</v>
      </c>
      <c r="F638" t="s">
        <v>197</v>
      </c>
      <c r="G638" t="s">
        <v>197</v>
      </c>
      <c r="H638" t="s">
        <v>197</v>
      </c>
      <c r="I638" t="s">
        <v>859</v>
      </c>
      <c r="J638" t="s">
        <v>199</v>
      </c>
      <c r="K638" t="s">
        <v>200</v>
      </c>
    </row>
    <row r="639" spans="1:24">
      <c r="B639" t="s">
        <v>197</v>
      </c>
      <c r="C639" t="s">
        <v>197</v>
      </c>
      <c r="D639" t="s">
        <v>197</v>
      </c>
      <c r="E639" t="s">
        <v>197</v>
      </c>
      <c r="F639" t="s">
        <v>197</v>
      </c>
      <c r="G639" t="s">
        <v>197</v>
      </c>
      <c r="H639" t="s">
        <v>197</v>
      </c>
      <c r="I639" t="s">
        <v>197</v>
      </c>
      <c r="J639" t="s">
        <v>197</v>
      </c>
      <c r="K639" t="s">
        <v>691</v>
      </c>
    </row>
    <row r="640" spans="1:24">
      <c r="B640" t="s">
        <v>197</v>
      </c>
      <c r="C640" t="s">
        <v>197</v>
      </c>
      <c r="D640" t="s">
        <v>197</v>
      </c>
      <c r="E640" t="s">
        <v>197</v>
      </c>
      <c r="F640" t="s">
        <v>197</v>
      </c>
      <c r="G640" t="s">
        <v>197</v>
      </c>
      <c r="H640" t="s">
        <v>197</v>
      </c>
      <c r="I640" t="s">
        <v>197</v>
      </c>
      <c r="J640" t="s">
        <v>197</v>
      </c>
      <c r="K640" t="s">
        <v>692</v>
      </c>
    </row>
    <row r="641" spans="1:24">
      <c r="B641" t="s">
        <v>197</v>
      </c>
      <c r="C641" t="s">
        <v>197</v>
      </c>
      <c r="D641" t="s">
        <v>197</v>
      </c>
      <c r="E641" t="s">
        <v>197</v>
      </c>
      <c r="F641" t="s">
        <v>197</v>
      </c>
      <c r="G641" t="s">
        <v>197</v>
      </c>
      <c r="H641" t="s">
        <v>197</v>
      </c>
      <c r="I641" t="s">
        <v>197</v>
      </c>
      <c r="J641" t="s">
        <v>197</v>
      </c>
      <c r="K641" t="s">
        <v>693</v>
      </c>
    </row>
    <row r="642" spans="1:24">
      <c r="A642" t="s">
        <v>851</v>
      </c>
      <c r="K642" t="s">
        <v>852</v>
      </c>
      <c r="W642" t="s">
        <v>171</v>
      </c>
      <c r="X642" t="str">
        <f>A642</f>
        <v>info_nvarchar_dml_single_pk</v>
      </c>
    </row>
    <row r="643" spans="1:24">
      <c r="B643" t="s">
        <v>196</v>
      </c>
      <c r="C643" t="s">
        <v>197</v>
      </c>
      <c r="D643" t="s">
        <v>197</v>
      </c>
      <c r="E643" t="s">
        <v>197</v>
      </c>
      <c r="F643" t="s">
        <v>197</v>
      </c>
      <c r="G643" t="s">
        <v>197</v>
      </c>
      <c r="H643" t="s">
        <v>197</v>
      </c>
      <c r="I643" t="s">
        <v>853</v>
      </c>
      <c r="J643" t="s">
        <v>199</v>
      </c>
      <c r="K643" t="s">
        <v>200</v>
      </c>
    </row>
    <row r="644" spans="1:24">
      <c r="B644" t="s">
        <v>197</v>
      </c>
      <c r="C644" t="s">
        <v>197</v>
      </c>
      <c r="D644" t="s">
        <v>197</v>
      </c>
      <c r="E644" t="s">
        <v>197</v>
      </c>
      <c r="F644" t="s">
        <v>197</v>
      </c>
      <c r="G644" t="s">
        <v>197</v>
      </c>
      <c r="H644" t="s">
        <v>197</v>
      </c>
      <c r="I644" t="s">
        <v>197</v>
      </c>
      <c r="J644" t="s">
        <v>197</v>
      </c>
      <c r="K644" t="s">
        <v>408</v>
      </c>
    </row>
    <row r="645" spans="1:24">
      <c r="B645" t="s">
        <v>197</v>
      </c>
      <c r="C645" t="s">
        <v>197</v>
      </c>
      <c r="D645" t="s">
        <v>197</v>
      </c>
      <c r="E645" t="s">
        <v>197</v>
      </c>
      <c r="F645" t="s">
        <v>197</v>
      </c>
      <c r="G645" t="s">
        <v>197</v>
      </c>
      <c r="H645" t="s">
        <v>197</v>
      </c>
      <c r="I645" t="s">
        <v>197</v>
      </c>
      <c r="J645" t="s">
        <v>197</v>
      </c>
      <c r="K645" t="s">
        <v>412</v>
      </c>
    </row>
    <row r="646" spans="1:24">
      <c r="B646" t="s">
        <v>197</v>
      </c>
      <c r="C646" t="s">
        <v>197</v>
      </c>
      <c r="D646" t="s">
        <v>197</v>
      </c>
      <c r="E646" t="s">
        <v>197</v>
      </c>
      <c r="F646" t="s">
        <v>197</v>
      </c>
      <c r="G646" t="s">
        <v>197</v>
      </c>
      <c r="H646" t="s">
        <v>197</v>
      </c>
      <c r="I646" t="s">
        <v>197</v>
      </c>
      <c r="J646" t="s">
        <v>197</v>
      </c>
      <c r="K646" t="s">
        <v>730</v>
      </c>
    </row>
    <row r="647" spans="1:24">
      <c r="A647" t="s">
        <v>860</v>
      </c>
      <c r="K647" t="s">
        <v>861</v>
      </c>
      <c r="W647" t="s">
        <v>171</v>
      </c>
      <c r="X647" t="str">
        <f>A647</f>
        <v>info_time_dml_single_pk</v>
      </c>
    </row>
    <row r="648" spans="1:24">
      <c r="B648" t="s">
        <v>196</v>
      </c>
      <c r="C648" t="s">
        <v>197</v>
      </c>
      <c r="D648" t="s">
        <v>197</v>
      </c>
      <c r="E648" t="s">
        <v>197</v>
      </c>
      <c r="F648" t="s">
        <v>197</v>
      </c>
      <c r="G648" t="s">
        <v>197</v>
      </c>
      <c r="H648" t="s">
        <v>197</v>
      </c>
      <c r="I648" t="s">
        <v>862</v>
      </c>
      <c r="J648" t="s">
        <v>199</v>
      </c>
      <c r="K648" t="s">
        <v>200</v>
      </c>
    </row>
    <row r="649" spans="1:24">
      <c r="B649" t="s">
        <v>197</v>
      </c>
      <c r="C649" t="s">
        <v>197</v>
      </c>
      <c r="D649" t="s">
        <v>197</v>
      </c>
      <c r="E649" t="s">
        <v>197</v>
      </c>
      <c r="F649" t="s">
        <v>197</v>
      </c>
      <c r="G649" t="s">
        <v>197</v>
      </c>
      <c r="H649" t="s">
        <v>197</v>
      </c>
      <c r="I649" t="s">
        <v>197</v>
      </c>
      <c r="J649" t="s">
        <v>197</v>
      </c>
      <c r="K649" t="s">
        <v>800</v>
      </c>
    </row>
    <row r="650" spans="1:24">
      <c r="B650" t="s">
        <v>197</v>
      </c>
      <c r="C650" t="s">
        <v>197</v>
      </c>
      <c r="D650" t="s">
        <v>197</v>
      </c>
      <c r="E650" t="s">
        <v>197</v>
      </c>
      <c r="F650" t="s">
        <v>197</v>
      </c>
      <c r="G650" t="s">
        <v>197</v>
      </c>
      <c r="H650" t="s">
        <v>197</v>
      </c>
      <c r="I650" t="s">
        <v>197</v>
      </c>
      <c r="J650" t="s">
        <v>197</v>
      </c>
      <c r="K650" t="s">
        <v>801</v>
      </c>
    </row>
    <row r="651" spans="1:24">
      <c r="B651" t="s">
        <v>197</v>
      </c>
      <c r="C651" t="s">
        <v>197</v>
      </c>
      <c r="D651" t="s">
        <v>197</v>
      </c>
      <c r="E651" t="s">
        <v>197</v>
      </c>
      <c r="F651" t="s">
        <v>197</v>
      </c>
      <c r="G651" t="s">
        <v>197</v>
      </c>
      <c r="H651" t="s">
        <v>197</v>
      </c>
      <c r="I651" t="s">
        <v>197</v>
      </c>
      <c r="J651" t="s">
        <v>197</v>
      </c>
      <c r="K651" t="s">
        <v>802</v>
      </c>
    </row>
    <row r="652" spans="1:24">
      <c r="B652" t="s">
        <v>197</v>
      </c>
      <c r="C652" t="s">
        <v>197</v>
      </c>
      <c r="D652" t="s">
        <v>197</v>
      </c>
      <c r="E652" t="s">
        <v>197</v>
      </c>
      <c r="F652" t="s">
        <v>197</v>
      </c>
      <c r="G652" t="s">
        <v>197</v>
      </c>
      <c r="H652" t="s">
        <v>197</v>
      </c>
      <c r="I652" t="s">
        <v>197</v>
      </c>
      <c r="J652" t="s">
        <v>197</v>
      </c>
      <c r="K652" t="s">
        <v>803</v>
      </c>
    </row>
    <row r="653" spans="1:24">
      <c r="B653" t="s">
        <v>197</v>
      </c>
      <c r="C653" t="s">
        <v>197</v>
      </c>
      <c r="D653" t="s">
        <v>197</v>
      </c>
      <c r="E653" t="s">
        <v>197</v>
      </c>
      <c r="F653" t="s">
        <v>197</v>
      </c>
      <c r="G653" t="s">
        <v>197</v>
      </c>
      <c r="H653" t="s">
        <v>197</v>
      </c>
      <c r="I653" t="s">
        <v>197</v>
      </c>
      <c r="J653" t="s">
        <v>197</v>
      </c>
      <c r="K653" t="s">
        <v>804</v>
      </c>
    </row>
    <row r="654" spans="1:24">
      <c r="B654" t="s">
        <v>197</v>
      </c>
      <c r="C654" t="s">
        <v>197</v>
      </c>
      <c r="D654" t="s">
        <v>197</v>
      </c>
      <c r="E654" t="s">
        <v>197</v>
      </c>
      <c r="F654" t="s">
        <v>197</v>
      </c>
      <c r="G654" t="s">
        <v>197</v>
      </c>
      <c r="H654" t="s">
        <v>197</v>
      </c>
      <c r="I654" t="s">
        <v>197</v>
      </c>
      <c r="J654" t="s">
        <v>197</v>
      </c>
      <c r="K654" t="s">
        <v>805</v>
      </c>
    </row>
    <row r="655" spans="1:24">
      <c r="B655" t="s">
        <v>197</v>
      </c>
      <c r="C655" t="s">
        <v>197</v>
      </c>
      <c r="D655" t="s">
        <v>197</v>
      </c>
      <c r="E655" t="s">
        <v>197</v>
      </c>
      <c r="F655" t="s">
        <v>197</v>
      </c>
      <c r="G655" t="s">
        <v>197</v>
      </c>
      <c r="H655" t="s">
        <v>197</v>
      </c>
      <c r="I655" t="s">
        <v>197</v>
      </c>
      <c r="J655" t="s">
        <v>197</v>
      </c>
      <c r="K655" t="s">
        <v>806</v>
      </c>
    </row>
    <row r="656" spans="1:24">
      <c r="B656" t="s">
        <v>197</v>
      </c>
      <c r="C656" t="s">
        <v>197</v>
      </c>
      <c r="D656" t="s">
        <v>197</v>
      </c>
      <c r="E656" t="s">
        <v>197</v>
      </c>
      <c r="F656" t="s">
        <v>197</v>
      </c>
      <c r="G656" t="s">
        <v>197</v>
      </c>
      <c r="H656" t="s">
        <v>197</v>
      </c>
      <c r="I656" t="s">
        <v>197</v>
      </c>
      <c r="J656" t="s">
        <v>197</v>
      </c>
      <c r="K656" t="s">
        <v>807</v>
      </c>
    </row>
    <row r="657" spans="1:24">
      <c r="A657" t="s">
        <v>842</v>
      </c>
      <c r="K657" t="s">
        <v>843</v>
      </c>
      <c r="W657" t="s">
        <v>171</v>
      </c>
      <c r="X657" t="str">
        <f>A657</f>
        <v>info_time_dml_single_pk_urp</v>
      </c>
    </row>
    <row r="658" spans="1:24">
      <c r="B658" t="s">
        <v>196</v>
      </c>
      <c r="C658" t="s">
        <v>197</v>
      </c>
      <c r="D658" t="s">
        <v>197</v>
      </c>
      <c r="E658" t="s">
        <v>197</v>
      </c>
      <c r="F658" t="s">
        <v>197</v>
      </c>
      <c r="G658" t="s">
        <v>197</v>
      </c>
      <c r="H658" t="s">
        <v>197</v>
      </c>
      <c r="I658" t="s">
        <v>844</v>
      </c>
      <c r="J658" t="s">
        <v>199</v>
      </c>
      <c r="K658" t="s">
        <v>200</v>
      </c>
    </row>
    <row r="659" spans="1:24">
      <c r="B659" t="s">
        <v>197</v>
      </c>
      <c r="C659" t="s">
        <v>197</v>
      </c>
      <c r="D659" t="s">
        <v>197</v>
      </c>
      <c r="E659" t="s">
        <v>197</v>
      </c>
      <c r="F659" t="s">
        <v>197</v>
      </c>
      <c r="G659" t="s">
        <v>197</v>
      </c>
      <c r="H659" t="s">
        <v>197</v>
      </c>
      <c r="I659" t="s">
        <v>197</v>
      </c>
      <c r="J659" t="s">
        <v>197</v>
      </c>
      <c r="K659" t="s">
        <v>800</v>
      </c>
    </row>
    <row r="660" spans="1:24">
      <c r="B660" t="s">
        <v>197</v>
      </c>
      <c r="C660" t="s">
        <v>197</v>
      </c>
      <c r="D660" t="s">
        <v>197</v>
      </c>
      <c r="E660" t="s">
        <v>197</v>
      </c>
      <c r="F660" t="s">
        <v>197</v>
      </c>
      <c r="G660" t="s">
        <v>197</v>
      </c>
      <c r="H660" t="s">
        <v>197</v>
      </c>
      <c r="I660" t="s">
        <v>197</v>
      </c>
      <c r="J660" t="s">
        <v>197</v>
      </c>
      <c r="K660" t="s">
        <v>801</v>
      </c>
    </row>
    <row r="661" spans="1:24">
      <c r="B661" t="s">
        <v>197</v>
      </c>
      <c r="C661" t="s">
        <v>197</v>
      </c>
      <c r="D661" t="s">
        <v>197</v>
      </c>
      <c r="E661" t="s">
        <v>197</v>
      </c>
      <c r="F661" t="s">
        <v>197</v>
      </c>
      <c r="G661" t="s">
        <v>197</v>
      </c>
      <c r="H661" t="s">
        <v>197</v>
      </c>
      <c r="I661" t="s">
        <v>197</v>
      </c>
      <c r="J661" t="s">
        <v>197</v>
      </c>
      <c r="K661" t="s">
        <v>802</v>
      </c>
    </row>
    <row r="662" spans="1:24">
      <c r="B662" t="s">
        <v>197</v>
      </c>
      <c r="C662" t="s">
        <v>197</v>
      </c>
      <c r="D662" t="s">
        <v>197</v>
      </c>
      <c r="E662" t="s">
        <v>197</v>
      </c>
      <c r="F662" t="s">
        <v>197</v>
      </c>
      <c r="G662" t="s">
        <v>197</v>
      </c>
      <c r="H662" t="s">
        <v>197</v>
      </c>
      <c r="I662" t="s">
        <v>197</v>
      </c>
      <c r="J662" t="s">
        <v>197</v>
      </c>
      <c r="K662" t="s">
        <v>803</v>
      </c>
    </row>
    <row r="663" spans="1:24">
      <c r="B663" t="s">
        <v>197</v>
      </c>
      <c r="C663" t="s">
        <v>197</v>
      </c>
      <c r="D663" t="s">
        <v>197</v>
      </c>
      <c r="E663" t="s">
        <v>197</v>
      </c>
      <c r="F663" t="s">
        <v>197</v>
      </c>
      <c r="G663" t="s">
        <v>197</v>
      </c>
      <c r="H663" t="s">
        <v>197</v>
      </c>
      <c r="I663" t="s">
        <v>197</v>
      </c>
      <c r="J663" t="s">
        <v>197</v>
      </c>
      <c r="K663" t="s">
        <v>804</v>
      </c>
    </row>
    <row r="664" spans="1:24">
      <c r="B664" t="s">
        <v>197</v>
      </c>
      <c r="C664" t="s">
        <v>197</v>
      </c>
      <c r="D664" t="s">
        <v>197</v>
      </c>
      <c r="E664" t="s">
        <v>197</v>
      </c>
      <c r="F664" t="s">
        <v>197</v>
      </c>
      <c r="G664" t="s">
        <v>197</v>
      </c>
      <c r="H664" t="s">
        <v>197</v>
      </c>
      <c r="I664" t="s">
        <v>197</v>
      </c>
      <c r="J664" t="s">
        <v>197</v>
      </c>
      <c r="K664" t="s">
        <v>805</v>
      </c>
    </row>
    <row r="665" spans="1:24">
      <c r="B665" t="s">
        <v>197</v>
      </c>
      <c r="C665" t="s">
        <v>197</v>
      </c>
      <c r="D665" t="s">
        <v>197</v>
      </c>
      <c r="E665" t="s">
        <v>197</v>
      </c>
      <c r="F665" t="s">
        <v>197</v>
      </c>
      <c r="G665" t="s">
        <v>197</v>
      </c>
      <c r="H665" t="s">
        <v>197</v>
      </c>
      <c r="I665" t="s">
        <v>197</v>
      </c>
      <c r="J665" t="s">
        <v>197</v>
      </c>
      <c r="K665" t="s">
        <v>806</v>
      </c>
    </row>
    <row r="666" spans="1:24">
      <c r="B666" t="s">
        <v>197</v>
      </c>
      <c r="C666" t="s">
        <v>197</v>
      </c>
      <c r="D666" t="s">
        <v>197</v>
      </c>
      <c r="E666" t="s">
        <v>197</v>
      </c>
      <c r="F666" t="s">
        <v>197</v>
      </c>
      <c r="G666" t="s">
        <v>197</v>
      </c>
      <c r="H666" t="s">
        <v>197</v>
      </c>
      <c r="I666" t="s">
        <v>197</v>
      </c>
      <c r="J666" t="s">
        <v>197</v>
      </c>
      <c r="K666" t="s">
        <v>807</v>
      </c>
    </row>
    <row r="667" spans="1:24">
      <c r="A667" t="s">
        <v>866</v>
      </c>
      <c r="K667" t="s">
        <v>867</v>
      </c>
      <c r="W667" t="s">
        <v>171</v>
      </c>
      <c r="X667" t="str">
        <f>A667</f>
        <v>info_sdt_dml_single_pk_irp</v>
      </c>
    </row>
    <row r="668" spans="1:24">
      <c r="B668" t="s">
        <v>196</v>
      </c>
      <c r="C668" t="s">
        <v>197</v>
      </c>
      <c r="D668" t="s">
        <v>197</v>
      </c>
      <c r="E668" t="s">
        <v>197</v>
      </c>
      <c r="F668" t="s">
        <v>197</v>
      </c>
      <c r="G668" t="s">
        <v>197</v>
      </c>
      <c r="H668" t="s">
        <v>197</v>
      </c>
      <c r="I668" t="s">
        <v>868</v>
      </c>
      <c r="J668" t="s">
        <v>199</v>
      </c>
      <c r="K668" t="s">
        <v>200</v>
      </c>
    </row>
    <row r="669" spans="1:24">
      <c r="B669" t="s">
        <v>197</v>
      </c>
      <c r="C669" t="s">
        <v>197</v>
      </c>
      <c r="D669" t="s">
        <v>197</v>
      </c>
      <c r="E669" t="s">
        <v>197</v>
      </c>
      <c r="F669" t="s">
        <v>197</v>
      </c>
      <c r="G669" t="s">
        <v>197</v>
      </c>
      <c r="H669" t="s">
        <v>197</v>
      </c>
      <c r="I669" t="s">
        <v>197</v>
      </c>
      <c r="J669" t="s">
        <v>197</v>
      </c>
      <c r="K669" t="s">
        <v>422</v>
      </c>
    </row>
    <row r="670" spans="1:24">
      <c r="A670" t="s">
        <v>869</v>
      </c>
      <c r="K670" t="s">
        <v>870</v>
      </c>
      <c r="W670" t="s">
        <v>171</v>
      </c>
      <c r="X670" t="str">
        <f>A670</f>
        <v>info_varcharmax_dml_batch1_pk_urp1</v>
      </c>
    </row>
    <row r="671" spans="1:24">
      <c r="B671" t="s">
        <v>196</v>
      </c>
      <c r="C671" t="s">
        <v>197</v>
      </c>
      <c r="D671" t="s">
        <v>197</v>
      </c>
      <c r="E671" t="s">
        <v>197</v>
      </c>
      <c r="F671" t="s">
        <v>197</v>
      </c>
      <c r="G671" t="s">
        <v>197</v>
      </c>
      <c r="H671" t="s">
        <v>197</v>
      </c>
      <c r="I671" t="s">
        <v>871</v>
      </c>
      <c r="J671" t="s">
        <v>199</v>
      </c>
      <c r="K671" t="s">
        <v>200</v>
      </c>
    </row>
    <row r="672" spans="1:24">
      <c r="B672" t="s">
        <v>197</v>
      </c>
      <c r="C672" t="s">
        <v>197</v>
      </c>
      <c r="D672" t="s">
        <v>197</v>
      </c>
      <c r="E672" t="s">
        <v>197</v>
      </c>
      <c r="F672" t="s">
        <v>197</v>
      </c>
      <c r="G672" t="s">
        <v>197</v>
      </c>
      <c r="H672" t="s">
        <v>197</v>
      </c>
      <c r="I672" t="s">
        <v>197</v>
      </c>
      <c r="J672" t="s">
        <v>197</v>
      </c>
      <c r="K672" t="s">
        <v>725</v>
      </c>
    </row>
    <row r="673" spans="1:24">
      <c r="B673" t="s">
        <v>197</v>
      </c>
      <c r="C673" t="s">
        <v>197</v>
      </c>
      <c r="D673" t="s">
        <v>197</v>
      </c>
      <c r="E673" t="s">
        <v>197</v>
      </c>
      <c r="F673" t="s">
        <v>197</v>
      </c>
      <c r="G673" t="s">
        <v>197</v>
      </c>
      <c r="H673" t="s">
        <v>197</v>
      </c>
      <c r="I673" t="s">
        <v>197</v>
      </c>
      <c r="J673" t="s">
        <v>197</v>
      </c>
      <c r="K673" t="s">
        <v>726</v>
      </c>
    </row>
    <row r="674" spans="1:24">
      <c r="K674" t="s">
        <v>443</v>
      </c>
    </row>
    <row r="675" spans="1:24">
      <c r="A675" t="s">
        <v>863</v>
      </c>
      <c r="K675" t="s">
        <v>864</v>
      </c>
      <c r="W675" s="1" t="str">
        <f>HYPERLINK("#2026042015hbase1!AE2","NO 源备存在差异，共6个")</f>
        <v>NO 源备存在差异，共6个</v>
      </c>
      <c r="X675" t="str">
        <f>A675</f>
        <v>info_int_dml_single_pk_irp</v>
      </c>
    </row>
    <row r="676" spans="1:24">
      <c r="B676" t="s">
        <v>196</v>
      </c>
      <c r="C676" t="s">
        <v>197</v>
      </c>
      <c r="D676" t="s">
        <v>197</v>
      </c>
      <c r="E676" t="s">
        <v>197</v>
      </c>
      <c r="F676" t="s">
        <v>197</v>
      </c>
      <c r="G676" t="s">
        <v>197</v>
      </c>
      <c r="H676" t="s">
        <v>197</v>
      </c>
      <c r="I676" t="s">
        <v>865</v>
      </c>
      <c r="J676" t="s">
        <v>199</v>
      </c>
      <c r="K676" t="s">
        <v>200</v>
      </c>
    </row>
    <row r="677" spans="1:24">
      <c r="B677" t="s">
        <v>197</v>
      </c>
      <c r="C677" t="s">
        <v>197</v>
      </c>
      <c r="D677" t="s">
        <v>197</v>
      </c>
      <c r="E677" t="s">
        <v>197</v>
      </c>
      <c r="F677" t="s">
        <v>197</v>
      </c>
      <c r="G677" t="s">
        <v>197</v>
      </c>
      <c r="H677" t="s">
        <v>197</v>
      </c>
      <c r="I677" t="s">
        <v>197</v>
      </c>
      <c r="J677" t="s">
        <v>197</v>
      </c>
      <c r="K677" t="s">
        <v>549</v>
      </c>
    </row>
    <row r="678" spans="1:24">
      <c r="B678" t="s">
        <v>197</v>
      </c>
      <c r="C678" t="s">
        <v>197</v>
      </c>
      <c r="D678" t="s">
        <v>197</v>
      </c>
      <c r="E678" t="s">
        <v>197</v>
      </c>
      <c r="F678" t="s">
        <v>197</v>
      </c>
      <c r="G678" t="s">
        <v>197</v>
      </c>
      <c r="H678" t="s">
        <v>197</v>
      </c>
      <c r="I678" t="s">
        <v>197</v>
      </c>
      <c r="J678" t="s">
        <v>197</v>
      </c>
      <c r="K678" t="s">
        <v>550</v>
      </c>
    </row>
    <row r="679" spans="1:24">
      <c r="B679" t="s">
        <v>197</v>
      </c>
      <c r="C679" t="s">
        <v>197</v>
      </c>
      <c r="D679" t="s">
        <v>197</v>
      </c>
      <c r="E679" t="s">
        <v>197</v>
      </c>
      <c r="F679" t="s">
        <v>197</v>
      </c>
      <c r="G679" t="s">
        <v>197</v>
      </c>
      <c r="H679" t="s">
        <v>197</v>
      </c>
      <c r="I679" t="s">
        <v>197</v>
      </c>
      <c r="J679" t="s">
        <v>197</v>
      </c>
      <c r="K679" t="s">
        <v>551</v>
      </c>
    </row>
    <row r="680" spans="1:24">
      <c r="B680" t="s">
        <v>197</v>
      </c>
      <c r="C680" t="s">
        <v>197</v>
      </c>
      <c r="D680" t="s">
        <v>197</v>
      </c>
      <c r="E680" t="s">
        <v>197</v>
      </c>
      <c r="F680" t="s">
        <v>197</v>
      </c>
      <c r="G680" t="s">
        <v>197</v>
      </c>
      <c r="H680" t="s">
        <v>197</v>
      </c>
      <c r="I680" t="s">
        <v>197</v>
      </c>
      <c r="J680" t="s">
        <v>197</v>
      </c>
      <c r="K680" t="s">
        <v>552</v>
      </c>
    </row>
    <row r="681" spans="1:24">
      <c r="B681" t="s">
        <v>197</v>
      </c>
      <c r="C681" t="s">
        <v>197</v>
      </c>
      <c r="D681" t="s">
        <v>197</v>
      </c>
      <c r="E681" t="s">
        <v>197</v>
      </c>
      <c r="F681" t="s">
        <v>197</v>
      </c>
      <c r="G681" t="s">
        <v>197</v>
      </c>
      <c r="H681" t="s">
        <v>197</v>
      </c>
      <c r="I681" t="s">
        <v>197</v>
      </c>
      <c r="J681" t="s">
        <v>197</v>
      </c>
      <c r="K681" t="s">
        <v>553</v>
      </c>
    </row>
    <row r="682" spans="1:24">
      <c r="B682" t="s">
        <v>197</v>
      </c>
      <c r="C682" t="s">
        <v>197</v>
      </c>
      <c r="D682" t="s">
        <v>197</v>
      </c>
      <c r="E682" t="s">
        <v>197</v>
      </c>
      <c r="F682" t="s">
        <v>197</v>
      </c>
      <c r="G682" t="s">
        <v>197</v>
      </c>
      <c r="H682" t="s">
        <v>197</v>
      </c>
      <c r="I682" t="s">
        <v>197</v>
      </c>
      <c r="J682" t="s">
        <v>197</v>
      </c>
      <c r="K682" t="s">
        <v>554</v>
      </c>
    </row>
    <row r="683" spans="1:24">
      <c r="B683" t="s">
        <v>197</v>
      </c>
      <c r="C683" t="s">
        <v>197</v>
      </c>
      <c r="D683" t="s">
        <v>197</v>
      </c>
      <c r="E683" t="s">
        <v>197</v>
      </c>
      <c r="F683" t="s">
        <v>197</v>
      </c>
      <c r="G683" t="s">
        <v>197</v>
      </c>
      <c r="H683" t="s">
        <v>197</v>
      </c>
      <c r="I683" t="s">
        <v>197</v>
      </c>
      <c r="J683" t="s">
        <v>197</v>
      </c>
      <c r="K683" t="s">
        <v>555</v>
      </c>
    </row>
    <row r="684" spans="1:24">
      <c r="B684" t="s">
        <v>197</v>
      </c>
      <c r="C684" t="s">
        <v>197</v>
      </c>
      <c r="D684" t="s">
        <v>197</v>
      </c>
      <c r="E684" t="s">
        <v>197</v>
      </c>
      <c r="F684" t="s">
        <v>197</v>
      </c>
      <c r="G684" t="s">
        <v>197</v>
      </c>
      <c r="H684" t="s">
        <v>197</v>
      </c>
      <c r="I684" t="s">
        <v>197</v>
      </c>
      <c r="J684" t="s">
        <v>197</v>
      </c>
      <c r="K684" t="s">
        <v>556</v>
      </c>
    </row>
    <row r="685" spans="1:24">
      <c r="B685" t="s">
        <v>197</v>
      </c>
      <c r="C685" t="s">
        <v>197</v>
      </c>
      <c r="D685" t="s">
        <v>197</v>
      </c>
      <c r="E685" t="s">
        <v>197</v>
      </c>
      <c r="F685" t="s">
        <v>197</v>
      </c>
      <c r="G685" t="s">
        <v>197</v>
      </c>
      <c r="H685" t="s">
        <v>197</v>
      </c>
      <c r="I685" t="s">
        <v>197</v>
      </c>
      <c r="J685" t="s">
        <v>197</v>
      </c>
      <c r="K685" t="s">
        <v>557</v>
      </c>
    </row>
    <row r="686" spans="1:24">
      <c r="B686" t="s">
        <v>197</v>
      </c>
      <c r="C686" t="s">
        <v>197</v>
      </c>
      <c r="D686" t="s">
        <v>197</v>
      </c>
      <c r="E686" t="s">
        <v>197</v>
      </c>
      <c r="F686" t="s">
        <v>197</v>
      </c>
      <c r="G686" t="s">
        <v>197</v>
      </c>
      <c r="H686" t="s">
        <v>197</v>
      </c>
      <c r="I686" t="s">
        <v>197</v>
      </c>
      <c r="J686" t="s">
        <v>197</v>
      </c>
      <c r="K686" t="s">
        <v>558</v>
      </c>
    </row>
    <row r="687" spans="1:24">
      <c r="B687" t="s">
        <v>197</v>
      </c>
      <c r="C687" t="s">
        <v>197</v>
      </c>
      <c r="D687" t="s">
        <v>197</v>
      </c>
      <c r="E687" t="s">
        <v>197</v>
      </c>
      <c r="F687" t="s">
        <v>197</v>
      </c>
      <c r="G687" t="s">
        <v>197</v>
      </c>
      <c r="H687" t="s">
        <v>197</v>
      </c>
      <c r="I687" t="s">
        <v>197</v>
      </c>
      <c r="J687" t="s">
        <v>197</v>
      </c>
      <c r="K687" t="s">
        <v>559</v>
      </c>
    </row>
    <row r="688" spans="1:24">
      <c r="B688" t="s">
        <v>197</v>
      </c>
      <c r="C688" t="s">
        <v>197</v>
      </c>
      <c r="D688" t="s">
        <v>197</v>
      </c>
      <c r="E688" t="s">
        <v>197</v>
      </c>
      <c r="F688" t="s">
        <v>197</v>
      </c>
      <c r="G688" t="s">
        <v>197</v>
      </c>
      <c r="H688" t="s">
        <v>197</v>
      </c>
      <c r="I688" t="s">
        <v>197</v>
      </c>
      <c r="J688" t="s">
        <v>197</v>
      </c>
      <c r="K688" t="s">
        <v>560</v>
      </c>
    </row>
    <row r="689" spans="1:24">
      <c r="B689" t="s">
        <v>197</v>
      </c>
      <c r="C689" t="s">
        <v>197</v>
      </c>
      <c r="D689" t="s">
        <v>197</v>
      </c>
      <c r="E689" t="s">
        <v>197</v>
      </c>
      <c r="F689" t="s">
        <v>197</v>
      </c>
      <c r="G689" t="s">
        <v>197</v>
      </c>
      <c r="H689" t="s">
        <v>197</v>
      </c>
      <c r="I689" t="s">
        <v>197</v>
      </c>
      <c r="J689" t="s">
        <v>197</v>
      </c>
      <c r="K689" t="s">
        <v>561</v>
      </c>
    </row>
    <row r="690" spans="1:24">
      <c r="B690" t="s">
        <v>197</v>
      </c>
      <c r="C690" t="s">
        <v>197</v>
      </c>
      <c r="D690" t="s">
        <v>197</v>
      </c>
      <c r="E690" t="s">
        <v>197</v>
      </c>
      <c r="F690" t="s">
        <v>197</v>
      </c>
      <c r="G690" t="s">
        <v>197</v>
      </c>
      <c r="H690" t="s">
        <v>197</v>
      </c>
      <c r="I690" t="s">
        <v>197</v>
      </c>
      <c r="J690" t="s">
        <v>197</v>
      </c>
      <c r="K690" t="s">
        <v>562</v>
      </c>
    </row>
    <row r="691" spans="1:24">
      <c r="B691" t="s">
        <v>197</v>
      </c>
      <c r="C691" t="s">
        <v>197</v>
      </c>
      <c r="D691" t="s">
        <v>197</v>
      </c>
      <c r="E691" t="s">
        <v>197</v>
      </c>
      <c r="F691" t="s">
        <v>197</v>
      </c>
      <c r="G691" t="s">
        <v>197</v>
      </c>
      <c r="H691" t="s">
        <v>197</v>
      </c>
      <c r="I691" t="s">
        <v>197</v>
      </c>
      <c r="J691" t="s">
        <v>197</v>
      </c>
      <c r="K691" t="s">
        <v>563</v>
      </c>
    </row>
    <row r="692" spans="1:24">
      <c r="B692" t="s">
        <v>197</v>
      </c>
      <c r="C692" t="s">
        <v>197</v>
      </c>
      <c r="D692" t="s">
        <v>197</v>
      </c>
      <c r="E692" t="s">
        <v>197</v>
      </c>
      <c r="F692" t="s">
        <v>197</v>
      </c>
      <c r="G692" t="s">
        <v>197</v>
      </c>
      <c r="H692" t="s">
        <v>197</v>
      </c>
      <c r="I692" t="s">
        <v>197</v>
      </c>
      <c r="J692" t="s">
        <v>197</v>
      </c>
      <c r="K692" t="s">
        <v>564</v>
      </c>
    </row>
    <row r="693" spans="1:24">
      <c r="B693" t="s">
        <v>197</v>
      </c>
      <c r="C693" t="s">
        <v>197</v>
      </c>
      <c r="D693" t="s">
        <v>197</v>
      </c>
      <c r="E693" t="s">
        <v>197</v>
      </c>
      <c r="F693" t="s">
        <v>197</v>
      </c>
      <c r="G693" t="s">
        <v>197</v>
      </c>
      <c r="H693" t="s">
        <v>197</v>
      </c>
      <c r="I693" t="s">
        <v>197</v>
      </c>
      <c r="J693" t="s">
        <v>197</v>
      </c>
      <c r="K693" t="s">
        <v>565</v>
      </c>
    </row>
    <row r="694" spans="1:24">
      <c r="B694" t="s">
        <v>197</v>
      </c>
      <c r="C694" t="s">
        <v>197</v>
      </c>
      <c r="D694" t="s">
        <v>197</v>
      </c>
      <c r="E694" t="s">
        <v>197</v>
      </c>
      <c r="F694" t="s">
        <v>197</v>
      </c>
      <c r="G694" t="s">
        <v>197</v>
      </c>
      <c r="H694" t="s">
        <v>197</v>
      </c>
      <c r="I694" t="s">
        <v>197</v>
      </c>
      <c r="J694" t="s">
        <v>197</v>
      </c>
      <c r="K694" t="s">
        <v>566</v>
      </c>
    </row>
    <row r="695" spans="1:24">
      <c r="B695" t="s">
        <v>197</v>
      </c>
      <c r="C695" t="s">
        <v>197</v>
      </c>
      <c r="D695" t="s">
        <v>197</v>
      </c>
      <c r="E695" t="s">
        <v>197</v>
      </c>
      <c r="F695" t="s">
        <v>197</v>
      </c>
      <c r="G695" t="s">
        <v>197</v>
      </c>
      <c r="H695" t="s">
        <v>197</v>
      </c>
      <c r="I695" t="s">
        <v>197</v>
      </c>
      <c r="J695" t="s">
        <v>197</v>
      </c>
      <c r="K695" t="s">
        <v>567</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884</v>
      </c>
      <c r="K710" t="s">
        <v>885</v>
      </c>
      <c r="W710" t="s">
        <v>171</v>
      </c>
      <c r="X710" t="str">
        <f>A710</f>
        <v>info_sdt_dml_single_pk_drp</v>
      </c>
    </row>
    <row r="711" spans="1:24">
      <c r="B711" t="s">
        <v>196</v>
      </c>
      <c r="C711" t="s">
        <v>197</v>
      </c>
      <c r="D711" t="s">
        <v>197</v>
      </c>
      <c r="E711" t="s">
        <v>197</v>
      </c>
      <c r="F711" t="s">
        <v>197</v>
      </c>
      <c r="G711" t="s">
        <v>197</v>
      </c>
      <c r="H711" t="s">
        <v>197</v>
      </c>
      <c r="I711" t="s">
        <v>886</v>
      </c>
      <c r="J711" t="s">
        <v>199</v>
      </c>
      <c r="K711" t="s">
        <v>200</v>
      </c>
    </row>
    <row r="712" spans="1:24">
      <c r="B712" t="s">
        <v>197</v>
      </c>
      <c r="C712" t="s">
        <v>197</v>
      </c>
      <c r="D712" t="s">
        <v>197</v>
      </c>
      <c r="E712" t="s">
        <v>197</v>
      </c>
      <c r="F712" t="s">
        <v>197</v>
      </c>
      <c r="G712" t="s">
        <v>197</v>
      </c>
      <c r="H712" t="s">
        <v>197</v>
      </c>
      <c r="I712" t="s">
        <v>197</v>
      </c>
      <c r="J712" t="s">
        <v>197</v>
      </c>
      <c r="K712" t="s">
        <v>422</v>
      </c>
    </row>
    <row r="713" spans="1:24">
      <c r="A713" t="s">
        <v>881</v>
      </c>
      <c r="K713" t="s">
        <v>882</v>
      </c>
      <c r="W713" t="s">
        <v>171</v>
      </c>
      <c r="X713" t="str">
        <f>A713</f>
        <v>info_varcharmax_dml_single_pk_irp</v>
      </c>
    </row>
    <row r="714" spans="1:24">
      <c r="B714" t="s">
        <v>196</v>
      </c>
      <c r="C714" t="s">
        <v>197</v>
      </c>
      <c r="D714" t="s">
        <v>197</v>
      </c>
      <c r="E714" t="s">
        <v>197</v>
      </c>
      <c r="F714" t="s">
        <v>197</v>
      </c>
      <c r="G714" t="s">
        <v>197</v>
      </c>
      <c r="H714" t="s">
        <v>197</v>
      </c>
      <c r="I714" t="s">
        <v>883</v>
      </c>
      <c r="J714" t="s">
        <v>199</v>
      </c>
      <c r="K714" t="s">
        <v>200</v>
      </c>
    </row>
    <row r="715" spans="1:24">
      <c r="B715" t="s">
        <v>197</v>
      </c>
      <c r="C715" t="s">
        <v>197</v>
      </c>
      <c r="D715" t="s">
        <v>197</v>
      </c>
      <c r="E715" t="s">
        <v>197</v>
      </c>
      <c r="F715" t="s">
        <v>197</v>
      </c>
      <c r="G715" t="s">
        <v>197</v>
      </c>
      <c r="H715" t="s">
        <v>197</v>
      </c>
      <c r="I715" t="s">
        <v>197</v>
      </c>
      <c r="J715" t="s">
        <v>197</v>
      </c>
      <c r="K715" t="s">
        <v>725</v>
      </c>
    </row>
    <row r="716" spans="1:24">
      <c r="B716" t="s">
        <v>197</v>
      </c>
      <c r="C716" t="s">
        <v>197</v>
      </c>
      <c r="D716" t="s">
        <v>197</v>
      </c>
      <c r="E716" t="s">
        <v>197</v>
      </c>
      <c r="F716" t="s">
        <v>197</v>
      </c>
      <c r="G716" t="s">
        <v>197</v>
      </c>
      <c r="H716" t="s">
        <v>197</v>
      </c>
      <c r="I716" t="s">
        <v>197</v>
      </c>
      <c r="J716" t="s">
        <v>197</v>
      </c>
      <c r="K716" t="s">
        <v>726</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893</v>
      </c>
      <c r="K722" t="s">
        <v>894</v>
      </c>
      <c r="W722" s="1" t="str">
        <f>HYPERLINK("#2026042015hbase1!AF2","NO 源备存在差异，共4个")</f>
        <v>NO 源备存在差异，共4个</v>
      </c>
      <c r="X722" t="str">
        <f>A722</f>
        <v>info_int_dml_single_pk_urp</v>
      </c>
    </row>
    <row r="723" spans="1:24">
      <c r="B723" t="s">
        <v>196</v>
      </c>
      <c r="C723" t="s">
        <v>197</v>
      </c>
      <c r="D723" t="s">
        <v>197</v>
      </c>
      <c r="E723" t="s">
        <v>197</v>
      </c>
      <c r="F723" t="s">
        <v>197</v>
      </c>
      <c r="G723" t="s">
        <v>197</v>
      </c>
      <c r="H723" t="s">
        <v>197</v>
      </c>
      <c r="I723" t="s">
        <v>895</v>
      </c>
      <c r="J723" t="s">
        <v>199</v>
      </c>
      <c r="K723" t="s">
        <v>200</v>
      </c>
    </row>
    <row r="724" spans="1:24">
      <c r="B724" t="s">
        <v>197</v>
      </c>
      <c r="C724" t="s">
        <v>197</v>
      </c>
      <c r="D724" t="s">
        <v>197</v>
      </c>
      <c r="E724" t="s">
        <v>197</v>
      </c>
      <c r="F724" t="s">
        <v>197</v>
      </c>
      <c r="G724" t="s">
        <v>197</v>
      </c>
      <c r="H724" t="s">
        <v>197</v>
      </c>
      <c r="I724" t="s">
        <v>197</v>
      </c>
      <c r="J724" t="s">
        <v>197</v>
      </c>
      <c r="K724" t="s">
        <v>549</v>
      </c>
    </row>
    <row r="725" spans="1:24">
      <c r="B725" t="s">
        <v>197</v>
      </c>
      <c r="C725" t="s">
        <v>197</v>
      </c>
      <c r="D725" t="s">
        <v>197</v>
      </c>
      <c r="E725" t="s">
        <v>197</v>
      </c>
      <c r="F725" t="s">
        <v>197</v>
      </c>
      <c r="G725" t="s">
        <v>197</v>
      </c>
      <c r="H725" t="s">
        <v>197</v>
      </c>
      <c r="I725" t="s">
        <v>197</v>
      </c>
      <c r="J725" t="s">
        <v>197</v>
      </c>
      <c r="K725" t="s">
        <v>550</v>
      </c>
    </row>
    <row r="726" spans="1:24">
      <c r="B726" t="s">
        <v>197</v>
      </c>
      <c r="C726" t="s">
        <v>197</v>
      </c>
      <c r="D726" t="s">
        <v>197</v>
      </c>
      <c r="E726" t="s">
        <v>197</v>
      </c>
      <c r="F726" t="s">
        <v>197</v>
      </c>
      <c r="G726" t="s">
        <v>197</v>
      </c>
      <c r="H726" t="s">
        <v>197</v>
      </c>
      <c r="I726" t="s">
        <v>197</v>
      </c>
      <c r="J726" t="s">
        <v>197</v>
      </c>
      <c r="K726" t="s">
        <v>551</v>
      </c>
    </row>
    <row r="727" spans="1:24">
      <c r="B727" t="s">
        <v>197</v>
      </c>
      <c r="C727" t="s">
        <v>197</v>
      </c>
      <c r="D727" t="s">
        <v>197</v>
      </c>
      <c r="E727" t="s">
        <v>197</v>
      </c>
      <c r="F727" t="s">
        <v>197</v>
      </c>
      <c r="G727" t="s">
        <v>197</v>
      </c>
      <c r="H727" t="s">
        <v>197</v>
      </c>
      <c r="I727" t="s">
        <v>197</v>
      </c>
      <c r="J727" t="s">
        <v>197</v>
      </c>
      <c r="K727" t="s">
        <v>552</v>
      </c>
    </row>
    <row r="728" spans="1:24">
      <c r="B728" t="s">
        <v>197</v>
      </c>
      <c r="C728" t="s">
        <v>197</v>
      </c>
      <c r="D728" t="s">
        <v>197</v>
      </c>
      <c r="E728" t="s">
        <v>197</v>
      </c>
      <c r="F728" t="s">
        <v>197</v>
      </c>
      <c r="G728" t="s">
        <v>197</v>
      </c>
      <c r="H728" t="s">
        <v>197</v>
      </c>
      <c r="I728" t="s">
        <v>197</v>
      </c>
      <c r="J728" t="s">
        <v>197</v>
      </c>
      <c r="K728" t="s">
        <v>553</v>
      </c>
    </row>
    <row r="729" spans="1:24">
      <c r="B729" t="s">
        <v>197</v>
      </c>
      <c r="C729" t="s">
        <v>197</v>
      </c>
      <c r="D729" t="s">
        <v>197</v>
      </c>
      <c r="E729" t="s">
        <v>197</v>
      </c>
      <c r="F729" t="s">
        <v>197</v>
      </c>
      <c r="G729" t="s">
        <v>197</v>
      </c>
      <c r="H729" t="s">
        <v>197</v>
      </c>
      <c r="I729" t="s">
        <v>197</v>
      </c>
      <c r="J729" t="s">
        <v>197</v>
      </c>
      <c r="K729" t="s">
        <v>554</v>
      </c>
    </row>
    <row r="730" spans="1:24">
      <c r="B730" t="s">
        <v>197</v>
      </c>
      <c r="C730" t="s">
        <v>197</v>
      </c>
      <c r="D730" t="s">
        <v>197</v>
      </c>
      <c r="E730" t="s">
        <v>197</v>
      </c>
      <c r="F730" t="s">
        <v>197</v>
      </c>
      <c r="G730" t="s">
        <v>197</v>
      </c>
      <c r="H730" t="s">
        <v>197</v>
      </c>
      <c r="I730" t="s">
        <v>197</v>
      </c>
      <c r="J730" t="s">
        <v>197</v>
      </c>
      <c r="K730" t="s">
        <v>555</v>
      </c>
    </row>
    <row r="731" spans="1:24">
      <c r="B731" t="s">
        <v>197</v>
      </c>
      <c r="C731" t="s">
        <v>197</v>
      </c>
      <c r="D731" t="s">
        <v>197</v>
      </c>
      <c r="E731" t="s">
        <v>197</v>
      </c>
      <c r="F731" t="s">
        <v>197</v>
      </c>
      <c r="G731" t="s">
        <v>197</v>
      </c>
      <c r="H731" t="s">
        <v>197</v>
      </c>
      <c r="I731" t="s">
        <v>197</v>
      </c>
      <c r="J731" t="s">
        <v>197</v>
      </c>
      <c r="K731" t="s">
        <v>556</v>
      </c>
    </row>
    <row r="732" spans="1:24">
      <c r="B732" t="s">
        <v>197</v>
      </c>
      <c r="C732" t="s">
        <v>197</v>
      </c>
      <c r="D732" t="s">
        <v>197</v>
      </c>
      <c r="E732" t="s">
        <v>197</v>
      </c>
      <c r="F732" t="s">
        <v>197</v>
      </c>
      <c r="G732" t="s">
        <v>197</v>
      </c>
      <c r="H732" t="s">
        <v>197</v>
      </c>
      <c r="I732" t="s">
        <v>197</v>
      </c>
      <c r="J732" t="s">
        <v>197</v>
      </c>
      <c r="K732" t="s">
        <v>557</v>
      </c>
    </row>
    <row r="733" spans="1:24">
      <c r="B733" t="s">
        <v>197</v>
      </c>
      <c r="C733" t="s">
        <v>197</v>
      </c>
      <c r="D733" t="s">
        <v>197</v>
      </c>
      <c r="E733" t="s">
        <v>197</v>
      </c>
      <c r="F733" t="s">
        <v>197</v>
      </c>
      <c r="G733" t="s">
        <v>197</v>
      </c>
      <c r="H733" t="s">
        <v>197</v>
      </c>
      <c r="I733" t="s">
        <v>197</v>
      </c>
      <c r="J733" t="s">
        <v>197</v>
      </c>
      <c r="K733" t="s">
        <v>558</v>
      </c>
    </row>
    <row r="734" spans="1:24">
      <c r="B734" t="s">
        <v>197</v>
      </c>
      <c r="C734" t="s">
        <v>197</v>
      </c>
      <c r="D734" t="s">
        <v>197</v>
      </c>
      <c r="E734" t="s">
        <v>197</v>
      </c>
      <c r="F734" t="s">
        <v>197</v>
      </c>
      <c r="G734" t="s">
        <v>197</v>
      </c>
      <c r="H734" t="s">
        <v>197</v>
      </c>
      <c r="I734" t="s">
        <v>197</v>
      </c>
      <c r="J734" t="s">
        <v>197</v>
      </c>
      <c r="K734" t="s">
        <v>559</v>
      </c>
    </row>
    <row r="735" spans="1:24">
      <c r="B735" t="s">
        <v>197</v>
      </c>
      <c r="C735" t="s">
        <v>197</v>
      </c>
      <c r="D735" t="s">
        <v>197</v>
      </c>
      <c r="E735" t="s">
        <v>197</v>
      </c>
      <c r="F735" t="s">
        <v>197</v>
      </c>
      <c r="G735" t="s">
        <v>197</v>
      </c>
      <c r="H735" t="s">
        <v>197</v>
      </c>
      <c r="I735" t="s">
        <v>197</v>
      </c>
      <c r="J735" t="s">
        <v>197</v>
      </c>
      <c r="K735" t="s">
        <v>560</v>
      </c>
    </row>
    <row r="736" spans="1:24">
      <c r="B736" t="s">
        <v>197</v>
      </c>
      <c r="C736" t="s">
        <v>197</v>
      </c>
      <c r="D736" t="s">
        <v>197</v>
      </c>
      <c r="E736" t="s">
        <v>197</v>
      </c>
      <c r="F736" t="s">
        <v>197</v>
      </c>
      <c r="G736" t="s">
        <v>197</v>
      </c>
      <c r="H736" t="s">
        <v>197</v>
      </c>
      <c r="I736" t="s">
        <v>197</v>
      </c>
      <c r="J736" t="s">
        <v>197</v>
      </c>
      <c r="K736" t="s">
        <v>561</v>
      </c>
    </row>
    <row r="737" spans="1:24">
      <c r="B737" t="s">
        <v>197</v>
      </c>
      <c r="C737" t="s">
        <v>197</v>
      </c>
      <c r="D737" t="s">
        <v>197</v>
      </c>
      <c r="E737" t="s">
        <v>197</v>
      </c>
      <c r="F737" t="s">
        <v>197</v>
      </c>
      <c r="G737" t="s">
        <v>197</v>
      </c>
      <c r="H737" t="s">
        <v>197</v>
      </c>
      <c r="I737" t="s">
        <v>197</v>
      </c>
      <c r="J737" t="s">
        <v>197</v>
      </c>
      <c r="K737" t="s">
        <v>562</v>
      </c>
    </row>
    <row r="738" spans="1:24">
      <c r="B738" t="s">
        <v>197</v>
      </c>
      <c r="C738" t="s">
        <v>197</v>
      </c>
      <c r="D738" t="s">
        <v>197</v>
      </c>
      <c r="E738" t="s">
        <v>197</v>
      </c>
      <c r="F738" t="s">
        <v>197</v>
      </c>
      <c r="G738" t="s">
        <v>197</v>
      </c>
      <c r="H738" t="s">
        <v>197</v>
      </c>
      <c r="I738" t="s">
        <v>197</v>
      </c>
      <c r="J738" t="s">
        <v>197</v>
      </c>
      <c r="K738" t="s">
        <v>563</v>
      </c>
    </row>
    <row r="739" spans="1:24">
      <c r="B739" t="s">
        <v>197</v>
      </c>
      <c r="C739" t="s">
        <v>197</v>
      </c>
      <c r="D739" t="s">
        <v>197</v>
      </c>
      <c r="E739" t="s">
        <v>197</v>
      </c>
      <c r="F739" t="s">
        <v>197</v>
      </c>
      <c r="G739" t="s">
        <v>197</v>
      </c>
      <c r="H739" t="s">
        <v>197</v>
      </c>
      <c r="I739" t="s">
        <v>197</v>
      </c>
      <c r="J739" t="s">
        <v>197</v>
      </c>
      <c r="K739" t="s">
        <v>564</v>
      </c>
    </row>
    <row r="740" spans="1:24">
      <c r="B740" t="s">
        <v>197</v>
      </c>
      <c r="C740" t="s">
        <v>197</v>
      </c>
      <c r="D740" t="s">
        <v>197</v>
      </c>
      <c r="E740" t="s">
        <v>197</v>
      </c>
      <c r="F740" t="s">
        <v>197</v>
      </c>
      <c r="G740" t="s">
        <v>197</v>
      </c>
      <c r="H740" t="s">
        <v>197</v>
      </c>
      <c r="I740" t="s">
        <v>197</v>
      </c>
      <c r="J740" t="s">
        <v>197</v>
      </c>
      <c r="K740" t="s">
        <v>565</v>
      </c>
    </row>
    <row r="741" spans="1:24">
      <c r="B741" t="s">
        <v>197</v>
      </c>
      <c r="C741" t="s">
        <v>197</v>
      </c>
      <c r="D741" t="s">
        <v>197</v>
      </c>
      <c r="E741" t="s">
        <v>197</v>
      </c>
      <c r="F741" t="s">
        <v>197</v>
      </c>
      <c r="G741" t="s">
        <v>197</v>
      </c>
      <c r="H741" t="s">
        <v>197</v>
      </c>
      <c r="I741" t="s">
        <v>197</v>
      </c>
      <c r="J741" t="s">
        <v>197</v>
      </c>
      <c r="K741" t="s">
        <v>566</v>
      </c>
    </row>
    <row r="742" spans="1:24">
      <c r="B742" t="s">
        <v>197</v>
      </c>
      <c r="C742" t="s">
        <v>197</v>
      </c>
      <c r="D742" t="s">
        <v>197</v>
      </c>
      <c r="E742" t="s">
        <v>197</v>
      </c>
      <c r="F742" t="s">
        <v>197</v>
      </c>
      <c r="G742" t="s">
        <v>197</v>
      </c>
      <c r="H742" t="s">
        <v>197</v>
      </c>
      <c r="I742" t="s">
        <v>197</v>
      </c>
      <c r="J742" t="s">
        <v>197</v>
      </c>
      <c r="K742" t="s">
        <v>567</v>
      </c>
    </row>
    <row r="743" spans="1:24">
      <c r="A743" t="s">
        <v>890</v>
      </c>
      <c r="K743" t="s">
        <v>891</v>
      </c>
      <c r="W743" t="s">
        <v>171</v>
      </c>
      <c r="X743" t="str">
        <f>A743</f>
        <v>info_sdt_dml_single_pk</v>
      </c>
    </row>
    <row r="744" spans="1:24">
      <c r="B744" t="s">
        <v>196</v>
      </c>
      <c r="C744" t="s">
        <v>197</v>
      </c>
      <c r="D744" t="s">
        <v>197</v>
      </c>
      <c r="E744" t="s">
        <v>197</v>
      </c>
      <c r="F744" t="s">
        <v>197</v>
      </c>
      <c r="G744" t="s">
        <v>197</v>
      </c>
      <c r="H744" t="s">
        <v>197</v>
      </c>
      <c r="I744" t="s">
        <v>892</v>
      </c>
      <c r="J744" t="s">
        <v>199</v>
      </c>
      <c r="K744" t="s">
        <v>200</v>
      </c>
    </row>
    <row r="745" spans="1:24">
      <c r="B745" t="s">
        <v>197</v>
      </c>
      <c r="C745" t="s">
        <v>197</v>
      </c>
      <c r="D745" t="s">
        <v>197</v>
      </c>
      <c r="E745" t="s">
        <v>197</v>
      </c>
      <c r="F745" t="s">
        <v>197</v>
      </c>
      <c r="G745" t="s">
        <v>197</v>
      </c>
      <c r="H745" t="s">
        <v>197</v>
      </c>
      <c r="I745" t="s">
        <v>197</v>
      </c>
      <c r="J745" t="s">
        <v>197</v>
      </c>
      <c r="K745" t="s">
        <v>422</v>
      </c>
    </row>
    <row r="746" spans="1:24">
      <c r="A746" t="s">
        <v>899</v>
      </c>
      <c r="K746" t="s">
        <v>900</v>
      </c>
      <c r="W746" t="s">
        <v>171</v>
      </c>
      <c r="X746" t="str">
        <f>A746</f>
        <v>info_varcharmax_dml_single_pk_urp</v>
      </c>
    </row>
    <row r="747" spans="1:24">
      <c r="B747" t="s">
        <v>196</v>
      </c>
      <c r="C747" t="s">
        <v>197</v>
      </c>
      <c r="D747" t="s">
        <v>197</v>
      </c>
      <c r="E747" t="s">
        <v>197</v>
      </c>
      <c r="F747" t="s">
        <v>197</v>
      </c>
      <c r="G747" t="s">
        <v>197</v>
      </c>
      <c r="H747" t="s">
        <v>197</v>
      </c>
      <c r="I747" t="s">
        <v>901</v>
      </c>
      <c r="J747" t="s">
        <v>199</v>
      </c>
      <c r="K747" t="s">
        <v>200</v>
      </c>
    </row>
    <row r="748" spans="1:24">
      <c r="B748" t="s">
        <v>197</v>
      </c>
      <c r="C748" t="s">
        <v>197</v>
      </c>
      <c r="D748" t="s">
        <v>197</v>
      </c>
      <c r="E748" t="s">
        <v>197</v>
      </c>
      <c r="F748" t="s">
        <v>197</v>
      </c>
      <c r="G748" t="s">
        <v>197</v>
      </c>
      <c r="H748" t="s">
        <v>197</v>
      </c>
      <c r="I748" t="s">
        <v>197</v>
      </c>
      <c r="J748" t="s">
        <v>197</v>
      </c>
      <c r="K748" t="s">
        <v>725</v>
      </c>
    </row>
    <row r="749" spans="1:24">
      <c r="B749" t="s">
        <v>197</v>
      </c>
      <c r="C749" t="s">
        <v>197</v>
      </c>
      <c r="D749" t="s">
        <v>197</v>
      </c>
      <c r="E749" t="s">
        <v>197</v>
      </c>
      <c r="F749" t="s">
        <v>197</v>
      </c>
      <c r="G749" t="s">
        <v>197</v>
      </c>
      <c r="H749" t="s">
        <v>197</v>
      </c>
      <c r="I749" t="s">
        <v>197</v>
      </c>
      <c r="J749" t="s">
        <v>197</v>
      </c>
      <c r="K749" t="s">
        <v>726</v>
      </c>
    </row>
    <row r="750" spans="1:24">
      <c r="A750" t="s">
        <v>896</v>
      </c>
      <c r="K750" t="s">
        <v>897</v>
      </c>
      <c r="W750" t="s">
        <v>171</v>
      </c>
      <c r="X750" t="str">
        <f>A750</f>
        <v>info_char_dml_batch1_pk</v>
      </c>
    </row>
    <row r="751" spans="1:24">
      <c r="B751" t="s">
        <v>196</v>
      </c>
      <c r="C751" t="s">
        <v>197</v>
      </c>
      <c r="D751" t="s">
        <v>197</v>
      </c>
      <c r="E751" t="s">
        <v>197</v>
      </c>
      <c r="F751" t="s">
        <v>197</v>
      </c>
      <c r="G751" t="s">
        <v>197</v>
      </c>
      <c r="H751" t="s">
        <v>197</v>
      </c>
      <c r="I751" t="s">
        <v>898</v>
      </c>
      <c r="J751" t="s">
        <v>199</v>
      </c>
      <c r="K751" t="s">
        <v>200</v>
      </c>
    </row>
    <row r="752" spans="1:24">
      <c r="B752" t="s">
        <v>197</v>
      </c>
      <c r="C752" t="s">
        <v>197</v>
      </c>
      <c r="D752" t="s">
        <v>197</v>
      </c>
      <c r="E752" t="s">
        <v>197</v>
      </c>
      <c r="F752" t="s">
        <v>197</v>
      </c>
      <c r="G752" t="s">
        <v>197</v>
      </c>
      <c r="H752" t="s">
        <v>197</v>
      </c>
      <c r="I752" t="s">
        <v>197</v>
      </c>
      <c r="J752" t="s">
        <v>197</v>
      </c>
      <c r="K752" t="s">
        <v>622</v>
      </c>
    </row>
    <row r="753" spans="1:24">
      <c r="B753" t="s">
        <v>197</v>
      </c>
      <c r="C753" t="s">
        <v>197</v>
      </c>
      <c r="D753" t="s">
        <v>197</v>
      </c>
      <c r="E753" t="s">
        <v>197</v>
      </c>
      <c r="F753" t="s">
        <v>197</v>
      </c>
      <c r="G753" t="s">
        <v>197</v>
      </c>
      <c r="H753" t="s">
        <v>197</v>
      </c>
      <c r="I753" t="s">
        <v>197</v>
      </c>
      <c r="J753" t="s">
        <v>197</v>
      </c>
      <c r="K753" t="s">
        <v>623</v>
      </c>
    </row>
    <row r="754" spans="1:24">
      <c r="B754" t="s">
        <v>197</v>
      </c>
      <c r="C754" t="s">
        <v>197</v>
      </c>
      <c r="D754" t="s">
        <v>197</v>
      </c>
      <c r="E754" t="s">
        <v>197</v>
      </c>
      <c r="F754" t="s">
        <v>197</v>
      </c>
      <c r="G754" t="s">
        <v>197</v>
      </c>
      <c r="H754" t="s">
        <v>197</v>
      </c>
      <c r="I754" t="s">
        <v>197</v>
      </c>
      <c r="J754" t="s">
        <v>197</v>
      </c>
      <c r="K754" t="s">
        <v>832</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t="s">
        <v>171</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s="1" t="str">
        <f>HYPERLINK("#2026042015hbase1!AG2","NO 源备存在差异，共6个")</f>
        <v>NO 源备存在差异，共6个</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935</v>
      </c>
      <c r="K811" t="s">
        <v>936</v>
      </c>
      <c r="W811" t="s">
        <v>171</v>
      </c>
      <c r="X811" t="str">
        <f>A811</f>
        <v>info_int_dml_single_pk</v>
      </c>
    </row>
    <row r="812" spans="1:24">
      <c r="B812" t="s">
        <v>196</v>
      </c>
      <c r="C812" t="s">
        <v>197</v>
      </c>
      <c r="D812" t="s">
        <v>197</v>
      </c>
      <c r="E812" t="s">
        <v>197</v>
      </c>
      <c r="F812" t="s">
        <v>197</v>
      </c>
      <c r="G812" t="s">
        <v>197</v>
      </c>
      <c r="H812" t="s">
        <v>197</v>
      </c>
      <c r="I812" t="s">
        <v>937</v>
      </c>
      <c r="J812" t="s">
        <v>199</v>
      </c>
      <c r="K812" t="s">
        <v>200</v>
      </c>
    </row>
    <row r="813" spans="1:24">
      <c r="B813" t="s">
        <v>197</v>
      </c>
      <c r="C813" t="s">
        <v>197</v>
      </c>
      <c r="D813" t="s">
        <v>197</v>
      </c>
      <c r="E813" t="s">
        <v>197</v>
      </c>
      <c r="F813" t="s">
        <v>197</v>
      </c>
      <c r="G813" t="s">
        <v>197</v>
      </c>
      <c r="H813" t="s">
        <v>197</v>
      </c>
      <c r="I813" t="s">
        <v>197</v>
      </c>
      <c r="J813" t="s">
        <v>197</v>
      </c>
      <c r="K813" t="s">
        <v>549</v>
      </c>
    </row>
    <row r="814" spans="1:24">
      <c r="B814" t="s">
        <v>197</v>
      </c>
      <c r="C814" t="s">
        <v>197</v>
      </c>
      <c r="D814" t="s">
        <v>197</v>
      </c>
      <c r="E814" t="s">
        <v>197</v>
      </c>
      <c r="F814" t="s">
        <v>197</v>
      </c>
      <c r="G814" t="s">
        <v>197</v>
      </c>
      <c r="H814" t="s">
        <v>197</v>
      </c>
      <c r="I814" t="s">
        <v>197</v>
      </c>
      <c r="J814" t="s">
        <v>197</v>
      </c>
      <c r="K814" t="s">
        <v>550</v>
      </c>
    </row>
    <row r="815" spans="1:24">
      <c r="B815" t="s">
        <v>197</v>
      </c>
      <c r="C815" t="s">
        <v>197</v>
      </c>
      <c r="D815" t="s">
        <v>197</v>
      </c>
      <c r="E815" t="s">
        <v>197</v>
      </c>
      <c r="F815" t="s">
        <v>197</v>
      </c>
      <c r="G815" t="s">
        <v>197</v>
      </c>
      <c r="H815" t="s">
        <v>197</v>
      </c>
      <c r="I815" t="s">
        <v>197</v>
      </c>
      <c r="J815" t="s">
        <v>197</v>
      </c>
      <c r="K815" t="s">
        <v>551</v>
      </c>
    </row>
    <row r="816" spans="1:24">
      <c r="B816" t="s">
        <v>197</v>
      </c>
      <c r="C816" t="s">
        <v>197</v>
      </c>
      <c r="D816" t="s">
        <v>197</v>
      </c>
      <c r="E816" t="s">
        <v>197</v>
      </c>
      <c r="F816" t="s">
        <v>197</v>
      </c>
      <c r="G816" t="s">
        <v>197</v>
      </c>
      <c r="H816" t="s">
        <v>197</v>
      </c>
      <c r="I816" t="s">
        <v>197</v>
      </c>
      <c r="J816" t="s">
        <v>197</v>
      </c>
      <c r="K816" t="s">
        <v>552</v>
      </c>
    </row>
    <row r="817" spans="1:24">
      <c r="B817" t="s">
        <v>197</v>
      </c>
      <c r="C817" t="s">
        <v>197</v>
      </c>
      <c r="D817" t="s">
        <v>197</v>
      </c>
      <c r="E817" t="s">
        <v>197</v>
      </c>
      <c r="F817" t="s">
        <v>197</v>
      </c>
      <c r="G817" t="s">
        <v>197</v>
      </c>
      <c r="H817" t="s">
        <v>197</v>
      </c>
      <c r="I817" t="s">
        <v>197</v>
      </c>
      <c r="J817" t="s">
        <v>197</v>
      </c>
      <c r="K817" t="s">
        <v>553</v>
      </c>
    </row>
    <row r="818" spans="1:24">
      <c r="B818" t="s">
        <v>197</v>
      </c>
      <c r="C818" t="s">
        <v>197</v>
      </c>
      <c r="D818" t="s">
        <v>197</v>
      </c>
      <c r="E818" t="s">
        <v>197</v>
      </c>
      <c r="F818" t="s">
        <v>197</v>
      </c>
      <c r="G818" t="s">
        <v>197</v>
      </c>
      <c r="H818" t="s">
        <v>197</v>
      </c>
      <c r="I818" t="s">
        <v>197</v>
      </c>
      <c r="J818" t="s">
        <v>197</v>
      </c>
      <c r="K818" t="s">
        <v>554</v>
      </c>
    </row>
    <row r="819" spans="1:24">
      <c r="B819" t="s">
        <v>197</v>
      </c>
      <c r="C819" t="s">
        <v>197</v>
      </c>
      <c r="D819" t="s">
        <v>197</v>
      </c>
      <c r="E819" t="s">
        <v>197</v>
      </c>
      <c r="F819" t="s">
        <v>197</v>
      </c>
      <c r="G819" t="s">
        <v>197</v>
      </c>
      <c r="H819" t="s">
        <v>197</v>
      </c>
      <c r="I819" t="s">
        <v>197</v>
      </c>
      <c r="J819" t="s">
        <v>197</v>
      </c>
      <c r="K819" t="s">
        <v>555</v>
      </c>
    </row>
    <row r="820" spans="1:24">
      <c r="B820" t="s">
        <v>197</v>
      </c>
      <c r="C820" t="s">
        <v>197</v>
      </c>
      <c r="D820" t="s">
        <v>197</v>
      </c>
      <c r="E820" t="s">
        <v>197</v>
      </c>
      <c r="F820" t="s">
        <v>197</v>
      </c>
      <c r="G820" t="s">
        <v>197</v>
      </c>
      <c r="H820" t="s">
        <v>197</v>
      </c>
      <c r="I820" t="s">
        <v>197</v>
      </c>
      <c r="J820" t="s">
        <v>197</v>
      </c>
      <c r="K820" t="s">
        <v>556</v>
      </c>
    </row>
    <row r="821" spans="1:24">
      <c r="B821" t="s">
        <v>197</v>
      </c>
      <c r="C821" t="s">
        <v>197</v>
      </c>
      <c r="D821" t="s">
        <v>197</v>
      </c>
      <c r="E821" t="s">
        <v>197</v>
      </c>
      <c r="F821" t="s">
        <v>197</v>
      </c>
      <c r="G821" t="s">
        <v>197</v>
      </c>
      <c r="H821" t="s">
        <v>197</v>
      </c>
      <c r="I821" t="s">
        <v>197</v>
      </c>
      <c r="J821" t="s">
        <v>197</v>
      </c>
      <c r="K821" t="s">
        <v>557</v>
      </c>
    </row>
    <row r="822" spans="1:24">
      <c r="B822" t="s">
        <v>197</v>
      </c>
      <c r="C822" t="s">
        <v>197</v>
      </c>
      <c r="D822" t="s">
        <v>197</v>
      </c>
      <c r="E822" t="s">
        <v>197</v>
      </c>
      <c r="F822" t="s">
        <v>197</v>
      </c>
      <c r="G822" t="s">
        <v>197</v>
      </c>
      <c r="H822" t="s">
        <v>197</v>
      </c>
      <c r="I822" t="s">
        <v>197</v>
      </c>
      <c r="J822" t="s">
        <v>197</v>
      </c>
      <c r="K822" t="s">
        <v>558</v>
      </c>
    </row>
    <row r="823" spans="1:24">
      <c r="B823" t="s">
        <v>197</v>
      </c>
      <c r="C823" t="s">
        <v>197</v>
      </c>
      <c r="D823" t="s">
        <v>197</v>
      </c>
      <c r="E823" t="s">
        <v>197</v>
      </c>
      <c r="F823" t="s">
        <v>197</v>
      </c>
      <c r="G823" t="s">
        <v>197</v>
      </c>
      <c r="H823" t="s">
        <v>197</v>
      </c>
      <c r="I823" t="s">
        <v>197</v>
      </c>
      <c r="J823" t="s">
        <v>197</v>
      </c>
      <c r="K823" t="s">
        <v>559</v>
      </c>
    </row>
    <row r="824" spans="1:24">
      <c r="B824" t="s">
        <v>197</v>
      </c>
      <c r="C824" t="s">
        <v>197</v>
      </c>
      <c r="D824" t="s">
        <v>197</v>
      </c>
      <c r="E824" t="s">
        <v>197</v>
      </c>
      <c r="F824" t="s">
        <v>197</v>
      </c>
      <c r="G824" t="s">
        <v>197</v>
      </c>
      <c r="H824" t="s">
        <v>197</v>
      </c>
      <c r="I824" t="s">
        <v>197</v>
      </c>
      <c r="J824" t="s">
        <v>197</v>
      </c>
      <c r="K824" t="s">
        <v>560</v>
      </c>
    </row>
    <row r="825" spans="1:24">
      <c r="B825" t="s">
        <v>197</v>
      </c>
      <c r="C825" t="s">
        <v>197</v>
      </c>
      <c r="D825" t="s">
        <v>197</v>
      </c>
      <c r="E825" t="s">
        <v>197</v>
      </c>
      <c r="F825" t="s">
        <v>197</v>
      </c>
      <c r="G825" t="s">
        <v>197</v>
      </c>
      <c r="H825" t="s">
        <v>197</v>
      </c>
      <c r="I825" t="s">
        <v>197</v>
      </c>
      <c r="J825" t="s">
        <v>197</v>
      </c>
      <c r="K825" t="s">
        <v>561</v>
      </c>
    </row>
    <row r="826" spans="1:24">
      <c r="B826" t="s">
        <v>197</v>
      </c>
      <c r="C826" t="s">
        <v>197</v>
      </c>
      <c r="D826" t="s">
        <v>197</v>
      </c>
      <c r="E826" t="s">
        <v>197</v>
      </c>
      <c r="F826" t="s">
        <v>197</v>
      </c>
      <c r="G826" t="s">
        <v>197</v>
      </c>
      <c r="H826" t="s">
        <v>197</v>
      </c>
      <c r="I826" t="s">
        <v>197</v>
      </c>
      <c r="J826" t="s">
        <v>197</v>
      </c>
      <c r="K826" t="s">
        <v>562</v>
      </c>
    </row>
    <row r="827" spans="1:24">
      <c r="B827" t="s">
        <v>197</v>
      </c>
      <c r="C827" t="s">
        <v>197</v>
      </c>
      <c r="D827" t="s">
        <v>197</v>
      </c>
      <c r="E827" t="s">
        <v>197</v>
      </c>
      <c r="F827" t="s">
        <v>197</v>
      </c>
      <c r="G827" t="s">
        <v>197</v>
      </c>
      <c r="H827" t="s">
        <v>197</v>
      </c>
      <c r="I827" t="s">
        <v>197</v>
      </c>
      <c r="J827" t="s">
        <v>197</v>
      </c>
      <c r="K827" t="s">
        <v>563</v>
      </c>
    </row>
    <row r="828" spans="1:24">
      <c r="B828" t="s">
        <v>197</v>
      </c>
      <c r="C828" t="s">
        <v>197</v>
      </c>
      <c r="D828" t="s">
        <v>197</v>
      </c>
      <c r="E828" t="s">
        <v>197</v>
      </c>
      <c r="F828" t="s">
        <v>197</v>
      </c>
      <c r="G828" t="s">
        <v>197</v>
      </c>
      <c r="H828" t="s">
        <v>197</v>
      </c>
      <c r="I828" t="s">
        <v>197</v>
      </c>
      <c r="J828" t="s">
        <v>197</v>
      </c>
      <c r="K828" t="s">
        <v>564</v>
      </c>
    </row>
    <row r="829" spans="1:24">
      <c r="B829" t="s">
        <v>197</v>
      </c>
      <c r="C829" t="s">
        <v>197</v>
      </c>
      <c r="D829" t="s">
        <v>197</v>
      </c>
      <c r="E829" t="s">
        <v>197</v>
      </c>
      <c r="F829" t="s">
        <v>197</v>
      </c>
      <c r="G829" t="s">
        <v>197</v>
      </c>
      <c r="H829" t="s">
        <v>197</v>
      </c>
      <c r="I829" t="s">
        <v>197</v>
      </c>
      <c r="J829" t="s">
        <v>197</v>
      </c>
      <c r="K829" t="s">
        <v>565</v>
      </c>
    </row>
    <row r="830" spans="1:24">
      <c r="B830" t="s">
        <v>197</v>
      </c>
      <c r="C830" t="s">
        <v>197</v>
      </c>
      <c r="D830" t="s">
        <v>197</v>
      </c>
      <c r="E830" t="s">
        <v>197</v>
      </c>
      <c r="F830" t="s">
        <v>197</v>
      </c>
      <c r="G830" t="s">
        <v>197</v>
      </c>
      <c r="H830" t="s">
        <v>197</v>
      </c>
      <c r="I830" t="s">
        <v>197</v>
      </c>
      <c r="J830" t="s">
        <v>197</v>
      </c>
      <c r="K830" t="s">
        <v>566</v>
      </c>
    </row>
    <row r="831" spans="1:24">
      <c r="B831" t="s">
        <v>197</v>
      </c>
      <c r="C831" t="s">
        <v>197</v>
      </c>
      <c r="D831" t="s">
        <v>197</v>
      </c>
      <c r="E831" t="s">
        <v>197</v>
      </c>
      <c r="F831" t="s">
        <v>197</v>
      </c>
      <c r="G831" t="s">
        <v>197</v>
      </c>
      <c r="H831" t="s">
        <v>197</v>
      </c>
      <c r="I831" t="s">
        <v>197</v>
      </c>
      <c r="J831" t="s">
        <v>197</v>
      </c>
      <c r="K831" t="s">
        <v>567</v>
      </c>
    </row>
    <row r="832" spans="1:24">
      <c r="A832" t="s">
        <v>932</v>
      </c>
      <c r="K832" t="s">
        <v>933</v>
      </c>
      <c r="W832" t="s">
        <v>171</v>
      </c>
      <c r="X832" t="str">
        <f>A832</f>
        <v>info_char_dml_batch1_pk_urp1</v>
      </c>
    </row>
    <row r="833" spans="1:24">
      <c r="B833" t="s">
        <v>196</v>
      </c>
      <c r="C833" t="s">
        <v>197</v>
      </c>
      <c r="D833" t="s">
        <v>197</v>
      </c>
      <c r="E833" t="s">
        <v>197</v>
      </c>
      <c r="F833" t="s">
        <v>197</v>
      </c>
      <c r="G833" t="s">
        <v>197</v>
      </c>
      <c r="H833" t="s">
        <v>197</v>
      </c>
      <c r="I833" t="s">
        <v>934</v>
      </c>
      <c r="J833" t="s">
        <v>199</v>
      </c>
      <c r="K833" t="s">
        <v>200</v>
      </c>
    </row>
    <row r="834" spans="1:24">
      <c r="B834" t="s">
        <v>197</v>
      </c>
      <c r="C834" t="s">
        <v>197</v>
      </c>
      <c r="D834" t="s">
        <v>197</v>
      </c>
      <c r="E834" t="s">
        <v>197</v>
      </c>
      <c r="F834" t="s">
        <v>197</v>
      </c>
      <c r="G834" t="s">
        <v>197</v>
      </c>
      <c r="H834" t="s">
        <v>197</v>
      </c>
      <c r="I834" t="s">
        <v>197</v>
      </c>
      <c r="J834" t="s">
        <v>197</v>
      </c>
      <c r="K834" t="s">
        <v>622</v>
      </c>
    </row>
    <row r="835" spans="1:24">
      <c r="B835" t="s">
        <v>197</v>
      </c>
      <c r="C835" t="s">
        <v>197</v>
      </c>
      <c r="D835" t="s">
        <v>197</v>
      </c>
      <c r="E835" t="s">
        <v>197</v>
      </c>
      <c r="F835" t="s">
        <v>197</v>
      </c>
      <c r="G835" t="s">
        <v>197</v>
      </c>
      <c r="H835" t="s">
        <v>197</v>
      </c>
      <c r="I835" t="s">
        <v>197</v>
      </c>
      <c r="J835" t="s">
        <v>197</v>
      </c>
      <c r="K835" t="s">
        <v>623</v>
      </c>
    </row>
    <row r="836" spans="1:24">
      <c r="B836" t="s">
        <v>197</v>
      </c>
      <c r="C836" t="s">
        <v>197</v>
      </c>
      <c r="D836" t="s">
        <v>197</v>
      </c>
      <c r="E836" t="s">
        <v>197</v>
      </c>
      <c r="F836" t="s">
        <v>197</v>
      </c>
      <c r="G836" t="s">
        <v>197</v>
      </c>
      <c r="H836" t="s">
        <v>197</v>
      </c>
      <c r="I836" t="s">
        <v>197</v>
      </c>
      <c r="J836" t="s">
        <v>197</v>
      </c>
      <c r="K836" t="s">
        <v>832</v>
      </c>
    </row>
    <row r="837" spans="1:24">
      <c r="A837" t="s">
        <v>938</v>
      </c>
      <c r="K837" t="s">
        <v>939</v>
      </c>
      <c r="W837" t="s">
        <v>171</v>
      </c>
      <c r="X837" t="str">
        <f>A837</f>
        <v>info_varcharmax_dml_batch1_pk_drp1</v>
      </c>
    </row>
    <row r="838" spans="1:24">
      <c r="B838" t="s">
        <v>196</v>
      </c>
      <c r="C838" t="s">
        <v>197</v>
      </c>
      <c r="D838" t="s">
        <v>197</v>
      </c>
      <c r="E838" t="s">
        <v>197</v>
      </c>
      <c r="F838" t="s">
        <v>197</v>
      </c>
      <c r="G838" t="s">
        <v>197</v>
      </c>
      <c r="H838" t="s">
        <v>197</v>
      </c>
      <c r="I838" t="s">
        <v>940</v>
      </c>
      <c r="J838" t="s">
        <v>199</v>
      </c>
      <c r="K838" t="s">
        <v>200</v>
      </c>
    </row>
    <row r="839" spans="1:24">
      <c r="B839" t="s">
        <v>197</v>
      </c>
      <c r="C839" t="s">
        <v>197</v>
      </c>
      <c r="D839" t="s">
        <v>197</v>
      </c>
      <c r="E839" t="s">
        <v>197</v>
      </c>
      <c r="F839" t="s">
        <v>197</v>
      </c>
      <c r="G839" t="s">
        <v>197</v>
      </c>
      <c r="H839" t="s">
        <v>197</v>
      </c>
      <c r="I839" t="s">
        <v>197</v>
      </c>
      <c r="J839" t="s">
        <v>197</v>
      </c>
      <c r="K839" t="s">
        <v>725</v>
      </c>
    </row>
    <row r="840" spans="1:24">
      <c r="B840" t="s">
        <v>197</v>
      </c>
      <c r="C840" t="s">
        <v>197</v>
      </c>
      <c r="D840" t="s">
        <v>197</v>
      </c>
      <c r="E840" t="s">
        <v>197</v>
      </c>
      <c r="F840" t="s">
        <v>197</v>
      </c>
      <c r="G840" t="s">
        <v>197</v>
      </c>
      <c r="H840" t="s">
        <v>197</v>
      </c>
      <c r="I840" t="s">
        <v>197</v>
      </c>
      <c r="J840" t="s">
        <v>197</v>
      </c>
      <c r="K840" t="s">
        <v>726</v>
      </c>
    </row>
    <row r="841" spans="1:24">
      <c r="K841" t="s">
        <v>443</v>
      </c>
    </row>
    <row r="842" spans="1:24">
      <c r="A842" t="s">
        <v>941</v>
      </c>
      <c r="K842" t="s">
        <v>942</v>
      </c>
      <c r="W842" s="1" t="str">
        <f>HYPERLINK("#2026042015hbase1!AH2","NO 源备存在差异，共4个")</f>
        <v>NO 源备存在差异，共4个</v>
      </c>
      <c r="X842" t="str">
        <f>A842</f>
        <v>info_timestamp_dml_single_pk_irp</v>
      </c>
    </row>
    <row r="843" spans="1:24">
      <c r="B843" t="s">
        <v>196</v>
      </c>
      <c r="C843" t="s">
        <v>197</v>
      </c>
      <c r="D843" t="s">
        <v>197</v>
      </c>
      <c r="E843" t="s">
        <v>197</v>
      </c>
      <c r="F843" t="s">
        <v>197</v>
      </c>
      <c r="G843" t="s">
        <v>197</v>
      </c>
      <c r="H843" t="s">
        <v>197</v>
      </c>
      <c r="I843" t="s">
        <v>943</v>
      </c>
      <c r="J843" t="s">
        <v>199</v>
      </c>
      <c r="K843" t="s">
        <v>200</v>
      </c>
    </row>
    <row r="844" spans="1:24">
      <c r="B844" t="s">
        <v>197</v>
      </c>
      <c r="C844" t="s">
        <v>197</v>
      </c>
      <c r="D844" t="s">
        <v>197</v>
      </c>
      <c r="E844" t="s">
        <v>197</v>
      </c>
      <c r="F844" t="s">
        <v>197</v>
      </c>
      <c r="G844" t="s">
        <v>197</v>
      </c>
      <c r="H844" t="s">
        <v>197</v>
      </c>
      <c r="I844" t="s">
        <v>197</v>
      </c>
      <c r="J844" t="s">
        <v>197</v>
      </c>
      <c r="K844" t="s">
        <v>944</v>
      </c>
    </row>
    <row r="845" spans="1:24">
      <c r="A845" t="s">
        <v>951</v>
      </c>
      <c r="K845" t="s">
        <v>952</v>
      </c>
      <c r="W845" t="s">
        <v>171</v>
      </c>
      <c r="X845" t="str">
        <f>A845</f>
        <v>info_varcharmax_dml_batch1_pk_drp2</v>
      </c>
    </row>
    <row r="846" spans="1:24">
      <c r="B846" t="s">
        <v>196</v>
      </c>
      <c r="C846" t="s">
        <v>197</v>
      </c>
      <c r="D846" t="s">
        <v>197</v>
      </c>
      <c r="E846" t="s">
        <v>197</v>
      </c>
      <c r="F846" t="s">
        <v>197</v>
      </c>
      <c r="G846" t="s">
        <v>197</v>
      </c>
      <c r="H846" t="s">
        <v>197</v>
      </c>
      <c r="I846" t="s">
        <v>953</v>
      </c>
      <c r="J846" t="s">
        <v>199</v>
      </c>
      <c r="K846" t="s">
        <v>200</v>
      </c>
    </row>
    <row r="847" spans="1:24">
      <c r="B847" t="s">
        <v>197</v>
      </c>
      <c r="C847" t="s">
        <v>197</v>
      </c>
      <c r="D847" t="s">
        <v>197</v>
      </c>
      <c r="E847" t="s">
        <v>197</v>
      </c>
      <c r="F847" t="s">
        <v>197</v>
      </c>
      <c r="G847" t="s">
        <v>197</v>
      </c>
      <c r="H847" t="s">
        <v>197</v>
      </c>
      <c r="I847" t="s">
        <v>197</v>
      </c>
      <c r="J847" t="s">
        <v>197</v>
      </c>
      <c r="K847" t="s">
        <v>725</v>
      </c>
    </row>
    <row r="848" spans="1:24">
      <c r="B848" t="s">
        <v>197</v>
      </c>
      <c r="C848" t="s">
        <v>197</v>
      </c>
      <c r="D848" t="s">
        <v>197</v>
      </c>
      <c r="E848" t="s">
        <v>197</v>
      </c>
      <c r="F848" t="s">
        <v>197</v>
      </c>
      <c r="G848" t="s">
        <v>197</v>
      </c>
      <c r="H848" t="s">
        <v>197</v>
      </c>
      <c r="I848" t="s">
        <v>197</v>
      </c>
      <c r="J848" t="s">
        <v>197</v>
      </c>
      <c r="K848" t="s">
        <v>726</v>
      </c>
    </row>
    <row r="849" spans="1:24">
      <c r="K849" t="s">
        <v>443</v>
      </c>
    </row>
    <row r="850" spans="1:24">
      <c r="A850" t="s">
        <v>954</v>
      </c>
      <c r="K850" t="s">
        <v>955</v>
      </c>
      <c r="W850" t="s">
        <v>171</v>
      </c>
      <c r="X850" t="str">
        <f>A850</f>
        <v>info_char_dml_single_pk_drp</v>
      </c>
    </row>
    <row r="851" spans="1:24">
      <c r="B851" t="s">
        <v>196</v>
      </c>
      <c r="C851" t="s">
        <v>197</v>
      </c>
      <c r="D851" t="s">
        <v>197</v>
      </c>
      <c r="E851" t="s">
        <v>197</v>
      </c>
      <c r="F851" t="s">
        <v>197</v>
      </c>
      <c r="G851" t="s">
        <v>197</v>
      </c>
      <c r="H851" t="s">
        <v>197</v>
      </c>
      <c r="I851" t="s">
        <v>956</v>
      </c>
      <c r="J851" t="s">
        <v>199</v>
      </c>
      <c r="K851" t="s">
        <v>200</v>
      </c>
    </row>
    <row r="852" spans="1:24">
      <c r="B852" t="s">
        <v>197</v>
      </c>
      <c r="C852" t="s">
        <v>197</v>
      </c>
      <c r="D852" t="s">
        <v>197</v>
      </c>
      <c r="E852" t="s">
        <v>197</v>
      </c>
      <c r="F852" t="s">
        <v>197</v>
      </c>
      <c r="G852" t="s">
        <v>197</v>
      </c>
      <c r="H852" t="s">
        <v>197</v>
      </c>
      <c r="I852" t="s">
        <v>197</v>
      </c>
      <c r="J852" t="s">
        <v>197</v>
      </c>
      <c r="K852" t="s">
        <v>622</v>
      </c>
    </row>
    <row r="853" spans="1:24">
      <c r="B853" t="s">
        <v>197</v>
      </c>
      <c r="C853" t="s">
        <v>197</v>
      </c>
      <c r="D853" t="s">
        <v>197</v>
      </c>
      <c r="E853" t="s">
        <v>197</v>
      </c>
      <c r="F853" t="s">
        <v>197</v>
      </c>
      <c r="G853" t="s">
        <v>197</v>
      </c>
      <c r="H853" t="s">
        <v>197</v>
      </c>
      <c r="I853" t="s">
        <v>197</v>
      </c>
      <c r="J853" t="s">
        <v>197</v>
      </c>
      <c r="K853" t="s">
        <v>623</v>
      </c>
    </row>
    <row r="854" spans="1:24">
      <c r="B854" t="s">
        <v>197</v>
      </c>
      <c r="C854" t="s">
        <v>197</v>
      </c>
      <c r="D854" t="s">
        <v>197</v>
      </c>
      <c r="E854" t="s">
        <v>197</v>
      </c>
      <c r="F854" t="s">
        <v>197</v>
      </c>
      <c r="G854" t="s">
        <v>197</v>
      </c>
      <c r="H854" t="s">
        <v>197</v>
      </c>
      <c r="I854" t="s">
        <v>197</v>
      </c>
      <c r="J854" t="s">
        <v>197</v>
      </c>
      <c r="K854" t="s">
        <v>832</v>
      </c>
    </row>
    <row r="855" spans="1:24">
      <c r="A855" t="s">
        <v>957</v>
      </c>
      <c r="K855" t="s">
        <v>958</v>
      </c>
      <c r="W855" t="s">
        <v>171</v>
      </c>
      <c r="X855" t="str">
        <f>A855</f>
        <v>info_date_dml_batch1_pk_drp1</v>
      </c>
    </row>
    <row r="856" spans="1:24">
      <c r="B856" t="s">
        <v>196</v>
      </c>
      <c r="C856" t="s">
        <v>197</v>
      </c>
      <c r="D856" t="s">
        <v>197</v>
      </c>
      <c r="E856" t="s">
        <v>197</v>
      </c>
      <c r="F856" t="s">
        <v>197</v>
      </c>
      <c r="G856" t="s">
        <v>197</v>
      </c>
      <c r="H856" t="s">
        <v>197</v>
      </c>
      <c r="I856" t="s">
        <v>959</v>
      </c>
      <c r="J856" t="s">
        <v>199</v>
      </c>
      <c r="K856" t="s">
        <v>200</v>
      </c>
    </row>
    <row r="857" spans="1:24">
      <c r="B857" t="s">
        <v>197</v>
      </c>
      <c r="C857" t="s">
        <v>197</v>
      </c>
      <c r="D857" t="s">
        <v>197</v>
      </c>
      <c r="E857" t="s">
        <v>197</v>
      </c>
      <c r="F857" t="s">
        <v>197</v>
      </c>
      <c r="G857" t="s">
        <v>197</v>
      </c>
      <c r="H857" t="s">
        <v>197</v>
      </c>
      <c r="I857" t="s">
        <v>197</v>
      </c>
      <c r="J857" t="s">
        <v>197</v>
      </c>
      <c r="K857" t="s">
        <v>678</v>
      </c>
    </row>
    <row r="858" spans="1:24">
      <c r="K858" t="s">
        <v>443</v>
      </c>
    </row>
    <row r="859" spans="1:24">
      <c r="A859" t="s">
        <v>960</v>
      </c>
      <c r="K859" t="s">
        <v>961</v>
      </c>
      <c r="W859" t="s">
        <v>171</v>
      </c>
      <c r="X859" t="str">
        <f>A859</f>
        <v>info_varchar_dml_batch1_pk_irp1</v>
      </c>
    </row>
    <row r="860" spans="1:24">
      <c r="B860" t="s">
        <v>196</v>
      </c>
      <c r="C860" t="s">
        <v>197</v>
      </c>
      <c r="D860" t="s">
        <v>197</v>
      </c>
      <c r="E860" t="s">
        <v>197</v>
      </c>
      <c r="F860" t="s">
        <v>197</v>
      </c>
      <c r="G860" t="s">
        <v>197</v>
      </c>
      <c r="H860" t="s">
        <v>197</v>
      </c>
      <c r="I860" t="s">
        <v>962</v>
      </c>
      <c r="J860" t="s">
        <v>199</v>
      </c>
      <c r="K860" t="s">
        <v>200</v>
      </c>
    </row>
    <row r="861" spans="1:24">
      <c r="B861" t="s">
        <v>197</v>
      </c>
      <c r="C861" t="s">
        <v>197</v>
      </c>
      <c r="D861" t="s">
        <v>197</v>
      </c>
      <c r="E861" t="s">
        <v>197</v>
      </c>
      <c r="F861" t="s">
        <v>197</v>
      </c>
      <c r="G861" t="s">
        <v>197</v>
      </c>
      <c r="H861" t="s">
        <v>197</v>
      </c>
      <c r="I861" t="s">
        <v>197</v>
      </c>
      <c r="J861" t="s">
        <v>197</v>
      </c>
      <c r="K861" t="s">
        <v>431</v>
      </c>
    </row>
    <row r="862" spans="1:24">
      <c r="B862" t="s">
        <v>197</v>
      </c>
      <c r="C862" t="s">
        <v>197</v>
      </c>
      <c r="D862" t="s">
        <v>197</v>
      </c>
      <c r="E862" t="s">
        <v>197</v>
      </c>
      <c r="F862" t="s">
        <v>197</v>
      </c>
      <c r="G862" t="s">
        <v>197</v>
      </c>
      <c r="H862" t="s">
        <v>197</v>
      </c>
      <c r="I862" t="s">
        <v>197</v>
      </c>
      <c r="J862" t="s">
        <v>197</v>
      </c>
      <c r="K862" t="s">
        <v>434</v>
      </c>
    </row>
    <row r="863" spans="1:24">
      <c r="B863" t="s">
        <v>197</v>
      </c>
      <c r="C863" t="s">
        <v>197</v>
      </c>
      <c r="D863" t="s">
        <v>197</v>
      </c>
      <c r="E863" t="s">
        <v>197</v>
      </c>
      <c r="F863" t="s">
        <v>197</v>
      </c>
      <c r="G863" t="s">
        <v>197</v>
      </c>
      <c r="H863" t="s">
        <v>197</v>
      </c>
      <c r="I863" t="s">
        <v>197</v>
      </c>
      <c r="J863" t="s">
        <v>197</v>
      </c>
      <c r="K863" t="s">
        <v>963</v>
      </c>
    </row>
    <row r="864" spans="1:24">
      <c r="K864" t="s">
        <v>443</v>
      </c>
    </row>
    <row r="865" spans="1:24">
      <c r="A865" t="s">
        <v>964</v>
      </c>
      <c r="K865" t="s">
        <v>965</v>
      </c>
      <c r="W865" t="s">
        <v>171</v>
      </c>
      <c r="X865" t="str">
        <f>A865</f>
        <v>info_datetime_dml_single_pk_urp</v>
      </c>
    </row>
    <row r="866" spans="1:24">
      <c r="B866" t="s">
        <v>196</v>
      </c>
      <c r="C866" t="s">
        <v>197</v>
      </c>
      <c r="D866" t="s">
        <v>197</v>
      </c>
      <c r="E866" t="s">
        <v>197</v>
      </c>
      <c r="F866" t="s">
        <v>197</v>
      </c>
      <c r="G866" t="s">
        <v>197</v>
      </c>
      <c r="H866" t="s">
        <v>197</v>
      </c>
      <c r="I866" t="s">
        <v>966</v>
      </c>
      <c r="J866" t="s">
        <v>199</v>
      </c>
      <c r="K866" t="s">
        <v>200</v>
      </c>
    </row>
    <row r="867" spans="1:24">
      <c r="B867" t="s">
        <v>197</v>
      </c>
      <c r="C867" t="s">
        <v>197</v>
      </c>
      <c r="D867" t="s">
        <v>197</v>
      </c>
      <c r="E867" t="s">
        <v>197</v>
      </c>
      <c r="F867" t="s">
        <v>197</v>
      </c>
      <c r="G867" t="s">
        <v>197</v>
      </c>
      <c r="H867" t="s">
        <v>197</v>
      </c>
      <c r="I867" t="s">
        <v>197</v>
      </c>
      <c r="J867" t="s">
        <v>197</v>
      </c>
      <c r="K867" t="s">
        <v>574</v>
      </c>
    </row>
    <row r="868" spans="1:24">
      <c r="A868" t="s">
        <v>967</v>
      </c>
      <c r="K868" t="s">
        <v>968</v>
      </c>
      <c r="W868" t="s">
        <v>171</v>
      </c>
      <c r="X868" t="str">
        <f>A868</f>
        <v>info_nchar_dml_batch1_pk</v>
      </c>
    </row>
    <row r="869" spans="1:24">
      <c r="B869" t="s">
        <v>196</v>
      </c>
      <c r="C869" t="s">
        <v>197</v>
      </c>
      <c r="D869" t="s">
        <v>197</v>
      </c>
      <c r="E869" t="s">
        <v>197</v>
      </c>
      <c r="F869" t="s">
        <v>197</v>
      </c>
      <c r="G869" t="s">
        <v>197</v>
      </c>
      <c r="H869" t="s">
        <v>197</v>
      </c>
      <c r="I869" t="s">
        <v>969</v>
      </c>
      <c r="J869" t="s">
        <v>199</v>
      </c>
      <c r="K869" t="s">
        <v>200</v>
      </c>
    </row>
    <row r="870" spans="1:24">
      <c r="B870" t="s">
        <v>197</v>
      </c>
      <c r="C870" t="s">
        <v>197</v>
      </c>
      <c r="D870" t="s">
        <v>197</v>
      </c>
      <c r="E870" t="s">
        <v>197</v>
      </c>
      <c r="F870" t="s">
        <v>197</v>
      </c>
      <c r="G870" t="s">
        <v>197</v>
      </c>
      <c r="H870" t="s">
        <v>197</v>
      </c>
      <c r="I870" t="s">
        <v>197</v>
      </c>
      <c r="J870" t="s">
        <v>197</v>
      </c>
      <c r="K870" t="s">
        <v>514</v>
      </c>
    </row>
    <row r="871" spans="1:24">
      <c r="B871" t="s">
        <v>197</v>
      </c>
      <c r="C871" t="s">
        <v>197</v>
      </c>
      <c r="D871" t="s">
        <v>197</v>
      </c>
      <c r="E871" t="s">
        <v>197</v>
      </c>
      <c r="F871" t="s">
        <v>197</v>
      </c>
      <c r="G871" t="s">
        <v>197</v>
      </c>
      <c r="H871" t="s">
        <v>197</v>
      </c>
      <c r="I871" t="s">
        <v>197</v>
      </c>
      <c r="J871" t="s">
        <v>197</v>
      </c>
      <c r="K871" t="s">
        <v>516</v>
      </c>
    </row>
    <row r="872" spans="1:24">
      <c r="B872" t="s">
        <v>197</v>
      </c>
      <c r="C872" t="s">
        <v>197</v>
      </c>
      <c r="D872" t="s">
        <v>197</v>
      </c>
      <c r="E872" t="s">
        <v>197</v>
      </c>
      <c r="F872" t="s">
        <v>197</v>
      </c>
      <c r="G872" t="s">
        <v>197</v>
      </c>
      <c r="H872" t="s">
        <v>197</v>
      </c>
      <c r="I872" t="s">
        <v>197</v>
      </c>
      <c r="J872" t="s">
        <v>197</v>
      </c>
      <c r="K872" t="s">
        <v>612</v>
      </c>
    </row>
    <row r="873" spans="1:24">
      <c r="A873" t="s">
        <v>970</v>
      </c>
      <c r="K873" t="s">
        <v>971</v>
      </c>
      <c r="W873" t="s">
        <v>171</v>
      </c>
      <c r="X873" t="str">
        <f>A873</f>
        <v>info_varcharmax_dml_single_pk</v>
      </c>
    </row>
    <row r="874" spans="1:24">
      <c r="B874" t="s">
        <v>196</v>
      </c>
      <c r="C874" t="s">
        <v>197</v>
      </c>
      <c r="D874" t="s">
        <v>197</v>
      </c>
      <c r="E874" t="s">
        <v>197</v>
      </c>
      <c r="F874" t="s">
        <v>197</v>
      </c>
      <c r="G874" t="s">
        <v>197</v>
      </c>
      <c r="H874" t="s">
        <v>197</v>
      </c>
      <c r="I874" t="s">
        <v>972</v>
      </c>
      <c r="J874" t="s">
        <v>199</v>
      </c>
      <c r="K874" t="s">
        <v>200</v>
      </c>
    </row>
    <row r="875" spans="1:24">
      <c r="B875" t="s">
        <v>197</v>
      </c>
      <c r="C875" t="s">
        <v>197</v>
      </c>
      <c r="D875" t="s">
        <v>197</v>
      </c>
      <c r="E875" t="s">
        <v>197</v>
      </c>
      <c r="F875" t="s">
        <v>197</v>
      </c>
      <c r="G875" t="s">
        <v>197</v>
      </c>
      <c r="H875" t="s">
        <v>197</v>
      </c>
      <c r="I875" t="s">
        <v>197</v>
      </c>
      <c r="J875" t="s">
        <v>197</v>
      </c>
      <c r="K875" t="s">
        <v>725</v>
      </c>
    </row>
    <row r="876" spans="1:24">
      <c r="B876" t="s">
        <v>197</v>
      </c>
      <c r="C876" t="s">
        <v>197</v>
      </c>
      <c r="D876" t="s">
        <v>197</v>
      </c>
      <c r="E876" t="s">
        <v>197</v>
      </c>
      <c r="F876" t="s">
        <v>197</v>
      </c>
      <c r="G876" t="s">
        <v>197</v>
      </c>
      <c r="H876" t="s">
        <v>197</v>
      </c>
      <c r="I876" t="s">
        <v>197</v>
      </c>
      <c r="J876" t="s">
        <v>197</v>
      </c>
      <c r="K876" t="s">
        <v>726</v>
      </c>
    </row>
    <row r="877" spans="1:24">
      <c r="A877" t="s">
        <v>973</v>
      </c>
      <c r="K877" t="s">
        <v>974</v>
      </c>
      <c r="W877" t="s">
        <v>171</v>
      </c>
      <c r="X877" t="str">
        <f>A877</f>
        <v>info_date_dml_batch1_pk_drp2</v>
      </c>
    </row>
    <row r="878" spans="1:24">
      <c r="B878" t="s">
        <v>196</v>
      </c>
      <c r="C878" t="s">
        <v>197</v>
      </c>
      <c r="D878" t="s">
        <v>197</v>
      </c>
      <c r="E878" t="s">
        <v>197</v>
      </c>
      <c r="F878" t="s">
        <v>197</v>
      </c>
      <c r="G878" t="s">
        <v>197</v>
      </c>
      <c r="H878" t="s">
        <v>197</v>
      </c>
      <c r="I878" t="s">
        <v>975</v>
      </c>
      <c r="J878" t="s">
        <v>199</v>
      </c>
      <c r="K878" t="s">
        <v>200</v>
      </c>
    </row>
    <row r="879" spans="1:24">
      <c r="B879" t="s">
        <v>197</v>
      </c>
      <c r="C879" t="s">
        <v>197</v>
      </c>
      <c r="D879" t="s">
        <v>197</v>
      </c>
      <c r="E879" t="s">
        <v>197</v>
      </c>
      <c r="F879" t="s">
        <v>197</v>
      </c>
      <c r="G879" t="s">
        <v>197</v>
      </c>
      <c r="H879" t="s">
        <v>197</v>
      </c>
      <c r="I879" t="s">
        <v>197</v>
      </c>
      <c r="J879" t="s">
        <v>197</v>
      </c>
      <c r="K879" t="s">
        <v>678</v>
      </c>
    </row>
    <row r="880" spans="1:24">
      <c r="A880" t="s">
        <v>945</v>
      </c>
      <c r="K880" t="s">
        <v>946</v>
      </c>
      <c r="W880" t="s">
        <v>171</v>
      </c>
      <c r="X880" t="str">
        <f>A880</f>
        <v>info_char_dml_batch1_pk_urp2</v>
      </c>
    </row>
    <row r="881" spans="1:24">
      <c r="B881" t="s">
        <v>196</v>
      </c>
      <c r="C881" t="s">
        <v>197</v>
      </c>
      <c r="D881" t="s">
        <v>197</v>
      </c>
      <c r="E881" t="s">
        <v>197</v>
      </c>
      <c r="F881" t="s">
        <v>197</v>
      </c>
      <c r="G881" t="s">
        <v>197</v>
      </c>
      <c r="H881" t="s">
        <v>197</v>
      </c>
      <c r="I881" t="s">
        <v>947</v>
      </c>
      <c r="J881" t="s">
        <v>199</v>
      </c>
      <c r="K881" t="s">
        <v>200</v>
      </c>
    </row>
    <row r="882" spans="1:24">
      <c r="B882" t="s">
        <v>197</v>
      </c>
      <c r="C882" t="s">
        <v>197</v>
      </c>
      <c r="D882" t="s">
        <v>197</v>
      </c>
      <c r="E882" t="s">
        <v>197</v>
      </c>
      <c r="F882" t="s">
        <v>197</v>
      </c>
      <c r="G882" t="s">
        <v>197</v>
      </c>
      <c r="H882" t="s">
        <v>197</v>
      </c>
      <c r="I882" t="s">
        <v>197</v>
      </c>
      <c r="J882" t="s">
        <v>197</v>
      </c>
      <c r="K882" t="s">
        <v>622</v>
      </c>
    </row>
    <row r="883" spans="1:24">
      <c r="B883" t="s">
        <v>197</v>
      </c>
      <c r="C883" t="s">
        <v>197</v>
      </c>
      <c r="D883" t="s">
        <v>197</v>
      </c>
      <c r="E883" t="s">
        <v>197</v>
      </c>
      <c r="F883" t="s">
        <v>197</v>
      </c>
      <c r="G883" t="s">
        <v>197</v>
      </c>
      <c r="H883" t="s">
        <v>197</v>
      </c>
      <c r="I883" t="s">
        <v>197</v>
      </c>
      <c r="J883" t="s">
        <v>197</v>
      </c>
      <c r="K883" t="s">
        <v>623</v>
      </c>
    </row>
    <row r="884" spans="1:24">
      <c r="B884" t="s">
        <v>197</v>
      </c>
      <c r="C884" t="s">
        <v>197</v>
      </c>
      <c r="D884" t="s">
        <v>197</v>
      </c>
      <c r="E884" t="s">
        <v>197</v>
      </c>
      <c r="F884" t="s">
        <v>197</v>
      </c>
      <c r="G884" t="s">
        <v>197</v>
      </c>
      <c r="H884" t="s">
        <v>197</v>
      </c>
      <c r="I884" t="s">
        <v>197</v>
      </c>
      <c r="J884" t="s">
        <v>197</v>
      </c>
      <c r="K884" t="s">
        <v>832</v>
      </c>
    </row>
    <row r="885" spans="1:24">
      <c r="A885" t="s">
        <v>976</v>
      </c>
      <c r="K885" t="s">
        <v>977</v>
      </c>
      <c r="W885" t="s">
        <v>171</v>
      </c>
      <c r="X885" t="str">
        <f>A885</f>
        <v>info_datetime_dml_single_pk_drp</v>
      </c>
    </row>
    <row r="886" spans="1:24">
      <c r="B886" t="s">
        <v>196</v>
      </c>
      <c r="C886" t="s">
        <v>197</v>
      </c>
      <c r="D886" t="s">
        <v>197</v>
      </c>
      <c r="E886" t="s">
        <v>197</v>
      </c>
      <c r="F886" t="s">
        <v>197</v>
      </c>
      <c r="G886" t="s">
        <v>197</v>
      </c>
      <c r="H886" t="s">
        <v>197</v>
      </c>
      <c r="I886" t="s">
        <v>978</v>
      </c>
      <c r="J886" t="s">
        <v>199</v>
      </c>
      <c r="K886" t="s">
        <v>200</v>
      </c>
    </row>
    <row r="887" spans="1:24">
      <c r="B887" t="s">
        <v>197</v>
      </c>
      <c r="C887" t="s">
        <v>197</v>
      </c>
      <c r="D887" t="s">
        <v>197</v>
      </c>
      <c r="E887" t="s">
        <v>197</v>
      </c>
      <c r="F887" t="s">
        <v>197</v>
      </c>
      <c r="G887" t="s">
        <v>197</v>
      </c>
      <c r="H887" t="s">
        <v>197</v>
      </c>
      <c r="I887" t="s">
        <v>197</v>
      </c>
      <c r="J887" t="s">
        <v>197</v>
      </c>
      <c r="K887" t="s">
        <v>574</v>
      </c>
    </row>
    <row r="888" spans="1:24">
      <c r="A888" t="s">
        <v>985</v>
      </c>
      <c r="K888" t="s">
        <v>986</v>
      </c>
      <c r="W888" s="1" t="str">
        <f>HYPERLINK("#2026042015hbase1!AI2","NO 源备存在差异，共2个")</f>
        <v>NO 源备存在差异，共2个</v>
      </c>
      <c r="X888" t="str">
        <f>A888</f>
        <v>info_timestamp_dml_single_pk_drp</v>
      </c>
    </row>
    <row r="889" spans="1:24">
      <c r="B889" t="s">
        <v>196</v>
      </c>
      <c r="C889" t="s">
        <v>197</v>
      </c>
      <c r="D889" t="s">
        <v>197</v>
      </c>
      <c r="E889" t="s">
        <v>197</v>
      </c>
      <c r="F889" t="s">
        <v>197</v>
      </c>
      <c r="G889" t="s">
        <v>197</v>
      </c>
      <c r="H889" t="s">
        <v>197</v>
      </c>
      <c r="I889" t="s">
        <v>987</v>
      </c>
      <c r="J889" t="s">
        <v>199</v>
      </c>
      <c r="K889" t="s">
        <v>200</v>
      </c>
    </row>
    <row r="890" spans="1:24">
      <c r="B890" t="s">
        <v>197</v>
      </c>
      <c r="C890" t="s">
        <v>197</v>
      </c>
      <c r="D890" t="s">
        <v>197</v>
      </c>
      <c r="E890" t="s">
        <v>197</v>
      </c>
      <c r="F890" t="s">
        <v>197</v>
      </c>
      <c r="G890" t="s">
        <v>197</v>
      </c>
      <c r="H890" t="s">
        <v>197</v>
      </c>
      <c r="I890" t="s">
        <v>197</v>
      </c>
      <c r="J890" t="s">
        <v>197</v>
      </c>
      <c r="K890" t="s">
        <v>944</v>
      </c>
    </row>
    <row r="891" spans="1:24">
      <c r="A891" t="s">
        <v>979</v>
      </c>
      <c r="K891" t="s">
        <v>980</v>
      </c>
      <c r="W891" t="s">
        <v>171</v>
      </c>
      <c r="X891" t="str">
        <f>A891</f>
        <v>info_date_dml_batch1_pk</v>
      </c>
    </row>
    <row r="892" spans="1:24">
      <c r="B892" t="s">
        <v>196</v>
      </c>
      <c r="C892" t="s">
        <v>197</v>
      </c>
      <c r="D892" t="s">
        <v>197</v>
      </c>
      <c r="E892" t="s">
        <v>197</v>
      </c>
      <c r="F892" t="s">
        <v>197</v>
      </c>
      <c r="G892" t="s">
        <v>197</v>
      </c>
      <c r="H892" t="s">
        <v>197</v>
      </c>
      <c r="I892" t="s">
        <v>981</v>
      </c>
      <c r="J892" t="s">
        <v>199</v>
      </c>
      <c r="K892" t="s">
        <v>200</v>
      </c>
    </row>
    <row r="893" spans="1:24">
      <c r="B893" t="s">
        <v>197</v>
      </c>
      <c r="C893" t="s">
        <v>197</v>
      </c>
      <c r="D893" t="s">
        <v>197</v>
      </c>
      <c r="E893" t="s">
        <v>197</v>
      </c>
      <c r="F893" t="s">
        <v>197</v>
      </c>
      <c r="G893" t="s">
        <v>197</v>
      </c>
      <c r="H893" t="s">
        <v>197</v>
      </c>
      <c r="I893" t="s">
        <v>197</v>
      </c>
      <c r="J893" t="s">
        <v>197</v>
      </c>
      <c r="K893" t="s">
        <v>678</v>
      </c>
    </row>
    <row r="894" spans="1:24">
      <c r="A894" t="s">
        <v>988</v>
      </c>
      <c r="K894" t="s">
        <v>989</v>
      </c>
      <c r="W894" t="s">
        <v>171</v>
      </c>
      <c r="X894" t="str">
        <f>A894</f>
        <v>info_time_dml_batch1_pk_irp1</v>
      </c>
    </row>
    <row r="895" spans="1:24">
      <c r="B895" t="s">
        <v>196</v>
      </c>
      <c r="C895" t="s">
        <v>197</v>
      </c>
      <c r="D895" t="s">
        <v>197</v>
      </c>
      <c r="E895" t="s">
        <v>197</v>
      </c>
      <c r="F895" t="s">
        <v>197</v>
      </c>
      <c r="G895" t="s">
        <v>197</v>
      </c>
      <c r="H895" t="s">
        <v>197</v>
      </c>
      <c r="I895" t="s">
        <v>990</v>
      </c>
      <c r="J895" t="s">
        <v>199</v>
      </c>
      <c r="K895" t="s">
        <v>200</v>
      </c>
    </row>
    <row r="896" spans="1:24">
      <c r="B896" t="s">
        <v>197</v>
      </c>
      <c r="C896" t="s">
        <v>197</v>
      </c>
      <c r="D896" t="s">
        <v>197</v>
      </c>
      <c r="E896" t="s">
        <v>197</v>
      </c>
      <c r="F896" t="s">
        <v>197</v>
      </c>
      <c r="G896" t="s">
        <v>197</v>
      </c>
      <c r="H896" t="s">
        <v>197</v>
      </c>
      <c r="I896" t="s">
        <v>197</v>
      </c>
      <c r="J896" t="s">
        <v>197</v>
      </c>
      <c r="K896" t="s">
        <v>800</v>
      </c>
    </row>
    <row r="897" spans="1:24">
      <c r="B897" t="s">
        <v>197</v>
      </c>
      <c r="C897" t="s">
        <v>197</v>
      </c>
      <c r="D897" t="s">
        <v>197</v>
      </c>
      <c r="E897" t="s">
        <v>197</v>
      </c>
      <c r="F897" t="s">
        <v>197</v>
      </c>
      <c r="G897" t="s">
        <v>197</v>
      </c>
      <c r="H897" t="s">
        <v>197</v>
      </c>
      <c r="I897" t="s">
        <v>197</v>
      </c>
      <c r="J897" t="s">
        <v>197</v>
      </c>
      <c r="K897" t="s">
        <v>801</v>
      </c>
    </row>
    <row r="898" spans="1:24">
      <c r="B898" t="s">
        <v>197</v>
      </c>
      <c r="C898" t="s">
        <v>197</v>
      </c>
      <c r="D898" t="s">
        <v>197</v>
      </c>
      <c r="E898" t="s">
        <v>197</v>
      </c>
      <c r="F898" t="s">
        <v>197</v>
      </c>
      <c r="G898" t="s">
        <v>197</v>
      </c>
      <c r="H898" t="s">
        <v>197</v>
      </c>
      <c r="I898" t="s">
        <v>197</v>
      </c>
      <c r="J898" t="s">
        <v>197</v>
      </c>
      <c r="K898" t="s">
        <v>802</v>
      </c>
    </row>
    <row r="899" spans="1:24">
      <c r="B899" t="s">
        <v>197</v>
      </c>
      <c r="C899" t="s">
        <v>197</v>
      </c>
      <c r="D899" t="s">
        <v>197</v>
      </c>
      <c r="E899" t="s">
        <v>197</v>
      </c>
      <c r="F899" t="s">
        <v>197</v>
      </c>
      <c r="G899" t="s">
        <v>197</v>
      </c>
      <c r="H899" t="s">
        <v>197</v>
      </c>
      <c r="I899" t="s">
        <v>197</v>
      </c>
      <c r="J899" t="s">
        <v>197</v>
      </c>
      <c r="K899" t="s">
        <v>803</v>
      </c>
    </row>
    <row r="900" spans="1:24">
      <c r="B900" t="s">
        <v>197</v>
      </c>
      <c r="C900" t="s">
        <v>197</v>
      </c>
      <c r="D900" t="s">
        <v>197</v>
      </c>
      <c r="E900" t="s">
        <v>197</v>
      </c>
      <c r="F900" t="s">
        <v>197</v>
      </c>
      <c r="G900" t="s">
        <v>197</v>
      </c>
      <c r="H900" t="s">
        <v>197</v>
      </c>
      <c r="I900" t="s">
        <v>197</v>
      </c>
      <c r="J900" t="s">
        <v>197</v>
      </c>
      <c r="K900" t="s">
        <v>804</v>
      </c>
    </row>
    <row r="901" spans="1:24">
      <c r="B901" t="s">
        <v>197</v>
      </c>
      <c r="C901" t="s">
        <v>197</v>
      </c>
      <c r="D901" t="s">
        <v>197</v>
      </c>
      <c r="E901" t="s">
        <v>197</v>
      </c>
      <c r="F901" t="s">
        <v>197</v>
      </c>
      <c r="G901" t="s">
        <v>197</v>
      </c>
      <c r="H901" t="s">
        <v>197</v>
      </c>
      <c r="I901" t="s">
        <v>197</v>
      </c>
      <c r="J901" t="s">
        <v>197</v>
      </c>
      <c r="K901" t="s">
        <v>805</v>
      </c>
    </row>
    <row r="902" spans="1:24">
      <c r="B902" t="s">
        <v>197</v>
      </c>
      <c r="C902" t="s">
        <v>197</v>
      </c>
      <c r="D902" t="s">
        <v>197</v>
      </c>
      <c r="E902" t="s">
        <v>197</v>
      </c>
      <c r="F902" t="s">
        <v>197</v>
      </c>
      <c r="G902" t="s">
        <v>197</v>
      </c>
      <c r="H902" t="s">
        <v>197</v>
      </c>
      <c r="I902" t="s">
        <v>197</v>
      </c>
      <c r="J902" t="s">
        <v>197</v>
      </c>
      <c r="K902" t="s">
        <v>806</v>
      </c>
    </row>
    <row r="903" spans="1:24">
      <c r="B903" t="s">
        <v>197</v>
      </c>
      <c r="C903" t="s">
        <v>197</v>
      </c>
      <c r="D903" t="s">
        <v>197</v>
      </c>
      <c r="E903" t="s">
        <v>197</v>
      </c>
      <c r="F903" t="s">
        <v>197</v>
      </c>
      <c r="G903" t="s">
        <v>197</v>
      </c>
      <c r="H903" t="s">
        <v>197</v>
      </c>
      <c r="I903" t="s">
        <v>197</v>
      </c>
      <c r="J903" t="s">
        <v>197</v>
      </c>
      <c r="K903" t="s">
        <v>807</v>
      </c>
    </row>
    <row r="904" spans="1:24">
      <c r="A904" t="s">
        <v>991</v>
      </c>
      <c r="K904" t="s">
        <v>992</v>
      </c>
      <c r="W904" t="s">
        <v>171</v>
      </c>
      <c r="X904" t="str">
        <f>A904</f>
        <v>info_binary_dml_batch1_pk</v>
      </c>
    </row>
    <row r="905" spans="1:24">
      <c r="B905" t="s">
        <v>196</v>
      </c>
      <c r="C905" t="s">
        <v>197</v>
      </c>
      <c r="D905" t="s">
        <v>197</v>
      </c>
      <c r="E905" t="s">
        <v>197</v>
      </c>
      <c r="F905" t="s">
        <v>197</v>
      </c>
      <c r="G905" t="s">
        <v>197</v>
      </c>
      <c r="H905" t="s">
        <v>197</v>
      </c>
      <c r="I905" t="s">
        <v>993</v>
      </c>
      <c r="J905" t="s">
        <v>199</v>
      </c>
      <c r="K905" t="s">
        <v>200</v>
      </c>
    </row>
    <row r="906" spans="1:24">
      <c r="B906" t="s">
        <v>197</v>
      </c>
      <c r="C906" t="s">
        <v>197</v>
      </c>
      <c r="D906" t="s">
        <v>197</v>
      </c>
      <c r="E906" t="s">
        <v>197</v>
      </c>
      <c r="F906" t="s">
        <v>197</v>
      </c>
      <c r="G906" t="s">
        <v>197</v>
      </c>
      <c r="H906" t="s">
        <v>197</v>
      </c>
      <c r="I906" t="s">
        <v>197</v>
      </c>
      <c r="J906" t="s">
        <v>197</v>
      </c>
      <c r="K906" t="s">
        <v>691</v>
      </c>
    </row>
    <row r="907" spans="1:24">
      <c r="B907" t="s">
        <v>197</v>
      </c>
      <c r="C907" t="s">
        <v>197</v>
      </c>
      <c r="D907" t="s">
        <v>197</v>
      </c>
      <c r="E907" t="s">
        <v>197</v>
      </c>
      <c r="F907" t="s">
        <v>197</v>
      </c>
      <c r="G907" t="s">
        <v>197</v>
      </c>
      <c r="H907" t="s">
        <v>197</v>
      </c>
      <c r="I907" t="s">
        <v>197</v>
      </c>
      <c r="J907" t="s">
        <v>197</v>
      </c>
      <c r="K907" t="s">
        <v>692</v>
      </c>
    </row>
    <row r="908" spans="1:24">
      <c r="B908" t="s">
        <v>197</v>
      </c>
      <c r="C908" t="s">
        <v>197</v>
      </c>
      <c r="D908" t="s">
        <v>197</v>
      </c>
      <c r="E908" t="s">
        <v>197</v>
      </c>
      <c r="F908" t="s">
        <v>197</v>
      </c>
      <c r="G908" t="s">
        <v>197</v>
      </c>
      <c r="H908" t="s">
        <v>197</v>
      </c>
      <c r="I908" t="s">
        <v>197</v>
      </c>
      <c r="J908" t="s">
        <v>197</v>
      </c>
      <c r="K908" t="s">
        <v>693</v>
      </c>
    </row>
    <row r="909" spans="1:24">
      <c r="A909" t="s">
        <v>982</v>
      </c>
      <c r="K909" t="s">
        <v>983</v>
      </c>
      <c r="W909" t="s">
        <v>171</v>
      </c>
      <c r="X909" t="str">
        <f>A909</f>
        <v>info_nvarchar_dml_batch1_pk_irp1</v>
      </c>
    </row>
    <row r="910" spans="1:24">
      <c r="B910" t="s">
        <v>196</v>
      </c>
      <c r="C910" t="s">
        <v>197</v>
      </c>
      <c r="D910" t="s">
        <v>197</v>
      </c>
      <c r="E910" t="s">
        <v>197</v>
      </c>
      <c r="F910" t="s">
        <v>197</v>
      </c>
      <c r="G910" t="s">
        <v>197</v>
      </c>
      <c r="H910" t="s">
        <v>197</v>
      </c>
      <c r="I910" t="s">
        <v>984</v>
      </c>
      <c r="J910" t="s">
        <v>199</v>
      </c>
      <c r="K910" t="s">
        <v>200</v>
      </c>
    </row>
    <row r="911" spans="1:24">
      <c r="B911" t="s">
        <v>197</v>
      </c>
      <c r="C911" t="s">
        <v>197</v>
      </c>
      <c r="D911" t="s">
        <v>197</v>
      </c>
      <c r="E911" t="s">
        <v>197</v>
      </c>
      <c r="F911" t="s">
        <v>197</v>
      </c>
      <c r="G911" t="s">
        <v>197</v>
      </c>
      <c r="H911" t="s">
        <v>197</v>
      </c>
      <c r="I911" t="s">
        <v>197</v>
      </c>
      <c r="J911" t="s">
        <v>197</v>
      </c>
      <c r="K911" t="s">
        <v>408</v>
      </c>
    </row>
    <row r="912" spans="1:24">
      <c r="B912" t="s">
        <v>197</v>
      </c>
      <c r="C912" t="s">
        <v>197</v>
      </c>
      <c r="D912" t="s">
        <v>197</v>
      </c>
      <c r="E912" t="s">
        <v>197</v>
      </c>
      <c r="F912" t="s">
        <v>197</v>
      </c>
      <c r="G912" t="s">
        <v>197</v>
      </c>
      <c r="H912" t="s">
        <v>197</v>
      </c>
      <c r="I912" t="s">
        <v>197</v>
      </c>
      <c r="J912" t="s">
        <v>197</v>
      </c>
      <c r="K912" t="s">
        <v>412</v>
      </c>
    </row>
    <row r="913" spans="1:24">
      <c r="B913" t="s">
        <v>197</v>
      </c>
      <c r="C913" t="s">
        <v>197</v>
      </c>
      <c r="D913" t="s">
        <v>197</v>
      </c>
      <c r="E913" t="s">
        <v>197</v>
      </c>
      <c r="F913" t="s">
        <v>197</v>
      </c>
      <c r="G913" t="s">
        <v>197</v>
      </c>
      <c r="H913" t="s">
        <v>197</v>
      </c>
      <c r="I913" t="s">
        <v>197</v>
      </c>
      <c r="J913" t="s">
        <v>197</v>
      </c>
      <c r="K913" t="s">
        <v>730</v>
      </c>
    </row>
    <row r="914" spans="1:24">
      <c r="A914" t="s">
        <v>994</v>
      </c>
      <c r="K914" t="s">
        <v>995</v>
      </c>
      <c r="W914" t="s">
        <v>171</v>
      </c>
      <c r="X914" t="str">
        <f>A914</f>
        <v>info_varchar_dml_batch1_pk_irp2</v>
      </c>
    </row>
    <row r="915" spans="1:24">
      <c r="B915" t="s">
        <v>196</v>
      </c>
      <c r="C915" t="s">
        <v>197</v>
      </c>
      <c r="D915" t="s">
        <v>197</v>
      </c>
      <c r="E915" t="s">
        <v>197</v>
      </c>
      <c r="F915" t="s">
        <v>197</v>
      </c>
      <c r="G915" t="s">
        <v>197</v>
      </c>
      <c r="H915" t="s">
        <v>197</v>
      </c>
      <c r="I915" t="s">
        <v>996</v>
      </c>
      <c r="J915" t="s">
        <v>199</v>
      </c>
      <c r="K915" t="s">
        <v>200</v>
      </c>
    </row>
    <row r="916" spans="1:24">
      <c r="B916" t="s">
        <v>197</v>
      </c>
      <c r="C916" t="s">
        <v>197</v>
      </c>
      <c r="D916" t="s">
        <v>197</v>
      </c>
      <c r="E916" t="s">
        <v>197</v>
      </c>
      <c r="F916" t="s">
        <v>197</v>
      </c>
      <c r="G916" t="s">
        <v>197</v>
      </c>
      <c r="H916" t="s">
        <v>197</v>
      </c>
      <c r="I916" t="s">
        <v>197</v>
      </c>
      <c r="J916" t="s">
        <v>197</v>
      </c>
      <c r="K916" t="s">
        <v>431</v>
      </c>
    </row>
    <row r="917" spans="1:24">
      <c r="B917" t="s">
        <v>197</v>
      </c>
      <c r="C917" t="s">
        <v>197</v>
      </c>
      <c r="D917" t="s">
        <v>197</v>
      </c>
      <c r="E917" t="s">
        <v>197</v>
      </c>
      <c r="F917" t="s">
        <v>197</v>
      </c>
      <c r="G917" t="s">
        <v>197</v>
      </c>
      <c r="H917" t="s">
        <v>197</v>
      </c>
      <c r="I917" t="s">
        <v>197</v>
      </c>
      <c r="J917" t="s">
        <v>197</v>
      </c>
      <c r="K917" t="s">
        <v>434</v>
      </c>
    </row>
    <row r="918" spans="1:24">
      <c r="B918" t="s">
        <v>197</v>
      </c>
      <c r="C918" t="s">
        <v>197</v>
      </c>
      <c r="D918" t="s">
        <v>197</v>
      </c>
      <c r="E918" t="s">
        <v>197</v>
      </c>
      <c r="F918" t="s">
        <v>197</v>
      </c>
      <c r="G918" t="s">
        <v>197</v>
      </c>
      <c r="H918" t="s">
        <v>197</v>
      </c>
      <c r="I918" t="s">
        <v>197</v>
      </c>
      <c r="J918" t="s">
        <v>197</v>
      </c>
      <c r="K918" t="s">
        <v>963</v>
      </c>
    </row>
    <row r="919" spans="1:24">
      <c r="K919" t="s">
        <v>443</v>
      </c>
    </row>
    <row r="920" spans="1:24">
      <c r="A920" t="s">
        <v>997</v>
      </c>
      <c r="K920" t="s">
        <v>998</v>
      </c>
      <c r="W920" t="s">
        <v>171</v>
      </c>
      <c r="X920" t="str">
        <f>A920</f>
        <v>info_time_dml_batch1_pk_irp2</v>
      </c>
    </row>
    <row r="921" spans="1:24">
      <c r="B921" t="s">
        <v>196</v>
      </c>
      <c r="C921" t="s">
        <v>197</v>
      </c>
      <c r="D921" t="s">
        <v>197</v>
      </c>
      <c r="E921" t="s">
        <v>197</v>
      </c>
      <c r="F921" t="s">
        <v>197</v>
      </c>
      <c r="G921" t="s">
        <v>197</v>
      </c>
      <c r="H921" t="s">
        <v>197</v>
      </c>
      <c r="I921" t="s">
        <v>999</v>
      </c>
      <c r="J921" t="s">
        <v>199</v>
      </c>
      <c r="K921" t="s">
        <v>200</v>
      </c>
    </row>
    <row r="922" spans="1:24">
      <c r="B922" t="s">
        <v>197</v>
      </c>
      <c r="C922" t="s">
        <v>197</v>
      </c>
      <c r="D922" t="s">
        <v>197</v>
      </c>
      <c r="E922" t="s">
        <v>197</v>
      </c>
      <c r="F922" t="s">
        <v>197</v>
      </c>
      <c r="G922" t="s">
        <v>197</v>
      </c>
      <c r="H922" t="s">
        <v>197</v>
      </c>
      <c r="I922" t="s">
        <v>197</v>
      </c>
      <c r="J922" t="s">
        <v>197</v>
      </c>
      <c r="K922" t="s">
        <v>800</v>
      </c>
    </row>
    <row r="923" spans="1:24">
      <c r="B923" t="s">
        <v>197</v>
      </c>
      <c r="C923" t="s">
        <v>197</v>
      </c>
      <c r="D923" t="s">
        <v>197</v>
      </c>
      <c r="E923" t="s">
        <v>197</v>
      </c>
      <c r="F923" t="s">
        <v>197</v>
      </c>
      <c r="G923" t="s">
        <v>197</v>
      </c>
      <c r="H923" t="s">
        <v>197</v>
      </c>
      <c r="I923" t="s">
        <v>197</v>
      </c>
      <c r="J923" t="s">
        <v>197</v>
      </c>
      <c r="K923" t="s">
        <v>801</v>
      </c>
    </row>
    <row r="924" spans="1:24">
      <c r="B924" t="s">
        <v>197</v>
      </c>
      <c r="C924" t="s">
        <v>197</v>
      </c>
      <c r="D924" t="s">
        <v>197</v>
      </c>
      <c r="E924" t="s">
        <v>197</v>
      </c>
      <c r="F924" t="s">
        <v>197</v>
      </c>
      <c r="G924" t="s">
        <v>197</v>
      </c>
      <c r="H924" t="s">
        <v>197</v>
      </c>
      <c r="I924" t="s">
        <v>197</v>
      </c>
      <c r="J924" t="s">
        <v>197</v>
      </c>
      <c r="K924" t="s">
        <v>802</v>
      </c>
    </row>
    <row r="925" spans="1:24">
      <c r="B925" t="s">
        <v>197</v>
      </c>
      <c r="C925" t="s">
        <v>197</v>
      </c>
      <c r="D925" t="s">
        <v>197</v>
      </c>
      <c r="E925" t="s">
        <v>197</v>
      </c>
      <c r="F925" t="s">
        <v>197</v>
      </c>
      <c r="G925" t="s">
        <v>197</v>
      </c>
      <c r="H925" t="s">
        <v>197</v>
      </c>
      <c r="I925" t="s">
        <v>197</v>
      </c>
      <c r="J925" t="s">
        <v>197</v>
      </c>
      <c r="K925" t="s">
        <v>803</v>
      </c>
    </row>
    <row r="926" spans="1:24">
      <c r="B926" t="s">
        <v>197</v>
      </c>
      <c r="C926" t="s">
        <v>197</v>
      </c>
      <c r="D926" t="s">
        <v>197</v>
      </c>
      <c r="E926" t="s">
        <v>197</v>
      </c>
      <c r="F926" t="s">
        <v>197</v>
      </c>
      <c r="G926" t="s">
        <v>197</v>
      </c>
      <c r="H926" t="s">
        <v>197</v>
      </c>
      <c r="I926" t="s">
        <v>197</v>
      </c>
      <c r="J926" t="s">
        <v>197</v>
      </c>
      <c r="K926" t="s">
        <v>804</v>
      </c>
    </row>
    <row r="927" spans="1:24">
      <c r="B927" t="s">
        <v>197</v>
      </c>
      <c r="C927" t="s">
        <v>197</v>
      </c>
      <c r="D927" t="s">
        <v>197</v>
      </c>
      <c r="E927" t="s">
        <v>197</v>
      </c>
      <c r="F927" t="s">
        <v>197</v>
      </c>
      <c r="G927" t="s">
        <v>197</v>
      </c>
      <c r="H927" t="s">
        <v>197</v>
      </c>
      <c r="I927" t="s">
        <v>197</v>
      </c>
      <c r="J927" t="s">
        <v>197</v>
      </c>
      <c r="K927" t="s">
        <v>805</v>
      </c>
    </row>
    <row r="928" spans="1:24">
      <c r="B928" t="s">
        <v>197</v>
      </c>
      <c r="C928" t="s">
        <v>197</v>
      </c>
      <c r="D928" t="s">
        <v>197</v>
      </c>
      <c r="E928" t="s">
        <v>197</v>
      </c>
      <c r="F928" t="s">
        <v>197</v>
      </c>
      <c r="G928" t="s">
        <v>197</v>
      </c>
      <c r="H928" t="s">
        <v>197</v>
      </c>
      <c r="I928" t="s">
        <v>197</v>
      </c>
      <c r="J928" t="s">
        <v>197</v>
      </c>
      <c r="K928" t="s">
        <v>806</v>
      </c>
    </row>
    <row r="929" spans="1:24">
      <c r="B929" t="s">
        <v>197</v>
      </c>
      <c r="C929" t="s">
        <v>197</v>
      </c>
      <c r="D929" t="s">
        <v>197</v>
      </c>
      <c r="E929" t="s">
        <v>197</v>
      </c>
      <c r="F929" t="s">
        <v>197</v>
      </c>
      <c r="G929" t="s">
        <v>197</v>
      </c>
      <c r="H929" t="s">
        <v>197</v>
      </c>
      <c r="I929" t="s">
        <v>197</v>
      </c>
      <c r="J929" t="s">
        <v>197</v>
      </c>
      <c r="K929" t="s">
        <v>807</v>
      </c>
    </row>
    <row r="930" spans="1:24">
      <c r="A930" t="s">
        <v>1003</v>
      </c>
      <c r="K930" t="s">
        <v>1004</v>
      </c>
      <c r="W930" s="1" t="str">
        <f>HYPERLINK("#2026042015hbase1!AJ2","NO 源备存在差异，共4个")</f>
        <v>NO 源备存在差异，共4个</v>
      </c>
      <c r="X930" t="str">
        <f>A930</f>
        <v>info_sql_variant_dml_single_pk_irp</v>
      </c>
    </row>
    <row r="931" spans="1:24">
      <c r="B931" t="s">
        <v>196</v>
      </c>
      <c r="C931" t="s">
        <v>197</v>
      </c>
      <c r="D931" t="s">
        <v>197</v>
      </c>
      <c r="E931" t="s">
        <v>197</v>
      </c>
      <c r="F931" t="s">
        <v>197</v>
      </c>
      <c r="G931" t="s">
        <v>197</v>
      </c>
      <c r="H931" t="s">
        <v>197</v>
      </c>
      <c r="I931" t="s">
        <v>1005</v>
      </c>
      <c r="J931" t="s">
        <v>199</v>
      </c>
      <c r="K931" t="s">
        <v>200</v>
      </c>
    </row>
    <row r="932" spans="1:24">
      <c r="B932" t="s">
        <v>197</v>
      </c>
      <c r="C932" t="s">
        <v>197</v>
      </c>
      <c r="D932" t="s">
        <v>197</v>
      </c>
      <c r="E932" t="s">
        <v>197</v>
      </c>
      <c r="F932" t="s">
        <v>197</v>
      </c>
      <c r="G932" t="s">
        <v>197</v>
      </c>
      <c r="H932" t="s">
        <v>197</v>
      </c>
      <c r="I932" t="s">
        <v>197</v>
      </c>
      <c r="J932" t="s">
        <v>197</v>
      </c>
      <c r="K932" t="s">
        <v>1006</v>
      </c>
    </row>
    <row r="933" spans="1:24">
      <c r="B933" t="s">
        <v>197</v>
      </c>
      <c r="C933" t="s">
        <v>197</v>
      </c>
      <c r="D933" t="s">
        <v>197</v>
      </c>
      <c r="E933" t="s">
        <v>197</v>
      </c>
      <c r="F933" t="s">
        <v>197</v>
      </c>
      <c r="G933" t="s">
        <v>197</v>
      </c>
      <c r="H933" t="s">
        <v>197</v>
      </c>
      <c r="I933" t="s">
        <v>197</v>
      </c>
      <c r="J933" t="s">
        <v>197</v>
      </c>
      <c r="K933" t="s">
        <v>1007</v>
      </c>
    </row>
    <row r="934" spans="1:24">
      <c r="B934" t="s">
        <v>197</v>
      </c>
      <c r="C934" t="s">
        <v>197</v>
      </c>
      <c r="D934" t="s">
        <v>197</v>
      </c>
      <c r="E934" t="s">
        <v>197</v>
      </c>
      <c r="F934" t="s">
        <v>197</v>
      </c>
      <c r="G934" t="s">
        <v>197</v>
      </c>
      <c r="H934" t="s">
        <v>197</v>
      </c>
      <c r="I934" t="s">
        <v>197</v>
      </c>
      <c r="J934" t="s">
        <v>197</v>
      </c>
      <c r="K934" t="s">
        <v>1008</v>
      </c>
    </row>
    <row r="935" spans="1:24">
      <c r="B935" t="s">
        <v>197</v>
      </c>
      <c r="C935" t="s">
        <v>197</v>
      </c>
      <c r="D935" t="s">
        <v>197</v>
      </c>
      <c r="E935" t="s">
        <v>197</v>
      </c>
      <c r="F935" t="s">
        <v>197</v>
      </c>
      <c r="G935" t="s">
        <v>197</v>
      </c>
      <c r="H935" t="s">
        <v>197</v>
      </c>
      <c r="I935" t="s">
        <v>197</v>
      </c>
      <c r="J935" t="s">
        <v>197</v>
      </c>
      <c r="K935" t="s">
        <v>1009</v>
      </c>
    </row>
    <row r="936" spans="1:24">
      <c r="B936" t="s">
        <v>197</v>
      </c>
      <c r="C936" t="s">
        <v>197</v>
      </c>
      <c r="D936" t="s">
        <v>197</v>
      </c>
      <c r="E936" t="s">
        <v>197</v>
      </c>
      <c r="F936" t="s">
        <v>197</v>
      </c>
      <c r="G936" t="s">
        <v>197</v>
      </c>
      <c r="H936" t="s">
        <v>197</v>
      </c>
      <c r="I936" t="s">
        <v>197</v>
      </c>
      <c r="J936" t="s">
        <v>197</v>
      </c>
      <c r="K936" t="s">
        <v>1010</v>
      </c>
    </row>
    <row r="937" spans="1:24">
      <c r="B937" t="s">
        <v>197</v>
      </c>
      <c r="C937" t="s">
        <v>197</v>
      </c>
      <c r="D937" t="s">
        <v>197</v>
      </c>
      <c r="E937" t="s">
        <v>197</v>
      </c>
      <c r="F937" t="s">
        <v>197</v>
      </c>
      <c r="G937" t="s">
        <v>197</v>
      </c>
      <c r="H937" t="s">
        <v>197</v>
      </c>
      <c r="I937" t="s">
        <v>197</v>
      </c>
      <c r="J937" t="s">
        <v>197</v>
      </c>
      <c r="K937" t="s">
        <v>1011</v>
      </c>
    </row>
    <row r="938" spans="1:24">
      <c r="B938" t="s">
        <v>197</v>
      </c>
      <c r="C938" t="s">
        <v>197</v>
      </c>
      <c r="D938" t="s">
        <v>197</v>
      </c>
      <c r="E938" t="s">
        <v>197</v>
      </c>
      <c r="F938" t="s">
        <v>197</v>
      </c>
      <c r="G938" t="s">
        <v>197</v>
      </c>
      <c r="H938" t="s">
        <v>197</v>
      </c>
      <c r="I938" t="s">
        <v>197</v>
      </c>
      <c r="J938" t="s">
        <v>197</v>
      </c>
      <c r="K938" t="s">
        <v>1012</v>
      </c>
    </row>
    <row r="939" spans="1:24">
      <c r="B939" t="s">
        <v>197</v>
      </c>
      <c r="C939" t="s">
        <v>197</v>
      </c>
      <c r="D939" t="s">
        <v>197</v>
      </c>
      <c r="E939" t="s">
        <v>197</v>
      </c>
      <c r="F939" t="s">
        <v>197</v>
      </c>
      <c r="G939" t="s">
        <v>197</v>
      </c>
      <c r="H939" t="s">
        <v>197</v>
      </c>
      <c r="I939" t="s">
        <v>197</v>
      </c>
      <c r="J939" t="s">
        <v>197</v>
      </c>
      <c r="K939" t="s">
        <v>1013</v>
      </c>
    </row>
    <row r="940" spans="1:24">
      <c r="B940" t="s">
        <v>197</v>
      </c>
      <c r="C940" t="s">
        <v>197</v>
      </c>
      <c r="D940" t="s">
        <v>197</v>
      </c>
      <c r="E940" t="s">
        <v>197</v>
      </c>
      <c r="F940" t="s">
        <v>197</v>
      </c>
      <c r="G940" t="s">
        <v>197</v>
      </c>
      <c r="H940" t="s">
        <v>197</v>
      </c>
      <c r="I940" t="s">
        <v>197</v>
      </c>
      <c r="J940" t="s">
        <v>197</v>
      </c>
      <c r="K940" t="s">
        <v>1014</v>
      </c>
    </row>
    <row r="941" spans="1:24">
      <c r="B941" t="s">
        <v>197</v>
      </c>
      <c r="C941" t="s">
        <v>197</v>
      </c>
      <c r="D941" t="s">
        <v>197</v>
      </c>
      <c r="E941" t="s">
        <v>197</v>
      </c>
      <c r="F941" t="s">
        <v>197</v>
      </c>
      <c r="G941" t="s">
        <v>197</v>
      </c>
      <c r="H941" t="s">
        <v>197</v>
      </c>
      <c r="I941" t="s">
        <v>197</v>
      </c>
      <c r="J941" t="s">
        <v>197</v>
      </c>
      <c r="K941" t="s">
        <v>1015</v>
      </c>
    </row>
    <row r="942" spans="1:24">
      <c r="B942" t="s">
        <v>197</v>
      </c>
      <c r="C942" t="s">
        <v>197</v>
      </c>
      <c r="D942" t="s">
        <v>197</v>
      </c>
      <c r="E942" t="s">
        <v>197</v>
      </c>
      <c r="F942" t="s">
        <v>197</v>
      </c>
      <c r="G942" t="s">
        <v>197</v>
      </c>
      <c r="H942" t="s">
        <v>197</v>
      </c>
      <c r="I942" t="s">
        <v>197</v>
      </c>
      <c r="J942" t="s">
        <v>197</v>
      </c>
      <c r="K942" t="s">
        <v>1016</v>
      </c>
    </row>
    <row r="943" spans="1:24">
      <c r="B943" t="s">
        <v>197</v>
      </c>
      <c r="C943" t="s">
        <v>197</v>
      </c>
      <c r="D943" t="s">
        <v>197</v>
      </c>
      <c r="E943" t="s">
        <v>197</v>
      </c>
      <c r="F943" t="s">
        <v>197</v>
      </c>
      <c r="G943" t="s">
        <v>197</v>
      </c>
      <c r="H943" t="s">
        <v>197</v>
      </c>
      <c r="I943" t="s">
        <v>197</v>
      </c>
      <c r="J943" t="s">
        <v>197</v>
      </c>
      <c r="K943" t="s">
        <v>1017</v>
      </c>
    </row>
    <row r="944" spans="1:24">
      <c r="B944" t="s">
        <v>197</v>
      </c>
      <c r="C944" t="s">
        <v>197</v>
      </c>
      <c r="D944" t="s">
        <v>197</v>
      </c>
      <c r="E944" t="s">
        <v>197</v>
      </c>
      <c r="F944" t="s">
        <v>197</v>
      </c>
      <c r="G944" t="s">
        <v>197</v>
      </c>
      <c r="H944" t="s">
        <v>197</v>
      </c>
      <c r="I944" t="s">
        <v>197</v>
      </c>
      <c r="J944" t="s">
        <v>197</v>
      </c>
      <c r="K944" t="s">
        <v>1018</v>
      </c>
    </row>
    <row r="945" spans="1:24">
      <c r="B945" t="s">
        <v>197</v>
      </c>
      <c r="C945" t="s">
        <v>197</v>
      </c>
      <c r="D945" t="s">
        <v>197</v>
      </c>
      <c r="E945" t="s">
        <v>197</v>
      </c>
      <c r="F945" t="s">
        <v>197</v>
      </c>
      <c r="G945" t="s">
        <v>197</v>
      </c>
      <c r="H945" t="s">
        <v>197</v>
      </c>
      <c r="I945" t="s">
        <v>197</v>
      </c>
      <c r="J945" t="s">
        <v>197</v>
      </c>
      <c r="K945" t="s">
        <v>1019</v>
      </c>
    </row>
    <row r="946" spans="1:24">
      <c r="B946" t="s">
        <v>197</v>
      </c>
      <c r="C946" t="s">
        <v>197</v>
      </c>
      <c r="D946" t="s">
        <v>197</v>
      </c>
      <c r="E946" t="s">
        <v>197</v>
      </c>
      <c r="F946" t="s">
        <v>197</v>
      </c>
      <c r="G946" t="s">
        <v>197</v>
      </c>
      <c r="H946" t="s">
        <v>197</v>
      </c>
      <c r="I946" t="s">
        <v>197</v>
      </c>
      <c r="J946" t="s">
        <v>197</v>
      </c>
      <c r="K946" t="s">
        <v>1020</v>
      </c>
    </row>
    <row r="947" spans="1:24">
      <c r="B947" t="s">
        <v>197</v>
      </c>
      <c r="C947" t="s">
        <v>197</v>
      </c>
      <c r="D947" t="s">
        <v>197</v>
      </c>
      <c r="E947" t="s">
        <v>197</v>
      </c>
      <c r="F947" t="s">
        <v>197</v>
      </c>
      <c r="G947" t="s">
        <v>197</v>
      </c>
      <c r="H947" t="s">
        <v>197</v>
      </c>
      <c r="I947" t="s">
        <v>197</v>
      </c>
      <c r="J947" t="s">
        <v>197</v>
      </c>
      <c r="K947" t="s">
        <v>1021</v>
      </c>
    </row>
    <row r="948" spans="1:24">
      <c r="B948" t="s">
        <v>197</v>
      </c>
      <c r="C948" t="s">
        <v>197</v>
      </c>
      <c r="D948" t="s">
        <v>197</v>
      </c>
      <c r="E948" t="s">
        <v>197</v>
      </c>
      <c r="F948" t="s">
        <v>197</v>
      </c>
      <c r="G948" t="s">
        <v>197</v>
      </c>
      <c r="H948" t="s">
        <v>197</v>
      </c>
      <c r="I948" t="s">
        <v>197</v>
      </c>
      <c r="J948" t="s">
        <v>197</v>
      </c>
      <c r="K948" t="s">
        <v>1022</v>
      </c>
    </row>
    <row r="949" spans="1:24">
      <c r="B949" t="s">
        <v>197</v>
      </c>
      <c r="C949" t="s">
        <v>197</v>
      </c>
      <c r="D949" t="s">
        <v>197</v>
      </c>
      <c r="E949" t="s">
        <v>197</v>
      </c>
      <c r="F949" t="s">
        <v>197</v>
      </c>
      <c r="G949" t="s">
        <v>197</v>
      </c>
      <c r="H949" t="s">
        <v>197</v>
      </c>
      <c r="I949" t="s">
        <v>197</v>
      </c>
      <c r="J949" t="s">
        <v>197</v>
      </c>
      <c r="K949" t="s">
        <v>1023</v>
      </c>
    </row>
    <row r="950" spans="1:24">
      <c r="B950" t="s">
        <v>197</v>
      </c>
      <c r="C950" t="s">
        <v>197</v>
      </c>
      <c r="D950" t="s">
        <v>197</v>
      </c>
      <c r="E950" t="s">
        <v>197</v>
      </c>
      <c r="F950" t="s">
        <v>197</v>
      </c>
      <c r="G950" t="s">
        <v>197</v>
      </c>
      <c r="H950" t="s">
        <v>197</v>
      </c>
      <c r="I950" t="s">
        <v>197</v>
      </c>
      <c r="J950" t="s">
        <v>197</v>
      </c>
      <c r="K950" t="s">
        <v>1024</v>
      </c>
    </row>
    <row r="951" spans="1:24">
      <c r="B951" t="s">
        <v>197</v>
      </c>
      <c r="C951" t="s">
        <v>197</v>
      </c>
      <c r="D951" t="s">
        <v>197</v>
      </c>
      <c r="E951" t="s">
        <v>197</v>
      </c>
      <c r="F951" t="s">
        <v>197</v>
      </c>
      <c r="G951" t="s">
        <v>197</v>
      </c>
      <c r="H951" t="s">
        <v>197</v>
      </c>
      <c r="I951" t="s">
        <v>197</v>
      </c>
      <c r="J951" t="s">
        <v>197</v>
      </c>
      <c r="K951" t="s">
        <v>1025</v>
      </c>
    </row>
    <row r="952" spans="1:24">
      <c r="B952" t="s">
        <v>197</v>
      </c>
      <c r="C952" t="s">
        <v>197</v>
      </c>
      <c r="D952" t="s">
        <v>197</v>
      </c>
      <c r="E952" t="s">
        <v>197</v>
      </c>
      <c r="F952" t="s">
        <v>197</v>
      </c>
      <c r="G952" t="s">
        <v>197</v>
      </c>
      <c r="H952" t="s">
        <v>197</v>
      </c>
      <c r="I952" t="s">
        <v>197</v>
      </c>
      <c r="J952" t="s">
        <v>197</v>
      </c>
      <c r="K952" t="s">
        <v>1026</v>
      </c>
    </row>
    <row r="953" spans="1:24">
      <c r="B953" t="s">
        <v>197</v>
      </c>
      <c r="C953" t="s">
        <v>197</v>
      </c>
      <c r="D953" t="s">
        <v>197</v>
      </c>
      <c r="E953" t="s">
        <v>197</v>
      </c>
      <c r="F953" t="s">
        <v>197</v>
      </c>
      <c r="G953" t="s">
        <v>197</v>
      </c>
      <c r="H953" t="s">
        <v>197</v>
      </c>
      <c r="I953" t="s">
        <v>197</v>
      </c>
      <c r="J953" t="s">
        <v>197</v>
      </c>
      <c r="K953" t="s">
        <v>1027</v>
      </c>
    </row>
    <row r="954" spans="1:24">
      <c r="B954" t="s">
        <v>197</v>
      </c>
      <c r="C954" t="s">
        <v>197</v>
      </c>
      <c r="D954" t="s">
        <v>197</v>
      </c>
      <c r="E954" t="s">
        <v>197</v>
      </c>
      <c r="F954" t="s">
        <v>197</v>
      </c>
      <c r="G954" t="s">
        <v>197</v>
      </c>
      <c r="H954" t="s">
        <v>197</v>
      </c>
      <c r="I954" t="s">
        <v>197</v>
      </c>
      <c r="J954" t="s">
        <v>197</v>
      </c>
      <c r="K954" t="s">
        <v>1028</v>
      </c>
    </row>
    <row r="955" spans="1:24">
      <c r="B955" t="s">
        <v>197</v>
      </c>
      <c r="C955" t="s">
        <v>197</v>
      </c>
      <c r="D955" t="s">
        <v>197</v>
      </c>
      <c r="E955" t="s">
        <v>197</v>
      </c>
      <c r="F955" t="s">
        <v>197</v>
      </c>
      <c r="G955" t="s">
        <v>197</v>
      </c>
      <c r="H955" t="s">
        <v>197</v>
      </c>
      <c r="I955" t="s">
        <v>197</v>
      </c>
      <c r="J955" t="s">
        <v>197</v>
      </c>
      <c r="K955" t="s">
        <v>1029</v>
      </c>
    </row>
    <row r="956" spans="1:24">
      <c r="A956" t="s">
        <v>1000</v>
      </c>
      <c r="K956" t="s">
        <v>1001</v>
      </c>
      <c r="W956" t="s">
        <v>171</v>
      </c>
      <c r="X956" t="str">
        <f>A956</f>
        <v>info_datetime_dml_single_pk</v>
      </c>
    </row>
    <row r="957" spans="1:24">
      <c r="B957" t="s">
        <v>196</v>
      </c>
      <c r="C957" t="s">
        <v>197</v>
      </c>
      <c r="D957" t="s">
        <v>197</v>
      </c>
      <c r="E957" t="s">
        <v>197</v>
      </c>
      <c r="F957" t="s">
        <v>197</v>
      </c>
      <c r="G957" t="s">
        <v>197</v>
      </c>
      <c r="H957" t="s">
        <v>197</v>
      </c>
      <c r="I957" t="s">
        <v>1002</v>
      </c>
      <c r="J957" t="s">
        <v>199</v>
      </c>
      <c r="K957" t="s">
        <v>200</v>
      </c>
    </row>
    <row r="958" spans="1:24">
      <c r="B958" t="s">
        <v>197</v>
      </c>
      <c r="C958" t="s">
        <v>197</v>
      </c>
      <c r="D958" t="s">
        <v>197</v>
      </c>
      <c r="E958" t="s">
        <v>197</v>
      </c>
      <c r="F958" t="s">
        <v>197</v>
      </c>
      <c r="G958" t="s">
        <v>197</v>
      </c>
      <c r="H958" t="s">
        <v>197</v>
      </c>
      <c r="I958" t="s">
        <v>197</v>
      </c>
      <c r="J958" t="s">
        <v>197</v>
      </c>
      <c r="K958" t="s">
        <v>574</v>
      </c>
    </row>
    <row r="959" spans="1:24">
      <c r="A959" t="s">
        <v>1030</v>
      </c>
      <c r="K959" t="s">
        <v>1031</v>
      </c>
      <c r="W959" t="s">
        <v>171</v>
      </c>
      <c r="X959" t="str">
        <f>A959</f>
        <v>info_varcharmax_dml_batch1_pk</v>
      </c>
    </row>
    <row r="960" spans="1:24">
      <c r="B960" t="s">
        <v>196</v>
      </c>
      <c r="C960" t="s">
        <v>197</v>
      </c>
      <c r="D960" t="s">
        <v>197</v>
      </c>
      <c r="E960" t="s">
        <v>197</v>
      </c>
      <c r="F960" t="s">
        <v>197</v>
      </c>
      <c r="G960" t="s">
        <v>197</v>
      </c>
      <c r="H960" t="s">
        <v>197</v>
      </c>
      <c r="I960" t="s">
        <v>1032</v>
      </c>
      <c r="J960" t="s">
        <v>199</v>
      </c>
      <c r="K960" t="s">
        <v>200</v>
      </c>
    </row>
    <row r="961" spans="1:24">
      <c r="B961" t="s">
        <v>197</v>
      </c>
      <c r="C961" t="s">
        <v>197</v>
      </c>
      <c r="D961" t="s">
        <v>197</v>
      </c>
      <c r="E961" t="s">
        <v>197</v>
      </c>
      <c r="F961" t="s">
        <v>197</v>
      </c>
      <c r="G961" t="s">
        <v>197</v>
      </c>
      <c r="H961" t="s">
        <v>197</v>
      </c>
      <c r="I961" t="s">
        <v>197</v>
      </c>
      <c r="J961" t="s">
        <v>197</v>
      </c>
      <c r="K961" t="s">
        <v>725</v>
      </c>
    </row>
    <row r="962" spans="1:24">
      <c r="B962" t="s">
        <v>197</v>
      </c>
      <c r="C962" t="s">
        <v>197</v>
      </c>
      <c r="D962" t="s">
        <v>197</v>
      </c>
      <c r="E962" t="s">
        <v>197</v>
      </c>
      <c r="F962" t="s">
        <v>197</v>
      </c>
      <c r="G962" t="s">
        <v>197</v>
      </c>
      <c r="H962" t="s">
        <v>197</v>
      </c>
      <c r="I962" t="s">
        <v>197</v>
      </c>
      <c r="J962" t="s">
        <v>197</v>
      </c>
      <c r="K962" t="s">
        <v>726</v>
      </c>
    </row>
    <row r="963" spans="1:24">
      <c r="K963" t="s">
        <v>443</v>
      </c>
    </row>
    <row r="964" spans="1:24">
      <c r="A964" t="s">
        <v>948</v>
      </c>
      <c r="K964" t="s">
        <v>949</v>
      </c>
      <c r="W964" t="s">
        <v>171</v>
      </c>
      <c r="X964" t="str">
        <f>A964</f>
        <v>info_char_dml_single_pk_urp</v>
      </c>
    </row>
    <row r="965" spans="1:24">
      <c r="B965" t="s">
        <v>196</v>
      </c>
      <c r="C965" t="s">
        <v>197</v>
      </c>
      <c r="D965" t="s">
        <v>197</v>
      </c>
      <c r="E965" t="s">
        <v>197</v>
      </c>
      <c r="F965" t="s">
        <v>197</v>
      </c>
      <c r="G965" t="s">
        <v>197</v>
      </c>
      <c r="H965" t="s">
        <v>197</v>
      </c>
      <c r="I965" t="s">
        <v>950</v>
      </c>
      <c r="J965" t="s">
        <v>199</v>
      </c>
      <c r="K965" t="s">
        <v>200</v>
      </c>
    </row>
    <row r="966" spans="1:24">
      <c r="B966" t="s">
        <v>197</v>
      </c>
      <c r="C966" t="s">
        <v>197</v>
      </c>
      <c r="D966" t="s">
        <v>197</v>
      </c>
      <c r="E966" t="s">
        <v>197</v>
      </c>
      <c r="F966" t="s">
        <v>197</v>
      </c>
      <c r="G966" t="s">
        <v>197</v>
      </c>
      <c r="H966" t="s">
        <v>197</v>
      </c>
      <c r="I966" t="s">
        <v>197</v>
      </c>
      <c r="J966" t="s">
        <v>197</v>
      </c>
      <c r="K966" t="s">
        <v>622</v>
      </c>
    </row>
    <row r="967" spans="1:24">
      <c r="B967" t="s">
        <v>197</v>
      </c>
      <c r="C967" t="s">
        <v>197</v>
      </c>
      <c r="D967" t="s">
        <v>197</v>
      </c>
      <c r="E967" t="s">
        <v>197</v>
      </c>
      <c r="F967" t="s">
        <v>197</v>
      </c>
      <c r="G967" t="s">
        <v>197</v>
      </c>
      <c r="H967" t="s">
        <v>197</v>
      </c>
      <c r="I967" t="s">
        <v>197</v>
      </c>
      <c r="J967" t="s">
        <v>197</v>
      </c>
      <c r="K967" t="s">
        <v>623</v>
      </c>
    </row>
    <row r="968" spans="1:24">
      <c r="B968" t="s">
        <v>197</v>
      </c>
      <c r="C968" t="s">
        <v>197</v>
      </c>
      <c r="D968" t="s">
        <v>197</v>
      </c>
      <c r="E968" t="s">
        <v>197</v>
      </c>
      <c r="F968" t="s">
        <v>197</v>
      </c>
      <c r="G968" t="s">
        <v>197</v>
      </c>
      <c r="H968" t="s">
        <v>197</v>
      </c>
      <c r="I968" t="s">
        <v>197</v>
      </c>
      <c r="J968" t="s">
        <v>197</v>
      </c>
      <c r="K968" t="s">
        <v>832</v>
      </c>
    </row>
    <row r="969" spans="1:24">
      <c r="A969" t="s">
        <v>1036</v>
      </c>
      <c r="K969" t="s">
        <v>1037</v>
      </c>
      <c r="W969" t="s">
        <v>171</v>
      </c>
      <c r="X969" t="str">
        <f>A969</f>
        <v>info_uniqueidentifier_dml_single_pk_irp</v>
      </c>
    </row>
    <row r="970" spans="1:24">
      <c r="B970" t="s">
        <v>196</v>
      </c>
      <c r="C970" t="s">
        <v>197</v>
      </c>
      <c r="D970" t="s">
        <v>197</v>
      </c>
      <c r="E970" t="s">
        <v>197</v>
      </c>
      <c r="F970" t="s">
        <v>197</v>
      </c>
      <c r="G970" t="s">
        <v>197</v>
      </c>
      <c r="H970" t="s">
        <v>197</v>
      </c>
      <c r="I970" t="s">
        <v>1038</v>
      </c>
      <c r="J970" t="s">
        <v>199</v>
      </c>
      <c r="K970" t="s">
        <v>200</v>
      </c>
    </row>
    <row r="971" spans="1:24">
      <c r="B971" t="s">
        <v>197</v>
      </c>
      <c r="C971" t="s">
        <v>197</v>
      </c>
      <c r="D971" t="s">
        <v>197</v>
      </c>
      <c r="E971" t="s">
        <v>197</v>
      </c>
      <c r="F971" t="s">
        <v>197</v>
      </c>
      <c r="G971" t="s">
        <v>197</v>
      </c>
      <c r="H971" t="s">
        <v>197</v>
      </c>
      <c r="I971" t="s">
        <v>197</v>
      </c>
      <c r="J971" t="s">
        <v>197</v>
      </c>
      <c r="K971" t="s">
        <v>1039</v>
      </c>
    </row>
    <row r="972" spans="1:24">
      <c r="A972" t="s">
        <v>1033</v>
      </c>
      <c r="K972" t="s">
        <v>1034</v>
      </c>
      <c r="W972" t="s">
        <v>171</v>
      </c>
      <c r="X972" t="str">
        <f>A972</f>
        <v>info_nvarchar_dml_batch1_pk_irp2</v>
      </c>
    </row>
    <row r="973" spans="1:24">
      <c r="B973" t="s">
        <v>196</v>
      </c>
      <c r="C973" t="s">
        <v>197</v>
      </c>
      <c r="D973" t="s">
        <v>197</v>
      </c>
      <c r="E973" t="s">
        <v>197</v>
      </c>
      <c r="F973" t="s">
        <v>197</v>
      </c>
      <c r="G973" t="s">
        <v>197</v>
      </c>
      <c r="H973" t="s">
        <v>197</v>
      </c>
      <c r="I973" t="s">
        <v>1035</v>
      </c>
      <c r="J973" t="s">
        <v>199</v>
      </c>
      <c r="K973" t="s">
        <v>200</v>
      </c>
    </row>
    <row r="974" spans="1:24">
      <c r="B974" t="s">
        <v>197</v>
      </c>
      <c r="C974" t="s">
        <v>197</v>
      </c>
      <c r="D974" t="s">
        <v>197</v>
      </c>
      <c r="E974" t="s">
        <v>197</v>
      </c>
      <c r="F974" t="s">
        <v>197</v>
      </c>
      <c r="G974" t="s">
        <v>197</v>
      </c>
      <c r="H974" t="s">
        <v>197</v>
      </c>
      <c r="I974" t="s">
        <v>197</v>
      </c>
      <c r="J974" t="s">
        <v>197</v>
      </c>
      <c r="K974" t="s">
        <v>408</v>
      </c>
    </row>
    <row r="975" spans="1:24">
      <c r="B975" t="s">
        <v>197</v>
      </c>
      <c r="C975" t="s">
        <v>197</v>
      </c>
      <c r="D975" t="s">
        <v>197</v>
      </c>
      <c r="E975" t="s">
        <v>197</v>
      </c>
      <c r="F975" t="s">
        <v>197</v>
      </c>
      <c r="G975" t="s">
        <v>197</v>
      </c>
      <c r="H975" t="s">
        <v>197</v>
      </c>
      <c r="I975" t="s">
        <v>197</v>
      </c>
      <c r="J975" t="s">
        <v>197</v>
      </c>
      <c r="K975" t="s">
        <v>412</v>
      </c>
    </row>
    <row r="976" spans="1:24">
      <c r="B976" t="s">
        <v>197</v>
      </c>
      <c r="C976" t="s">
        <v>197</v>
      </c>
      <c r="D976" t="s">
        <v>197</v>
      </c>
      <c r="E976" t="s">
        <v>197</v>
      </c>
      <c r="F976" t="s">
        <v>197</v>
      </c>
      <c r="G976" t="s">
        <v>197</v>
      </c>
      <c r="H976" t="s">
        <v>197</v>
      </c>
      <c r="I976" t="s">
        <v>197</v>
      </c>
      <c r="J976" t="s">
        <v>197</v>
      </c>
      <c r="K976" t="s">
        <v>416</v>
      </c>
    </row>
    <row r="977" spans="1:24">
      <c r="A977" t="s">
        <v>1040</v>
      </c>
      <c r="K977" t="s">
        <v>1041</v>
      </c>
      <c r="W977" t="s">
        <v>171</v>
      </c>
      <c r="X977" t="str">
        <f>A977</f>
        <v>info_datetime2_dml_single_pk_irp</v>
      </c>
    </row>
    <row r="978" spans="1:24">
      <c r="B978" t="s">
        <v>196</v>
      </c>
      <c r="C978" t="s">
        <v>197</v>
      </c>
      <c r="D978" t="s">
        <v>197</v>
      </c>
      <c r="E978" t="s">
        <v>197</v>
      </c>
      <c r="F978" t="s">
        <v>197</v>
      </c>
      <c r="G978" t="s">
        <v>197</v>
      </c>
      <c r="H978" t="s">
        <v>197</v>
      </c>
      <c r="I978" t="s">
        <v>1042</v>
      </c>
      <c r="J978" t="s">
        <v>199</v>
      </c>
      <c r="K978" t="s">
        <v>200</v>
      </c>
    </row>
    <row r="979" spans="1:24">
      <c r="B979" t="s">
        <v>197</v>
      </c>
      <c r="C979" t="s">
        <v>197</v>
      </c>
      <c r="D979" t="s">
        <v>197</v>
      </c>
      <c r="E979" t="s">
        <v>197</v>
      </c>
      <c r="F979" t="s">
        <v>197</v>
      </c>
      <c r="G979" t="s">
        <v>197</v>
      </c>
      <c r="H979" t="s">
        <v>197</v>
      </c>
      <c r="I979" t="s">
        <v>197</v>
      </c>
      <c r="J979" t="s">
        <v>197</v>
      </c>
      <c r="K979" t="s">
        <v>667</v>
      </c>
    </row>
    <row r="980" spans="1:24">
      <c r="B980" t="s">
        <v>197</v>
      </c>
      <c r="C980" t="s">
        <v>197</v>
      </c>
      <c r="D980" t="s">
        <v>197</v>
      </c>
      <c r="E980" t="s">
        <v>197</v>
      </c>
      <c r="F980" t="s">
        <v>197</v>
      </c>
      <c r="G980" t="s">
        <v>197</v>
      </c>
      <c r="H980" t="s">
        <v>197</v>
      </c>
      <c r="I980" t="s">
        <v>197</v>
      </c>
      <c r="J980" t="s">
        <v>197</v>
      </c>
      <c r="K980" t="s">
        <v>668</v>
      </c>
    </row>
    <row r="981" spans="1:24">
      <c r="B981" t="s">
        <v>197</v>
      </c>
      <c r="C981" t="s">
        <v>197</v>
      </c>
      <c r="D981" t="s">
        <v>197</v>
      </c>
      <c r="E981" t="s">
        <v>197</v>
      </c>
      <c r="F981" t="s">
        <v>197</v>
      </c>
      <c r="G981" t="s">
        <v>197</v>
      </c>
      <c r="H981" t="s">
        <v>197</v>
      </c>
      <c r="I981" t="s">
        <v>197</v>
      </c>
      <c r="J981" t="s">
        <v>197</v>
      </c>
      <c r="K981" t="s">
        <v>669</v>
      </c>
    </row>
    <row r="982" spans="1:24">
      <c r="B982" t="s">
        <v>197</v>
      </c>
      <c r="C982" t="s">
        <v>197</v>
      </c>
      <c r="D982" t="s">
        <v>197</v>
      </c>
      <c r="E982" t="s">
        <v>197</v>
      </c>
      <c r="F982" t="s">
        <v>197</v>
      </c>
      <c r="G982" t="s">
        <v>197</v>
      </c>
      <c r="H982" t="s">
        <v>197</v>
      </c>
      <c r="I982" t="s">
        <v>197</v>
      </c>
      <c r="J982" t="s">
        <v>197</v>
      </c>
      <c r="K982" t="s">
        <v>670</v>
      </c>
    </row>
    <row r="983" spans="1:24">
      <c r="B983" t="s">
        <v>197</v>
      </c>
      <c r="C983" t="s">
        <v>197</v>
      </c>
      <c r="D983" t="s">
        <v>197</v>
      </c>
      <c r="E983" t="s">
        <v>197</v>
      </c>
      <c r="F983" t="s">
        <v>197</v>
      </c>
      <c r="G983" t="s">
        <v>197</v>
      </c>
      <c r="H983" t="s">
        <v>197</v>
      </c>
      <c r="I983" t="s">
        <v>197</v>
      </c>
      <c r="J983" t="s">
        <v>197</v>
      </c>
      <c r="K983" t="s">
        <v>671</v>
      </c>
    </row>
    <row r="984" spans="1:24">
      <c r="B984" t="s">
        <v>197</v>
      </c>
      <c r="C984" t="s">
        <v>197</v>
      </c>
      <c r="D984" t="s">
        <v>197</v>
      </c>
      <c r="E984" t="s">
        <v>197</v>
      </c>
      <c r="F984" t="s">
        <v>197</v>
      </c>
      <c r="G984" t="s">
        <v>197</v>
      </c>
      <c r="H984" t="s">
        <v>197</v>
      </c>
      <c r="I984" t="s">
        <v>197</v>
      </c>
      <c r="J984" t="s">
        <v>197</v>
      </c>
      <c r="K984" t="s">
        <v>672</v>
      </c>
    </row>
    <row r="985" spans="1:24">
      <c r="B985" t="s">
        <v>197</v>
      </c>
      <c r="C985" t="s">
        <v>197</v>
      </c>
      <c r="D985" t="s">
        <v>197</v>
      </c>
      <c r="E985" t="s">
        <v>197</v>
      </c>
      <c r="F985" t="s">
        <v>197</v>
      </c>
      <c r="G985" t="s">
        <v>197</v>
      </c>
      <c r="H985" t="s">
        <v>197</v>
      </c>
      <c r="I985" t="s">
        <v>197</v>
      </c>
      <c r="J985" t="s">
        <v>197</v>
      </c>
      <c r="K985" t="s">
        <v>673</v>
      </c>
    </row>
    <row r="986" spans="1:24">
      <c r="B986" t="s">
        <v>197</v>
      </c>
      <c r="C986" t="s">
        <v>197</v>
      </c>
      <c r="D986" t="s">
        <v>197</v>
      </c>
      <c r="E986" t="s">
        <v>197</v>
      </c>
      <c r="F986" t="s">
        <v>197</v>
      </c>
      <c r="G986" t="s">
        <v>197</v>
      </c>
      <c r="H986" t="s">
        <v>197</v>
      </c>
      <c r="I986" t="s">
        <v>197</v>
      </c>
      <c r="J986" t="s">
        <v>197</v>
      </c>
      <c r="K986" t="s">
        <v>674</v>
      </c>
    </row>
    <row r="987" spans="1:24">
      <c r="A987" t="s">
        <v>1046</v>
      </c>
      <c r="K987" t="s">
        <v>1047</v>
      </c>
      <c r="W987" t="s">
        <v>171</v>
      </c>
      <c r="X987" t="str">
        <f>A987</f>
        <v>info_varbinary_dml_batch1_pk_irp1</v>
      </c>
    </row>
    <row r="988" spans="1:24">
      <c r="B988" t="s">
        <v>196</v>
      </c>
      <c r="C988" t="s">
        <v>197</v>
      </c>
      <c r="D988" t="s">
        <v>197</v>
      </c>
      <c r="E988" t="s">
        <v>197</v>
      </c>
      <c r="F988" t="s">
        <v>197</v>
      </c>
      <c r="G988" t="s">
        <v>197</v>
      </c>
      <c r="H988" t="s">
        <v>197</v>
      </c>
      <c r="I988" t="s">
        <v>1048</v>
      </c>
      <c r="J988" t="s">
        <v>199</v>
      </c>
      <c r="K988" t="s">
        <v>200</v>
      </c>
    </row>
    <row r="989" spans="1:24">
      <c r="B989" t="s">
        <v>197</v>
      </c>
      <c r="C989" t="s">
        <v>197</v>
      </c>
      <c r="D989" t="s">
        <v>197</v>
      </c>
      <c r="E989" t="s">
        <v>197</v>
      </c>
      <c r="F989" t="s">
        <v>197</v>
      </c>
      <c r="G989" t="s">
        <v>197</v>
      </c>
      <c r="H989" t="s">
        <v>197</v>
      </c>
      <c r="I989" t="s">
        <v>197</v>
      </c>
      <c r="J989" t="s">
        <v>197</v>
      </c>
      <c r="K989" t="s">
        <v>495</v>
      </c>
    </row>
    <row r="990" spans="1:24">
      <c r="B990" t="s">
        <v>197</v>
      </c>
      <c r="C990" t="s">
        <v>197</v>
      </c>
      <c r="D990" t="s">
        <v>197</v>
      </c>
      <c r="E990" t="s">
        <v>197</v>
      </c>
      <c r="F990" t="s">
        <v>197</v>
      </c>
      <c r="G990" t="s">
        <v>197</v>
      </c>
      <c r="H990" t="s">
        <v>197</v>
      </c>
      <c r="I990" t="s">
        <v>197</v>
      </c>
      <c r="J990" t="s">
        <v>197</v>
      </c>
      <c r="K990" t="s">
        <v>499</v>
      </c>
    </row>
    <row r="991" spans="1:24">
      <c r="B991" t="s">
        <v>197</v>
      </c>
      <c r="C991" t="s">
        <v>197</v>
      </c>
      <c r="D991" t="s">
        <v>197</v>
      </c>
      <c r="E991" t="s">
        <v>197</v>
      </c>
      <c r="F991" t="s">
        <v>197</v>
      </c>
      <c r="G991" t="s">
        <v>197</v>
      </c>
      <c r="H991" t="s">
        <v>197</v>
      </c>
      <c r="I991" t="s">
        <v>197</v>
      </c>
      <c r="J991" t="s">
        <v>197</v>
      </c>
      <c r="K991" t="s">
        <v>503</v>
      </c>
    </row>
    <row r="992" spans="1:24">
      <c r="A992" t="s">
        <v>1049</v>
      </c>
      <c r="K992" t="s">
        <v>1050</v>
      </c>
      <c r="W992" s="1" t="str">
        <f>HYPERLINK("#2026042015hbase1!AK2","NO 源备存在差异，共8个")</f>
        <v>NO 源备存在差异，共8个</v>
      </c>
      <c r="X992" t="str">
        <f>A992</f>
        <v>info_geography_dml_single_pk_irp</v>
      </c>
    </row>
    <row r="993" spans="1:24">
      <c r="B993" t="s">
        <v>196</v>
      </c>
      <c r="C993" t="s">
        <v>197</v>
      </c>
      <c r="D993" t="s">
        <v>197</v>
      </c>
      <c r="E993" t="s">
        <v>197</v>
      </c>
      <c r="F993" t="s">
        <v>197</v>
      </c>
      <c r="G993" t="s">
        <v>197</v>
      </c>
      <c r="H993" t="s">
        <v>197</v>
      </c>
      <c r="I993" t="s">
        <v>1051</v>
      </c>
      <c r="J993" t="s">
        <v>199</v>
      </c>
      <c r="K993" t="s">
        <v>200</v>
      </c>
    </row>
    <row r="994" spans="1:24">
      <c r="B994" t="s">
        <v>197</v>
      </c>
      <c r="C994" t="s">
        <v>197</v>
      </c>
      <c r="D994" t="s">
        <v>197</v>
      </c>
      <c r="E994" t="s">
        <v>197</v>
      </c>
      <c r="F994" t="s">
        <v>197</v>
      </c>
      <c r="G994" t="s">
        <v>197</v>
      </c>
      <c r="H994" t="s">
        <v>197</v>
      </c>
      <c r="I994" t="s">
        <v>197</v>
      </c>
      <c r="J994" t="s">
        <v>197</v>
      </c>
      <c r="K994" t="s">
        <v>1052</v>
      </c>
    </row>
    <row r="995" spans="1:24">
      <c r="A995" t="s">
        <v>1053</v>
      </c>
      <c r="K995" t="s">
        <v>1054</v>
      </c>
      <c r="W995" t="s">
        <v>171</v>
      </c>
      <c r="X995" t="str">
        <f>A995</f>
        <v>info_varchar_dml_single_pk_irp</v>
      </c>
    </row>
    <row r="996" spans="1:24">
      <c r="B996" t="s">
        <v>196</v>
      </c>
      <c r="C996" t="s">
        <v>197</v>
      </c>
      <c r="D996" t="s">
        <v>197</v>
      </c>
      <c r="E996" t="s">
        <v>197</v>
      </c>
      <c r="F996" t="s">
        <v>197</v>
      </c>
      <c r="G996" t="s">
        <v>197</v>
      </c>
      <c r="H996" t="s">
        <v>197</v>
      </c>
      <c r="I996" t="s">
        <v>1055</v>
      </c>
      <c r="J996" t="s">
        <v>199</v>
      </c>
      <c r="K996" t="s">
        <v>200</v>
      </c>
    </row>
    <row r="997" spans="1:24">
      <c r="B997" t="s">
        <v>197</v>
      </c>
      <c r="C997" t="s">
        <v>197</v>
      </c>
      <c r="D997" t="s">
        <v>197</v>
      </c>
      <c r="E997" t="s">
        <v>197</v>
      </c>
      <c r="F997" t="s">
        <v>197</v>
      </c>
      <c r="G997" t="s">
        <v>197</v>
      </c>
      <c r="H997" t="s">
        <v>197</v>
      </c>
      <c r="I997" t="s">
        <v>197</v>
      </c>
      <c r="J997" t="s">
        <v>197</v>
      </c>
      <c r="K997" t="s">
        <v>431</v>
      </c>
    </row>
    <row r="998" spans="1:24">
      <c r="B998" t="s">
        <v>197</v>
      </c>
      <c r="C998" t="s">
        <v>197</v>
      </c>
      <c r="D998" t="s">
        <v>197</v>
      </c>
      <c r="E998" t="s">
        <v>197</v>
      </c>
      <c r="F998" t="s">
        <v>197</v>
      </c>
      <c r="G998" t="s">
        <v>197</v>
      </c>
      <c r="H998" t="s">
        <v>197</v>
      </c>
      <c r="I998" t="s">
        <v>197</v>
      </c>
      <c r="J998" t="s">
        <v>197</v>
      </c>
      <c r="K998" t="s">
        <v>1056</v>
      </c>
    </row>
    <row r="999" spans="1:24">
      <c r="B999" t="s">
        <v>197</v>
      </c>
      <c r="C999" t="s">
        <v>197</v>
      </c>
      <c r="D999" t="s">
        <v>197</v>
      </c>
      <c r="E999" t="s">
        <v>197</v>
      </c>
      <c r="F999" t="s">
        <v>197</v>
      </c>
      <c r="G999" t="s">
        <v>197</v>
      </c>
      <c r="H999" t="s">
        <v>197</v>
      </c>
      <c r="I999" t="s">
        <v>197</v>
      </c>
      <c r="J999" t="s">
        <v>197</v>
      </c>
      <c r="K999" t="s">
        <v>963</v>
      </c>
    </row>
    <row r="1000" spans="1:24">
      <c r="A1000" t="s">
        <v>1060</v>
      </c>
      <c r="K1000" t="s">
        <v>1061</v>
      </c>
      <c r="W1000" t="s">
        <v>171</v>
      </c>
      <c r="X1000" t="str">
        <f>A1000</f>
        <v>info_varchar_dml_batch2_pk_irp1</v>
      </c>
    </row>
    <row r="1001" spans="1:24">
      <c r="B1001" t="s">
        <v>196</v>
      </c>
      <c r="C1001" t="s">
        <v>197</v>
      </c>
      <c r="D1001" t="s">
        <v>197</v>
      </c>
      <c r="E1001" t="s">
        <v>197</v>
      </c>
      <c r="F1001" t="s">
        <v>197</v>
      </c>
      <c r="G1001" t="s">
        <v>197</v>
      </c>
      <c r="H1001" t="s">
        <v>197</v>
      </c>
      <c r="I1001" t="s">
        <v>1062</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434</v>
      </c>
    </row>
    <row r="1004" spans="1:24">
      <c r="B1004" t="s">
        <v>197</v>
      </c>
      <c r="C1004" t="s">
        <v>197</v>
      </c>
      <c r="D1004" t="s">
        <v>197</v>
      </c>
      <c r="E1004" t="s">
        <v>197</v>
      </c>
      <c r="F1004" t="s">
        <v>197</v>
      </c>
      <c r="G1004" t="s">
        <v>197</v>
      </c>
      <c r="H1004" t="s">
        <v>197</v>
      </c>
      <c r="I1004" t="s">
        <v>197</v>
      </c>
      <c r="J1004" t="s">
        <v>197</v>
      </c>
      <c r="K1004" t="s">
        <v>963</v>
      </c>
    </row>
    <row r="1005" spans="1:24">
      <c r="K1005" t="s">
        <v>443</v>
      </c>
    </row>
    <row r="1006" spans="1:24">
      <c r="A1006" t="s">
        <v>1043</v>
      </c>
      <c r="K1006" t="s">
        <v>1044</v>
      </c>
      <c r="W1006" t="s">
        <v>171</v>
      </c>
      <c r="X1006" t="str">
        <f>A1006</f>
        <v>info_char_dml_single_pk</v>
      </c>
    </row>
    <row r="1007" spans="1:24">
      <c r="B1007" t="s">
        <v>196</v>
      </c>
      <c r="C1007" t="s">
        <v>197</v>
      </c>
      <c r="D1007" t="s">
        <v>197</v>
      </c>
      <c r="E1007" t="s">
        <v>197</v>
      </c>
      <c r="F1007" t="s">
        <v>197</v>
      </c>
      <c r="G1007" t="s">
        <v>197</v>
      </c>
      <c r="H1007" t="s">
        <v>197</v>
      </c>
      <c r="I1007" t="s">
        <v>1045</v>
      </c>
      <c r="J1007" t="s">
        <v>199</v>
      </c>
      <c r="K1007" t="s">
        <v>200</v>
      </c>
    </row>
    <row r="1008" spans="1:24">
      <c r="B1008" t="s">
        <v>197</v>
      </c>
      <c r="C1008" t="s">
        <v>197</v>
      </c>
      <c r="D1008" t="s">
        <v>197</v>
      </c>
      <c r="E1008" t="s">
        <v>197</v>
      </c>
      <c r="F1008" t="s">
        <v>197</v>
      </c>
      <c r="G1008" t="s">
        <v>197</v>
      </c>
      <c r="H1008" t="s">
        <v>197</v>
      </c>
      <c r="I1008" t="s">
        <v>197</v>
      </c>
      <c r="J1008" t="s">
        <v>197</v>
      </c>
      <c r="K1008" t="s">
        <v>622</v>
      </c>
    </row>
    <row r="1009" spans="1:24">
      <c r="B1009" t="s">
        <v>197</v>
      </c>
      <c r="C1009" t="s">
        <v>197</v>
      </c>
      <c r="D1009" t="s">
        <v>197</v>
      </c>
      <c r="E1009" t="s">
        <v>197</v>
      </c>
      <c r="F1009" t="s">
        <v>197</v>
      </c>
      <c r="G1009" t="s">
        <v>197</v>
      </c>
      <c r="H1009" t="s">
        <v>197</v>
      </c>
      <c r="I1009" t="s">
        <v>197</v>
      </c>
      <c r="J1009" t="s">
        <v>197</v>
      </c>
      <c r="K1009" t="s">
        <v>623</v>
      </c>
    </row>
    <row r="1010" spans="1:24">
      <c r="B1010" t="s">
        <v>197</v>
      </c>
      <c r="C1010" t="s">
        <v>197</v>
      </c>
      <c r="D1010" t="s">
        <v>197</v>
      </c>
      <c r="E1010" t="s">
        <v>197</v>
      </c>
      <c r="F1010" t="s">
        <v>197</v>
      </c>
      <c r="G1010" t="s">
        <v>197</v>
      </c>
      <c r="H1010" t="s">
        <v>197</v>
      </c>
      <c r="I1010" t="s">
        <v>197</v>
      </c>
      <c r="J1010" t="s">
        <v>197</v>
      </c>
      <c r="K1010" t="s">
        <v>832</v>
      </c>
    </row>
    <row r="1011" spans="1:24">
      <c r="A1011" t="s">
        <v>1057</v>
      </c>
      <c r="K1011" t="s">
        <v>1058</v>
      </c>
      <c r="W1011" t="s">
        <v>171</v>
      </c>
      <c r="X1011" t="str">
        <f>A1011</f>
        <v>info_time_dml_batch2_pk_irp1</v>
      </c>
    </row>
    <row r="1012" spans="1:24">
      <c r="B1012" t="s">
        <v>196</v>
      </c>
      <c r="C1012" t="s">
        <v>197</v>
      </c>
      <c r="D1012" t="s">
        <v>197</v>
      </c>
      <c r="E1012" t="s">
        <v>197</v>
      </c>
      <c r="F1012" t="s">
        <v>197</v>
      </c>
      <c r="G1012" t="s">
        <v>197</v>
      </c>
      <c r="H1012" t="s">
        <v>197</v>
      </c>
      <c r="I1012" t="s">
        <v>1059</v>
      </c>
      <c r="J1012" t="s">
        <v>199</v>
      </c>
      <c r="K1012" t="s">
        <v>200</v>
      </c>
    </row>
    <row r="1013" spans="1:24">
      <c r="B1013" t="s">
        <v>197</v>
      </c>
      <c r="C1013" t="s">
        <v>197</v>
      </c>
      <c r="D1013" t="s">
        <v>197</v>
      </c>
      <c r="E1013" t="s">
        <v>197</v>
      </c>
      <c r="F1013" t="s">
        <v>197</v>
      </c>
      <c r="G1013" t="s">
        <v>197</v>
      </c>
      <c r="H1013" t="s">
        <v>197</v>
      </c>
      <c r="I1013" t="s">
        <v>197</v>
      </c>
      <c r="J1013" t="s">
        <v>197</v>
      </c>
      <c r="K1013" t="s">
        <v>800</v>
      </c>
    </row>
    <row r="1014" spans="1:24">
      <c r="B1014" t="s">
        <v>197</v>
      </c>
      <c r="C1014" t="s">
        <v>197</v>
      </c>
      <c r="D1014" t="s">
        <v>197</v>
      </c>
      <c r="E1014" t="s">
        <v>197</v>
      </c>
      <c r="F1014" t="s">
        <v>197</v>
      </c>
      <c r="G1014" t="s">
        <v>197</v>
      </c>
      <c r="H1014" t="s">
        <v>197</v>
      </c>
      <c r="I1014" t="s">
        <v>197</v>
      </c>
      <c r="J1014" t="s">
        <v>197</v>
      </c>
      <c r="K1014" t="s">
        <v>801</v>
      </c>
    </row>
    <row r="1015" spans="1:24">
      <c r="B1015" t="s">
        <v>197</v>
      </c>
      <c r="C1015" t="s">
        <v>197</v>
      </c>
      <c r="D1015" t="s">
        <v>197</v>
      </c>
      <c r="E1015" t="s">
        <v>197</v>
      </c>
      <c r="F1015" t="s">
        <v>197</v>
      </c>
      <c r="G1015" t="s">
        <v>197</v>
      </c>
      <c r="H1015" t="s">
        <v>197</v>
      </c>
      <c r="I1015" t="s">
        <v>197</v>
      </c>
      <c r="J1015" t="s">
        <v>197</v>
      </c>
      <c r="K1015" t="s">
        <v>802</v>
      </c>
    </row>
    <row r="1016" spans="1:24">
      <c r="B1016" t="s">
        <v>197</v>
      </c>
      <c r="C1016" t="s">
        <v>197</v>
      </c>
      <c r="D1016" t="s">
        <v>197</v>
      </c>
      <c r="E1016" t="s">
        <v>197</v>
      </c>
      <c r="F1016" t="s">
        <v>197</v>
      </c>
      <c r="G1016" t="s">
        <v>197</v>
      </c>
      <c r="H1016" t="s">
        <v>197</v>
      </c>
      <c r="I1016" t="s">
        <v>197</v>
      </c>
      <c r="J1016" t="s">
        <v>197</v>
      </c>
      <c r="K1016" t="s">
        <v>803</v>
      </c>
    </row>
    <row r="1017" spans="1:24">
      <c r="B1017" t="s">
        <v>197</v>
      </c>
      <c r="C1017" t="s">
        <v>197</v>
      </c>
      <c r="D1017" t="s">
        <v>197</v>
      </c>
      <c r="E1017" t="s">
        <v>197</v>
      </c>
      <c r="F1017" t="s">
        <v>197</v>
      </c>
      <c r="G1017" t="s">
        <v>197</v>
      </c>
      <c r="H1017" t="s">
        <v>197</v>
      </c>
      <c r="I1017" t="s">
        <v>197</v>
      </c>
      <c r="J1017" t="s">
        <v>197</v>
      </c>
      <c r="K1017" t="s">
        <v>804</v>
      </c>
    </row>
    <row r="1018" spans="1:24">
      <c r="B1018" t="s">
        <v>197</v>
      </c>
      <c r="C1018" t="s">
        <v>197</v>
      </c>
      <c r="D1018" t="s">
        <v>197</v>
      </c>
      <c r="E1018" t="s">
        <v>197</v>
      </c>
      <c r="F1018" t="s">
        <v>197</v>
      </c>
      <c r="G1018" t="s">
        <v>197</v>
      </c>
      <c r="H1018" t="s">
        <v>197</v>
      </c>
      <c r="I1018" t="s">
        <v>197</v>
      </c>
      <c r="J1018" t="s">
        <v>197</v>
      </c>
      <c r="K1018" t="s">
        <v>805</v>
      </c>
    </row>
    <row r="1019" spans="1:24">
      <c r="B1019" t="s">
        <v>197</v>
      </c>
      <c r="C1019" t="s">
        <v>197</v>
      </c>
      <c r="D1019" t="s">
        <v>197</v>
      </c>
      <c r="E1019" t="s">
        <v>197</v>
      </c>
      <c r="F1019" t="s">
        <v>197</v>
      </c>
      <c r="G1019" t="s">
        <v>197</v>
      </c>
      <c r="H1019" t="s">
        <v>197</v>
      </c>
      <c r="I1019" t="s">
        <v>197</v>
      </c>
      <c r="J1019" t="s">
        <v>197</v>
      </c>
      <c r="K1019" t="s">
        <v>806</v>
      </c>
    </row>
    <row r="1020" spans="1:24">
      <c r="B1020" t="s">
        <v>197</v>
      </c>
      <c r="C1020" t="s">
        <v>197</v>
      </c>
      <c r="D1020" t="s">
        <v>197</v>
      </c>
      <c r="E1020" t="s">
        <v>197</v>
      </c>
      <c r="F1020" t="s">
        <v>197</v>
      </c>
      <c r="G1020" t="s">
        <v>197</v>
      </c>
      <c r="H1020" t="s">
        <v>197</v>
      </c>
      <c r="I1020" t="s">
        <v>197</v>
      </c>
      <c r="J1020" t="s">
        <v>197</v>
      </c>
      <c r="K1020" t="s">
        <v>807</v>
      </c>
    </row>
    <row r="1021" spans="1:24">
      <c r="A1021" t="s">
        <v>1063</v>
      </c>
      <c r="K1021" t="s">
        <v>1064</v>
      </c>
      <c r="W1021" t="s">
        <v>171</v>
      </c>
      <c r="X1021" t="str">
        <f>A1021</f>
        <v>info_varbinary_dml_batch1_pk_irp2</v>
      </c>
    </row>
    <row r="1022" spans="1:24">
      <c r="B1022" t="s">
        <v>196</v>
      </c>
      <c r="C1022" t="s">
        <v>197</v>
      </c>
      <c r="D1022" t="s">
        <v>197</v>
      </c>
      <c r="E1022" t="s">
        <v>197</v>
      </c>
      <c r="F1022" t="s">
        <v>197</v>
      </c>
      <c r="G1022" t="s">
        <v>197</v>
      </c>
      <c r="H1022" t="s">
        <v>197</v>
      </c>
      <c r="I1022" t="s">
        <v>1065</v>
      </c>
      <c r="J1022" t="s">
        <v>199</v>
      </c>
      <c r="K1022" t="s">
        <v>200</v>
      </c>
    </row>
    <row r="1023" spans="1:24">
      <c r="B1023" t="s">
        <v>197</v>
      </c>
      <c r="C1023" t="s">
        <v>197</v>
      </c>
      <c r="D1023" t="s">
        <v>197</v>
      </c>
      <c r="E1023" t="s">
        <v>197</v>
      </c>
      <c r="F1023" t="s">
        <v>197</v>
      </c>
      <c r="G1023" t="s">
        <v>197</v>
      </c>
      <c r="H1023" t="s">
        <v>197</v>
      </c>
      <c r="I1023" t="s">
        <v>197</v>
      </c>
      <c r="J1023" t="s">
        <v>197</v>
      </c>
      <c r="K1023" t="s">
        <v>495</v>
      </c>
    </row>
    <row r="1024" spans="1:24">
      <c r="B1024" t="s">
        <v>197</v>
      </c>
      <c r="C1024" t="s">
        <v>197</v>
      </c>
      <c r="D1024" t="s">
        <v>197</v>
      </c>
      <c r="E1024" t="s">
        <v>197</v>
      </c>
      <c r="F1024" t="s">
        <v>197</v>
      </c>
      <c r="G1024" t="s">
        <v>197</v>
      </c>
      <c r="H1024" t="s">
        <v>197</v>
      </c>
      <c r="I1024" t="s">
        <v>197</v>
      </c>
      <c r="J1024" t="s">
        <v>197</v>
      </c>
      <c r="K1024" t="s">
        <v>499</v>
      </c>
    </row>
    <row r="1025" spans="1:24">
      <c r="B1025" t="s">
        <v>197</v>
      </c>
      <c r="C1025" t="s">
        <v>197</v>
      </c>
      <c r="D1025" t="s">
        <v>197</v>
      </c>
      <c r="E1025" t="s">
        <v>197</v>
      </c>
      <c r="F1025" t="s">
        <v>197</v>
      </c>
      <c r="G1025" t="s">
        <v>197</v>
      </c>
      <c r="H1025" t="s">
        <v>197</v>
      </c>
      <c r="I1025" t="s">
        <v>197</v>
      </c>
      <c r="J1025" t="s">
        <v>197</v>
      </c>
      <c r="K1025" t="s">
        <v>503</v>
      </c>
    </row>
    <row r="1026" spans="1:24">
      <c r="A1026" t="s">
        <v>1066</v>
      </c>
      <c r="K1026" t="s">
        <v>1067</v>
      </c>
      <c r="W1026" s="1" t="str">
        <f>HYPERLINK("#2026042015hbase1!AL2","NO 源备存在差异，共4个")</f>
        <v>NO 源备存在差异，共4个</v>
      </c>
      <c r="X1026" t="str">
        <f>A1026</f>
        <v>info_sql_variant_dml_single_pk_urp</v>
      </c>
    </row>
    <row r="1027" spans="1:24">
      <c r="B1027" t="s">
        <v>196</v>
      </c>
      <c r="C1027" t="s">
        <v>197</v>
      </c>
      <c r="D1027" t="s">
        <v>197</v>
      </c>
      <c r="E1027" t="s">
        <v>197</v>
      </c>
      <c r="F1027" t="s">
        <v>197</v>
      </c>
      <c r="G1027" t="s">
        <v>197</v>
      </c>
      <c r="H1027" t="s">
        <v>197</v>
      </c>
      <c r="I1027" t="s">
        <v>1068</v>
      </c>
      <c r="J1027" t="s">
        <v>199</v>
      </c>
      <c r="K1027" t="s">
        <v>200</v>
      </c>
    </row>
    <row r="1028" spans="1:24">
      <c r="B1028" t="s">
        <v>197</v>
      </c>
      <c r="C1028" t="s">
        <v>197</v>
      </c>
      <c r="D1028" t="s">
        <v>197</v>
      </c>
      <c r="E1028" t="s">
        <v>197</v>
      </c>
      <c r="F1028" t="s">
        <v>197</v>
      </c>
      <c r="G1028" t="s">
        <v>197</v>
      </c>
      <c r="H1028" t="s">
        <v>197</v>
      </c>
      <c r="I1028" t="s">
        <v>197</v>
      </c>
      <c r="J1028" t="s">
        <v>197</v>
      </c>
      <c r="K1028" t="s">
        <v>1006</v>
      </c>
    </row>
    <row r="1029" spans="1:24">
      <c r="B1029" t="s">
        <v>197</v>
      </c>
      <c r="C1029" t="s">
        <v>197</v>
      </c>
      <c r="D1029" t="s">
        <v>197</v>
      </c>
      <c r="E1029" t="s">
        <v>197</v>
      </c>
      <c r="F1029" t="s">
        <v>197</v>
      </c>
      <c r="G1029" t="s">
        <v>197</v>
      </c>
      <c r="H1029" t="s">
        <v>197</v>
      </c>
      <c r="I1029" t="s">
        <v>197</v>
      </c>
      <c r="J1029" t="s">
        <v>197</v>
      </c>
      <c r="K1029" t="s">
        <v>1007</v>
      </c>
    </row>
    <row r="1030" spans="1:24">
      <c r="B1030" t="s">
        <v>197</v>
      </c>
      <c r="C1030" t="s">
        <v>197</v>
      </c>
      <c r="D1030" t="s">
        <v>197</v>
      </c>
      <c r="E1030" t="s">
        <v>197</v>
      </c>
      <c r="F1030" t="s">
        <v>197</v>
      </c>
      <c r="G1030" t="s">
        <v>197</v>
      </c>
      <c r="H1030" t="s">
        <v>197</v>
      </c>
      <c r="I1030" t="s">
        <v>197</v>
      </c>
      <c r="J1030" t="s">
        <v>197</v>
      </c>
      <c r="K1030" t="s">
        <v>1008</v>
      </c>
    </row>
    <row r="1031" spans="1:24">
      <c r="B1031" t="s">
        <v>197</v>
      </c>
      <c r="C1031" t="s">
        <v>197</v>
      </c>
      <c r="D1031" t="s">
        <v>197</v>
      </c>
      <c r="E1031" t="s">
        <v>197</v>
      </c>
      <c r="F1031" t="s">
        <v>197</v>
      </c>
      <c r="G1031" t="s">
        <v>197</v>
      </c>
      <c r="H1031" t="s">
        <v>197</v>
      </c>
      <c r="I1031" t="s">
        <v>197</v>
      </c>
      <c r="J1031" t="s">
        <v>197</v>
      </c>
      <c r="K1031" t="s">
        <v>1009</v>
      </c>
    </row>
    <row r="1032" spans="1:24">
      <c r="B1032" t="s">
        <v>197</v>
      </c>
      <c r="C1032" t="s">
        <v>197</v>
      </c>
      <c r="D1032" t="s">
        <v>197</v>
      </c>
      <c r="E1032" t="s">
        <v>197</v>
      </c>
      <c r="F1032" t="s">
        <v>197</v>
      </c>
      <c r="G1032" t="s">
        <v>197</v>
      </c>
      <c r="H1032" t="s">
        <v>197</v>
      </c>
      <c r="I1032" t="s">
        <v>197</v>
      </c>
      <c r="J1032" t="s">
        <v>197</v>
      </c>
      <c r="K1032" t="s">
        <v>1010</v>
      </c>
    </row>
    <row r="1033" spans="1:24">
      <c r="B1033" t="s">
        <v>197</v>
      </c>
      <c r="C1033" t="s">
        <v>197</v>
      </c>
      <c r="D1033" t="s">
        <v>197</v>
      </c>
      <c r="E1033" t="s">
        <v>197</v>
      </c>
      <c r="F1033" t="s">
        <v>197</v>
      </c>
      <c r="G1033" t="s">
        <v>197</v>
      </c>
      <c r="H1033" t="s">
        <v>197</v>
      </c>
      <c r="I1033" t="s">
        <v>197</v>
      </c>
      <c r="J1033" t="s">
        <v>197</v>
      </c>
      <c r="K1033" t="s">
        <v>1011</v>
      </c>
    </row>
    <row r="1034" spans="1:24">
      <c r="B1034" t="s">
        <v>197</v>
      </c>
      <c r="C1034" t="s">
        <v>197</v>
      </c>
      <c r="D1034" t="s">
        <v>197</v>
      </c>
      <c r="E1034" t="s">
        <v>197</v>
      </c>
      <c r="F1034" t="s">
        <v>197</v>
      </c>
      <c r="G1034" t="s">
        <v>197</v>
      </c>
      <c r="H1034" t="s">
        <v>197</v>
      </c>
      <c r="I1034" t="s">
        <v>197</v>
      </c>
      <c r="J1034" t="s">
        <v>197</v>
      </c>
      <c r="K1034" t="s">
        <v>1012</v>
      </c>
    </row>
    <row r="1035" spans="1:24">
      <c r="B1035" t="s">
        <v>197</v>
      </c>
      <c r="C1035" t="s">
        <v>197</v>
      </c>
      <c r="D1035" t="s">
        <v>197</v>
      </c>
      <c r="E1035" t="s">
        <v>197</v>
      </c>
      <c r="F1035" t="s">
        <v>197</v>
      </c>
      <c r="G1035" t="s">
        <v>197</v>
      </c>
      <c r="H1035" t="s">
        <v>197</v>
      </c>
      <c r="I1035" t="s">
        <v>197</v>
      </c>
      <c r="J1035" t="s">
        <v>197</v>
      </c>
      <c r="K1035" t="s">
        <v>1013</v>
      </c>
    </row>
    <row r="1036" spans="1:24">
      <c r="B1036" t="s">
        <v>197</v>
      </c>
      <c r="C1036" t="s">
        <v>197</v>
      </c>
      <c r="D1036" t="s">
        <v>197</v>
      </c>
      <c r="E1036" t="s">
        <v>197</v>
      </c>
      <c r="F1036" t="s">
        <v>197</v>
      </c>
      <c r="G1036" t="s">
        <v>197</v>
      </c>
      <c r="H1036" t="s">
        <v>197</v>
      </c>
      <c r="I1036" t="s">
        <v>197</v>
      </c>
      <c r="J1036" t="s">
        <v>197</v>
      </c>
      <c r="K1036" t="s">
        <v>1014</v>
      </c>
    </row>
    <row r="1037" spans="1:24">
      <c r="B1037" t="s">
        <v>197</v>
      </c>
      <c r="C1037" t="s">
        <v>197</v>
      </c>
      <c r="D1037" t="s">
        <v>197</v>
      </c>
      <c r="E1037" t="s">
        <v>197</v>
      </c>
      <c r="F1037" t="s">
        <v>197</v>
      </c>
      <c r="G1037" t="s">
        <v>197</v>
      </c>
      <c r="H1037" t="s">
        <v>197</v>
      </c>
      <c r="I1037" t="s">
        <v>197</v>
      </c>
      <c r="J1037" t="s">
        <v>197</v>
      </c>
      <c r="K1037" t="s">
        <v>1015</v>
      </c>
    </row>
    <row r="1038" spans="1:24">
      <c r="B1038" t="s">
        <v>197</v>
      </c>
      <c r="C1038" t="s">
        <v>197</v>
      </c>
      <c r="D1038" t="s">
        <v>197</v>
      </c>
      <c r="E1038" t="s">
        <v>197</v>
      </c>
      <c r="F1038" t="s">
        <v>197</v>
      </c>
      <c r="G1038" t="s">
        <v>197</v>
      </c>
      <c r="H1038" t="s">
        <v>197</v>
      </c>
      <c r="I1038" t="s">
        <v>197</v>
      </c>
      <c r="J1038" t="s">
        <v>197</v>
      </c>
      <c r="K1038" t="s">
        <v>1016</v>
      </c>
    </row>
    <row r="1039" spans="1:24">
      <c r="B1039" t="s">
        <v>197</v>
      </c>
      <c r="C1039" t="s">
        <v>197</v>
      </c>
      <c r="D1039" t="s">
        <v>197</v>
      </c>
      <c r="E1039" t="s">
        <v>197</v>
      </c>
      <c r="F1039" t="s">
        <v>197</v>
      </c>
      <c r="G1039" t="s">
        <v>197</v>
      </c>
      <c r="H1039" t="s">
        <v>197</v>
      </c>
      <c r="I1039" t="s">
        <v>197</v>
      </c>
      <c r="J1039" t="s">
        <v>197</v>
      </c>
      <c r="K1039" t="s">
        <v>1017</v>
      </c>
    </row>
    <row r="1040" spans="1:24">
      <c r="B1040" t="s">
        <v>197</v>
      </c>
      <c r="C1040" t="s">
        <v>197</v>
      </c>
      <c r="D1040" t="s">
        <v>197</v>
      </c>
      <c r="E1040" t="s">
        <v>197</v>
      </c>
      <c r="F1040" t="s">
        <v>197</v>
      </c>
      <c r="G1040" t="s">
        <v>197</v>
      </c>
      <c r="H1040" t="s">
        <v>197</v>
      </c>
      <c r="I1040" t="s">
        <v>197</v>
      </c>
      <c r="J1040" t="s">
        <v>197</v>
      </c>
      <c r="K1040" t="s">
        <v>1018</v>
      </c>
    </row>
    <row r="1041" spans="1:24">
      <c r="B1041" t="s">
        <v>197</v>
      </c>
      <c r="C1041" t="s">
        <v>197</v>
      </c>
      <c r="D1041" t="s">
        <v>197</v>
      </c>
      <c r="E1041" t="s">
        <v>197</v>
      </c>
      <c r="F1041" t="s">
        <v>197</v>
      </c>
      <c r="G1041" t="s">
        <v>197</v>
      </c>
      <c r="H1041" t="s">
        <v>197</v>
      </c>
      <c r="I1041" t="s">
        <v>197</v>
      </c>
      <c r="J1041" t="s">
        <v>197</v>
      </c>
      <c r="K1041" t="s">
        <v>1019</v>
      </c>
    </row>
    <row r="1042" spans="1:24">
      <c r="B1042" t="s">
        <v>197</v>
      </c>
      <c r="C1042" t="s">
        <v>197</v>
      </c>
      <c r="D1042" t="s">
        <v>197</v>
      </c>
      <c r="E1042" t="s">
        <v>197</v>
      </c>
      <c r="F1042" t="s">
        <v>197</v>
      </c>
      <c r="G1042" t="s">
        <v>197</v>
      </c>
      <c r="H1042" t="s">
        <v>197</v>
      </c>
      <c r="I1042" t="s">
        <v>197</v>
      </c>
      <c r="J1042" t="s">
        <v>197</v>
      </c>
      <c r="K1042" t="s">
        <v>1020</v>
      </c>
    </row>
    <row r="1043" spans="1:24">
      <c r="B1043" t="s">
        <v>197</v>
      </c>
      <c r="C1043" t="s">
        <v>197</v>
      </c>
      <c r="D1043" t="s">
        <v>197</v>
      </c>
      <c r="E1043" t="s">
        <v>197</v>
      </c>
      <c r="F1043" t="s">
        <v>197</v>
      </c>
      <c r="G1043" t="s">
        <v>197</v>
      </c>
      <c r="H1043" t="s">
        <v>197</v>
      </c>
      <c r="I1043" t="s">
        <v>197</v>
      </c>
      <c r="J1043" t="s">
        <v>197</v>
      </c>
      <c r="K1043" t="s">
        <v>1021</v>
      </c>
    </row>
    <row r="1044" spans="1:24">
      <c r="B1044" t="s">
        <v>197</v>
      </c>
      <c r="C1044" t="s">
        <v>197</v>
      </c>
      <c r="D1044" t="s">
        <v>197</v>
      </c>
      <c r="E1044" t="s">
        <v>197</v>
      </c>
      <c r="F1044" t="s">
        <v>197</v>
      </c>
      <c r="G1044" t="s">
        <v>197</v>
      </c>
      <c r="H1044" t="s">
        <v>197</v>
      </c>
      <c r="I1044" t="s">
        <v>197</v>
      </c>
      <c r="J1044" t="s">
        <v>197</v>
      </c>
      <c r="K1044" t="s">
        <v>1022</v>
      </c>
    </row>
    <row r="1045" spans="1:24">
      <c r="B1045" t="s">
        <v>197</v>
      </c>
      <c r="C1045" t="s">
        <v>197</v>
      </c>
      <c r="D1045" t="s">
        <v>197</v>
      </c>
      <c r="E1045" t="s">
        <v>197</v>
      </c>
      <c r="F1045" t="s">
        <v>197</v>
      </c>
      <c r="G1045" t="s">
        <v>197</v>
      </c>
      <c r="H1045" t="s">
        <v>197</v>
      </c>
      <c r="I1045" t="s">
        <v>197</v>
      </c>
      <c r="J1045" t="s">
        <v>197</v>
      </c>
      <c r="K1045" t="s">
        <v>1023</v>
      </c>
    </row>
    <row r="1046" spans="1:24">
      <c r="B1046" t="s">
        <v>197</v>
      </c>
      <c r="C1046" t="s">
        <v>197</v>
      </c>
      <c r="D1046" t="s">
        <v>197</v>
      </c>
      <c r="E1046" t="s">
        <v>197</v>
      </c>
      <c r="F1046" t="s">
        <v>197</v>
      </c>
      <c r="G1046" t="s">
        <v>197</v>
      </c>
      <c r="H1046" t="s">
        <v>197</v>
      </c>
      <c r="I1046" t="s">
        <v>197</v>
      </c>
      <c r="J1046" t="s">
        <v>197</v>
      </c>
      <c r="K1046" t="s">
        <v>1024</v>
      </c>
    </row>
    <row r="1047" spans="1:24">
      <c r="B1047" t="s">
        <v>197</v>
      </c>
      <c r="C1047" t="s">
        <v>197</v>
      </c>
      <c r="D1047" t="s">
        <v>197</v>
      </c>
      <c r="E1047" t="s">
        <v>197</v>
      </c>
      <c r="F1047" t="s">
        <v>197</v>
      </c>
      <c r="G1047" t="s">
        <v>197</v>
      </c>
      <c r="H1047" t="s">
        <v>197</v>
      </c>
      <c r="I1047" t="s">
        <v>197</v>
      </c>
      <c r="J1047" t="s">
        <v>197</v>
      </c>
      <c r="K1047" t="s">
        <v>1025</v>
      </c>
    </row>
    <row r="1048" spans="1:24">
      <c r="B1048" t="s">
        <v>197</v>
      </c>
      <c r="C1048" t="s">
        <v>197</v>
      </c>
      <c r="D1048" t="s">
        <v>197</v>
      </c>
      <c r="E1048" t="s">
        <v>197</v>
      </c>
      <c r="F1048" t="s">
        <v>197</v>
      </c>
      <c r="G1048" t="s">
        <v>197</v>
      </c>
      <c r="H1048" t="s">
        <v>197</v>
      </c>
      <c r="I1048" t="s">
        <v>197</v>
      </c>
      <c r="J1048" t="s">
        <v>197</v>
      </c>
      <c r="K1048" t="s">
        <v>1026</v>
      </c>
    </row>
    <row r="1049" spans="1:24">
      <c r="B1049" t="s">
        <v>197</v>
      </c>
      <c r="C1049" t="s">
        <v>197</v>
      </c>
      <c r="D1049" t="s">
        <v>197</v>
      </c>
      <c r="E1049" t="s">
        <v>197</v>
      </c>
      <c r="F1049" t="s">
        <v>197</v>
      </c>
      <c r="G1049" t="s">
        <v>197</v>
      </c>
      <c r="H1049" t="s">
        <v>197</v>
      </c>
      <c r="I1049" t="s">
        <v>197</v>
      </c>
      <c r="J1049" t="s">
        <v>197</v>
      </c>
      <c r="K1049" t="s">
        <v>1027</v>
      </c>
    </row>
    <row r="1050" spans="1:24">
      <c r="B1050" t="s">
        <v>197</v>
      </c>
      <c r="C1050" t="s">
        <v>197</v>
      </c>
      <c r="D1050" t="s">
        <v>197</v>
      </c>
      <c r="E1050" t="s">
        <v>197</v>
      </c>
      <c r="F1050" t="s">
        <v>197</v>
      </c>
      <c r="G1050" t="s">
        <v>197</v>
      </c>
      <c r="H1050" t="s">
        <v>197</v>
      </c>
      <c r="I1050" t="s">
        <v>197</v>
      </c>
      <c r="J1050" t="s">
        <v>197</v>
      </c>
      <c r="K1050" t="s">
        <v>1028</v>
      </c>
    </row>
    <row r="1051" spans="1:24">
      <c r="B1051" t="s">
        <v>197</v>
      </c>
      <c r="C1051" t="s">
        <v>197</v>
      </c>
      <c r="D1051" t="s">
        <v>197</v>
      </c>
      <c r="E1051" t="s">
        <v>197</v>
      </c>
      <c r="F1051" t="s">
        <v>197</v>
      </c>
      <c r="G1051" t="s">
        <v>197</v>
      </c>
      <c r="H1051" t="s">
        <v>197</v>
      </c>
      <c r="I1051" t="s">
        <v>197</v>
      </c>
      <c r="J1051" t="s">
        <v>197</v>
      </c>
      <c r="K1051" t="s">
        <v>1029</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1081</v>
      </c>
      <c r="K1058" t="s">
        <v>1082</v>
      </c>
      <c r="W1058" t="s">
        <v>171</v>
      </c>
      <c r="X1058" t="str">
        <f>A1058</f>
        <v>info_nvarchar_dml_batch2_pk_irp1</v>
      </c>
    </row>
    <row r="1059" spans="1:24">
      <c r="B1059" t="s">
        <v>196</v>
      </c>
      <c r="C1059" t="s">
        <v>197</v>
      </c>
      <c r="D1059" t="s">
        <v>197</v>
      </c>
      <c r="E1059" t="s">
        <v>197</v>
      </c>
      <c r="F1059" t="s">
        <v>197</v>
      </c>
      <c r="G1059" t="s">
        <v>197</v>
      </c>
      <c r="H1059" t="s">
        <v>197</v>
      </c>
      <c r="I1059" t="s">
        <v>1083</v>
      </c>
      <c r="J1059" t="s">
        <v>199</v>
      </c>
      <c r="K1059" t="s">
        <v>200</v>
      </c>
    </row>
    <row r="1060" spans="1:24">
      <c r="B1060" t="s">
        <v>197</v>
      </c>
      <c r="C1060" t="s">
        <v>197</v>
      </c>
      <c r="D1060" t="s">
        <v>197</v>
      </c>
      <c r="E1060" t="s">
        <v>197</v>
      </c>
      <c r="F1060" t="s">
        <v>197</v>
      </c>
      <c r="G1060" t="s">
        <v>197</v>
      </c>
      <c r="H1060" t="s">
        <v>197</v>
      </c>
      <c r="I1060" t="s">
        <v>197</v>
      </c>
      <c r="J1060" t="s">
        <v>197</v>
      </c>
      <c r="K1060" t="s">
        <v>408</v>
      </c>
    </row>
    <row r="1061" spans="1:24">
      <c r="B1061" t="s">
        <v>197</v>
      </c>
      <c r="C1061" t="s">
        <v>197</v>
      </c>
      <c r="D1061" t="s">
        <v>197</v>
      </c>
      <c r="E1061" t="s">
        <v>197</v>
      </c>
      <c r="F1061" t="s">
        <v>197</v>
      </c>
      <c r="G1061" t="s">
        <v>197</v>
      </c>
      <c r="H1061" t="s">
        <v>197</v>
      </c>
      <c r="I1061" t="s">
        <v>197</v>
      </c>
      <c r="J1061" t="s">
        <v>197</v>
      </c>
      <c r="K1061" t="s">
        <v>412</v>
      </c>
    </row>
    <row r="1062" spans="1:24">
      <c r="B1062" t="s">
        <v>197</v>
      </c>
      <c r="C1062" t="s">
        <v>197</v>
      </c>
      <c r="D1062" t="s">
        <v>197</v>
      </c>
      <c r="E1062" t="s">
        <v>197</v>
      </c>
      <c r="F1062" t="s">
        <v>197</v>
      </c>
      <c r="G1062" t="s">
        <v>197</v>
      </c>
      <c r="H1062" t="s">
        <v>197</v>
      </c>
      <c r="I1062" t="s">
        <v>197</v>
      </c>
      <c r="J1062" t="s">
        <v>197</v>
      </c>
      <c r="K1062" t="s">
        <v>416</v>
      </c>
    </row>
    <row r="1063" spans="1:24">
      <c r="A1063" t="s">
        <v>1075</v>
      </c>
      <c r="K1063" t="s">
        <v>1076</v>
      </c>
      <c r="W1063" s="1" t="str">
        <f>HYPERLINK("#2026042015hbase1!AM2","NO 源备存在差异，共16个")</f>
        <v>NO 源备存在差异，共16个</v>
      </c>
      <c r="X1063" t="str">
        <f>A1063</f>
        <v>info_int_dml_batch1_pk_irp1</v>
      </c>
    </row>
    <row r="1064" spans="1:24">
      <c r="B1064" t="s">
        <v>196</v>
      </c>
      <c r="C1064" t="s">
        <v>197</v>
      </c>
      <c r="D1064" t="s">
        <v>197</v>
      </c>
      <c r="E1064" t="s">
        <v>197</v>
      </c>
      <c r="F1064" t="s">
        <v>197</v>
      </c>
      <c r="G1064" t="s">
        <v>197</v>
      </c>
      <c r="H1064" t="s">
        <v>197</v>
      </c>
      <c r="I1064" t="s">
        <v>1077</v>
      </c>
      <c r="J1064" t="s">
        <v>199</v>
      </c>
      <c r="K1064" t="s">
        <v>200</v>
      </c>
    </row>
    <row r="1065" spans="1:24">
      <c r="B1065" t="s">
        <v>197</v>
      </c>
      <c r="C1065" t="s">
        <v>197</v>
      </c>
      <c r="D1065" t="s">
        <v>197</v>
      </c>
      <c r="E1065" t="s">
        <v>197</v>
      </c>
      <c r="F1065" t="s">
        <v>197</v>
      </c>
      <c r="G1065" t="s">
        <v>197</v>
      </c>
      <c r="H1065" t="s">
        <v>197</v>
      </c>
      <c r="I1065" t="s">
        <v>197</v>
      </c>
      <c r="J1065" t="s">
        <v>197</v>
      </c>
      <c r="K1065" t="s">
        <v>549</v>
      </c>
    </row>
    <row r="1066" spans="1:24">
      <c r="B1066" t="s">
        <v>197</v>
      </c>
      <c r="C1066" t="s">
        <v>197</v>
      </c>
      <c r="D1066" t="s">
        <v>197</v>
      </c>
      <c r="E1066" t="s">
        <v>197</v>
      </c>
      <c r="F1066" t="s">
        <v>197</v>
      </c>
      <c r="G1066" t="s">
        <v>197</v>
      </c>
      <c r="H1066" t="s">
        <v>197</v>
      </c>
      <c r="I1066" t="s">
        <v>197</v>
      </c>
      <c r="J1066" t="s">
        <v>197</v>
      </c>
      <c r="K1066" t="s">
        <v>550</v>
      </c>
    </row>
    <row r="1067" spans="1:24">
      <c r="B1067" t="s">
        <v>197</v>
      </c>
      <c r="C1067" t="s">
        <v>197</v>
      </c>
      <c r="D1067" t="s">
        <v>197</v>
      </c>
      <c r="E1067" t="s">
        <v>197</v>
      </c>
      <c r="F1067" t="s">
        <v>197</v>
      </c>
      <c r="G1067" t="s">
        <v>197</v>
      </c>
      <c r="H1067" t="s">
        <v>197</v>
      </c>
      <c r="I1067" t="s">
        <v>197</v>
      </c>
      <c r="J1067" t="s">
        <v>197</v>
      </c>
      <c r="K1067" t="s">
        <v>551</v>
      </c>
    </row>
    <row r="1068" spans="1:24">
      <c r="B1068" t="s">
        <v>197</v>
      </c>
      <c r="C1068" t="s">
        <v>197</v>
      </c>
      <c r="D1068" t="s">
        <v>197</v>
      </c>
      <c r="E1068" t="s">
        <v>197</v>
      </c>
      <c r="F1068" t="s">
        <v>197</v>
      </c>
      <c r="G1068" t="s">
        <v>197</v>
      </c>
      <c r="H1068" t="s">
        <v>197</v>
      </c>
      <c r="I1068" t="s">
        <v>197</v>
      </c>
      <c r="J1068" t="s">
        <v>197</v>
      </c>
      <c r="K1068" t="s">
        <v>552</v>
      </c>
    </row>
    <row r="1069" spans="1:24">
      <c r="B1069" t="s">
        <v>197</v>
      </c>
      <c r="C1069" t="s">
        <v>197</v>
      </c>
      <c r="D1069" t="s">
        <v>197</v>
      </c>
      <c r="E1069" t="s">
        <v>197</v>
      </c>
      <c r="F1069" t="s">
        <v>197</v>
      </c>
      <c r="G1069" t="s">
        <v>197</v>
      </c>
      <c r="H1069" t="s">
        <v>197</v>
      </c>
      <c r="I1069" t="s">
        <v>197</v>
      </c>
      <c r="J1069" t="s">
        <v>197</v>
      </c>
      <c r="K1069" t="s">
        <v>553</v>
      </c>
    </row>
    <row r="1070" spans="1:24">
      <c r="B1070" t="s">
        <v>197</v>
      </c>
      <c r="C1070" t="s">
        <v>197</v>
      </c>
      <c r="D1070" t="s">
        <v>197</v>
      </c>
      <c r="E1070" t="s">
        <v>197</v>
      </c>
      <c r="F1070" t="s">
        <v>197</v>
      </c>
      <c r="G1070" t="s">
        <v>197</v>
      </c>
      <c r="H1070" t="s">
        <v>197</v>
      </c>
      <c r="I1070" t="s">
        <v>197</v>
      </c>
      <c r="J1070" t="s">
        <v>197</v>
      </c>
      <c r="K1070" t="s">
        <v>554</v>
      </c>
    </row>
    <row r="1071" spans="1:24">
      <c r="B1071" t="s">
        <v>197</v>
      </c>
      <c r="C1071" t="s">
        <v>197</v>
      </c>
      <c r="D1071" t="s">
        <v>197</v>
      </c>
      <c r="E1071" t="s">
        <v>197</v>
      </c>
      <c r="F1071" t="s">
        <v>197</v>
      </c>
      <c r="G1071" t="s">
        <v>197</v>
      </c>
      <c r="H1071" t="s">
        <v>197</v>
      </c>
      <c r="I1071" t="s">
        <v>197</v>
      </c>
      <c r="J1071" t="s">
        <v>197</v>
      </c>
      <c r="K1071" t="s">
        <v>555</v>
      </c>
    </row>
    <row r="1072" spans="1:24">
      <c r="B1072" t="s">
        <v>197</v>
      </c>
      <c r="C1072" t="s">
        <v>197</v>
      </c>
      <c r="D1072" t="s">
        <v>197</v>
      </c>
      <c r="E1072" t="s">
        <v>197</v>
      </c>
      <c r="F1072" t="s">
        <v>197</v>
      </c>
      <c r="G1072" t="s">
        <v>197</v>
      </c>
      <c r="H1072" t="s">
        <v>197</v>
      </c>
      <c r="I1072" t="s">
        <v>197</v>
      </c>
      <c r="J1072" t="s">
        <v>197</v>
      </c>
      <c r="K1072" t="s">
        <v>556</v>
      </c>
    </row>
    <row r="1073" spans="1:24">
      <c r="B1073" t="s">
        <v>197</v>
      </c>
      <c r="C1073" t="s">
        <v>197</v>
      </c>
      <c r="D1073" t="s">
        <v>197</v>
      </c>
      <c r="E1073" t="s">
        <v>197</v>
      </c>
      <c r="F1073" t="s">
        <v>197</v>
      </c>
      <c r="G1073" t="s">
        <v>197</v>
      </c>
      <c r="H1073" t="s">
        <v>197</v>
      </c>
      <c r="I1073" t="s">
        <v>197</v>
      </c>
      <c r="J1073" t="s">
        <v>197</v>
      </c>
      <c r="K1073" t="s">
        <v>557</v>
      </c>
    </row>
    <row r="1074" spans="1:24">
      <c r="B1074" t="s">
        <v>197</v>
      </c>
      <c r="C1074" t="s">
        <v>197</v>
      </c>
      <c r="D1074" t="s">
        <v>197</v>
      </c>
      <c r="E1074" t="s">
        <v>197</v>
      </c>
      <c r="F1074" t="s">
        <v>197</v>
      </c>
      <c r="G1074" t="s">
        <v>197</v>
      </c>
      <c r="H1074" t="s">
        <v>197</v>
      </c>
      <c r="I1074" t="s">
        <v>197</v>
      </c>
      <c r="J1074" t="s">
        <v>197</v>
      </c>
      <c r="K1074" t="s">
        <v>558</v>
      </c>
    </row>
    <row r="1075" spans="1:24">
      <c r="B1075" t="s">
        <v>197</v>
      </c>
      <c r="C1075" t="s">
        <v>197</v>
      </c>
      <c r="D1075" t="s">
        <v>197</v>
      </c>
      <c r="E1075" t="s">
        <v>197</v>
      </c>
      <c r="F1075" t="s">
        <v>197</v>
      </c>
      <c r="G1075" t="s">
        <v>197</v>
      </c>
      <c r="H1075" t="s">
        <v>197</v>
      </c>
      <c r="I1075" t="s">
        <v>197</v>
      </c>
      <c r="J1075" t="s">
        <v>197</v>
      </c>
      <c r="K1075" t="s">
        <v>559</v>
      </c>
    </row>
    <row r="1076" spans="1:24">
      <c r="B1076" t="s">
        <v>197</v>
      </c>
      <c r="C1076" t="s">
        <v>197</v>
      </c>
      <c r="D1076" t="s">
        <v>197</v>
      </c>
      <c r="E1076" t="s">
        <v>197</v>
      </c>
      <c r="F1076" t="s">
        <v>197</v>
      </c>
      <c r="G1076" t="s">
        <v>197</v>
      </c>
      <c r="H1076" t="s">
        <v>197</v>
      </c>
      <c r="I1076" t="s">
        <v>197</v>
      </c>
      <c r="J1076" t="s">
        <v>197</v>
      </c>
      <c r="K1076" t="s">
        <v>560</v>
      </c>
    </row>
    <row r="1077" spans="1:24">
      <c r="B1077" t="s">
        <v>197</v>
      </c>
      <c r="C1077" t="s">
        <v>197</v>
      </c>
      <c r="D1077" t="s">
        <v>197</v>
      </c>
      <c r="E1077" t="s">
        <v>197</v>
      </c>
      <c r="F1077" t="s">
        <v>197</v>
      </c>
      <c r="G1077" t="s">
        <v>197</v>
      </c>
      <c r="H1077" t="s">
        <v>197</v>
      </c>
      <c r="I1077" t="s">
        <v>197</v>
      </c>
      <c r="J1077" t="s">
        <v>197</v>
      </c>
      <c r="K1077" t="s">
        <v>561</v>
      </c>
    </row>
    <row r="1078" spans="1:24">
      <c r="B1078" t="s">
        <v>197</v>
      </c>
      <c r="C1078" t="s">
        <v>197</v>
      </c>
      <c r="D1078" t="s">
        <v>197</v>
      </c>
      <c r="E1078" t="s">
        <v>197</v>
      </c>
      <c r="F1078" t="s">
        <v>197</v>
      </c>
      <c r="G1078" t="s">
        <v>197</v>
      </c>
      <c r="H1078" t="s">
        <v>197</v>
      </c>
      <c r="I1078" t="s">
        <v>197</v>
      </c>
      <c r="J1078" t="s">
        <v>197</v>
      </c>
      <c r="K1078" t="s">
        <v>562</v>
      </c>
    </row>
    <row r="1079" spans="1:24">
      <c r="B1079" t="s">
        <v>197</v>
      </c>
      <c r="C1079" t="s">
        <v>197</v>
      </c>
      <c r="D1079" t="s">
        <v>197</v>
      </c>
      <c r="E1079" t="s">
        <v>197</v>
      </c>
      <c r="F1079" t="s">
        <v>197</v>
      </c>
      <c r="G1079" t="s">
        <v>197</v>
      </c>
      <c r="H1079" t="s">
        <v>197</v>
      </c>
      <c r="I1079" t="s">
        <v>197</v>
      </c>
      <c r="J1079" t="s">
        <v>197</v>
      </c>
      <c r="K1079" t="s">
        <v>563</v>
      </c>
    </row>
    <row r="1080" spans="1:24">
      <c r="B1080" t="s">
        <v>197</v>
      </c>
      <c r="C1080" t="s">
        <v>197</v>
      </c>
      <c r="D1080" t="s">
        <v>197</v>
      </c>
      <c r="E1080" t="s">
        <v>197</v>
      </c>
      <c r="F1080" t="s">
        <v>197</v>
      </c>
      <c r="G1080" t="s">
        <v>197</v>
      </c>
      <c r="H1080" t="s">
        <v>197</v>
      </c>
      <c r="I1080" t="s">
        <v>197</v>
      </c>
      <c r="J1080" t="s">
        <v>197</v>
      </c>
      <c r="K1080" t="s">
        <v>564</v>
      </c>
    </row>
    <row r="1081" spans="1:24">
      <c r="B1081" t="s">
        <v>197</v>
      </c>
      <c r="C1081" t="s">
        <v>197</v>
      </c>
      <c r="D1081" t="s">
        <v>197</v>
      </c>
      <c r="E1081" t="s">
        <v>197</v>
      </c>
      <c r="F1081" t="s">
        <v>197</v>
      </c>
      <c r="G1081" t="s">
        <v>197</v>
      </c>
      <c r="H1081" t="s">
        <v>197</v>
      </c>
      <c r="I1081" t="s">
        <v>197</v>
      </c>
      <c r="J1081" t="s">
        <v>197</v>
      </c>
      <c r="K1081" t="s">
        <v>565</v>
      </c>
    </row>
    <row r="1082" spans="1:24">
      <c r="B1082" t="s">
        <v>197</v>
      </c>
      <c r="C1082" t="s">
        <v>197</v>
      </c>
      <c r="D1082" t="s">
        <v>197</v>
      </c>
      <c r="E1082" t="s">
        <v>197</v>
      </c>
      <c r="F1082" t="s">
        <v>197</v>
      </c>
      <c r="G1082" t="s">
        <v>197</v>
      </c>
      <c r="H1082" t="s">
        <v>197</v>
      </c>
      <c r="I1082" t="s">
        <v>197</v>
      </c>
      <c r="J1082" t="s">
        <v>197</v>
      </c>
      <c r="K1082" t="s">
        <v>566</v>
      </c>
    </row>
    <row r="1083" spans="1:24">
      <c r="B1083" t="s">
        <v>197</v>
      </c>
      <c r="C1083" t="s">
        <v>197</v>
      </c>
      <c r="D1083" t="s">
        <v>197</v>
      </c>
      <c r="E1083" t="s">
        <v>197</v>
      </c>
      <c r="F1083" t="s">
        <v>197</v>
      </c>
      <c r="G1083" t="s">
        <v>197</v>
      </c>
      <c r="H1083" t="s">
        <v>197</v>
      </c>
      <c r="I1083" t="s">
        <v>197</v>
      </c>
      <c r="J1083" t="s">
        <v>197</v>
      </c>
      <c r="K1083" t="s">
        <v>567</v>
      </c>
    </row>
    <row r="1084" spans="1:24">
      <c r="A1084" t="s">
        <v>1072</v>
      </c>
      <c r="K1084" t="s">
        <v>1073</v>
      </c>
      <c r="W1084" s="1" t="str">
        <f>HYPERLINK("#2026042015hbase1!AN2","NO 源备存在差异，共2个")</f>
        <v>NO 源备存在差异，共2个</v>
      </c>
      <c r="X1084" t="str">
        <f>A1084</f>
        <v>info_sql_variant_dml_single_pk_drp</v>
      </c>
    </row>
    <row r="1085" spans="1:24">
      <c r="B1085" t="s">
        <v>196</v>
      </c>
      <c r="C1085" t="s">
        <v>197</v>
      </c>
      <c r="D1085" t="s">
        <v>197</v>
      </c>
      <c r="E1085" t="s">
        <v>197</v>
      </c>
      <c r="F1085" t="s">
        <v>197</v>
      </c>
      <c r="G1085" t="s">
        <v>197</v>
      </c>
      <c r="H1085" t="s">
        <v>197</v>
      </c>
      <c r="I1085" t="s">
        <v>1074</v>
      </c>
      <c r="J1085" t="s">
        <v>199</v>
      </c>
      <c r="K1085" t="s">
        <v>200</v>
      </c>
    </row>
    <row r="1086" spans="1:24">
      <c r="B1086" t="s">
        <v>197</v>
      </c>
      <c r="C1086" t="s">
        <v>197</v>
      </c>
      <c r="D1086" t="s">
        <v>197</v>
      </c>
      <c r="E1086" t="s">
        <v>197</v>
      </c>
      <c r="F1086" t="s">
        <v>197</v>
      </c>
      <c r="G1086" t="s">
        <v>197</v>
      </c>
      <c r="H1086" t="s">
        <v>197</v>
      </c>
      <c r="I1086" t="s">
        <v>197</v>
      </c>
      <c r="J1086" t="s">
        <v>197</v>
      </c>
      <c r="K1086" t="s">
        <v>1006</v>
      </c>
    </row>
    <row r="1087" spans="1:24">
      <c r="B1087" t="s">
        <v>197</v>
      </c>
      <c r="C1087" t="s">
        <v>197</v>
      </c>
      <c r="D1087" t="s">
        <v>197</v>
      </c>
      <c r="E1087" t="s">
        <v>197</v>
      </c>
      <c r="F1087" t="s">
        <v>197</v>
      </c>
      <c r="G1087" t="s">
        <v>197</v>
      </c>
      <c r="H1087" t="s">
        <v>197</v>
      </c>
      <c r="I1087" t="s">
        <v>197</v>
      </c>
      <c r="J1087" t="s">
        <v>197</v>
      </c>
      <c r="K1087" t="s">
        <v>1007</v>
      </c>
    </row>
    <row r="1088" spans="1:24">
      <c r="B1088" t="s">
        <v>197</v>
      </c>
      <c r="C1088" t="s">
        <v>197</v>
      </c>
      <c r="D1088" t="s">
        <v>197</v>
      </c>
      <c r="E1088" t="s">
        <v>197</v>
      </c>
      <c r="F1088" t="s">
        <v>197</v>
      </c>
      <c r="G1088" t="s">
        <v>197</v>
      </c>
      <c r="H1088" t="s">
        <v>197</v>
      </c>
      <c r="I1088" t="s">
        <v>197</v>
      </c>
      <c r="J1088" t="s">
        <v>197</v>
      </c>
      <c r="K1088" t="s">
        <v>1008</v>
      </c>
    </row>
    <row r="1089" spans="2:11">
      <c r="B1089" t="s">
        <v>197</v>
      </c>
      <c r="C1089" t="s">
        <v>197</v>
      </c>
      <c r="D1089" t="s">
        <v>197</v>
      </c>
      <c r="E1089" t="s">
        <v>197</v>
      </c>
      <c r="F1089" t="s">
        <v>197</v>
      </c>
      <c r="G1089" t="s">
        <v>197</v>
      </c>
      <c r="H1089" t="s">
        <v>197</v>
      </c>
      <c r="I1089" t="s">
        <v>197</v>
      </c>
      <c r="J1089" t="s">
        <v>197</v>
      </c>
      <c r="K1089" t="s">
        <v>1009</v>
      </c>
    </row>
    <row r="1090" spans="2:11">
      <c r="B1090" t="s">
        <v>197</v>
      </c>
      <c r="C1090" t="s">
        <v>197</v>
      </c>
      <c r="D1090" t="s">
        <v>197</v>
      </c>
      <c r="E1090" t="s">
        <v>197</v>
      </c>
      <c r="F1090" t="s">
        <v>197</v>
      </c>
      <c r="G1090" t="s">
        <v>197</v>
      </c>
      <c r="H1090" t="s">
        <v>197</v>
      </c>
      <c r="I1090" t="s">
        <v>197</v>
      </c>
      <c r="J1090" t="s">
        <v>197</v>
      </c>
      <c r="K1090" t="s">
        <v>1010</v>
      </c>
    </row>
    <row r="1091" spans="2:11">
      <c r="B1091" t="s">
        <v>197</v>
      </c>
      <c r="C1091" t="s">
        <v>197</v>
      </c>
      <c r="D1091" t="s">
        <v>197</v>
      </c>
      <c r="E1091" t="s">
        <v>197</v>
      </c>
      <c r="F1091" t="s">
        <v>197</v>
      </c>
      <c r="G1091" t="s">
        <v>197</v>
      </c>
      <c r="H1091" t="s">
        <v>197</v>
      </c>
      <c r="I1091" t="s">
        <v>197</v>
      </c>
      <c r="J1091" t="s">
        <v>197</v>
      </c>
      <c r="K1091" t="s">
        <v>1011</v>
      </c>
    </row>
    <row r="1092" spans="2:11">
      <c r="B1092" t="s">
        <v>197</v>
      </c>
      <c r="C1092" t="s">
        <v>197</v>
      </c>
      <c r="D1092" t="s">
        <v>197</v>
      </c>
      <c r="E1092" t="s">
        <v>197</v>
      </c>
      <c r="F1092" t="s">
        <v>197</v>
      </c>
      <c r="G1092" t="s">
        <v>197</v>
      </c>
      <c r="H1092" t="s">
        <v>197</v>
      </c>
      <c r="I1092" t="s">
        <v>197</v>
      </c>
      <c r="J1092" t="s">
        <v>197</v>
      </c>
      <c r="K1092" t="s">
        <v>1012</v>
      </c>
    </row>
    <row r="1093" spans="2:11">
      <c r="B1093" t="s">
        <v>197</v>
      </c>
      <c r="C1093" t="s">
        <v>197</v>
      </c>
      <c r="D1093" t="s">
        <v>197</v>
      </c>
      <c r="E1093" t="s">
        <v>197</v>
      </c>
      <c r="F1093" t="s">
        <v>197</v>
      </c>
      <c r="G1093" t="s">
        <v>197</v>
      </c>
      <c r="H1093" t="s">
        <v>197</v>
      </c>
      <c r="I1093" t="s">
        <v>197</v>
      </c>
      <c r="J1093" t="s">
        <v>197</v>
      </c>
      <c r="K1093" t="s">
        <v>1013</v>
      </c>
    </row>
    <row r="1094" spans="2:11">
      <c r="B1094" t="s">
        <v>197</v>
      </c>
      <c r="C1094" t="s">
        <v>197</v>
      </c>
      <c r="D1094" t="s">
        <v>197</v>
      </c>
      <c r="E1094" t="s">
        <v>197</v>
      </c>
      <c r="F1094" t="s">
        <v>197</v>
      </c>
      <c r="G1094" t="s">
        <v>197</v>
      </c>
      <c r="H1094" t="s">
        <v>197</v>
      </c>
      <c r="I1094" t="s">
        <v>197</v>
      </c>
      <c r="J1094" t="s">
        <v>197</v>
      </c>
      <c r="K1094" t="s">
        <v>1014</v>
      </c>
    </row>
    <row r="1095" spans="2:11">
      <c r="B1095" t="s">
        <v>197</v>
      </c>
      <c r="C1095" t="s">
        <v>197</v>
      </c>
      <c r="D1095" t="s">
        <v>197</v>
      </c>
      <c r="E1095" t="s">
        <v>197</v>
      </c>
      <c r="F1095" t="s">
        <v>197</v>
      </c>
      <c r="G1095" t="s">
        <v>197</v>
      </c>
      <c r="H1095" t="s">
        <v>197</v>
      </c>
      <c r="I1095" t="s">
        <v>197</v>
      </c>
      <c r="J1095" t="s">
        <v>197</v>
      </c>
      <c r="K1095" t="s">
        <v>1015</v>
      </c>
    </row>
    <row r="1096" spans="2:11">
      <c r="B1096" t="s">
        <v>197</v>
      </c>
      <c r="C1096" t="s">
        <v>197</v>
      </c>
      <c r="D1096" t="s">
        <v>197</v>
      </c>
      <c r="E1096" t="s">
        <v>197</v>
      </c>
      <c r="F1096" t="s">
        <v>197</v>
      </c>
      <c r="G1096" t="s">
        <v>197</v>
      </c>
      <c r="H1096" t="s">
        <v>197</v>
      </c>
      <c r="I1096" t="s">
        <v>197</v>
      </c>
      <c r="J1096" t="s">
        <v>197</v>
      </c>
      <c r="K1096" t="s">
        <v>1016</v>
      </c>
    </row>
    <row r="1097" spans="2:11">
      <c r="B1097" t="s">
        <v>197</v>
      </c>
      <c r="C1097" t="s">
        <v>197</v>
      </c>
      <c r="D1097" t="s">
        <v>197</v>
      </c>
      <c r="E1097" t="s">
        <v>197</v>
      </c>
      <c r="F1097" t="s">
        <v>197</v>
      </c>
      <c r="G1097" t="s">
        <v>197</v>
      </c>
      <c r="H1097" t="s">
        <v>197</v>
      </c>
      <c r="I1097" t="s">
        <v>197</v>
      </c>
      <c r="J1097" t="s">
        <v>197</v>
      </c>
      <c r="K1097" t="s">
        <v>1017</v>
      </c>
    </row>
    <row r="1098" spans="2:11">
      <c r="B1098" t="s">
        <v>197</v>
      </c>
      <c r="C1098" t="s">
        <v>197</v>
      </c>
      <c r="D1098" t="s">
        <v>197</v>
      </c>
      <c r="E1098" t="s">
        <v>197</v>
      </c>
      <c r="F1098" t="s">
        <v>197</v>
      </c>
      <c r="G1098" t="s">
        <v>197</v>
      </c>
      <c r="H1098" t="s">
        <v>197</v>
      </c>
      <c r="I1098" t="s">
        <v>197</v>
      </c>
      <c r="J1098" t="s">
        <v>197</v>
      </c>
      <c r="K1098" t="s">
        <v>1018</v>
      </c>
    </row>
    <row r="1099" spans="2:11">
      <c r="B1099" t="s">
        <v>197</v>
      </c>
      <c r="C1099" t="s">
        <v>197</v>
      </c>
      <c r="D1099" t="s">
        <v>197</v>
      </c>
      <c r="E1099" t="s">
        <v>197</v>
      </c>
      <c r="F1099" t="s">
        <v>197</v>
      </c>
      <c r="G1099" t="s">
        <v>197</v>
      </c>
      <c r="H1099" t="s">
        <v>197</v>
      </c>
      <c r="I1099" t="s">
        <v>197</v>
      </c>
      <c r="J1099" t="s">
        <v>197</v>
      </c>
      <c r="K1099" t="s">
        <v>1019</v>
      </c>
    </row>
    <row r="1100" spans="2:11">
      <c r="B1100" t="s">
        <v>197</v>
      </c>
      <c r="C1100" t="s">
        <v>197</v>
      </c>
      <c r="D1100" t="s">
        <v>197</v>
      </c>
      <c r="E1100" t="s">
        <v>197</v>
      </c>
      <c r="F1100" t="s">
        <v>197</v>
      </c>
      <c r="G1100" t="s">
        <v>197</v>
      </c>
      <c r="H1100" t="s">
        <v>197</v>
      </c>
      <c r="I1100" t="s">
        <v>197</v>
      </c>
      <c r="J1100" t="s">
        <v>197</v>
      </c>
      <c r="K1100" t="s">
        <v>1020</v>
      </c>
    </row>
    <row r="1101" spans="2:11">
      <c r="B1101" t="s">
        <v>197</v>
      </c>
      <c r="C1101" t="s">
        <v>197</v>
      </c>
      <c r="D1101" t="s">
        <v>197</v>
      </c>
      <c r="E1101" t="s">
        <v>197</v>
      </c>
      <c r="F1101" t="s">
        <v>197</v>
      </c>
      <c r="G1101" t="s">
        <v>197</v>
      </c>
      <c r="H1101" t="s">
        <v>197</v>
      </c>
      <c r="I1101" t="s">
        <v>197</v>
      </c>
      <c r="J1101" t="s">
        <v>197</v>
      </c>
      <c r="K1101" t="s">
        <v>1021</v>
      </c>
    </row>
    <row r="1102" spans="2:11">
      <c r="B1102" t="s">
        <v>197</v>
      </c>
      <c r="C1102" t="s">
        <v>197</v>
      </c>
      <c r="D1102" t="s">
        <v>197</v>
      </c>
      <c r="E1102" t="s">
        <v>197</v>
      </c>
      <c r="F1102" t="s">
        <v>197</v>
      </c>
      <c r="G1102" t="s">
        <v>197</v>
      </c>
      <c r="H1102" t="s">
        <v>197</v>
      </c>
      <c r="I1102" t="s">
        <v>197</v>
      </c>
      <c r="J1102" t="s">
        <v>197</v>
      </c>
      <c r="K1102" t="s">
        <v>1022</v>
      </c>
    </row>
    <row r="1103" spans="2:11">
      <c r="B1103" t="s">
        <v>197</v>
      </c>
      <c r="C1103" t="s">
        <v>197</v>
      </c>
      <c r="D1103" t="s">
        <v>197</v>
      </c>
      <c r="E1103" t="s">
        <v>197</v>
      </c>
      <c r="F1103" t="s">
        <v>197</v>
      </c>
      <c r="G1103" t="s">
        <v>197</v>
      </c>
      <c r="H1103" t="s">
        <v>197</v>
      </c>
      <c r="I1103" t="s">
        <v>197</v>
      </c>
      <c r="J1103" t="s">
        <v>197</v>
      </c>
      <c r="K1103" t="s">
        <v>1023</v>
      </c>
    </row>
    <row r="1104" spans="2:11">
      <c r="B1104" t="s">
        <v>197</v>
      </c>
      <c r="C1104" t="s">
        <v>197</v>
      </c>
      <c r="D1104" t="s">
        <v>197</v>
      </c>
      <c r="E1104" t="s">
        <v>197</v>
      </c>
      <c r="F1104" t="s">
        <v>197</v>
      </c>
      <c r="G1104" t="s">
        <v>197</v>
      </c>
      <c r="H1104" t="s">
        <v>197</v>
      </c>
      <c r="I1104" t="s">
        <v>197</v>
      </c>
      <c r="J1104" t="s">
        <v>197</v>
      </c>
      <c r="K1104" t="s">
        <v>1024</v>
      </c>
    </row>
    <row r="1105" spans="1:24">
      <c r="B1105" t="s">
        <v>197</v>
      </c>
      <c r="C1105" t="s">
        <v>197</v>
      </c>
      <c r="D1105" t="s">
        <v>197</v>
      </c>
      <c r="E1105" t="s">
        <v>197</v>
      </c>
      <c r="F1105" t="s">
        <v>197</v>
      </c>
      <c r="G1105" t="s">
        <v>197</v>
      </c>
      <c r="H1105" t="s">
        <v>197</v>
      </c>
      <c r="I1105" t="s">
        <v>197</v>
      </c>
      <c r="J1105" t="s">
        <v>197</v>
      </c>
      <c r="K1105" t="s">
        <v>1025</v>
      </c>
    </row>
    <row r="1106" spans="1:24">
      <c r="B1106" t="s">
        <v>197</v>
      </c>
      <c r="C1106" t="s">
        <v>197</v>
      </c>
      <c r="D1106" t="s">
        <v>197</v>
      </c>
      <c r="E1106" t="s">
        <v>197</v>
      </c>
      <c r="F1106" t="s">
        <v>197</v>
      </c>
      <c r="G1106" t="s">
        <v>197</v>
      </c>
      <c r="H1106" t="s">
        <v>197</v>
      </c>
      <c r="I1106" t="s">
        <v>197</v>
      </c>
      <c r="J1106" t="s">
        <v>197</v>
      </c>
      <c r="K1106" t="s">
        <v>1026</v>
      </c>
    </row>
    <row r="1107" spans="1:24">
      <c r="B1107" t="s">
        <v>197</v>
      </c>
      <c r="C1107" t="s">
        <v>197</v>
      </c>
      <c r="D1107" t="s">
        <v>197</v>
      </c>
      <c r="E1107" t="s">
        <v>197</v>
      </c>
      <c r="F1107" t="s">
        <v>197</v>
      </c>
      <c r="G1107" t="s">
        <v>197</v>
      </c>
      <c r="H1107" t="s">
        <v>197</v>
      </c>
      <c r="I1107" t="s">
        <v>197</v>
      </c>
      <c r="J1107" t="s">
        <v>197</v>
      </c>
      <c r="K1107" t="s">
        <v>1027</v>
      </c>
    </row>
    <row r="1108" spans="1:24">
      <c r="B1108" t="s">
        <v>197</v>
      </c>
      <c r="C1108" t="s">
        <v>197</v>
      </c>
      <c r="D1108" t="s">
        <v>197</v>
      </c>
      <c r="E1108" t="s">
        <v>197</v>
      </c>
      <c r="F1108" t="s">
        <v>197</v>
      </c>
      <c r="G1108" t="s">
        <v>197</v>
      </c>
      <c r="H1108" t="s">
        <v>197</v>
      </c>
      <c r="I1108" t="s">
        <v>197</v>
      </c>
      <c r="J1108" t="s">
        <v>197</v>
      </c>
      <c r="K1108" t="s">
        <v>1028</v>
      </c>
    </row>
    <row r="1109" spans="1:24">
      <c r="B1109" t="s">
        <v>197</v>
      </c>
      <c r="C1109" t="s">
        <v>197</v>
      </c>
      <c r="D1109" t="s">
        <v>197</v>
      </c>
      <c r="E1109" t="s">
        <v>197</v>
      </c>
      <c r="F1109" t="s">
        <v>197</v>
      </c>
      <c r="G1109" t="s">
        <v>197</v>
      </c>
      <c r="H1109" t="s">
        <v>197</v>
      </c>
      <c r="I1109" t="s">
        <v>197</v>
      </c>
      <c r="J1109" t="s">
        <v>197</v>
      </c>
      <c r="K1109" t="s">
        <v>1029</v>
      </c>
    </row>
    <row r="1110" spans="1:24">
      <c r="A1110" t="s">
        <v>1078</v>
      </c>
      <c r="K1110" t="s">
        <v>1079</v>
      </c>
      <c r="W1110" t="s">
        <v>171</v>
      </c>
      <c r="X1110" t="str">
        <f>A1110</f>
        <v>info_uniqueidentifier_dml_single_pk_urp</v>
      </c>
    </row>
    <row r="1111" spans="1:24">
      <c r="B1111" t="s">
        <v>196</v>
      </c>
      <c r="C1111" t="s">
        <v>197</v>
      </c>
      <c r="D1111" t="s">
        <v>197</v>
      </c>
      <c r="E1111" t="s">
        <v>197</v>
      </c>
      <c r="F1111" t="s">
        <v>197</v>
      </c>
      <c r="G1111" t="s">
        <v>197</v>
      </c>
      <c r="H1111" t="s">
        <v>197</v>
      </c>
      <c r="I1111" t="s">
        <v>1080</v>
      </c>
      <c r="J1111" t="s">
        <v>199</v>
      </c>
      <c r="K1111" t="s">
        <v>200</v>
      </c>
    </row>
    <row r="1112" spans="1:24">
      <c r="B1112" t="s">
        <v>197</v>
      </c>
      <c r="C1112" t="s">
        <v>197</v>
      </c>
      <c r="D1112" t="s">
        <v>197</v>
      </c>
      <c r="E1112" t="s">
        <v>197</v>
      </c>
      <c r="F1112" t="s">
        <v>197</v>
      </c>
      <c r="G1112" t="s">
        <v>197</v>
      </c>
      <c r="H1112" t="s">
        <v>197</v>
      </c>
      <c r="I1112" t="s">
        <v>197</v>
      </c>
      <c r="J1112" t="s">
        <v>197</v>
      </c>
      <c r="K1112" t="s">
        <v>1039</v>
      </c>
    </row>
    <row r="1113" spans="1:24">
      <c r="A1113" t="s">
        <v>1084</v>
      </c>
      <c r="K1113" t="s">
        <v>1085</v>
      </c>
      <c r="W1113" t="s">
        <v>171</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1087</v>
      </c>
      <c r="K1123" t="s">
        <v>1088</v>
      </c>
      <c r="W1123" s="1" t="str">
        <f>HYPERLINK("#2026042015hbase1!AO2","NO 源备存在差异，共4个")</f>
        <v>NO 源备存在差异，共4个</v>
      </c>
      <c r="X1123" t="str">
        <f>A1123</f>
        <v>info_geography_dml_single_pk_urp</v>
      </c>
    </row>
    <row r="1124" spans="1:24">
      <c r="B1124" t="s">
        <v>196</v>
      </c>
      <c r="C1124" t="s">
        <v>197</v>
      </c>
      <c r="D1124" t="s">
        <v>197</v>
      </c>
      <c r="E1124" t="s">
        <v>197</v>
      </c>
      <c r="F1124" t="s">
        <v>197</v>
      </c>
      <c r="G1124" t="s">
        <v>197</v>
      </c>
      <c r="H1124" t="s">
        <v>197</v>
      </c>
      <c r="I1124" t="s">
        <v>1089</v>
      </c>
      <c r="J1124" t="s">
        <v>199</v>
      </c>
      <c r="K1124" t="s">
        <v>200</v>
      </c>
    </row>
    <row r="1125" spans="1:24">
      <c r="B1125" t="s">
        <v>197</v>
      </c>
      <c r="C1125" t="s">
        <v>197</v>
      </c>
      <c r="D1125" t="s">
        <v>197</v>
      </c>
      <c r="E1125" t="s">
        <v>197</v>
      </c>
      <c r="F1125" t="s">
        <v>197</v>
      </c>
      <c r="G1125" t="s">
        <v>197</v>
      </c>
      <c r="H1125" t="s">
        <v>197</v>
      </c>
      <c r="I1125" t="s">
        <v>197</v>
      </c>
      <c r="J1125" t="s">
        <v>197</v>
      </c>
      <c r="K1125" t="s">
        <v>1052</v>
      </c>
    </row>
    <row r="1126" spans="1:24">
      <c r="A1126" t="s">
        <v>1093</v>
      </c>
      <c r="K1126" t="s">
        <v>1094</v>
      </c>
      <c r="W1126" t="s">
        <v>171</v>
      </c>
      <c r="X1126" t="str">
        <f>A1126</f>
        <v>info_varbinary_dml_batch2_pk_irp1</v>
      </c>
    </row>
    <row r="1127" spans="1:24">
      <c r="B1127" t="s">
        <v>196</v>
      </c>
      <c r="C1127" t="s">
        <v>197</v>
      </c>
      <c r="D1127" t="s">
        <v>197</v>
      </c>
      <c r="E1127" t="s">
        <v>197</v>
      </c>
      <c r="F1127" t="s">
        <v>197</v>
      </c>
      <c r="G1127" t="s">
        <v>197</v>
      </c>
      <c r="H1127" t="s">
        <v>197</v>
      </c>
      <c r="I1127" t="s">
        <v>1095</v>
      </c>
      <c r="J1127" t="s">
        <v>199</v>
      </c>
      <c r="K1127" t="s">
        <v>200</v>
      </c>
    </row>
    <row r="1128" spans="1:24">
      <c r="B1128" t="s">
        <v>197</v>
      </c>
      <c r="C1128" t="s">
        <v>197</v>
      </c>
      <c r="D1128" t="s">
        <v>197</v>
      </c>
      <c r="E1128" t="s">
        <v>197</v>
      </c>
      <c r="F1128" t="s">
        <v>197</v>
      </c>
      <c r="G1128" t="s">
        <v>197</v>
      </c>
      <c r="H1128" t="s">
        <v>197</v>
      </c>
      <c r="I1128" t="s">
        <v>197</v>
      </c>
      <c r="J1128" t="s">
        <v>197</v>
      </c>
      <c r="K1128" t="s">
        <v>495</v>
      </c>
    </row>
    <row r="1129" spans="1:24">
      <c r="B1129" t="s">
        <v>197</v>
      </c>
      <c r="C1129" t="s">
        <v>197</v>
      </c>
      <c r="D1129" t="s">
        <v>197</v>
      </c>
      <c r="E1129" t="s">
        <v>197</v>
      </c>
      <c r="F1129" t="s">
        <v>197</v>
      </c>
      <c r="G1129" t="s">
        <v>197</v>
      </c>
      <c r="H1129" t="s">
        <v>197</v>
      </c>
      <c r="I1129" t="s">
        <v>197</v>
      </c>
      <c r="J1129" t="s">
        <v>197</v>
      </c>
      <c r="K1129" t="s">
        <v>499</v>
      </c>
    </row>
    <row r="1130" spans="1:24">
      <c r="B1130" t="s">
        <v>197</v>
      </c>
      <c r="C1130" t="s">
        <v>197</v>
      </c>
      <c r="D1130" t="s">
        <v>197</v>
      </c>
      <c r="E1130" t="s">
        <v>197</v>
      </c>
      <c r="F1130" t="s">
        <v>197</v>
      </c>
      <c r="G1130" t="s">
        <v>197</v>
      </c>
      <c r="H1130" t="s">
        <v>197</v>
      </c>
      <c r="I1130" t="s">
        <v>197</v>
      </c>
      <c r="J1130" t="s">
        <v>197</v>
      </c>
      <c r="K1130" t="s">
        <v>503</v>
      </c>
    </row>
    <row r="1131" spans="1:24">
      <c r="A1131" t="s">
        <v>1090</v>
      </c>
      <c r="K1131" t="s">
        <v>1091</v>
      </c>
      <c r="W1131" t="s">
        <v>171</v>
      </c>
      <c r="X1131" t="str">
        <f>A1131</f>
        <v>info_time_dml_batch2_pk_irp2</v>
      </c>
    </row>
    <row r="1132" spans="1:24">
      <c r="B1132" t="s">
        <v>196</v>
      </c>
      <c r="C1132" t="s">
        <v>197</v>
      </c>
      <c r="D1132" t="s">
        <v>197</v>
      </c>
      <c r="E1132" t="s">
        <v>197</v>
      </c>
      <c r="F1132" t="s">
        <v>197</v>
      </c>
      <c r="G1132" t="s">
        <v>197</v>
      </c>
      <c r="H1132" t="s">
        <v>197</v>
      </c>
      <c r="I1132" t="s">
        <v>1092</v>
      </c>
      <c r="J1132" t="s">
        <v>199</v>
      </c>
      <c r="K1132" t="s">
        <v>200</v>
      </c>
    </row>
    <row r="1133" spans="1:24">
      <c r="B1133" t="s">
        <v>197</v>
      </c>
      <c r="C1133" t="s">
        <v>197</v>
      </c>
      <c r="D1133" t="s">
        <v>197</v>
      </c>
      <c r="E1133" t="s">
        <v>197</v>
      </c>
      <c r="F1133" t="s">
        <v>197</v>
      </c>
      <c r="G1133" t="s">
        <v>197</v>
      </c>
      <c r="H1133" t="s">
        <v>197</v>
      </c>
      <c r="I1133" t="s">
        <v>197</v>
      </c>
      <c r="J1133" t="s">
        <v>197</v>
      </c>
      <c r="K1133" t="s">
        <v>800</v>
      </c>
    </row>
    <row r="1134" spans="1:24">
      <c r="B1134" t="s">
        <v>197</v>
      </c>
      <c r="C1134" t="s">
        <v>197</v>
      </c>
      <c r="D1134" t="s">
        <v>197</v>
      </c>
      <c r="E1134" t="s">
        <v>197</v>
      </c>
      <c r="F1134" t="s">
        <v>197</v>
      </c>
      <c r="G1134" t="s">
        <v>197</v>
      </c>
      <c r="H1134" t="s">
        <v>197</v>
      </c>
      <c r="I1134" t="s">
        <v>197</v>
      </c>
      <c r="J1134" t="s">
        <v>197</v>
      </c>
      <c r="K1134" t="s">
        <v>801</v>
      </c>
    </row>
    <row r="1135" spans="1:24">
      <c r="B1135" t="s">
        <v>197</v>
      </c>
      <c r="C1135" t="s">
        <v>197</v>
      </c>
      <c r="D1135" t="s">
        <v>197</v>
      </c>
      <c r="E1135" t="s">
        <v>197</v>
      </c>
      <c r="F1135" t="s">
        <v>197</v>
      </c>
      <c r="G1135" t="s">
        <v>197</v>
      </c>
      <c r="H1135" t="s">
        <v>197</v>
      </c>
      <c r="I1135" t="s">
        <v>197</v>
      </c>
      <c r="J1135" t="s">
        <v>197</v>
      </c>
      <c r="K1135" t="s">
        <v>802</v>
      </c>
    </row>
    <row r="1136" spans="1:24">
      <c r="B1136" t="s">
        <v>197</v>
      </c>
      <c r="C1136" t="s">
        <v>197</v>
      </c>
      <c r="D1136" t="s">
        <v>197</v>
      </c>
      <c r="E1136" t="s">
        <v>197</v>
      </c>
      <c r="F1136" t="s">
        <v>197</v>
      </c>
      <c r="G1136" t="s">
        <v>197</v>
      </c>
      <c r="H1136" t="s">
        <v>197</v>
      </c>
      <c r="I1136" t="s">
        <v>197</v>
      </c>
      <c r="J1136" t="s">
        <v>197</v>
      </c>
      <c r="K1136" t="s">
        <v>803</v>
      </c>
    </row>
    <row r="1137" spans="1:24">
      <c r="B1137" t="s">
        <v>197</v>
      </c>
      <c r="C1137" t="s">
        <v>197</v>
      </c>
      <c r="D1137" t="s">
        <v>197</v>
      </c>
      <c r="E1137" t="s">
        <v>197</v>
      </c>
      <c r="F1137" t="s">
        <v>197</v>
      </c>
      <c r="G1137" t="s">
        <v>197</v>
      </c>
      <c r="H1137" t="s">
        <v>197</v>
      </c>
      <c r="I1137" t="s">
        <v>197</v>
      </c>
      <c r="J1137" t="s">
        <v>197</v>
      </c>
      <c r="K1137" t="s">
        <v>804</v>
      </c>
    </row>
    <row r="1138" spans="1:24">
      <c r="B1138" t="s">
        <v>197</v>
      </c>
      <c r="C1138" t="s">
        <v>197</v>
      </c>
      <c r="D1138" t="s">
        <v>197</v>
      </c>
      <c r="E1138" t="s">
        <v>197</v>
      </c>
      <c r="F1138" t="s">
        <v>197</v>
      </c>
      <c r="G1138" t="s">
        <v>197</v>
      </c>
      <c r="H1138" t="s">
        <v>197</v>
      </c>
      <c r="I1138" t="s">
        <v>197</v>
      </c>
      <c r="J1138" t="s">
        <v>197</v>
      </c>
      <c r="K1138" t="s">
        <v>805</v>
      </c>
    </row>
    <row r="1139" spans="1:24">
      <c r="B1139" t="s">
        <v>197</v>
      </c>
      <c r="C1139" t="s">
        <v>197</v>
      </c>
      <c r="D1139" t="s">
        <v>197</v>
      </c>
      <c r="E1139" t="s">
        <v>197</v>
      </c>
      <c r="F1139" t="s">
        <v>197</v>
      </c>
      <c r="G1139" t="s">
        <v>197</v>
      </c>
      <c r="H1139" t="s">
        <v>197</v>
      </c>
      <c r="I1139" t="s">
        <v>197</v>
      </c>
      <c r="J1139" t="s">
        <v>197</v>
      </c>
      <c r="K1139" t="s">
        <v>806</v>
      </c>
    </row>
    <row r="1140" spans="1:24">
      <c r="B1140" t="s">
        <v>197</v>
      </c>
      <c r="C1140" t="s">
        <v>197</v>
      </c>
      <c r="D1140" t="s">
        <v>197</v>
      </c>
      <c r="E1140" t="s">
        <v>197</v>
      </c>
      <c r="F1140" t="s">
        <v>197</v>
      </c>
      <c r="G1140" t="s">
        <v>197</v>
      </c>
      <c r="H1140" t="s">
        <v>197</v>
      </c>
      <c r="I1140" t="s">
        <v>197</v>
      </c>
      <c r="J1140" t="s">
        <v>197</v>
      </c>
      <c r="K1140" t="s">
        <v>807</v>
      </c>
    </row>
    <row r="1141" spans="1:24">
      <c r="A1141" t="s">
        <v>1099</v>
      </c>
      <c r="K1141" t="s">
        <v>1100</v>
      </c>
      <c r="W1141" s="4" t="str">
        <f>HYPERLINK("#2026042015hbase1!AP2","NO 源备存在差异，共2个")</f>
        <v>NO 源备存在差异，共2个</v>
      </c>
      <c r="X1141" t="str">
        <f>A1141</f>
        <v>info_sql_variant_dml_single_pk</v>
      </c>
    </row>
    <row r="1142" spans="1:24">
      <c r="B1142" t="s">
        <v>196</v>
      </c>
      <c r="C1142" t="s">
        <v>197</v>
      </c>
      <c r="D1142" t="s">
        <v>197</v>
      </c>
      <c r="E1142" t="s">
        <v>197</v>
      </c>
      <c r="F1142" t="s">
        <v>197</v>
      </c>
      <c r="G1142" t="s">
        <v>197</v>
      </c>
      <c r="H1142" t="s">
        <v>197</v>
      </c>
      <c r="I1142" t="s">
        <v>1101</v>
      </c>
      <c r="J1142" t="s">
        <v>199</v>
      </c>
      <c r="K1142" t="s">
        <v>200</v>
      </c>
    </row>
    <row r="1143" spans="1:24">
      <c r="B1143" t="s">
        <v>197</v>
      </c>
      <c r="C1143" t="s">
        <v>197</v>
      </c>
      <c r="D1143" t="s">
        <v>197</v>
      </c>
      <c r="E1143" t="s">
        <v>197</v>
      </c>
      <c r="F1143" t="s">
        <v>197</v>
      </c>
      <c r="G1143" t="s">
        <v>197</v>
      </c>
      <c r="H1143" t="s">
        <v>197</v>
      </c>
      <c r="I1143" t="s">
        <v>197</v>
      </c>
      <c r="J1143" t="s">
        <v>197</v>
      </c>
      <c r="K1143" t="s">
        <v>1006</v>
      </c>
    </row>
    <row r="1144" spans="1:24">
      <c r="B1144" t="s">
        <v>197</v>
      </c>
      <c r="C1144" t="s">
        <v>197</v>
      </c>
      <c r="D1144" t="s">
        <v>197</v>
      </c>
      <c r="E1144" t="s">
        <v>197</v>
      </c>
      <c r="F1144" t="s">
        <v>197</v>
      </c>
      <c r="G1144" t="s">
        <v>197</v>
      </c>
      <c r="H1144" t="s">
        <v>197</v>
      </c>
      <c r="I1144" t="s">
        <v>197</v>
      </c>
      <c r="J1144" t="s">
        <v>197</v>
      </c>
      <c r="K1144" t="s">
        <v>1007</v>
      </c>
    </row>
    <row r="1145" spans="1:24">
      <c r="B1145" t="s">
        <v>197</v>
      </c>
      <c r="C1145" t="s">
        <v>197</v>
      </c>
      <c r="D1145" t="s">
        <v>197</v>
      </c>
      <c r="E1145" t="s">
        <v>197</v>
      </c>
      <c r="F1145" t="s">
        <v>197</v>
      </c>
      <c r="G1145" t="s">
        <v>197</v>
      </c>
      <c r="H1145" t="s">
        <v>197</v>
      </c>
      <c r="I1145" t="s">
        <v>197</v>
      </c>
      <c r="J1145" t="s">
        <v>197</v>
      </c>
      <c r="K1145" t="s">
        <v>1008</v>
      </c>
    </row>
    <row r="1146" spans="1:24">
      <c r="B1146" t="s">
        <v>197</v>
      </c>
      <c r="C1146" t="s">
        <v>197</v>
      </c>
      <c r="D1146" t="s">
        <v>197</v>
      </c>
      <c r="E1146" t="s">
        <v>197</v>
      </c>
      <c r="F1146" t="s">
        <v>197</v>
      </c>
      <c r="G1146" t="s">
        <v>197</v>
      </c>
      <c r="H1146" t="s">
        <v>197</v>
      </c>
      <c r="I1146" t="s">
        <v>197</v>
      </c>
      <c r="J1146" t="s">
        <v>197</v>
      </c>
      <c r="K1146" t="s">
        <v>1009</v>
      </c>
    </row>
    <row r="1147" spans="1:24">
      <c r="B1147" t="s">
        <v>197</v>
      </c>
      <c r="C1147" t="s">
        <v>197</v>
      </c>
      <c r="D1147" t="s">
        <v>197</v>
      </c>
      <c r="E1147" t="s">
        <v>197</v>
      </c>
      <c r="F1147" t="s">
        <v>197</v>
      </c>
      <c r="G1147" t="s">
        <v>197</v>
      </c>
      <c r="H1147" t="s">
        <v>197</v>
      </c>
      <c r="I1147" t="s">
        <v>197</v>
      </c>
      <c r="J1147" t="s">
        <v>197</v>
      </c>
      <c r="K1147" t="s">
        <v>1010</v>
      </c>
    </row>
    <row r="1148" spans="1:24">
      <c r="B1148" t="s">
        <v>197</v>
      </c>
      <c r="C1148" t="s">
        <v>197</v>
      </c>
      <c r="D1148" t="s">
        <v>197</v>
      </c>
      <c r="E1148" t="s">
        <v>197</v>
      </c>
      <c r="F1148" t="s">
        <v>197</v>
      </c>
      <c r="G1148" t="s">
        <v>197</v>
      </c>
      <c r="H1148" t="s">
        <v>197</v>
      </c>
      <c r="I1148" t="s">
        <v>197</v>
      </c>
      <c r="J1148" t="s">
        <v>197</v>
      </c>
      <c r="K1148" t="s">
        <v>1011</v>
      </c>
    </row>
    <row r="1149" spans="1:24">
      <c r="B1149" t="s">
        <v>197</v>
      </c>
      <c r="C1149" t="s">
        <v>197</v>
      </c>
      <c r="D1149" t="s">
        <v>197</v>
      </c>
      <c r="E1149" t="s">
        <v>197</v>
      </c>
      <c r="F1149" t="s">
        <v>197</v>
      </c>
      <c r="G1149" t="s">
        <v>197</v>
      </c>
      <c r="H1149" t="s">
        <v>197</v>
      </c>
      <c r="I1149" t="s">
        <v>197</v>
      </c>
      <c r="J1149" t="s">
        <v>197</v>
      </c>
      <c r="K1149" t="s">
        <v>1012</v>
      </c>
    </row>
    <row r="1150" spans="1:24">
      <c r="B1150" t="s">
        <v>197</v>
      </c>
      <c r="C1150" t="s">
        <v>197</v>
      </c>
      <c r="D1150" t="s">
        <v>197</v>
      </c>
      <c r="E1150" t="s">
        <v>197</v>
      </c>
      <c r="F1150" t="s">
        <v>197</v>
      </c>
      <c r="G1150" t="s">
        <v>197</v>
      </c>
      <c r="H1150" t="s">
        <v>197</v>
      </c>
      <c r="I1150" t="s">
        <v>197</v>
      </c>
      <c r="J1150" t="s">
        <v>197</v>
      </c>
      <c r="K1150" t="s">
        <v>1013</v>
      </c>
    </row>
    <row r="1151" spans="1:24">
      <c r="B1151" t="s">
        <v>197</v>
      </c>
      <c r="C1151" t="s">
        <v>197</v>
      </c>
      <c r="D1151" t="s">
        <v>197</v>
      </c>
      <c r="E1151" t="s">
        <v>197</v>
      </c>
      <c r="F1151" t="s">
        <v>197</v>
      </c>
      <c r="G1151" t="s">
        <v>197</v>
      </c>
      <c r="H1151" t="s">
        <v>197</v>
      </c>
      <c r="I1151" t="s">
        <v>197</v>
      </c>
      <c r="J1151" t="s">
        <v>197</v>
      </c>
      <c r="K1151" t="s">
        <v>1014</v>
      </c>
    </row>
    <row r="1152" spans="1:24">
      <c r="B1152" t="s">
        <v>197</v>
      </c>
      <c r="C1152" t="s">
        <v>197</v>
      </c>
      <c r="D1152" t="s">
        <v>197</v>
      </c>
      <c r="E1152" t="s">
        <v>197</v>
      </c>
      <c r="F1152" t="s">
        <v>197</v>
      </c>
      <c r="G1152" t="s">
        <v>197</v>
      </c>
      <c r="H1152" t="s">
        <v>197</v>
      </c>
      <c r="I1152" t="s">
        <v>197</v>
      </c>
      <c r="J1152" t="s">
        <v>197</v>
      </c>
      <c r="K1152" t="s">
        <v>1015</v>
      </c>
    </row>
    <row r="1153" spans="1:24">
      <c r="B1153" t="s">
        <v>197</v>
      </c>
      <c r="C1153" t="s">
        <v>197</v>
      </c>
      <c r="D1153" t="s">
        <v>197</v>
      </c>
      <c r="E1153" t="s">
        <v>197</v>
      </c>
      <c r="F1153" t="s">
        <v>197</v>
      </c>
      <c r="G1153" t="s">
        <v>197</v>
      </c>
      <c r="H1153" t="s">
        <v>197</v>
      </c>
      <c r="I1153" t="s">
        <v>197</v>
      </c>
      <c r="J1153" t="s">
        <v>197</v>
      </c>
      <c r="K1153" t="s">
        <v>1016</v>
      </c>
    </row>
    <row r="1154" spans="1:24">
      <c r="B1154" t="s">
        <v>197</v>
      </c>
      <c r="C1154" t="s">
        <v>197</v>
      </c>
      <c r="D1154" t="s">
        <v>197</v>
      </c>
      <c r="E1154" t="s">
        <v>197</v>
      </c>
      <c r="F1154" t="s">
        <v>197</v>
      </c>
      <c r="G1154" t="s">
        <v>197</v>
      </c>
      <c r="H1154" t="s">
        <v>197</v>
      </c>
      <c r="I1154" t="s">
        <v>197</v>
      </c>
      <c r="J1154" t="s">
        <v>197</v>
      </c>
      <c r="K1154" t="s">
        <v>1017</v>
      </c>
    </row>
    <row r="1155" spans="1:24">
      <c r="B1155" t="s">
        <v>197</v>
      </c>
      <c r="C1155" t="s">
        <v>197</v>
      </c>
      <c r="D1155" t="s">
        <v>197</v>
      </c>
      <c r="E1155" t="s">
        <v>197</v>
      </c>
      <c r="F1155" t="s">
        <v>197</v>
      </c>
      <c r="G1155" t="s">
        <v>197</v>
      </c>
      <c r="H1155" t="s">
        <v>197</v>
      </c>
      <c r="I1155" t="s">
        <v>197</v>
      </c>
      <c r="J1155" t="s">
        <v>197</v>
      </c>
      <c r="K1155" t="s">
        <v>1018</v>
      </c>
    </row>
    <row r="1156" spans="1:24">
      <c r="B1156" t="s">
        <v>197</v>
      </c>
      <c r="C1156" t="s">
        <v>197</v>
      </c>
      <c r="D1156" t="s">
        <v>197</v>
      </c>
      <c r="E1156" t="s">
        <v>197</v>
      </c>
      <c r="F1156" t="s">
        <v>197</v>
      </c>
      <c r="G1156" t="s">
        <v>197</v>
      </c>
      <c r="H1156" t="s">
        <v>197</v>
      </c>
      <c r="I1156" t="s">
        <v>197</v>
      </c>
      <c r="J1156" t="s">
        <v>197</v>
      </c>
      <c r="K1156" t="s">
        <v>1019</v>
      </c>
    </row>
    <row r="1157" spans="1:24">
      <c r="B1157" t="s">
        <v>197</v>
      </c>
      <c r="C1157" t="s">
        <v>197</v>
      </c>
      <c r="D1157" t="s">
        <v>197</v>
      </c>
      <c r="E1157" t="s">
        <v>197</v>
      </c>
      <c r="F1157" t="s">
        <v>197</v>
      </c>
      <c r="G1157" t="s">
        <v>197</v>
      </c>
      <c r="H1157" t="s">
        <v>197</v>
      </c>
      <c r="I1157" t="s">
        <v>197</v>
      </c>
      <c r="J1157" t="s">
        <v>197</v>
      </c>
      <c r="K1157" t="s">
        <v>1020</v>
      </c>
    </row>
    <row r="1158" spans="1:24">
      <c r="B1158" t="s">
        <v>197</v>
      </c>
      <c r="C1158" t="s">
        <v>197</v>
      </c>
      <c r="D1158" t="s">
        <v>197</v>
      </c>
      <c r="E1158" t="s">
        <v>197</v>
      </c>
      <c r="F1158" t="s">
        <v>197</v>
      </c>
      <c r="G1158" t="s">
        <v>197</v>
      </c>
      <c r="H1158" t="s">
        <v>197</v>
      </c>
      <c r="I1158" t="s">
        <v>197</v>
      </c>
      <c r="J1158" t="s">
        <v>197</v>
      </c>
      <c r="K1158" t="s">
        <v>1021</v>
      </c>
    </row>
    <row r="1159" spans="1:24">
      <c r="B1159" t="s">
        <v>197</v>
      </c>
      <c r="C1159" t="s">
        <v>197</v>
      </c>
      <c r="D1159" t="s">
        <v>197</v>
      </c>
      <c r="E1159" t="s">
        <v>197</v>
      </c>
      <c r="F1159" t="s">
        <v>197</v>
      </c>
      <c r="G1159" t="s">
        <v>197</v>
      </c>
      <c r="H1159" t="s">
        <v>197</v>
      </c>
      <c r="I1159" t="s">
        <v>197</v>
      </c>
      <c r="J1159" t="s">
        <v>197</v>
      </c>
      <c r="K1159" t="s">
        <v>1022</v>
      </c>
    </row>
    <row r="1160" spans="1:24">
      <c r="B1160" t="s">
        <v>197</v>
      </c>
      <c r="C1160" t="s">
        <v>197</v>
      </c>
      <c r="D1160" t="s">
        <v>197</v>
      </c>
      <c r="E1160" t="s">
        <v>197</v>
      </c>
      <c r="F1160" t="s">
        <v>197</v>
      </c>
      <c r="G1160" t="s">
        <v>197</v>
      </c>
      <c r="H1160" t="s">
        <v>197</v>
      </c>
      <c r="I1160" t="s">
        <v>197</v>
      </c>
      <c r="J1160" t="s">
        <v>197</v>
      </c>
      <c r="K1160" t="s">
        <v>1023</v>
      </c>
    </row>
    <row r="1161" spans="1:24">
      <c r="B1161" t="s">
        <v>197</v>
      </c>
      <c r="C1161" t="s">
        <v>197</v>
      </c>
      <c r="D1161" t="s">
        <v>197</v>
      </c>
      <c r="E1161" t="s">
        <v>197</v>
      </c>
      <c r="F1161" t="s">
        <v>197</v>
      </c>
      <c r="G1161" t="s">
        <v>197</v>
      </c>
      <c r="H1161" t="s">
        <v>197</v>
      </c>
      <c r="I1161" t="s">
        <v>197</v>
      </c>
      <c r="J1161" t="s">
        <v>197</v>
      </c>
      <c r="K1161" t="s">
        <v>1024</v>
      </c>
    </row>
    <row r="1162" spans="1:24">
      <c r="B1162" t="s">
        <v>197</v>
      </c>
      <c r="C1162" t="s">
        <v>197</v>
      </c>
      <c r="D1162" t="s">
        <v>197</v>
      </c>
      <c r="E1162" t="s">
        <v>197</v>
      </c>
      <c r="F1162" t="s">
        <v>197</v>
      </c>
      <c r="G1162" t="s">
        <v>197</v>
      </c>
      <c r="H1162" t="s">
        <v>197</v>
      </c>
      <c r="I1162" t="s">
        <v>197</v>
      </c>
      <c r="J1162" t="s">
        <v>197</v>
      </c>
      <c r="K1162" t="s">
        <v>1025</v>
      </c>
    </row>
    <row r="1163" spans="1:24">
      <c r="B1163" t="s">
        <v>197</v>
      </c>
      <c r="C1163" t="s">
        <v>197</v>
      </c>
      <c r="D1163" t="s">
        <v>197</v>
      </c>
      <c r="E1163" t="s">
        <v>197</v>
      </c>
      <c r="F1163" t="s">
        <v>197</v>
      </c>
      <c r="G1163" t="s">
        <v>197</v>
      </c>
      <c r="H1163" t="s">
        <v>197</v>
      </c>
      <c r="I1163" t="s">
        <v>197</v>
      </c>
      <c r="J1163" t="s">
        <v>197</v>
      </c>
      <c r="K1163" t="s">
        <v>1026</v>
      </c>
    </row>
    <row r="1164" spans="1:24">
      <c r="B1164" t="s">
        <v>197</v>
      </c>
      <c r="C1164" t="s">
        <v>197</v>
      </c>
      <c r="D1164" t="s">
        <v>197</v>
      </c>
      <c r="E1164" t="s">
        <v>197</v>
      </c>
      <c r="F1164" t="s">
        <v>197</v>
      </c>
      <c r="G1164" t="s">
        <v>197</v>
      </c>
      <c r="H1164" t="s">
        <v>197</v>
      </c>
      <c r="I1164" t="s">
        <v>197</v>
      </c>
      <c r="J1164" t="s">
        <v>197</v>
      </c>
      <c r="K1164" t="s">
        <v>1027</v>
      </c>
    </row>
    <row r="1165" spans="1:24">
      <c r="B1165" t="s">
        <v>197</v>
      </c>
      <c r="C1165" t="s">
        <v>197</v>
      </c>
      <c r="D1165" t="s">
        <v>197</v>
      </c>
      <c r="E1165" t="s">
        <v>197</v>
      </c>
      <c r="F1165" t="s">
        <v>197</v>
      </c>
      <c r="G1165" t="s">
        <v>197</v>
      </c>
      <c r="H1165" t="s">
        <v>197</v>
      </c>
      <c r="I1165" t="s">
        <v>197</v>
      </c>
      <c r="J1165" t="s">
        <v>197</v>
      </c>
      <c r="K1165" t="s">
        <v>1028</v>
      </c>
    </row>
    <row r="1166" spans="1:24">
      <c r="B1166" t="s">
        <v>197</v>
      </c>
      <c r="C1166" t="s">
        <v>197</v>
      </c>
      <c r="D1166" t="s">
        <v>197</v>
      </c>
      <c r="E1166" t="s">
        <v>197</v>
      </c>
      <c r="F1166" t="s">
        <v>197</v>
      </c>
      <c r="G1166" t="s">
        <v>197</v>
      </c>
      <c r="H1166" t="s">
        <v>197</v>
      </c>
      <c r="I1166" t="s">
        <v>197</v>
      </c>
      <c r="J1166" t="s">
        <v>197</v>
      </c>
      <c r="K1166" t="s">
        <v>1029</v>
      </c>
    </row>
    <row r="1167" spans="1:24">
      <c r="A1167" t="s">
        <v>1096</v>
      </c>
      <c r="K1167" t="s">
        <v>1097</v>
      </c>
      <c r="W1167" t="s">
        <v>171</v>
      </c>
      <c r="X1167" t="str">
        <f>A1167</f>
        <v>info_time_dml_batch1_pk_urp1</v>
      </c>
    </row>
    <row r="1168" spans="1:24">
      <c r="B1168" t="s">
        <v>196</v>
      </c>
      <c r="C1168" t="s">
        <v>197</v>
      </c>
      <c r="D1168" t="s">
        <v>197</v>
      </c>
      <c r="E1168" t="s">
        <v>197</v>
      </c>
      <c r="F1168" t="s">
        <v>197</v>
      </c>
      <c r="G1168" t="s">
        <v>197</v>
      </c>
      <c r="H1168" t="s">
        <v>197</v>
      </c>
      <c r="I1168" t="s">
        <v>1098</v>
      </c>
      <c r="J1168" t="s">
        <v>199</v>
      </c>
      <c r="K1168" t="s">
        <v>200</v>
      </c>
    </row>
    <row r="1169" spans="1:24">
      <c r="B1169" t="s">
        <v>197</v>
      </c>
      <c r="C1169" t="s">
        <v>197</v>
      </c>
      <c r="D1169" t="s">
        <v>197</v>
      </c>
      <c r="E1169" t="s">
        <v>197</v>
      </c>
      <c r="F1169" t="s">
        <v>197</v>
      </c>
      <c r="G1169" t="s">
        <v>197</v>
      </c>
      <c r="H1169" t="s">
        <v>197</v>
      </c>
      <c r="I1169" t="s">
        <v>197</v>
      </c>
      <c r="J1169" t="s">
        <v>197</v>
      </c>
      <c r="K1169" t="s">
        <v>800</v>
      </c>
    </row>
    <row r="1170" spans="1:24">
      <c r="B1170" t="s">
        <v>197</v>
      </c>
      <c r="C1170" t="s">
        <v>197</v>
      </c>
      <c r="D1170" t="s">
        <v>197</v>
      </c>
      <c r="E1170" t="s">
        <v>197</v>
      </c>
      <c r="F1170" t="s">
        <v>197</v>
      </c>
      <c r="G1170" t="s">
        <v>197</v>
      </c>
      <c r="H1170" t="s">
        <v>197</v>
      </c>
      <c r="I1170" t="s">
        <v>197</v>
      </c>
      <c r="J1170" t="s">
        <v>197</v>
      </c>
      <c r="K1170" t="s">
        <v>801</v>
      </c>
    </row>
    <row r="1171" spans="1:24">
      <c r="B1171" t="s">
        <v>197</v>
      </c>
      <c r="C1171" t="s">
        <v>197</v>
      </c>
      <c r="D1171" t="s">
        <v>197</v>
      </c>
      <c r="E1171" t="s">
        <v>197</v>
      </c>
      <c r="F1171" t="s">
        <v>197</v>
      </c>
      <c r="G1171" t="s">
        <v>197</v>
      </c>
      <c r="H1171" t="s">
        <v>197</v>
      </c>
      <c r="I1171" t="s">
        <v>197</v>
      </c>
      <c r="J1171" t="s">
        <v>197</v>
      </c>
      <c r="K1171" t="s">
        <v>802</v>
      </c>
    </row>
    <row r="1172" spans="1:24">
      <c r="B1172" t="s">
        <v>197</v>
      </c>
      <c r="C1172" t="s">
        <v>197</v>
      </c>
      <c r="D1172" t="s">
        <v>197</v>
      </c>
      <c r="E1172" t="s">
        <v>197</v>
      </c>
      <c r="F1172" t="s">
        <v>197</v>
      </c>
      <c r="G1172" t="s">
        <v>197</v>
      </c>
      <c r="H1172" t="s">
        <v>197</v>
      </c>
      <c r="I1172" t="s">
        <v>197</v>
      </c>
      <c r="J1172" t="s">
        <v>197</v>
      </c>
      <c r="K1172" t="s">
        <v>803</v>
      </c>
    </row>
    <row r="1173" spans="1:24">
      <c r="B1173" t="s">
        <v>197</v>
      </c>
      <c r="C1173" t="s">
        <v>197</v>
      </c>
      <c r="D1173" t="s">
        <v>197</v>
      </c>
      <c r="E1173" t="s">
        <v>197</v>
      </c>
      <c r="F1173" t="s">
        <v>197</v>
      </c>
      <c r="G1173" t="s">
        <v>197</v>
      </c>
      <c r="H1173" t="s">
        <v>197</v>
      </c>
      <c r="I1173" t="s">
        <v>197</v>
      </c>
      <c r="J1173" t="s">
        <v>197</v>
      </c>
      <c r="K1173" t="s">
        <v>804</v>
      </c>
    </row>
    <row r="1174" spans="1:24">
      <c r="B1174" t="s">
        <v>197</v>
      </c>
      <c r="C1174" t="s">
        <v>197</v>
      </c>
      <c r="D1174" t="s">
        <v>197</v>
      </c>
      <c r="E1174" t="s">
        <v>197</v>
      </c>
      <c r="F1174" t="s">
        <v>197</v>
      </c>
      <c r="G1174" t="s">
        <v>197</v>
      </c>
      <c r="H1174" t="s">
        <v>197</v>
      </c>
      <c r="I1174" t="s">
        <v>197</v>
      </c>
      <c r="J1174" t="s">
        <v>197</v>
      </c>
      <c r="K1174" t="s">
        <v>805</v>
      </c>
    </row>
    <row r="1175" spans="1:24">
      <c r="B1175" t="s">
        <v>197</v>
      </c>
      <c r="C1175" t="s">
        <v>197</v>
      </c>
      <c r="D1175" t="s">
        <v>197</v>
      </c>
      <c r="E1175" t="s">
        <v>197</v>
      </c>
      <c r="F1175" t="s">
        <v>197</v>
      </c>
      <c r="G1175" t="s">
        <v>197</v>
      </c>
      <c r="H1175" t="s">
        <v>197</v>
      </c>
      <c r="I1175" t="s">
        <v>197</v>
      </c>
      <c r="J1175" t="s">
        <v>197</v>
      </c>
      <c r="K1175" t="s">
        <v>806</v>
      </c>
    </row>
    <row r="1176" spans="1:24">
      <c r="B1176" t="s">
        <v>197</v>
      </c>
      <c r="C1176" t="s">
        <v>197</v>
      </c>
      <c r="D1176" t="s">
        <v>197</v>
      </c>
      <c r="E1176" t="s">
        <v>197</v>
      </c>
      <c r="F1176" t="s">
        <v>197</v>
      </c>
      <c r="G1176" t="s">
        <v>197</v>
      </c>
      <c r="H1176" t="s">
        <v>197</v>
      </c>
      <c r="I1176" t="s">
        <v>197</v>
      </c>
      <c r="J1176" t="s">
        <v>197</v>
      </c>
      <c r="K1176" t="s">
        <v>807</v>
      </c>
    </row>
    <row r="1177" spans="1:24">
      <c r="A1177" t="s">
        <v>1105</v>
      </c>
      <c r="K1177" t="s">
        <v>1106</v>
      </c>
      <c r="W1177" t="s">
        <v>171</v>
      </c>
      <c r="X1177" t="str">
        <f>A1177</f>
        <v>info_time_dml_batch1_pk_urp2</v>
      </c>
    </row>
    <row r="1178" spans="1:24">
      <c r="B1178" t="s">
        <v>196</v>
      </c>
      <c r="C1178" t="s">
        <v>197</v>
      </c>
      <c r="D1178" t="s">
        <v>197</v>
      </c>
      <c r="E1178" t="s">
        <v>197</v>
      </c>
      <c r="F1178" t="s">
        <v>197</v>
      </c>
      <c r="G1178" t="s">
        <v>197</v>
      </c>
      <c r="H1178" t="s">
        <v>197</v>
      </c>
      <c r="I1178" t="s">
        <v>1107</v>
      </c>
      <c r="J1178" t="s">
        <v>199</v>
      </c>
      <c r="K1178" t="s">
        <v>200</v>
      </c>
    </row>
    <row r="1179" spans="1:24">
      <c r="B1179" t="s">
        <v>197</v>
      </c>
      <c r="C1179" t="s">
        <v>197</v>
      </c>
      <c r="D1179" t="s">
        <v>197</v>
      </c>
      <c r="E1179" t="s">
        <v>197</v>
      </c>
      <c r="F1179" t="s">
        <v>197</v>
      </c>
      <c r="G1179" t="s">
        <v>197</v>
      </c>
      <c r="H1179" t="s">
        <v>197</v>
      </c>
      <c r="I1179" t="s">
        <v>197</v>
      </c>
      <c r="J1179" t="s">
        <v>197</v>
      </c>
      <c r="K1179" t="s">
        <v>800</v>
      </c>
    </row>
    <row r="1180" spans="1:24">
      <c r="B1180" t="s">
        <v>197</v>
      </c>
      <c r="C1180" t="s">
        <v>197</v>
      </c>
      <c r="D1180" t="s">
        <v>197</v>
      </c>
      <c r="E1180" t="s">
        <v>197</v>
      </c>
      <c r="F1180" t="s">
        <v>197</v>
      </c>
      <c r="G1180" t="s">
        <v>197</v>
      </c>
      <c r="H1180" t="s">
        <v>197</v>
      </c>
      <c r="I1180" t="s">
        <v>197</v>
      </c>
      <c r="J1180" t="s">
        <v>197</v>
      </c>
      <c r="K1180" t="s">
        <v>801</v>
      </c>
    </row>
    <row r="1181" spans="1:24">
      <c r="B1181" t="s">
        <v>197</v>
      </c>
      <c r="C1181" t="s">
        <v>197</v>
      </c>
      <c r="D1181" t="s">
        <v>197</v>
      </c>
      <c r="E1181" t="s">
        <v>197</v>
      </c>
      <c r="F1181" t="s">
        <v>197</v>
      </c>
      <c r="G1181" t="s">
        <v>197</v>
      </c>
      <c r="H1181" t="s">
        <v>197</v>
      </c>
      <c r="I1181" t="s">
        <v>197</v>
      </c>
      <c r="J1181" t="s">
        <v>197</v>
      </c>
      <c r="K1181" t="s">
        <v>802</v>
      </c>
    </row>
    <row r="1182" spans="1:24">
      <c r="B1182" t="s">
        <v>197</v>
      </c>
      <c r="C1182" t="s">
        <v>197</v>
      </c>
      <c r="D1182" t="s">
        <v>197</v>
      </c>
      <c r="E1182" t="s">
        <v>197</v>
      </c>
      <c r="F1182" t="s">
        <v>197</v>
      </c>
      <c r="G1182" t="s">
        <v>197</v>
      </c>
      <c r="H1182" t="s">
        <v>197</v>
      </c>
      <c r="I1182" t="s">
        <v>197</v>
      </c>
      <c r="J1182" t="s">
        <v>197</v>
      </c>
      <c r="K1182" t="s">
        <v>803</v>
      </c>
    </row>
    <row r="1183" spans="1:24">
      <c r="B1183" t="s">
        <v>197</v>
      </c>
      <c r="C1183" t="s">
        <v>197</v>
      </c>
      <c r="D1183" t="s">
        <v>197</v>
      </c>
      <c r="E1183" t="s">
        <v>197</v>
      </c>
      <c r="F1183" t="s">
        <v>197</v>
      </c>
      <c r="G1183" t="s">
        <v>197</v>
      </c>
      <c r="H1183" t="s">
        <v>197</v>
      </c>
      <c r="I1183" t="s">
        <v>197</v>
      </c>
      <c r="J1183" t="s">
        <v>197</v>
      </c>
      <c r="K1183" t="s">
        <v>804</v>
      </c>
    </row>
    <row r="1184" spans="1:24">
      <c r="B1184" t="s">
        <v>197</v>
      </c>
      <c r="C1184" t="s">
        <v>197</v>
      </c>
      <c r="D1184" t="s">
        <v>197</v>
      </c>
      <c r="E1184" t="s">
        <v>197</v>
      </c>
      <c r="F1184" t="s">
        <v>197</v>
      </c>
      <c r="G1184" t="s">
        <v>197</v>
      </c>
      <c r="H1184" t="s">
        <v>197</v>
      </c>
      <c r="I1184" t="s">
        <v>197</v>
      </c>
      <c r="J1184" t="s">
        <v>197</v>
      </c>
      <c r="K1184" t="s">
        <v>805</v>
      </c>
    </row>
    <row r="1185" spans="1:24">
      <c r="B1185" t="s">
        <v>197</v>
      </c>
      <c r="C1185" t="s">
        <v>197</v>
      </c>
      <c r="D1185" t="s">
        <v>197</v>
      </c>
      <c r="E1185" t="s">
        <v>197</v>
      </c>
      <c r="F1185" t="s">
        <v>197</v>
      </c>
      <c r="G1185" t="s">
        <v>197</v>
      </c>
      <c r="H1185" t="s">
        <v>197</v>
      </c>
      <c r="I1185" t="s">
        <v>197</v>
      </c>
      <c r="J1185" t="s">
        <v>197</v>
      </c>
      <c r="K1185" t="s">
        <v>806</v>
      </c>
    </row>
    <row r="1186" spans="1:24">
      <c r="B1186" t="s">
        <v>197</v>
      </c>
      <c r="C1186" t="s">
        <v>197</v>
      </c>
      <c r="D1186" t="s">
        <v>197</v>
      </c>
      <c r="E1186" t="s">
        <v>197</v>
      </c>
      <c r="F1186" t="s">
        <v>197</v>
      </c>
      <c r="G1186" t="s">
        <v>197</v>
      </c>
      <c r="H1186" t="s">
        <v>197</v>
      </c>
      <c r="I1186" t="s">
        <v>197</v>
      </c>
      <c r="J1186" t="s">
        <v>197</v>
      </c>
      <c r="K1186" t="s">
        <v>807</v>
      </c>
    </row>
    <row r="1187" spans="1:24">
      <c r="A1187" t="s">
        <v>1102</v>
      </c>
      <c r="K1187" t="s">
        <v>1103</v>
      </c>
      <c r="W1187" t="s">
        <v>171</v>
      </c>
      <c r="X1187" t="str">
        <f>A1187</f>
        <v>info_uniqueidentifier_dml_single_pk_drp</v>
      </c>
    </row>
    <row r="1188" spans="1:24">
      <c r="B1188" t="s">
        <v>196</v>
      </c>
      <c r="C1188" t="s">
        <v>197</v>
      </c>
      <c r="D1188" t="s">
        <v>197</v>
      </c>
      <c r="E1188" t="s">
        <v>197</v>
      </c>
      <c r="F1188" t="s">
        <v>197</v>
      </c>
      <c r="G1188" t="s">
        <v>197</v>
      </c>
      <c r="H1188" t="s">
        <v>197</v>
      </c>
      <c r="I1188" t="s">
        <v>1104</v>
      </c>
      <c r="J1188" t="s">
        <v>199</v>
      </c>
      <c r="K1188" t="s">
        <v>200</v>
      </c>
    </row>
    <row r="1189" spans="1:24">
      <c r="B1189" t="s">
        <v>197</v>
      </c>
      <c r="C1189" t="s">
        <v>197</v>
      </c>
      <c r="D1189" t="s">
        <v>197</v>
      </c>
      <c r="E1189" t="s">
        <v>197</v>
      </c>
      <c r="F1189" t="s">
        <v>197</v>
      </c>
      <c r="G1189" t="s">
        <v>197</v>
      </c>
      <c r="H1189" t="s">
        <v>197</v>
      </c>
      <c r="I1189" t="s">
        <v>197</v>
      </c>
      <c r="J1189" t="s">
        <v>197</v>
      </c>
      <c r="K1189" t="s">
        <v>1039</v>
      </c>
    </row>
    <row r="1190" spans="1:24">
      <c r="A1190" t="s">
        <v>1108</v>
      </c>
      <c r="K1190" t="s">
        <v>1109</v>
      </c>
      <c r="W1190" t="s">
        <v>171</v>
      </c>
      <c r="X1190" t="str">
        <f>A1190</f>
        <v>info_datetime2_dml_single_pk_drp</v>
      </c>
    </row>
    <row r="1191" spans="1:24">
      <c r="B1191" t="s">
        <v>196</v>
      </c>
      <c r="C1191" t="s">
        <v>197</v>
      </c>
      <c r="D1191" t="s">
        <v>197</v>
      </c>
      <c r="E1191" t="s">
        <v>197</v>
      </c>
      <c r="F1191" t="s">
        <v>197</v>
      </c>
      <c r="G1191" t="s">
        <v>197</v>
      </c>
      <c r="H1191" t="s">
        <v>197</v>
      </c>
      <c r="I1191" t="s">
        <v>1110</v>
      </c>
      <c r="J1191" t="s">
        <v>199</v>
      </c>
      <c r="K1191" t="s">
        <v>200</v>
      </c>
    </row>
    <row r="1192" spans="1:24">
      <c r="B1192" t="s">
        <v>197</v>
      </c>
      <c r="C1192" t="s">
        <v>197</v>
      </c>
      <c r="D1192" t="s">
        <v>197</v>
      </c>
      <c r="E1192" t="s">
        <v>197</v>
      </c>
      <c r="F1192" t="s">
        <v>197</v>
      </c>
      <c r="G1192" t="s">
        <v>197</v>
      </c>
      <c r="H1192" t="s">
        <v>197</v>
      </c>
      <c r="I1192" t="s">
        <v>197</v>
      </c>
      <c r="J1192" t="s">
        <v>197</v>
      </c>
      <c r="K1192" t="s">
        <v>667</v>
      </c>
    </row>
    <row r="1193" spans="1:24">
      <c r="B1193" t="s">
        <v>197</v>
      </c>
      <c r="C1193" t="s">
        <v>197</v>
      </c>
      <c r="D1193" t="s">
        <v>197</v>
      </c>
      <c r="E1193" t="s">
        <v>197</v>
      </c>
      <c r="F1193" t="s">
        <v>197</v>
      </c>
      <c r="G1193" t="s">
        <v>197</v>
      </c>
      <c r="H1193" t="s">
        <v>197</v>
      </c>
      <c r="I1193" t="s">
        <v>197</v>
      </c>
      <c r="J1193" t="s">
        <v>197</v>
      </c>
      <c r="K1193" t="s">
        <v>668</v>
      </c>
    </row>
    <row r="1194" spans="1:24">
      <c r="B1194" t="s">
        <v>197</v>
      </c>
      <c r="C1194" t="s">
        <v>197</v>
      </c>
      <c r="D1194" t="s">
        <v>197</v>
      </c>
      <c r="E1194" t="s">
        <v>197</v>
      </c>
      <c r="F1194" t="s">
        <v>197</v>
      </c>
      <c r="G1194" t="s">
        <v>197</v>
      </c>
      <c r="H1194" t="s">
        <v>197</v>
      </c>
      <c r="I1194" t="s">
        <v>197</v>
      </c>
      <c r="J1194" t="s">
        <v>197</v>
      </c>
      <c r="K1194" t="s">
        <v>669</v>
      </c>
    </row>
    <row r="1195" spans="1:24">
      <c r="B1195" t="s">
        <v>197</v>
      </c>
      <c r="C1195" t="s">
        <v>197</v>
      </c>
      <c r="D1195" t="s">
        <v>197</v>
      </c>
      <c r="E1195" t="s">
        <v>197</v>
      </c>
      <c r="F1195" t="s">
        <v>197</v>
      </c>
      <c r="G1195" t="s">
        <v>197</v>
      </c>
      <c r="H1195" t="s">
        <v>197</v>
      </c>
      <c r="I1195" t="s">
        <v>197</v>
      </c>
      <c r="J1195" t="s">
        <v>197</v>
      </c>
      <c r="K1195" t="s">
        <v>670</v>
      </c>
    </row>
    <row r="1196" spans="1:24">
      <c r="B1196" t="s">
        <v>197</v>
      </c>
      <c r="C1196" t="s">
        <v>197</v>
      </c>
      <c r="D1196" t="s">
        <v>197</v>
      </c>
      <c r="E1196" t="s">
        <v>197</v>
      </c>
      <c r="F1196" t="s">
        <v>197</v>
      </c>
      <c r="G1196" t="s">
        <v>197</v>
      </c>
      <c r="H1196" t="s">
        <v>197</v>
      </c>
      <c r="I1196" t="s">
        <v>197</v>
      </c>
      <c r="J1196" t="s">
        <v>197</v>
      </c>
      <c r="K1196" t="s">
        <v>671</v>
      </c>
    </row>
    <row r="1197" spans="1:24">
      <c r="B1197" t="s">
        <v>197</v>
      </c>
      <c r="C1197" t="s">
        <v>197</v>
      </c>
      <c r="D1197" t="s">
        <v>197</v>
      </c>
      <c r="E1197" t="s">
        <v>197</v>
      </c>
      <c r="F1197" t="s">
        <v>197</v>
      </c>
      <c r="G1197" t="s">
        <v>197</v>
      </c>
      <c r="H1197" t="s">
        <v>197</v>
      </c>
      <c r="I1197" t="s">
        <v>197</v>
      </c>
      <c r="J1197" t="s">
        <v>197</v>
      </c>
      <c r="K1197" t="s">
        <v>672</v>
      </c>
    </row>
    <row r="1198" spans="1:24">
      <c r="B1198" t="s">
        <v>197</v>
      </c>
      <c r="C1198" t="s">
        <v>197</v>
      </c>
      <c r="D1198" t="s">
        <v>197</v>
      </c>
      <c r="E1198" t="s">
        <v>197</v>
      </c>
      <c r="F1198" t="s">
        <v>197</v>
      </c>
      <c r="G1198" t="s">
        <v>197</v>
      </c>
      <c r="H1198" t="s">
        <v>197</v>
      </c>
      <c r="I1198" t="s">
        <v>197</v>
      </c>
      <c r="J1198" t="s">
        <v>197</v>
      </c>
      <c r="K1198" t="s">
        <v>673</v>
      </c>
    </row>
    <row r="1199" spans="1:24">
      <c r="B1199" t="s">
        <v>197</v>
      </c>
      <c r="C1199" t="s">
        <v>197</v>
      </c>
      <c r="D1199" t="s">
        <v>197</v>
      </c>
      <c r="E1199" t="s">
        <v>197</v>
      </c>
      <c r="F1199" t="s">
        <v>197</v>
      </c>
      <c r="G1199" t="s">
        <v>197</v>
      </c>
      <c r="H1199" t="s">
        <v>197</v>
      </c>
      <c r="I1199" t="s">
        <v>197</v>
      </c>
      <c r="J1199" t="s">
        <v>197</v>
      </c>
      <c r="K1199" t="s">
        <v>674</v>
      </c>
    </row>
    <row r="1200" spans="1:24">
      <c r="A1200" t="s">
        <v>1111</v>
      </c>
      <c r="K1200" t="s">
        <v>1112</v>
      </c>
      <c r="W1200" t="s">
        <v>171</v>
      </c>
      <c r="X1200" t="str">
        <f>A1200</f>
        <v>info_varchar_dml_single_pk_urp</v>
      </c>
    </row>
    <row r="1201" spans="1:24">
      <c r="B1201" t="s">
        <v>196</v>
      </c>
      <c r="C1201" t="s">
        <v>197</v>
      </c>
      <c r="D1201" t="s">
        <v>197</v>
      </c>
      <c r="E1201" t="s">
        <v>197</v>
      </c>
      <c r="F1201" t="s">
        <v>197</v>
      </c>
      <c r="G1201" t="s">
        <v>197</v>
      </c>
      <c r="H1201" t="s">
        <v>197</v>
      </c>
      <c r="I1201" t="s">
        <v>1113</v>
      </c>
      <c r="J1201" t="s">
        <v>199</v>
      </c>
      <c r="K1201" t="s">
        <v>200</v>
      </c>
    </row>
    <row r="1202" spans="1:24">
      <c r="B1202" t="s">
        <v>197</v>
      </c>
      <c r="C1202" t="s">
        <v>197</v>
      </c>
      <c r="D1202" t="s">
        <v>197</v>
      </c>
      <c r="E1202" t="s">
        <v>197</v>
      </c>
      <c r="F1202" t="s">
        <v>197</v>
      </c>
      <c r="G1202" t="s">
        <v>197</v>
      </c>
      <c r="H1202" t="s">
        <v>197</v>
      </c>
      <c r="I1202" t="s">
        <v>197</v>
      </c>
      <c r="J1202" t="s">
        <v>197</v>
      </c>
      <c r="K1202" t="s">
        <v>431</v>
      </c>
    </row>
    <row r="1203" spans="1:24">
      <c r="B1203" t="s">
        <v>197</v>
      </c>
      <c r="C1203" t="s">
        <v>197</v>
      </c>
      <c r="D1203" t="s">
        <v>197</v>
      </c>
      <c r="E1203" t="s">
        <v>197</v>
      </c>
      <c r="F1203" t="s">
        <v>197</v>
      </c>
      <c r="G1203" t="s">
        <v>197</v>
      </c>
      <c r="H1203" t="s">
        <v>197</v>
      </c>
      <c r="I1203" t="s">
        <v>197</v>
      </c>
      <c r="J1203" t="s">
        <v>197</v>
      </c>
      <c r="K1203" t="s">
        <v>1056</v>
      </c>
    </row>
    <row r="1204" spans="1:24">
      <c r="B1204" t="s">
        <v>197</v>
      </c>
      <c r="C1204" t="s">
        <v>197</v>
      </c>
      <c r="D1204" t="s">
        <v>197</v>
      </c>
      <c r="E1204" t="s">
        <v>197</v>
      </c>
      <c r="F1204" t="s">
        <v>197</v>
      </c>
      <c r="G1204" t="s">
        <v>197</v>
      </c>
      <c r="H1204" t="s">
        <v>197</v>
      </c>
      <c r="I1204" t="s">
        <v>197</v>
      </c>
      <c r="J1204" t="s">
        <v>197</v>
      </c>
      <c r="K1204" t="s">
        <v>963</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1120</v>
      </c>
      <c r="K1216" t="s">
        <v>1121</v>
      </c>
      <c r="W1216" t="s">
        <v>171</v>
      </c>
      <c r="X1216" t="str">
        <f>A1216</f>
        <v>info_uniqueidentifier_dml_single_pk</v>
      </c>
    </row>
    <row r="1217" spans="1:24">
      <c r="B1217" t="s">
        <v>196</v>
      </c>
      <c r="C1217" t="s">
        <v>197</v>
      </c>
      <c r="D1217" t="s">
        <v>197</v>
      </c>
      <c r="E1217" t="s">
        <v>197</v>
      </c>
      <c r="F1217" t="s">
        <v>197</v>
      </c>
      <c r="G1217" t="s">
        <v>197</v>
      </c>
      <c r="H1217" t="s">
        <v>197</v>
      </c>
      <c r="I1217" t="s">
        <v>1122</v>
      </c>
      <c r="J1217" t="s">
        <v>199</v>
      </c>
      <c r="K1217" t="s">
        <v>200</v>
      </c>
    </row>
    <row r="1218" spans="1:24">
      <c r="B1218" t="s">
        <v>197</v>
      </c>
      <c r="C1218" t="s">
        <v>197</v>
      </c>
      <c r="D1218" t="s">
        <v>197</v>
      </c>
      <c r="E1218" t="s">
        <v>197</v>
      </c>
      <c r="F1218" t="s">
        <v>197</v>
      </c>
      <c r="G1218" t="s">
        <v>197</v>
      </c>
      <c r="H1218" t="s">
        <v>197</v>
      </c>
      <c r="I1218" t="s">
        <v>197</v>
      </c>
      <c r="J1218" t="s">
        <v>197</v>
      </c>
      <c r="K1218" t="s">
        <v>1039</v>
      </c>
    </row>
    <row r="1219" spans="1:24">
      <c r="A1219" t="s">
        <v>1117</v>
      </c>
      <c r="K1219" t="s">
        <v>1118</v>
      </c>
      <c r="W1219" s="1" t="str">
        <f>HYPERLINK("#2026042015hbase1!AQ2","NO 源备存在差异，共46个")</f>
        <v>NO 源备存在差异，共46个</v>
      </c>
      <c r="X1219" t="str">
        <f>A1219</f>
        <v>info_int_dml_batch1_pk_irp2</v>
      </c>
    </row>
    <row r="1220" spans="1:24">
      <c r="B1220" t="s">
        <v>196</v>
      </c>
      <c r="C1220" t="s">
        <v>197</v>
      </c>
      <c r="D1220" t="s">
        <v>197</v>
      </c>
      <c r="E1220" t="s">
        <v>197</v>
      </c>
      <c r="F1220" t="s">
        <v>197</v>
      </c>
      <c r="G1220" t="s">
        <v>197</v>
      </c>
      <c r="H1220" t="s">
        <v>197</v>
      </c>
      <c r="I1220" t="s">
        <v>1119</v>
      </c>
      <c r="J1220" t="s">
        <v>199</v>
      </c>
      <c r="K1220" t="s">
        <v>200</v>
      </c>
    </row>
    <row r="1221" spans="1:24">
      <c r="B1221" t="s">
        <v>197</v>
      </c>
      <c r="C1221" t="s">
        <v>197</v>
      </c>
      <c r="D1221" t="s">
        <v>197</v>
      </c>
      <c r="E1221" t="s">
        <v>197</v>
      </c>
      <c r="F1221" t="s">
        <v>197</v>
      </c>
      <c r="G1221" t="s">
        <v>197</v>
      </c>
      <c r="H1221" t="s">
        <v>197</v>
      </c>
      <c r="I1221" t="s">
        <v>197</v>
      </c>
      <c r="J1221" t="s">
        <v>197</v>
      </c>
      <c r="K1221" t="s">
        <v>549</v>
      </c>
    </row>
    <row r="1222" spans="1:24">
      <c r="B1222" t="s">
        <v>197</v>
      </c>
      <c r="C1222" t="s">
        <v>197</v>
      </c>
      <c r="D1222" t="s">
        <v>197</v>
      </c>
      <c r="E1222" t="s">
        <v>197</v>
      </c>
      <c r="F1222" t="s">
        <v>197</v>
      </c>
      <c r="G1222" t="s">
        <v>197</v>
      </c>
      <c r="H1222" t="s">
        <v>197</v>
      </c>
      <c r="I1222" t="s">
        <v>197</v>
      </c>
      <c r="J1222" t="s">
        <v>197</v>
      </c>
      <c r="K1222" t="s">
        <v>550</v>
      </c>
    </row>
    <row r="1223" spans="1:24">
      <c r="B1223" t="s">
        <v>197</v>
      </c>
      <c r="C1223" t="s">
        <v>197</v>
      </c>
      <c r="D1223" t="s">
        <v>197</v>
      </c>
      <c r="E1223" t="s">
        <v>197</v>
      </c>
      <c r="F1223" t="s">
        <v>197</v>
      </c>
      <c r="G1223" t="s">
        <v>197</v>
      </c>
      <c r="H1223" t="s">
        <v>197</v>
      </c>
      <c r="I1223" t="s">
        <v>197</v>
      </c>
      <c r="J1223" t="s">
        <v>197</v>
      </c>
      <c r="K1223" t="s">
        <v>551</v>
      </c>
    </row>
    <row r="1224" spans="1:24">
      <c r="B1224" t="s">
        <v>197</v>
      </c>
      <c r="C1224" t="s">
        <v>197</v>
      </c>
      <c r="D1224" t="s">
        <v>197</v>
      </c>
      <c r="E1224" t="s">
        <v>197</v>
      </c>
      <c r="F1224" t="s">
        <v>197</v>
      </c>
      <c r="G1224" t="s">
        <v>197</v>
      </c>
      <c r="H1224" t="s">
        <v>197</v>
      </c>
      <c r="I1224" t="s">
        <v>197</v>
      </c>
      <c r="J1224" t="s">
        <v>197</v>
      </c>
      <c r="K1224" t="s">
        <v>552</v>
      </c>
    </row>
    <row r="1225" spans="1:24">
      <c r="B1225" t="s">
        <v>197</v>
      </c>
      <c r="C1225" t="s">
        <v>197</v>
      </c>
      <c r="D1225" t="s">
        <v>197</v>
      </c>
      <c r="E1225" t="s">
        <v>197</v>
      </c>
      <c r="F1225" t="s">
        <v>197</v>
      </c>
      <c r="G1225" t="s">
        <v>197</v>
      </c>
      <c r="H1225" t="s">
        <v>197</v>
      </c>
      <c r="I1225" t="s">
        <v>197</v>
      </c>
      <c r="J1225" t="s">
        <v>197</v>
      </c>
      <c r="K1225" t="s">
        <v>553</v>
      </c>
    </row>
    <row r="1226" spans="1:24">
      <c r="B1226" t="s">
        <v>197</v>
      </c>
      <c r="C1226" t="s">
        <v>197</v>
      </c>
      <c r="D1226" t="s">
        <v>197</v>
      </c>
      <c r="E1226" t="s">
        <v>197</v>
      </c>
      <c r="F1226" t="s">
        <v>197</v>
      </c>
      <c r="G1226" t="s">
        <v>197</v>
      </c>
      <c r="H1226" t="s">
        <v>197</v>
      </c>
      <c r="I1226" t="s">
        <v>197</v>
      </c>
      <c r="J1226" t="s">
        <v>197</v>
      </c>
      <c r="K1226" t="s">
        <v>554</v>
      </c>
    </row>
    <row r="1227" spans="1:24">
      <c r="B1227" t="s">
        <v>197</v>
      </c>
      <c r="C1227" t="s">
        <v>197</v>
      </c>
      <c r="D1227" t="s">
        <v>197</v>
      </c>
      <c r="E1227" t="s">
        <v>197</v>
      </c>
      <c r="F1227" t="s">
        <v>197</v>
      </c>
      <c r="G1227" t="s">
        <v>197</v>
      </c>
      <c r="H1227" t="s">
        <v>197</v>
      </c>
      <c r="I1227" t="s">
        <v>197</v>
      </c>
      <c r="J1227" t="s">
        <v>197</v>
      </c>
      <c r="K1227" t="s">
        <v>555</v>
      </c>
    </row>
    <row r="1228" spans="1:24">
      <c r="B1228" t="s">
        <v>197</v>
      </c>
      <c r="C1228" t="s">
        <v>197</v>
      </c>
      <c r="D1228" t="s">
        <v>197</v>
      </c>
      <c r="E1228" t="s">
        <v>197</v>
      </c>
      <c r="F1228" t="s">
        <v>197</v>
      </c>
      <c r="G1228" t="s">
        <v>197</v>
      </c>
      <c r="H1228" t="s">
        <v>197</v>
      </c>
      <c r="I1228" t="s">
        <v>197</v>
      </c>
      <c r="J1228" t="s">
        <v>197</v>
      </c>
      <c r="K1228" t="s">
        <v>556</v>
      </c>
    </row>
    <row r="1229" spans="1:24">
      <c r="B1229" t="s">
        <v>197</v>
      </c>
      <c r="C1229" t="s">
        <v>197</v>
      </c>
      <c r="D1229" t="s">
        <v>197</v>
      </c>
      <c r="E1229" t="s">
        <v>197</v>
      </c>
      <c r="F1229" t="s">
        <v>197</v>
      </c>
      <c r="G1229" t="s">
        <v>197</v>
      </c>
      <c r="H1229" t="s">
        <v>197</v>
      </c>
      <c r="I1229" t="s">
        <v>197</v>
      </c>
      <c r="J1229" t="s">
        <v>197</v>
      </c>
      <c r="K1229" t="s">
        <v>557</v>
      </c>
    </row>
    <row r="1230" spans="1:24">
      <c r="B1230" t="s">
        <v>197</v>
      </c>
      <c r="C1230" t="s">
        <v>197</v>
      </c>
      <c r="D1230" t="s">
        <v>197</v>
      </c>
      <c r="E1230" t="s">
        <v>197</v>
      </c>
      <c r="F1230" t="s">
        <v>197</v>
      </c>
      <c r="G1230" t="s">
        <v>197</v>
      </c>
      <c r="H1230" t="s">
        <v>197</v>
      </c>
      <c r="I1230" t="s">
        <v>197</v>
      </c>
      <c r="J1230" t="s">
        <v>197</v>
      </c>
      <c r="K1230" t="s">
        <v>558</v>
      </c>
    </row>
    <row r="1231" spans="1:24">
      <c r="B1231" t="s">
        <v>197</v>
      </c>
      <c r="C1231" t="s">
        <v>197</v>
      </c>
      <c r="D1231" t="s">
        <v>197</v>
      </c>
      <c r="E1231" t="s">
        <v>197</v>
      </c>
      <c r="F1231" t="s">
        <v>197</v>
      </c>
      <c r="G1231" t="s">
        <v>197</v>
      </c>
      <c r="H1231" t="s">
        <v>197</v>
      </c>
      <c r="I1231" t="s">
        <v>197</v>
      </c>
      <c r="J1231" t="s">
        <v>197</v>
      </c>
      <c r="K1231" t="s">
        <v>559</v>
      </c>
    </row>
    <row r="1232" spans="1:24">
      <c r="B1232" t="s">
        <v>197</v>
      </c>
      <c r="C1232" t="s">
        <v>197</v>
      </c>
      <c r="D1232" t="s">
        <v>197</v>
      </c>
      <c r="E1232" t="s">
        <v>197</v>
      </c>
      <c r="F1232" t="s">
        <v>197</v>
      </c>
      <c r="G1232" t="s">
        <v>197</v>
      </c>
      <c r="H1232" t="s">
        <v>197</v>
      </c>
      <c r="I1232" t="s">
        <v>197</v>
      </c>
      <c r="J1232" t="s">
        <v>197</v>
      </c>
      <c r="K1232" t="s">
        <v>560</v>
      </c>
    </row>
    <row r="1233" spans="1:24">
      <c r="B1233" t="s">
        <v>197</v>
      </c>
      <c r="C1233" t="s">
        <v>197</v>
      </c>
      <c r="D1233" t="s">
        <v>197</v>
      </c>
      <c r="E1233" t="s">
        <v>197</v>
      </c>
      <c r="F1233" t="s">
        <v>197</v>
      </c>
      <c r="G1233" t="s">
        <v>197</v>
      </c>
      <c r="H1233" t="s">
        <v>197</v>
      </c>
      <c r="I1233" t="s">
        <v>197</v>
      </c>
      <c r="J1233" t="s">
        <v>197</v>
      </c>
      <c r="K1233" t="s">
        <v>561</v>
      </c>
    </row>
    <row r="1234" spans="1:24">
      <c r="B1234" t="s">
        <v>197</v>
      </c>
      <c r="C1234" t="s">
        <v>197</v>
      </c>
      <c r="D1234" t="s">
        <v>197</v>
      </c>
      <c r="E1234" t="s">
        <v>197</v>
      </c>
      <c r="F1234" t="s">
        <v>197</v>
      </c>
      <c r="G1234" t="s">
        <v>197</v>
      </c>
      <c r="H1234" t="s">
        <v>197</v>
      </c>
      <c r="I1234" t="s">
        <v>197</v>
      </c>
      <c r="J1234" t="s">
        <v>197</v>
      </c>
      <c r="K1234" t="s">
        <v>562</v>
      </c>
    </row>
    <row r="1235" spans="1:24">
      <c r="B1235" t="s">
        <v>197</v>
      </c>
      <c r="C1235" t="s">
        <v>197</v>
      </c>
      <c r="D1235" t="s">
        <v>197</v>
      </c>
      <c r="E1235" t="s">
        <v>197</v>
      </c>
      <c r="F1235" t="s">
        <v>197</v>
      </c>
      <c r="G1235" t="s">
        <v>197</v>
      </c>
      <c r="H1235" t="s">
        <v>197</v>
      </c>
      <c r="I1235" t="s">
        <v>197</v>
      </c>
      <c r="J1235" t="s">
        <v>197</v>
      </c>
      <c r="K1235" t="s">
        <v>563</v>
      </c>
    </row>
    <row r="1236" spans="1:24">
      <c r="B1236" t="s">
        <v>197</v>
      </c>
      <c r="C1236" t="s">
        <v>197</v>
      </c>
      <c r="D1236" t="s">
        <v>197</v>
      </c>
      <c r="E1236" t="s">
        <v>197</v>
      </c>
      <c r="F1236" t="s">
        <v>197</v>
      </c>
      <c r="G1236" t="s">
        <v>197</v>
      </c>
      <c r="H1236" t="s">
        <v>197</v>
      </c>
      <c r="I1236" t="s">
        <v>197</v>
      </c>
      <c r="J1236" t="s">
        <v>197</v>
      </c>
      <c r="K1236" t="s">
        <v>564</v>
      </c>
    </row>
    <row r="1237" spans="1:24">
      <c r="B1237" t="s">
        <v>197</v>
      </c>
      <c r="C1237" t="s">
        <v>197</v>
      </c>
      <c r="D1237" t="s">
        <v>197</v>
      </c>
      <c r="E1237" t="s">
        <v>197</v>
      </c>
      <c r="F1237" t="s">
        <v>197</v>
      </c>
      <c r="G1237" t="s">
        <v>197</v>
      </c>
      <c r="H1237" t="s">
        <v>197</v>
      </c>
      <c r="I1237" t="s">
        <v>197</v>
      </c>
      <c r="J1237" t="s">
        <v>197</v>
      </c>
      <c r="K1237" t="s">
        <v>565</v>
      </c>
    </row>
    <row r="1238" spans="1:24">
      <c r="B1238" t="s">
        <v>197</v>
      </c>
      <c r="C1238" t="s">
        <v>197</v>
      </c>
      <c r="D1238" t="s">
        <v>197</v>
      </c>
      <c r="E1238" t="s">
        <v>197</v>
      </c>
      <c r="F1238" t="s">
        <v>197</v>
      </c>
      <c r="G1238" t="s">
        <v>197</v>
      </c>
      <c r="H1238" t="s">
        <v>197</v>
      </c>
      <c r="I1238" t="s">
        <v>197</v>
      </c>
      <c r="J1238" t="s">
        <v>197</v>
      </c>
      <c r="K1238" t="s">
        <v>566</v>
      </c>
    </row>
    <row r="1239" spans="1:24">
      <c r="B1239" t="s">
        <v>197</v>
      </c>
      <c r="C1239" t="s">
        <v>197</v>
      </c>
      <c r="D1239" t="s">
        <v>197</v>
      </c>
      <c r="E1239" t="s">
        <v>197</v>
      </c>
      <c r="F1239" t="s">
        <v>197</v>
      </c>
      <c r="G1239" t="s">
        <v>197</v>
      </c>
      <c r="H1239" t="s">
        <v>197</v>
      </c>
      <c r="I1239" t="s">
        <v>197</v>
      </c>
      <c r="J1239" t="s">
        <v>197</v>
      </c>
      <c r="K1239" t="s">
        <v>567</v>
      </c>
    </row>
    <row r="1240" spans="1:24">
      <c r="A1240" t="s">
        <v>1129</v>
      </c>
      <c r="K1240" t="s">
        <v>1130</v>
      </c>
      <c r="W1240" s="1" t="str">
        <f>HYPERLINK("#2026042015hbase1!AR2","NO 源备存在差异，共4个")</f>
        <v>NO 源备存在差异，共4个</v>
      </c>
      <c r="X1240" t="str">
        <f>A1240</f>
        <v>info_geography_dml_single_pk_drp</v>
      </c>
    </row>
    <row r="1241" spans="1:24">
      <c r="B1241" t="s">
        <v>196</v>
      </c>
      <c r="C1241" t="s">
        <v>197</v>
      </c>
      <c r="D1241" t="s">
        <v>197</v>
      </c>
      <c r="E1241" t="s">
        <v>197</v>
      </c>
      <c r="F1241" t="s">
        <v>197</v>
      </c>
      <c r="G1241" t="s">
        <v>197</v>
      </c>
      <c r="H1241" t="s">
        <v>197</v>
      </c>
      <c r="I1241" t="s">
        <v>1131</v>
      </c>
      <c r="J1241" t="s">
        <v>199</v>
      </c>
      <c r="K1241" t="s">
        <v>200</v>
      </c>
    </row>
    <row r="1242" spans="1:24">
      <c r="B1242" t="s">
        <v>197</v>
      </c>
      <c r="C1242" t="s">
        <v>197</v>
      </c>
      <c r="D1242" t="s">
        <v>197</v>
      </c>
      <c r="E1242" t="s">
        <v>197</v>
      </c>
      <c r="F1242" t="s">
        <v>197</v>
      </c>
      <c r="G1242" t="s">
        <v>197</v>
      </c>
      <c r="H1242" t="s">
        <v>197</v>
      </c>
      <c r="I1242" t="s">
        <v>197</v>
      </c>
      <c r="J1242" t="s">
        <v>197</v>
      </c>
      <c r="K1242" t="s">
        <v>1052</v>
      </c>
    </row>
    <row r="1243" spans="1:24">
      <c r="A1243" t="s">
        <v>1123</v>
      </c>
      <c r="K1243" t="s">
        <v>1124</v>
      </c>
      <c r="W1243" t="s">
        <v>171</v>
      </c>
      <c r="X1243" t="str">
        <f>A1243</f>
        <v>info_datetime2_dml_single_pk</v>
      </c>
    </row>
    <row r="1244" spans="1:24">
      <c r="B1244" t="s">
        <v>196</v>
      </c>
      <c r="C1244" t="s">
        <v>197</v>
      </c>
      <c r="D1244" t="s">
        <v>197</v>
      </c>
      <c r="E1244" t="s">
        <v>197</v>
      </c>
      <c r="F1244" t="s">
        <v>197</v>
      </c>
      <c r="G1244" t="s">
        <v>197</v>
      </c>
      <c r="H1244" t="s">
        <v>197</v>
      </c>
      <c r="I1244" t="s">
        <v>1125</v>
      </c>
      <c r="J1244" t="s">
        <v>199</v>
      </c>
      <c r="K1244" t="s">
        <v>200</v>
      </c>
    </row>
    <row r="1245" spans="1:24">
      <c r="B1245" t="s">
        <v>197</v>
      </c>
      <c r="C1245" t="s">
        <v>197</v>
      </c>
      <c r="D1245" t="s">
        <v>197</v>
      </c>
      <c r="E1245" t="s">
        <v>197</v>
      </c>
      <c r="F1245" t="s">
        <v>197</v>
      </c>
      <c r="G1245" t="s">
        <v>197</v>
      </c>
      <c r="H1245" t="s">
        <v>197</v>
      </c>
      <c r="I1245" t="s">
        <v>197</v>
      </c>
      <c r="J1245" t="s">
        <v>197</v>
      </c>
      <c r="K1245" t="s">
        <v>667</v>
      </c>
    </row>
    <row r="1246" spans="1:24">
      <c r="B1246" t="s">
        <v>197</v>
      </c>
      <c r="C1246" t="s">
        <v>197</v>
      </c>
      <c r="D1246" t="s">
        <v>197</v>
      </c>
      <c r="E1246" t="s">
        <v>197</v>
      </c>
      <c r="F1246" t="s">
        <v>197</v>
      </c>
      <c r="G1246" t="s">
        <v>197</v>
      </c>
      <c r="H1246" t="s">
        <v>197</v>
      </c>
      <c r="I1246" t="s">
        <v>197</v>
      </c>
      <c r="J1246" t="s">
        <v>197</v>
      </c>
      <c r="K1246" t="s">
        <v>668</v>
      </c>
    </row>
    <row r="1247" spans="1:24">
      <c r="B1247" t="s">
        <v>197</v>
      </c>
      <c r="C1247" t="s">
        <v>197</v>
      </c>
      <c r="D1247" t="s">
        <v>197</v>
      </c>
      <c r="E1247" t="s">
        <v>197</v>
      </c>
      <c r="F1247" t="s">
        <v>197</v>
      </c>
      <c r="G1247" t="s">
        <v>197</v>
      </c>
      <c r="H1247" t="s">
        <v>197</v>
      </c>
      <c r="I1247" t="s">
        <v>197</v>
      </c>
      <c r="J1247" t="s">
        <v>197</v>
      </c>
      <c r="K1247" t="s">
        <v>669</v>
      </c>
    </row>
    <row r="1248" spans="1:24">
      <c r="B1248" t="s">
        <v>197</v>
      </c>
      <c r="C1248" t="s">
        <v>197</v>
      </c>
      <c r="D1248" t="s">
        <v>197</v>
      </c>
      <c r="E1248" t="s">
        <v>197</v>
      </c>
      <c r="F1248" t="s">
        <v>197</v>
      </c>
      <c r="G1248" t="s">
        <v>197</v>
      </c>
      <c r="H1248" t="s">
        <v>197</v>
      </c>
      <c r="I1248" t="s">
        <v>197</v>
      </c>
      <c r="J1248" t="s">
        <v>197</v>
      </c>
      <c r="K1248" t="s">
        <v>670</v>
      </c>
    </row>
    <row r="1249" spans="1:24">
      <c r="B1249" t="s">
        <v>197</v>
      </c>
      <c r="C1249" t="s">
        <v>197</v>
      </c>
      <c r="D1249" t="s">
        <v>197</v>
      </c>
      <c r="E1249" t="s">
        <v>197</v>
      </c>
      <c r="F1249" t="s">
        <v>197</v>
      </c>
      <c r="G1249" t="s">
        <v>197</v>
      </c>
      <c r="H1249" t="s">
        <v>197</v>
      </c>
      <c r="I1249" t="s">
        <v>197</v>
      </c>
      <c r="J1249" t="s">
        <v>197</v>
      </c>
      <c r="K1249" t="s">
        <v>671</v>
      </c>
    </row>
    <row r="1250" spans="1:24">
      <c r="B1250" t="s">
        <v>197</v>
      </c>
      <c r="C1250" t="s">
        <v>197</v>
      </c>
      <c r="D1250" t="s">
        <v>197</v>
      </c>
      <c r="E1250" t="s">
        <v>197</v>
      </c>
      <c r="F1250" t="s">
        <v>197</v>
      </c>
      <c r="G1250" t="s">
        <v>197</v>
      </c>
      <c r="H1250" t="s">
        <v>197</v>
      </c>
      <c r="I1250" t="s">
        <v>197</v>
      </c>
      <c r="J1250" t="s">
        <v>197</v>
      </c>
      <c r="K1250" t="s">
        <v>672</v>
      </c>
    </row>
    <row r="1251" spans="1:24">
      <c r="B1251" t="s">
        <v>197</v>
      </c>
      <c r="C1251" t="s">
        <v>197</v>
      </c>
      <c r="D1251" t="s">
        <v>197</v>
      </c>
      <c r="E1251" t="s">
        <v>197</v>
      </c>
      <c r="F1251" t="s">
        <v>197</v>
      </c>
      <c r="G1251" t="s">
        <v>197</v>
      </c>
      <c r="H1251" t="s">
        <v>197</v>
      </c>
      <c r="I1251" t="s">
        <v>197</v>
      </c>
      <c r="J1251" t="s">
        <v>197</v>
      </c>
      <c r="K1251" t="s">
        <v>673</v>
      </c>
    </row>
    <row r="1252" spans="1:24">
      <c r="B1252" t="s">
        <v>197</v>
      </c>
      <c r="C1252" t="s">
        <v>197</v>
      </c>
      <c r="D1252" t="s">
        <v>197</v>
      </c>
      <c r="E1252" t="s">
        <v>197</v>
      </c>
      <c r="F1252" t="s">
        <v>197</v>
      </c>
      <c r="G1252" t="s">
        <v>197</v>
      </c>
      <c r="H1252" t="s">
        <v>197</v>
      </c>
      <c r="I1252" t="s">
        <v>197</v>
      </c>
      <c r="J1252" t="s">
        <v>197</v>
      </c>
      <c r="K1252" t="s">
        <v>674</v>
      </c>
    </row>
    <row r="1253" spans="1:24">
      <c r="A1253" t="s">
        <v>1126</v>
      </c>
      <c r="K1253" t="s">
        <v>1127</v>
      </c>
      <c r="W1253" t="s">
        <v>171</v>
      </c>
      <c r="X1253" t="str">
        <f>A1253</f>
        <v>info_varchar_dml_single_pk_drp</v>
      </c>
    </row>
    <row r="1254" spans="1:24">
      <c r="B1254" t="s">
        <v>196</v>
      </c>
      <c r="C1254" t="s">
        <v>197</v>
      </c>
      <c r="D1254" t="s">
        <v>197</v>
      </c>
      <c r="E1254" t="s">
        <v>197</v>
      </c>
      <c r="F1254" t="s">
        <v>197</v>
      </c>
      <c r="G1254" t="s">
        <v>197</v>
      </c>
      <c r="H1254" t="s">
        <v>197</v>
      </c>
      <c r="I1254" t="s">
        <v>1128</v>
      </c>
      <c r="J1254" t="s">
        <v>199</v>
      </c>
      <c r="K1254" t="s">
        <v>200</v>
      </c>
    </row>
    <row r="1255" spans="1:24">
      <c r="B1255" t="s">
        <v>197</v>
      </c>
      <c r="C1255" t="s">
        <v>197</v>
      </c>
      <c r="D1255" t="s">
        <v>197</v>
      </c>
      <c r="E1255" t="s">
        <v>197</v>
      </c>
      <c r="F1255" t="s">
        <v>197</v>
      </c>
      <c r="G1255" t="s">
        <v>197</v>
      </c>
      <c r="H1255" t="s">
        <v>197</v>
      </c>
      <c r="I1255" t="s">
        <v>197</v>
      </c>
      <c r="J1255" t="s">
        <v>197</v>
      </c>
      <c r="K1255" t="s">
        <v>431</v>
      </c>
    </row>
    <row r="1256" spans="1:24">
      <c r="B1256" t="s">
        <v>197</v>
      </c>
      <c r="C1256" t="s">
        <v>197</v>
      </c>
      <c r="D1256" t="s">
        <v>197</v>
      </c>
      <c r="E1256" t="s">
        <v>197</v>
      </c>
      <c r="F1256" t="s">
        <v>197</v>
      </c>
      <c r="G1256" t="s">
        <v>197</v>
      </c>
      <c r="H1256" t="s">
        <v>197</v>
      </c>
      <c r="I1256" t="s">
        <v>197</v>
      </c>
      <c r="J1256" t="s">
        <v>197</v>
      </c>
      <c r="K1256" t="s">
        <v>1056</v>
      </c>
    </row>
    <row r="1257" spans="1:24">
      <c r="B1257" t="s">
        <v>197</v>
      </c>
      <c r="C1257" t="s">
        <v>197</v>
      </c>
      <c r="D1257" t="s">
        <v>197</v>
      </c>
      <c r="E1257" t="s">
        <v>197</v>
      </c>
      <c r="F1257" t="s">
        <v>197</v>
      </c>
      <c r="G1257" t="s">
        <v>197</v>
      </c>
      <c r="H1257" t="s">
        <v>197</v>
      </c>
      <c r="I1257" t="s">
        <v>197</v>
      </c>
      <c r="J1257" t="s">
        <v>197</v>
      </c>
      <c r="K1257" t="s">
        <v>963</v>
      </c>
    </row>
    <row r="1258" spans="1:24">
      <c r="A1258" t="s">
        <v>1132</v>
      </c>
      <c r="K1258" t="s">
        <v>1133</v>
      </c>
      <c r="W1258" t="s">
        <v>171</v>
      </c>
      <c r="X1258" t="str">
        <f>A1258</f>
        <v>info_time_dml_batch1_pk_drp2</v>
      </c>
    </row>
    <row r="1259" spans="1:24">
      <c r="B1259" t="s">
        <v>196</v>
      </c>
      <c r="C1259" t="s">
        <v>197</v>
      </c>
      <c r="D1259" t="s">
        <v>197</v>
      </c>
      <c r="E1259" t="s">
        <v>197</v>
      </c>
      <c r="F1259" t="s">
        <v>197</v>
      </c>
      <c r="G1259" t="s">
        <v>197</v>
      </c>
      <c r="H1259" t="s">
        <v>197</v>
      </c>
      <c r="I1259" t="s">
        <v>1134</v>
      </c>
      <c r="J1259" t="s">
        <v>199</v>
      </c>
      <c r="K1259" t="s">
        <v>200</v>
      </c>
    </row>
    <row r="1260" spans="1:24">
      <c r="B1260" t="s">
        <v>197</v>
      </c>
      <c r="C1260" t="s">
        <v>197</v>
      </c>
      <c r="D1260" t="s">
        <v>197</v>
      </c>
      <c r="E1260" t="s">
        <v>197</v>
      </c>
      <c r="F1260" t="s">
        <v>197</v>
      </c>
      <c r="G1260" t="s">
        <v>197</v>
      </c>
      <c r="H1260" t="s">
        <v>197</v>
      </c>
      <c r="I1260" t="s">
        <v>197</v>
      </c>
      <c r="J1260" t="s">
        <v>197</v>
      </c>
      <c r="K1260" t="s">
        <v>800</v>
      </c>
    </row>
    <row r="1261" spans="1:24">
      <c r="B1261" t="s">
        <v>197</v>
      </c>
      <c r="C1261" t="s">
        <v>197</v>
      </c>
      <c r="D1261" t="s">
        <v>197</v>
      </c>
      <c r="E1261" t="s">
        <v>197</v>
      </c>
      <c r="F1261" t="s">
        <v>197</v>
      </c>
      <c r="G1261" t="s">
        <v>197</v>
      </c>
      <c r="H1261" t="s">
        <v>197</v>
      </c>
      <c r="I1261" t="s">
        <v>197</v>
      </c>
      <c r="J1261" t="s">
        <v>197</v>
      </c>
      <c r="K1261" t="s">
        <v>801</v>
      </c>
    </row>
    <row r="1262" spans="1:24">
      <c r="B1262" t="s">
        <v>197</v>
      </c>
      <c r="C1262" t="s">
        <v>197</v>
      </c>
      <c r="D1262" t="s">
        <v>197</v>
      </c>
      <c r="E1262" t="s">
        <v>197</v>
      </c>
      <c r="F1262" t="s">
        <v>197</v>
      </c>
      <c r="G1262" t="s">
        <v>197</v>
      </c>
      <c r="H1262" t="s">
        <v>197</v>
      </c>
      <c r="I1262" t="s">
        <v>197</v>
      </c>
      <c r="J1262" t="s">
        <v>197</v>
      </c>
      <c r="K1262" t="s">
        <v>802</v>
      </c>
    </row>
    <row r="1263" spans="1:24">
      <c r="B1263" t="s">
        <v>197</v>
      </c>
      <c r="C1263" t="s">
        <v>197</v>
      </c>
      <c r="D1263" t="s">
        <v>197</v>
      </c>
      <c r="E1263" t="s">
        <v>197</v>
      </c>
      <c r="F1263" t="s">
        <v>197</v>
      </c>
      <c r="G1263" t="s">
        <v>197</v>
      </c>
      <c r="H1263" t="s">
        <v>197</v>
      </c>
      <c r="I1263" t="s">
        <v>197</v>
      </c>
      <c r="J1263" t="s">
        <v>197</v>
      </c>
      <c r="K1263" t="s">
        <v>803</v>
      </c>
    </row>
    <row r="1264" spans="1:24">
      <c r="B1264" t="s">
        <v>197</v>
      </c>
      <c r="C1264" t="s">
        <v>197</v>
      </c>
      <c r="D1264" t="s">
        <v>197</v>
      </c>
      <c r="E1264" t="s">
        <v>197</v>
      </c>
      <c r="F1264" t="s">
        <v>197</v>
      </c>
      <c r="G1264" t="s">
        <v>197</v>
      </c>
      <c r="H1264" t="s">
        <v>197</v>
      </c>
      <c r="I1264" t="s">
        <v>197</v>
      </c>
      <c r="J1264" t="s">
        <v>197</v>
      </c>
      <c r="K1264" t="s">
        <v>804</v>
      </c>
    </row>
    <row r="1265" spans="1:24">
      <c r="B1265" t="s">
        <v>197</v>
      </c>
      <c r="C1265" t="s">
        <v>197</v>
      </c>
      <c r="D1265" t="s">
        <v>197</v>
      </c>
      <c r="E1265" t="s">
        <v>197</v>
      </c>
      <c r="F1265" t="s">
        <v>197</v>
      </c>
      <c r="G1265" t="s">
        <v>197</v>
      </c>
      <c r="H1265" t="s">
        <v>197</v>
      </c>
      <c r="I1265" t="s">
        <v>197</v>
      </c>
      <c r="J1265" t="s">
        <v>197</v>
      </c>
      <c r="K1265" t="s">
        <v>805</v>
      </c>
    </row>
    <row r="1266" spans="1:24">
      <c r="B1266" t="s">
        <v>197</v>
      </c>
      <c r="C1266" t="s">
        <v>197</v>
      </c>
      <c r="D1266" t="s">
        <v>197</v>
      </c>
      <c r="E1266" t="s">
        <v>197</v>
      </c>
      <c r="F1266" t="s">
        <v>197</v>
      </c>
      <c r="G1266" t="s">
        <v>197</v>
      </c>
      <c r="H1266" t="s">
        <v>197</v>
      </c>
      <c r="I1266" t="s">
        <v>197</v>
      </c>
      <c r="J1266" t="s">
        <v>197</v>
      </c>
      <c r="K1266" t="s">
        <v>806</v>
      </c>
    </row>
    <row r="1267" spans="1:24">
      <c r="B1267" t="s">
        <v>197</v>
      </c>
      <c r="C1267" t="s">
        <v>197</v>
      </c>
      <c r="D1267" t="s">
        <v>197</v>
      </c>
      <c r="E1267" t="s">
        <v>197</v>
      </c>
      <c r="F1267" t="s">
        <v>197</v>
      </c>
      <c r="G1267" t="s">
        <v>197</v>
      </c>
      <c r="H1267" t="s">
        <v>197</v>
      </c>
      <c r="I1267" t="s">
        <v>197</v>
      </c>
      <c r="J1267" t="s">
        <v>197</v>
      </c>
      <c r="K1267" t="s">
        <v>807</v>
      </c>
    </row>
    <row r="1268" spans="1:24">
      <c r="A1268" t="s">
        <v>1138</v>
      </c>
      <c r="K1268" t="s">
        <v>1139</v>
      </c>
      <c r="W1268" t="s">
        <v>171</v>
      </c>
      <c r="X1268" t="str">
        <f>A1268</f>
        <v>info_geography_dml_single_pk</v>
      </c>
    </row>
    <row r="1269" spans="1:24">
      <c r="B1269" t="s">
        <v>196</v>
      </c>
      <c r="C1269" t="s">
        <v>197</v>
      </c>
      <c r="D1269" t="s">
        <v>197</v>
      </c>
      <c r="E1269" t="s">
        <v>197</v>
      </c>
      <c r="F1269" t="s">
        <v>197</v>
      </c>
      <c r="G1269" t="s">
        <v>197</v>
      </c>
      <c r="H1269" t="s">
        <v>197</v>
      </c>
      <c r="I1269" t="s">
        <v>1140</v>
      </c>
      <c r="J1269" t="s">
        <v>199</v>
      </c>
      <c r="K1269" t="s">
        <v>200</v>
      </c>
    </row>
    <row r="1270" spans="1:24">
      <c r="B1270" t="s">
        <v>197</v>
      </c>
      <c r="C1270" t="s">
        <v>197</v>
      </c>
      <c r="D1270" t="s">
        <v>197</v>
      </c>
      <c r="E1270" t="s">
        <v>197</v>
      </c>
      <c r="F1270" t="s">
        <v>197</v>
      </c>
      <c r="G1270" t="s">
        <v>197</v>
      </c>
      <c r="H1270" t="s">
        <v>197</v>
      </c>
      <c r="I1270" t="s">
        <v>197</v>
      </c>
      <c r="J1270" t="s">
        <v>197</v>
      </c>
      <c r="K1270" t="s">
        <v>1052</v>
      </c>
    </row>
    <row r="1271" spans="1:24">
      <c r="A1271" t="s">
        <v>1135</v>
      </c>
      <c r="K1271" t="s">
        <v>1136</v>
      </c>
      <c r="W1271" t="s">
        <v>171</v>
      </c>
      <c r="X1271" t="str">
        <f>A1271</f>
        <v>info_varchar_dml_batch1_pk_urp1</v>
      </c>
    </row>
    <row r="1272" spans="1:24">
      <c r="B1272" t="s">
        <v>196</v>
      </c>
      <c r="C1272" t="s">
        <v>197</v>
      </c>
      <c r="D1272" t="s">
        <v>197</v>
      </c>
      <c r="E1272" t="s">
        <v>197</v>
      </c>
      <c r="F1272" t="s">
        <v>197</v>
      </c>
      <c r="G1272" t="s">
        <v>197</v>
      </c>
      <c r="H1272" t="s">
        <v>197</v>
      </c>
      <c r="I1272" t="s">
        <v>1137</v>
      </c>
      <c r="J1272" t="s">
        <v>199</v>
      </c>
      <c r="K1272" t="s">
        <v>200</v>
      </c>
    </row>
    <row r="1273" spans="1:24">
      <c r="B1273" t="s">
        <v>197</v>
      </c>
      <c r="C1273" t="s">
        <v>197</v>
      </c>
      <c r="D1273" t="s">
        <v>197</v>
      </c>
      <c r="E1273" t="s">
        <v>197</v>
      </c>
      <c r="F1273" t="s">
        <v>197</v>
      </c>
      <c r="G1273" t="s">
        <v>197</v>
      </c>
      <c r="H1273" t="s">
        <v>197</v>
      </c>
      <c r="I1273" t="s">
        <v>197</v>
      </c>
      <c r="J1273" t="s">
        <v>197</v>
      </c>
      <c r="K1273" t="s">
        <v>431</v>
      </c>
    </row>
    <row r="1274" spans="1:24">
      <c r="B1274" t="s">
        <v>197</v>
      </c>
      <c r="C1274" t="s">
        <v>197</v>
      </c>
      <c r="D1274" t="s">
        <v>197</v>
      </c>
      <c r="E1274" t="s">
        <v>197</v>
      </c>
      <c r="F1274" t="s">
        <v>197</v>
      </c>
      <c r="G1274" t="s">
        <v>197</v>
      </c>
      <c r="H1274" t="s">
        <v>197</v>
      </c>
      <c r="I1274" t="s">
        <v>197</v>
      </c>
      <c r="J1274" t="s">
        <v>197</v>
      </c>
      <c r="K1274" t="s">
        <v>434</v>
      </c>
    </row>
    <row r="1275" spans="1:24">
      <c r="B1275" t="s">
        <v>197</v>
      </c>
      <c r="C1275" t="s">
        <v>197</v>
      </c>
      <c r="D1275" t="s">
        <v>197</v>
      </c>
      <c r="E1275" t="s">
        <v>197</v>
      </c>
      <c r="F1275" t="s">
        <v>197</v>
      </c>
      <c r="G1275" t="s">
        <v>197</v>
      </c>
      <c r="H1275" t="s">
        <v>197</v>
      </c>
      <c r="I1275" t="s">
        <v>197</v>
      </c>
      <c r="J1275" t="s">
        <v>197</v>
      </c>
      <c r="K1275" t="s">
        <v>439</v>
      </c>
    </row>
    <row r="1276" spans="1:24">
      <c r="A1276" t="s">
        <v>1141</v>
      </c>
      <c r="K1276" t="s">
        <v>1142</v>
      </c>
      <c r="W1276" t="s">
        <v>171</v>
      </c>
      <c r="X1276" t="str">
        <f>A1276</f>
        <v>info_nvarchar_dml_batch2_pk_irp2</v>
      </c>
    </row>
    <row r="1277" spans="1:24">
      <c r="B1277" t="s">
        <v>196</v>
      </c>
      <c r="C1277" t="s">
        <v>197</v>
      </c>
      <c r="D1277" t="s">
        <v>197</v>
      </c>
      <c r="E1277" t="s">
        <v>197</v>
      </c>
      <c r="F1277" t="s">
        <v>197</v>
      </c>
      <c r="G1277" t="s">
        <v>197</v>
      </c>
      <c r="H1277" t="s">
        <v>197</v>
      </c>
      <c r="I1277" t="s">
        <v>1143</v>
      </c>
      <c r="J1277" t="s">
        <v>199</v>
      </c>
      <c r="K1277" t="s">
        <v>200</v>
      </c>
    </row>
    <row r="1278" spans="1:24">
      <c r="B1278" t="s">
        <v>197</v>
      </c>
      <c r="C1278" t="s">
        <v>197</v>
      </c>
      <c r="D1278" t="s">
        <v>197</v>
      </c>
      <c r="E1278" t="s">
        <v>197</v>
      </c>
      <c r="F1278" t="s">
        <v>197</v>
      </c>
      <c r="G1278" t="s">
        <v>197</v>
      </c>
      <c r="H1278" t="s">
        <v>197</v>
      </c>
      <c r="I1278" t="s">
        <v>197</v>
      </c>
      <c r="J1278" t="s">
        <v>197</v>
      </c>
      <c r="K1278" t="s">
        <v>408</v>
      </c>
    </row>
    <row r="1279" spans="1:24">
      <c r="B1279" t="s">
        <v>197</v>
      </c>
      <c r="C1279" t="s">
        <v>197</v>
      </c>
      <c r="D1279" t="s">
        <v>197</v>
      </c>
      <c r="E1279" t="s">
        <v>197</v>
      </c>
      <c r="F1279" t="s">
        <v>197</v>
      </c>
      <c r="G1279" t="s">
        <v>197</v>
      </c>
      <c r="H1279" t="s">
        <v>197</v>
      </c>
      <c r="I1279" t="s">
        <v>197</v>
      </c>
      <c r="J1279" t="s">
        <v>197</v>
      </c>
      <c r="K1279" t="s">
        <v>412</v>
      </c>
    </row>
    <row r="1280" spans="1:24">
      <c r="B1280" t="s">
        <v>197</v>
      </c>
      <c r="C1280" t="s">
        <v>197</v>
      </c>
      <c r="D1280" t="s">
        <v>197</v>
      </c>
      <c r="E1280" t="s">
        <v>197</v>
      </c>
      <c r="F1280" t="s">
        <v>197</v>
      </c>
      <c r="G1280" t="s">
        <v>197</v>
      </c>
      <c r="H1280" t="s">
        <v>197</v>
      </c>
      <c r="I1280" t="s">
        <v>197</v>
      </c>
      <c r="J1280" t="s">
        <v>197</v>
      </c>
      <c r="K1280" t="s">
        <v>416</v>
      </c>
    </row>
    <row r="1281" spans="1:24">
      <c r="A1281" t="s">
        <v>1150</v>
      </c>
      <c r="K1281" t="s">
        <v>1151</v>
      </c>
      <c r="W1281" t="s">
        <v>171</v>
      </c>
      <c r="X1281" t="str">
        <f>A1281</f>
        <v>info_time_dml_batch1_pk</v>
      </c>
    </row>
    <row r="1282" spans="1:24">
      <c r="B1282" t="s">
        <v>196</v>
      </c>
      <c r="C1282" t="s">
        <v>197</v>
      </c>
      <c r="D1282" t="s">
        <v>197</v>
      </c>
      <c r="E1282" t="s">
        <v>197</v>
      </c>
      <c r="F1282" t="s">
        <v>197</v>
      </c>
      <c r="G1282" t="s">
        <v>197</v>
      </c>
      <c r="H1282" t="s">
        <v>197</v>
      </c>
      <c r="I1282" t="s">
        <v>1152</v>
      </c>
      <c r="J1282" t="s">
        <v>199</v>
      </c>
      <c r="K1282" t="s">
        <v>200</v>
      </c>
    </row>
    <row r="1283" spans="1:24">
      <c r="B1283" t="s">
        <v>197</v>
      </c>
      <c r="C1283" t="s">
        <v>197</v>
      </c>
      <c r="D1283" t="s">
        <v>197</v>
      </c>
      <c r="E1283" t="s">
        <v>197</v>
      </c>
      <c r="F1283" t="s">
        <v>197</v>
      </c>
      <c r="G1283" t="s">
        <v>197</v>
      </c>
      <c r="H1283" t="s">
        <v>197</v>
      </c>
      <c r="I1283" t="s">
        <v>197</v>
      </c>
      <c r="J1283" t="s">
        <v>197</v>
      </c>
      <c r="K1283" t="s">
        <v>800</v>
      </c>
    </row>
    <row r="1284" spans="1:24">
      <c r="B1284" t="s">
        <v>197</v>
      </c>
      <c r="C1284" t="s">
        <v>197</v>
      </c>
      <c r="D1284" t="s">
        <v>197</v>
      </c>
      <c r="E1284" t="s">
        <v>197</v>
      </c>
      <c r="F1284" t="s">
        <v>197</v>
      </c>
      <c r="G1284" t="s">
        <v>197</v>
      </c>
      <c r="H1284" t="s">
        <v>197</v>
      </c>
      <c r="I1284" t="s">
        <v>197</v>
      </c>
      <c r="J1284" t="s">
        <v>197</v>
      </c>
      <c r="K1284" t="s">
        <v>801</v>
      </c>
    </row>
    <row r="1285" spans="1:24">
      <c r="B1285" t="s">
        <v>197</v>
      </c>
      <c r="C1285" t="s">
        <v>197</v>
      </c>
      <c r="D1285" t="s">
        <v>197</v>
      </c>
      <c r="E1285" t="s">
        <v>197</v>
      </c>
      <c r="F1285" t="s">
        <v>197</v>
      </c>
      <c r="G1285" t="s">
        <v>197</v>
      </c>
      <c r="H1285" t="s">
        <v>197</v>
      </c>
      <c r="I1285" t="s">
        <v>197</v>
      </c>
      <c r="J1285" t="s">
        <v>197</v>
      </c>
      <c r="K1285" t="s">
        <v>802</v>
      </c>
    </row>
    <row r="1286" spans="1:24">
      <c r="B1286" t="s">
        <v>197</v>
      </c>
      <c r="C1286" t="s">
        <v>197</v>
      </c>
      <c r="D1286" t="s">
        <v>197</v>
      </c>
      <c r="E1286" t="s">
        <v>197</v>
      </c>
      <c r="F1286" t="s">
        <v>197</v>
      </c>
      <c r="G1286" t="s">
        <v>197</v>
      </c>
      <c r="H1286" t="s">
        <v>197</v>
      </c>
      <c r="I1286" t="s">
        <v>197</v>
      </c>
      <c r="J1286" t="s">
        <v>197</v>
      </c>
      <c r="K1286" t="s">
        <v>803</v>
      </c>
    </row>
    <row r="1287" spans="1:24">
      <c r="B1287" t="s">
        <v>197</v>
      </c>
      <c r="C1287" t="s">
        <v>197</v>
      </c>
      <c r="D1287" t="s">
        <v>197</v>
      </c>
      <c r="E1287" t="s">
        <v>197</v>
      </c>
      <c r="F1287" t="s">
        <v>197</v>
      </c>
      <c r="G1287" t="s">
        <v>197</v>
      </c>
      <c r="H1287" t="s">
        <v>197</v>
      </c>
      <c r="I1287" t="s">
        <v>197</v>
      </c>
      <c r="J1287" t="s">
        <v>197</v>
      </c>
      <c r="K1287" t="s">
        <v>804</v>
      </c>
    </row>
    <row r="1288" spans="1:24">
      <c r="B1288" t="s">
        <v>197</v>
      </c>
      <c r="C1288" t="s">
        <v>197</v>
      </c>
      <c r="D1288" t="s">
        <v>197</v>
      </c>
      <c r="E1288" t="s">
        <v>197</v>
      </c>
      <c r="F1288" t="s">
        <v>197</v>
      </c>
      <c r="G1288" t="s">
        <v>197</v>
      </c>
      <c r="H1288" t="s">
        <v>197</v>
      </c>
      <c r="I1288" t="s">
        <v>197</v>
      </c>
      <c r="J1288" t="s">
        <v>197</v>
      </c>
      <c r="K1288" t="s">
        <v>805</v>
      </c>
    </row>
    <row r="1289" spans="1:24">
      <c r="B1289" t="s">
        <v>197</v>
      </c>
      <c r="C1289" t="s">
        <v>197</v>
      </c>
      <c r="D1289" t="s">
        <v>197</v>
      </c>
      <c r="E1289" t="s">
        <v>197</v>
      </c>
      <c r="F1289" t="s">
        <v>197</v>
      </c>
      <c r="G1289" t="s">
        <v>197</v>
      </c>
      <c r="H1289" t="s">
        <v>197</v>
      </c>
      <c r="I1289" t="s">
        <v>197</v>
      </c>
      <c r="J1289" t="s">
        <v>197</v>
      </c>
      <c r="K1289" t="s">
        <v>806</v>
      </c>
    </row>
    <row r="1290" spans="1:24">
      <c r="B1290" t="s">
        <v>197</v>
      </c>
      <c r="C1290" t="s">
        <v>197</v>
      </c>
      <c r="D1290" t="s">
        <v>197</v>
      </c>
      <c r="E1290" t="s">
        <v>197</v>
      </c>
      <c r="F1290" t="s">
        <v>197</v>
      </c>
      <c r="G1290" t="s">
        <v>197</v>
      </c>
      <c r="H1290" t="s">
        <v>197</v>
      </c>
      <c r="I1290" t="s">
        <v>197</v>
      </c>
      <c r="J1290" t="s">
        <v>197</v>
      </c>
      <c r="K1290" t="s">
        <v>807</v>
      </c>
    </row>
    <row r="1291" spans="1:24">
      <c r="A1291" t="s">
        <v>697</v>
      </c>
      <c r="K1291" t="s">
        <v>698</v>
      </c>
      <c r="W1291" t="s">
        <v>171</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1153</v>
      </c>
      <c r="K1312" t="s">
        <v>1154</v>
      </c>
      <c r="W1312" t="s">
        <v>171</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1156</v>
      </c>
      <c r="K1315" t="s">
        <v>1157</v>
      </c>
      <c r="W1315" t="s">
        <v>171</v>
      </c>
      <c r="X1315" t="str">
        <f>A1315</f>
        <v>info_sdt_dml_batch1_pk_irp2</v>
      </c>
    </row>
    <row r="1316" spans="1:24">
      <c r="B1316" t="s">
        <v>196</v>
      </c>
      <c r="C1316" t="s">
        <v>197</v>
      </c>
      <c r="D1316" t="s">
        <v>197</v>
      </c>
      <c r="E1316" t="s">
        <v>197</v>
      </c>
      <c r="F1316" t="s">
        <v>197</v>
      </c>
      <c r="G1316" t="s">
        <v>197</v>
      </c>
      <c r="H1316" t="s">
        <v>197</v>
      </c>
      <c r="I1316" t="s">
        <v>1158</v>
      </c>
      <c r="J1316" t="s">
        <v>199</v>
      </c>
      <c r="K1316" t="s">
        <v>200</v>
      </c>
    </row>
    <row r="1317" spans="1:24">
      <c r="B1317" t="s">
        <v>197</v>
      </c>
      <c r="C1317" t="s">
        <v>197</v>
      </c>
      <c r="D1317" t="s">
        <v>197</v>
      </c>
      <c r="E1317" t="s">
        <v>197</v>
      </c>
      <c r="F1317" t="s">
        <v>197</v>
      </c>
      <c r="G1317" t="s">
        <v>197</v>
      </c>
      <c r="H1317" t="s">
        <v>197</v>
      </c>
      <c r="I1317" t="s">
        <v>197</v>
      </c>
      <c r="J1317" t="s">
        <v>197</v>
      </c>
      <c r="K1317" t="s">
        <v>422</v>
      </c>
    </row>
    <row r="1318" spans="1:24">
      <c r="A1318" t="s">
        <v>1159</v>
      </c>
      <c r="K1318" t="s">
        <v>1160</v>
      </c>
      <c r="W1318" t="s">
        <v>171</v>
      </c>
      <c r="X1318" t="str">
        <f>A1318</f>
        <v>info_datetimeoffset_dml_single_pk_irp</v>
      </c>
    </row>
    <row r="1319" spans="1:24">
      <c r="B1319" t="s">
        <v>196</v>
      </c>
      <c r="C1319" t="s">
        <v>197</v>
      </c>
      <c r="D1319" t="s">
        <v>197</v>
      </c>
      <c r="E1319" t="s">
        <v>197</v>
      </c>
      <c r="F1319" t="s">
        <v>197</v>
      </c>
      <c r="G1319" t="s">
        <v>197</v>
      </c>
      <c r="H1319" t="s">
        <v>197</v>
      </c>
      <c r="I1319" t="s">
        <v>1161</v>
      </c>
      <c r="J1319" t="s">
        <v>199</v>
      </c>
      <c r="K1319" t="s">
        <v>200</v>
      </c>
    </row>
    <row r="1320" spans="1:24">
      <c r="B1320" t="s">
        <v>197</v>
      </c>
      <c r="C1320" t="s">
        <v>197</v>
      </c>
      <c r="D1320" t="s">
        <v>197</v>
      </c>
      <c r="E1320" t="s">
        <v>197</v>
      </c>
      <c r="F1320" t="s">
        <v>197</v>
      </c>
      <c r="G1320" t="s">
        <v>197</v>
      </c>
      <c r="H1320" t="s">
        <v>197</v>
      </c>
      <c r="I1320" t="s">
        <v>197</v>
      </c>
      <c r="J1320" t="s">
        <v>197</v>
      </c>
      <c r="K1320" t="s">
        <v>301</v>
      </c>
    </row>
    <row r="1321" spans="1:24">
      <c r="B1321" t="s">
        <v>197</v>
      </c>
      <c r="C1321" t="s">
        <v>197</v>
      </c>
      <c r="D1321" t="s">
        <v>197</v>
      </c>
      <c r="E1321" t="s">
        <v>197</v>
      </c>
      <c r="F1321" t="s">
        <v>197</v>
      </c>
      <c r="G1321" t="s">
        <v>197</v>
      </c>
      <c r="H1321" t="s">
        <v>197</v>
      </c>
      <c r="I1321" t="s">
        <v>197</v>
      </c>
      <c r="J1321" t="s">
        <v>197</v>
      </c>
      <c r="K1321" t="s">
        <v>314</v>
      </c>
    </row>
    <row r="1322" spans="1:24">
      <c r="B1322" t="s">
        <v>197</v>
      </c>
      <c r="C1322" t="s">
        <v>197</v>
      </c>
      <c r="D1322" t="s">
        <v>197</v>
      </c>
      <c r="E1322" t="s">
        <v>197</v>
      </c>
      <c r="F1322" t="s">
        <v>197</v>
      </c>
      <c r="G1322" t="s">
        <v>197</v>
      </c>
      <c r="H1322" t="s">
        <v>197</v>
      </c>
      <c r="I1322" t="s">
        <v>197</v>
      </c>
      <c r="J1322" t="s">
        <v>197</v>
      </c>
      <c r="K1322" t="s">
        <v>324</v>
      </c>
    </row>
    <row r="1323" spans="1:24">
      <c r="B1323" t="s">
        <v>197</v>
      </c>
      <c r="C1323" t="s">
        <v>197</v>
      </c>
      <c r="D1323" t="s">
        <v>197</v>
      </c>
      <c r="E1323" t="s">
        <v>197</v>
      </c>
      <c r="F1323" t="s">
        <v>197</v>
      </c>
      <c r="G1323" t="s">
        <v>197</v>
      </c>
      <c r="H1323" t="s">
        <v>197</v>
      </c>
      <c r="I1323" t="s">
        <v>197</v>
      </c>
      <c r="J1323" t="s">
        <v>197</v>
      </c>
      <c r="K1323" t="s">
        <v>335</v>
      </c>
    </row>
    <row r="1324" spans="1:24">
      <c r="B1324" t="s">
        <v>197</v>
      </c>
      <c r="C1324" t="s">
        <v>197</v>
      </c>
      <c r="D1324" t="s">
        <v>197</v>
      </c>
      <c r="E1324" t="s">
        <v>197</v>
      </c>
      <c r="F1324" t="s">
        <v>197</v>
      </c>
      <c r="G1324" t="s">
        <v>197</v>
      </c>
      <c r="H1324" t="s">
        <v>197</v>
      </c>
      <c r="I1324" t="s">
        <v>197</v>
      </c>
      <c r="J1324" t="s">
        <v>197</v>
      </c>
      <c r="K1324" t="s">
        <v>350</v>
      </c>
    </row>
    <row r="1325" spans="1:24">
      <c r="B1325" t="s">
        <v>197</v>
      </c>
      <c r="C1325" t="s">
        <v>197</v>
      </c>
      <c r="D1325" t="s">
        <v>197</v>
      </c>
      <c r="E1325" t="s">
        <v>197</v>
      </c>
      <c r="F1325" t="s">
        <v>197</v>
      </c>
      <c r="G1325" t="s">
        <v>197</v>
      </c>
      <c r="H1325" t="s">
        <v>197</v>
      </c>
      <c r="I1325" t="s">
        <v>197</v>
      </c>
      <c r="J1325" t="s">
        <v>197</v>
      </c>
      <c r="K1325" t="s">
        <v>360</v>
      </c>
    </row>
    <row r="1326" spans="1:24">
      <c r="B1326" t="s">
        <v>197</v>
      </c>
      <c r="C1326" t="s">
        <v>197</v>
      </c>
      <c r="D1326" t="s">
        <v>197</v>
      </c>
      <c r="E1326" t="s">
        <v>197</v>
      </c>
      <c r="F1326" t="s">
        <v>197</v>
      </c>
      <c r="G1326" t="s">
        <v>197</v>
      </c>
      <c r="H1326" t="s">
        <v>197</v>
      </c>
      <c r="I1326" t="s">
        <v>197</v>
      </c>
      <c r="J1326" t="s">
        <v>197</v>
      </c>
      <c r="K1326" t="s">
        <v>367</v>
      </c>
    </row>
    <row r="1327" spans="1:24">
      <c r="B1327" t="s">
        <v>197</v>
      </c>
      <c r="C1327" t="s">
        <v>197</v>
      </c>
      <c r="D1327" t="s">
        <v>197</v>
      </c>
      <c r="E1327" t="s">
        <v>197</v>
      </c>
      <c r="F1327" t="s">
        <v>197</v>
      </c>
      <c r="G1327" t="s">
        <v>197</v>
      </c>
      <c r="H1327" t="s">
        <v>197</v>
      </c>
      <c r="I1327" t="s">
        <v>197</v>
      </c>
      <c r="J1327" t="s">
        <v>197</v>
      </c>
      <c r="K1327" t="s">
        <v>373</v>
      </c>
    </row>
    <row r="1328" spans="1:24">
      <c r="A1328" t="s">
        <v>1144</v>
      </c>
      <c r="K1328" t="s">
        <v>1145</v>
      </c>
      <c r="W1328" s="1" t="str">
        <f>HYPERLINK("#2026042015hbase1!AS2","NO 源备存在差异，共16个")</f>
        <v>NO 源备存在差异，共16个</v>
      </c>
      <c r="X1328" t="str">
        <f>A1328</f>
        <v>info_int_dml_batch2_pk_irp1</v>
      </c>
    </row>
    <row r="1329" spans="2:11">
      <c r="B1329" t="s">
        <v>196</v>
      </c>
      <c r="C1329" t="s">
        <v>197</v>
      </c>
      <c r="D1329" t="s">
        <v>197</v>
      </c>
      <c r="E1329" t="s">
        <v>197</v>
      </c>
      <c r="F1329" t="s">
        <v>197</v>
      </c>
      <c r="G1329" t="s">
        <v>197</v>
      </c>
      <c r="H1329" t="s">
        <v>197</v>
      </c>
      <c r="I1329" t="s">
        <v>1146</v>
      </c>
      <c r="J1329" t="s">
        <v>199</v>
      </c>
      <c r="K1329" t="s">
        <v>200</v>
      </c>
    </row>
    <row r="1330" spans="2:11">
      <c r="B1330" t="s">
        <v>197</v>
      </c>
      <c r="C1330" t="s">
        <v>197</v>
      </c>
      <c r="D1330" t="s">
        <v>197</v>
      </c>
      <c r="E1330" t="s">
        <v>197</v>
      </c>
      <c r="F1330" t="s">
        <v>197</v>
      </c>
      <c r="G1330" t="s">
        <v>197</v>
      </c>
      <c r="H1330" t="s">
        <v>197</v>
      </c>
      <c r="I1330" t="s">
        <v>197</v>
      </c>
      <c r="J1330" t="s">
        <v>197</v>
      </c>
      <c r="K1330" t="s">
        <v>549</v>
      </c>
    </row>
    <row r="1331" spans="2:11">
      <c r="B1331" t="s">
        <v>197</v>
      </c>
      <c r="C1331" t="s">
        <v>197</v>
      </c>
      <c r="D1331" t="s">
        <v>197</v>
      </c>
      <c r="E1331" t="s">
        <v>197</v>
      </c>
      <c r="F1331" t="s">
        <v>197</v>
      </c>
      <c r="G1331" t="s">
        <v>197</v>
      </c>
      <c r="H1331" t="s">
        <v>197</v>
      </c>
      <c r="I1331" t="s">
        <v>197</v>
      </c>
      <c r="J1331" t="s">
        <v>197</v>
      </c>
      <c r="K1331" t="s">
        <v>550</v>
      </c>
    </row>
    <row r="1332" spans="2:11">
      <c r="B1332" t="s">
        <v>197</v>
      </c>
      <c r="C1332" t="s">
        <v>197</v>
      </c>
      <c r="D1332" t="s">
        <v>197</v>
      </c>
      <c r="E1332" t="s">
        <v>197</v>
      </c>
      <c r="F1332" t="s">
        <v>197</v>
      </c>
      <c r="G1332" t="s">
        <v>197</v>
      </c>
      <c r="H1332" t="s">
        <v>197</v>
      </c>
      <c r="I1332" t="s">
        <v>197</v>
      </c>
      <c r="J1332" t="s">
        <v>197</v>
      </c>
      <c r="K1332" t="s">
        <v>551</v>
      </c>
    </row>
    <row r="1333" spans="2:11">
      <c r="B1333" t="s">
        <v>197</v>
      </c>
      <c r="C1333" t="s">
        <v>197</v>
      </c>
      <c r="D1333" t="s">
        <v>197</v>
      </c>
      <c r="E1333" t="s">
        <v>197</v>
      </c>
      <c r="F1333" t="s">
        <v>197</v>
      </c>
      <c r="G1333" t="s">
        <v>197</v>
      </c>
      <c r="H1333" t="s">
        <v>197</v>
      </c>
      <c r="I1333" t="s">
        <v>197</v>
      </c>
      <c r="J1333" t="s">
        <v>197</v>
      </c>
      <c r="K1333" t="s">
        <v>552</v>
      </c>
    </row>
    <row r="1334" spans="2:11">
      <c r="B1334" t="s">
        <v>197</v>
      </c>
      <c r="C1334" t="s">
        <v>197</v>
      </c>
      <c r="D1334" t="s">
        <v>197</v>
      </c>
      <c r="E1334" t="s">
        <v>197</v>
      </c>
      <c r="F1334" t="s">
        <v>197</v>
      </c>
      <c r="G1334" t="s">
        <v>197</v>
      </c>
      <c r="H1334" t="s">
        <v>197</v>
      </c>
      <c r="I1334" t="s">
        <v>197</v>
      </c>
      <c r="J1334" t="s">
        <v>197</v>
      </c>
      <c r="K1334" t="s">
        <v>553</v>
      </c>
    </row>
    <row r="1335" spans="2:11">
      <c r="B1335" t="s">
        <v>197</v>
      </c>
      <c r="C1335" t="s">
        <v>197</v>
      </c>
      <c r="D1335" t="s">
        <v>197</v>
      </c>
      <c r="E1335" t="s">
        <v>197</v>
      </c>
      <c r="F1335" t="s">
        <v>197</v>
      </c>
      <c r="G1335" t="s">
        <v>197</v>
      </c>
      <c r="H1335" t="s">
        <v>197</v>
      </c>
      <c r="I1335" t="s">
        <v>197</v>
      </c>
      <c r="J1335" t="s">
        <v>197</v>
      </c>
      <c r="K1335" t="s">
        <v>554</v>
      </c>
    </row>
    <row r="1336" spans="2:11">
      <c r="B1336" t="s">
        <v>197</v>
      </c>
      <c r="C1336" t="s">
        <v>197</v>
      </c>
      <c r="D1336" t="s">
        <v>197</v>
      </c>
      <c r="E1336" t="s">
        <v>197</v>
      </c>
      <c r="F1336" t="s">
        <v>197</v>
      </c>
      <c r="G1336" t="s">
        <v>197</v>
      </c>
      <c r="H1336" t="s">
        <v>197</v>
      </c>
      <c r="I1336" t="s">
        <v>197</v>
      </c>
      <c r="J1336" t="s">
        <v>197</v>
      </c>
      <c r="K1336" t="s">
        <v>555</v>
      </c>
    </row>
    <row r="1337" spans="2:11">
      <c r="B1337" t="s">
        <v>197</v>
      </c>
      <c r="C1337" t="s">
        <v>197</v>
      </c>
      <c r="D1337" t="s">
        <v>197</v>
      </c>
      <c r="E1337" t="s">
        <v>197</v>
      </c>
      <c r="F1337" t="s">
        <v>197</v>
      </c>
      <c r="G1337" t="s">
        <v>197</v>
      </c>
      <c r="H1337" t="s">
        <v>197</v>
      </c>
      <c r="I1337" t="s">
        <v>197</v>
      </c>
      <c r="J1337" t="s">
        <v>197</v>
      </c>
      <c r="K1337" t="s">
        <v>556</v>
      </c>
    </row>
    <row r="1338" spans="2:11">
      <c r="B1338" t="s">
        <v>197</v>
      </c>
      <c r="C1338" t="s">
        <v>197</v>
      </c>
      <c r="D1338" t="s">
        <v>197</v>
      </c>
      <c r="E1338" t="s">
        <v>197</v>
      </c>
      <c r="F1338" t="s">
        <v>197</v>
      </c>
      <c r="G1338" t="s">
        <v>197</v>
      </c>
      <c r="H1338" t="s">
        <v>197</v>
      </c>
      <c r="I1338" t="s">
        <v>197</v>
      </c>
      <c r="J1338" t="s">
        <v>197</v>
      </c>
      <c r="K1338" t="s">
        <v>557</v>
      </c>
    </row>
    <row r="1339" spans="2:11">
      <c r="B1339" t="s">
        <v>197</v>
      </c>
      <c r="C1339" t="s">
        <v>197</v>
      </c>
      <c r="D1339" t="s">
        <v>197</v>
      </c>
      <c r="E1339" t="s">
        <v>197</v>
      </c>
      <c r="F1339" t="s">
        <v>197</v>
      </c>
      <c r="G1339" t="s">
        <v>197</v>
      </c>
      <c r="H1339" t="s">
        <v>197</v>
      </c>
      <c r="I1339" t="s">
        <v>197</v>
      </c>
      <c r="J1339" t="s">
        <v>197</v>
      </c>
      <c r="K1339" t="s">
        <v>558</v>
      </c>
    </row>
    <row r="1340" spans="2:11">
      <c r="B1340" t="s">
        <v>197</v>
      </c>
      <c r="C1340" t="s">
        <v>197</v>
      </c>
      <c r="D1340" t="s">
        <v>197</v>
      </c>
      <c r="E1340" t="s">
        <v>197</v>
      </c>
      <c r="F1340" t="s">
        <v>197</v>
      </c>
      <c r="G1340" t="s">
        <v>197</v>
      </c>
      <c r="H1340" t="s">
        <v>197</v>
      </c>
      <c r="I1340" t="s">
        <v>197</v>
      </c>
      <c r="J1340" t="s">
        <v>197</v>
      </c>
      <c r="K1340" t="s">
        <v>559</v>
      </c>
    </row>
    <row r="1341" spans="2:11">
      <c r="B1341" t="s">
        <v>197</v>
      </c>
      <c r="C1341" t="s">
        <v>197</v>
      </c>
      <c r="D1341" t="s">
        <v>197</v>
      </c>
      <c r="E1341" t="s">
        <v>197</v>
      </c>
      <c r="F1341" t="s">
        <v>197</v>
      </c>
      <c r="G1341" t="s">
        <v>197</v>
      </c>
      <c r="H1341" t="s">
        <v>197</v>
      </c>
      <c r="I1341" t="s">
        <v>197</v>
      </c>
      <c r="J1341" t="s">
        <v>197</v>
      </c>
      <c r="K1341" t="s">
        <v>560</v>
      </c>
    </row>
    <row r="1342" spans="2:11">
      <c r="B1342" t="s">
        <v>197</v>
      </c>
      <c r="C1342" t="s">
        <v>197</v>
      </c>
      <c r="D1342" t="s">
        <v>197</v>
      </c>
      <c r="E1342" t="s">
        <v>197</v>
      </c>
      <c r="F1342" t="s">
        <v>197</v>
      </c>
      <c r="G1342" t="s">
        <v>197</v>
      </c>
      <c r="H1342" t="s">
        <v>197</v>
      </c>
      <c r="I1342" t="s">
        <v>197</v>
      </c>
      <c r="J1342" t="s">
        <v>197</v>
      </c>
      <c r="K1342" t="s">
        <v>561</v>
      </c>
    </row>
    <row r="1343" spans="2:11">
      <c r="B1343" t="s">
        <v>197</v>
      </c>
      <c r="C1343" t="s">
        <v>197</v>
      </c>
      <c r="D1343" t="s">
        <v>197</v>
      </c>
      <c r="E1343" t="s">
        <v>197</v>
      </c>
      <c r="F1343" t="s">
        <v>197</v>
      </c>
      <c r="G1343" t="s">
        <v>197</v>
      </c>
      <c r="H1343" t="s">
        <v>197</v>
      </c>
      <c r="I1343" t="s">
        <v>197</v>
      </c>
      <c r="J1343" t="s">
        <v>197</v>
      </c>
      <c r="K1343" t="s">
        <v>562</v>
      </c>
    </row>
    <row r="1344" spans="2:11">
      <c r="B1344" t="s">
        <v>197</v>
      </c>
      <c r="C1344" t="s">
        <v>197</v>
      </c>
      <c r="D1344" t="s">
        <v>197</v>
      </c>
      <c r="E1344" t="s">
        <v>197</v>
      </c>
      <c r="F1344" t="s">
        <v>197</v>
      </c>
      <c r="G1344" t="s">
        <v>197</v>
      </c>
      <c r="H1344" t="s">
        <v>197</v>
      </c>
      <c r="I1344" t="s">
        <v>197</v>
      </c>
      <c r="J1344" t="s">
        <v>197</v>
      </c>
      <c r="K1344" t="s">
        <v>563</v>
      </c>
    </row>
    <row r="1345" spans="1:24">
      <c r="B1345" t="s">
        <v>197</v>
      </c>
      <c r="C1345" t="s">
        <v>197</v>
      </c>
      <c r="D1345" t="s">
        <v>197</v>
      </c>
      <c r="E1345" t="s">
        <v>197</v>
      </c>
      <c r="F1345" t="s">
        <v>197</v>
      </c>
      <c r="G1345" t="s">
        <v>197</v>
      </c>
      <c r="H1345" t="s">
        <v>197</v>
      </c>
      <c r="I1345" t="s">
        <v>197</v>
      </c>
      <c r="J1345" t="s">
        <v>197</v>
      </c>
      <c r="K1345" t="s">
        <v>564</v>
      </c>
    </row>
    <row r="1346" spans="1:24">
      <c r="B1346" t="s">
        <v>197</v>
      </c>
      <c r="C1346" t="s">
        <v>197</v>
      </c>
      <c r="D1346" t="s">
        <v>197</v>
      </c>
      <c r="E1346" t="s">
        <v>197</v>
      </c>
      <c r="F1346" t="s">
        <v>197</v>
      </c>
      <c r="G1346" t="s">
        <v>197</v>
      </c>
      <c r="H1346" t="s">
        <v>197</v>
      </c>
      <c r="I1346" t="s">
        <v>197</v>
      </c>
      <c r="J1346" t="s">
        <v>197</v>
      </c>
      <c r="K1346" t="s">
        <v>565</v>
      </c>
    </row>
    <row r="1347" spans="1:24">
      <c r="B1347" t="s">
        <v>197</v>
      </c>
      <c r="C1347" t="s">
        <v>197</v>
      </c>
      <c r="D1347" t="s">
        <v>197</v>
      </c>
      <c r="E1347" t="s">
        <v>197</v>
      </c>
      <c r="F1347" t="s">
        <v>197</v>
      </c>
      <c r="G1347" t="s">
        <v>197</v>
      </c>
      <c r="H1347" t="s">
        <v>197</v>
      </c>
      <c r="I1347" t="s">
        <v>197</v>
      </c>
      <c r="J1347" t="s">
        <v>197</v>
      </c>
      <c r="K1347" t="s">
        <v>566</v>
      </c>
    </row>
    <row r="1348" spans="1:24">
      <c r="B1348" t="s">
        <v>197</v>
      </c>
      <c r="C1348" t="s">
        <v>197</v>
      </c>
      <c r="D1348" t="s">
        <v>197</v>
      </c>
      <c r="E1348" t="s">
        <v>197</v>
      </c>
      <c r="F1348" t="s">
        <v>197</v>
      </c>
      <c r="G1348" t="s">
        <v>197</v>
      </c>
      <c r="H1348" t="s">
        <v>197</v>
      </c>
      <c r="I1348" t="s">
        <v>197</v>
      </c>
      <c r="J1348" t="s">
        <v>197</v>
      </c>
      <c r="K1348" t="s">
        <v>567</v>
      </c>
    </row>
    <row r="1349" spans="1:24">
      <c r="A1349" t="s">
        <v>1147</v>
      </c>
      <c r="K1349" t="s">
        <v>1148</v>
      </c>
      <c r="W1349" t="s">
        <v>171</v>
      </c>
      <c r="X1349" t="str">
        <f>A1349</f>
        <v>info_varbinary_dml_batch2_pk_irp2</v>
      </c>
    </row>
    <row r="1350" spans="1:24">
      <c r="B1350" t="s">
        <v>196</v>
      </c>
      <c r="C1350" t="s">
        <v>197</v>
      </c>
      <c r="D1350" t="s">
        <v>197</v>
      </c>
      <c r="E1350" t="s">
        <v>197</v>
      </c>
      <c r="F1350" t="s">
        <v>197</v>
      </c>
      <c r="G1350" t="s">
        <v>197</v>
      </c>
      <c r="H1350" t="s">
        <v>197</v>
      </c>
      <c r="I1350" t="s">
        <v>1149</v>
      </c>
      <c r="J1350" t="s">
        <v>199</v>
      </c>
      <c r="K1350" t="s">
        <v>200</v>
      </c>
    </row>
    <row r="1351" spans="1:24">
      <c r="B1351" t="s">
        <v>197</v>
      </c>
      <c r="C1351" t="s">
        <v>197</v>
      </c>
      <c r="D1351" t="s">
        <v>197</v>
      </c>
      <c r="E1351" t="s">
        <v>197</v>
      </c>
      <c r="F1351" t="s">
        <v>197</v>
      </c>
      <c r="G1351" t="s">
        <v>197</v>
      </c>
      <c r="H1351" t="s">
        <v>197</v>
      </c>
      <c r="I1351" t="s">
        <v>197</v>
      </c>
      <c r="J1351" t="s">
        <v>197</v>
      </c>
      <c r="K1351" t="s">
        <v>495</v>
      </c>
    </row>
    <row r="1352" spans="1:24">
      <c r="B1352" t="s">
        <v>197</v>
      </c>
      <c r="C1352" t="s">
        <v>197</v>
      </c>
      <c r="D1352" t="s">
        <v>197</v>
      </c>
      <c r="E1352" t="s">
        <v>197</v>
      </c>
      <c r="F1352" t="s">
        <v>197</v>
      </c>
      <c r="G1352" t="s">
        <v>197</v>
      </c>
      <c r="H1352" t="s">
        <v>197</v>
      </c>
      <c r="I1352" t="s">
        <v>197</v>
      </c>
      <c r="J1352" t="s">
        <v>197</v>
      </c>
      <c r="K1352" t="s">
        <v>499</v>
      </c>
    </row>
    <row r="1353" spans="1:24">
      <c r="B1353" t="s">
        <v>197</v>
      </c>
      <c r="C1353" t="s">
        <v>197</v>
      </c>
      <c r="D1353" t="s">
        <v>197</v>
      </c>
      <c r="E1353" t="s">
        <v>197</v>
      </c>
      <c r="F1353" t="s">
        <v>197</v>
      </c>
      <c r="G1353" t="s">
        <v>197</v>
      </c>
      <c r="H1353" t="s">
        <v>197</v>
      </c>
      <c r="I1353" t="s">
        <v>197</v>
      </c>
      <c r="J1353" t="s">
        <v>197</v>
      </c>
      <c r="K1353" t="s">
        <v>503</v>
      </c>
    </row>
    <row r="1354" spans="1:24">
      <c r="A1354" t="s">
        <v>1168</v>
      </c>
      <c r="K1354" t="s">
        <v>1169</v>
      </c>
      <c r="W1354" t="s">
        <v>171</v>
      </c>
      <c r="X1354" t="str">
        <f>A1354</f>
        <v>info_varchar_dml_single_pk</v>
      </c>
    </row>
    <row r="1355" spans="1:24">
      <c r="B1355" t="s">
        <v>196</v>
      </c>
      <c r="C1355" t="s">
        <v>197</v>
      </c>
      <c r="D1355" t="s">
        <v>197</v>
      </c>
      <c r="E1355" t="s">
        <v>197</v>
      </c>
      <c r="F1355" t="s">
        <v>197</v>
      </c>
      <c r="G1355" t="s">
        <v>197</v>
      </c>
      <c r="H1355" t="s">
        <v>197</v>
      </c>
      <c r="I1355" t="s">
        <v>1170</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1056</v>
      </c>
    </row>
    <row r="1358" spans="1:24">
      <c r="B1358" t="s">
        <v>197</v>
      </c>
      <c r="C1358" t="s">
        <v>197</v>
      </c>
      <c r="D1358" t="s">
        <v>197</v>
      </c>
      <c r="E1358" t="s">
        <v>197</v>
      </c>
      <c r="F1358" t="s">
        <v>197</v>
      </c>
      <c r="G1358" t="s">
        <v>197</v>
      </c>
      <c r="H1358" t="s">
        <v>197</v>
      </c>
      <c r="I1358" t="s">
        <v>197</v>
      </c>
      <c r="J1358" t="s">
        <v>197</v>
      </c>
      <c r="K1358" t="s">
        <v>963</v>
      </c>
    </row>
    <row r="1359" spans="1:24">
      <c r="A1359" t="s">
        <v>1162</v>
      </c>
      <c r="K1359" t="s">
        <v>1163</v>
      </c>
      <c r="W1359" t="s">
        <v>171</v>
      </c>
      <c r="X1359" t="str">
        <f>A1359</f>
        <v>info_varchar_dml_batch1_pk_urp2</v>
      </c>
    </row>
    <row r="1360" spans="1:24">
      <c r="B1360" t="s">
        <v>196</v>
      </c>
      <c r="C1360" t="s">
        <v>197</v>
      </c>
      <c r="D1360" t="s">
        <v>197</v>
      </c>
      <c r="E1360" t="s">
        <v>197</v>
      </c>
      <c r="F1360" t="s">
        <v>197</v>
      </c>
      <c r="G1360" t="s">
        <v>197</v>
      </c>
      <c r="H1360" t="s">
        <v>197</v>
      </c>
      <c r="I1360" t="s">
        <v>1164</v>
      </c>
      <c r="J1360" t="s">
        <v>199</v>
      </c>
      <c r="K1360" t="s">
        <v>200</v>
      </c>
    </row>
    <row r="1361" spans="1:24">
      <c r="B1361" t="s">
        <v>197</v>
      </c>
      <c r="C1361" t="s">
        <v>197</v>
      </c>
      <c r="D1361" t="s">
        <v>197</v>
      </c>
      <c r="E1361" t="s">
        <v>197</v>
      </c>
      <c r="F1361" t="s">
        <v>197</v>
      </c>
      <c r="G1361" t="s">
        <v>197</v>
      </c>
      <c r="H1361" t="s">
        <v>197</v>
      </c>
      <c r="I1361" t="s">
        <v>197</v>
      </c>
      <c r="J1361" t="s">
        <v>197</v>
      </c>
      <c r="K1361" t="s">
        <v>431</v>
      </c>
    </row>
    <row r="1362" spans="1:24">
      <c r="B1362" t="s">
        <v>197</v>
      </c>
      <c r="C1362" t="s">
        <v>197</v>
      </c>
      <c r="D1362" t="s">
        <v>197</v>
      </c>
      <c r="E1362" t="s">
        <v>197</v>
      </c>
      <c r="F1362" t="s">
        <v>197</v>
      </c>
      <c r="G1362" t="s">
        <v>197</v>
      </c>
      <c r="H1362" t="s">
        <v>197</v>
      </c>
      <c r="I1362" t="s">
        <v>197</v>
      </c>
      <c r="J1362" t="s">
        <v>197</v>
      </c>
      <c r="K1362" t="s">
        <v>434</v>
      </c>
    </row>
    <row r="1363" spans="1:24">
      <c r="B1363" t="s">
        <v>197</v>
      </c>
      <c r="C1363" t="s">
        <v>197</v>
      </c>
      <c r="D1363" t="s">
        <v>197</v>
      </c>
      <c r="E1363" t="s">
        <v>197</v>
      </c>
      <c r="F1363" t="s">
        <v>197</v>
      </c>
      <c r="G1363" t="s">
        <v>197</v>
      </c>
      <c r="H1363" t="s">
        <v>197</v>
      </c>
      <c r="I1363" t="s">
        <v>197</v>
      </c>
      <c r="J1363" t="s">
        <v>197</v>
      </c>
      <c r="K1363" t="s">
        <v>439</v>
      </c>
    </row>
    <row r="1364" spans="1:24">
      <c r="A1364" t="s">
        <v>1171</v>
      </c>
      <c r="K1364" t="s">
        <v>1172</v>
      </c>
      <c r="W1364" t="s">
        <v>171</v>
      </c>
      <c r="X1364" t="str">
        <f>A1364</f>
        <v>info_sdt_dml_batch2_pk_irp1</v>
      </c>
    </row>
    <row r="1365" spans="1:24">
      <c r="B1365" t="s">
        <v>196</v>
      </c>
      <c r="C1365" t="s">
        <v>197</v>
      </c>
      <c r="D1365" t="s">
        <v>197</v>
      </c>
      <c r="E1365" t="s">
        <v>197</v>
      </c>
      <c r="F1365" t="s">
        <v>197</v>
      </c>
      <c r="G1365" t="s">
        <v>197</v>
      </c>
      <c r="H1365" t="s">
        <v>197</v>
      </c>
      <c r="I1365" t="s">
        <v>1173</v>
      </c>
      <c r="J1365" t="s">
        <v>199</v>
      </c>
      <c r="K1365" t="s">
        <v>200</v>
      </c>
    </row>
    <row r="1366" spans="1:24">
      <c r="B1366" t="s">
        <v>197</v>
      </c>
      <c r="C1366" t="s">
        <v>197</v>
      </c>
      <c r="D1366" t="s">
        <v>197</v>
      </c>
      <c r="E1366" t="s">
        <v>197</v>
      </c>
      <c r="F1366" t="s">
        <v>197</v>
      </c>
      <c r="G1366" t="s">
        <v>197</v>
      </c>
      <c r="H1366" t="s">
        <v>197</v>
      </c>
      <c r="I1366" t="s">
        <v>197</v>
      </c>
      <c r="J1366" t="s">
        <v>197</v>
      </c>
      <c r="K1366" t="s">
        <v>422</v>
      </c>
    </row>
    <row r="1367" spans="1:24">
      <c r="A1367" t="s">
        <v>1165</v>
      </c>
      <c r="K1367" t="s">
        <v>1166</v>
      </c>
      <c r="W1367" s="1" t="str">
        <f>HYPERLINK("#2026042015hbase1!AT2","NO 源备存在差异，共40个")</f>
        <v>NO 源备存在差异，共40个</v>
      </c>
      <c r="X1367" t="str">
        <f>A1367</f>
        <v>info_int_dml_batch2_pk_irp2</v>
      </c>
    </row>
    <row r="1368" spans="1:24">
      <c r="B1368" t="s">
        <v>196</v>
      </c>
      <c r="C1368" t="s">
        <v>197</v>
      </c>
      <c r="D1368" t="s">
        <v>197</v>
      </c>
      <c r="E1368" t="s">
        <v>197</v>
      </c>
      <c r="F1368" t="s">
        <v>197</v>
      </c>
      <c r="G1368" t="s">
        <v>197</v>
      </c>
      <c r="H1368" t="s">
        <v>197</v>
      </c>
      <c r="I1368" t="s">
        <v>1167</v>
      </c>
      <c r="J1368" t="s">
        <v>199</v>
      </c>
      <c r="K1368" t="s">
        <v>200</v>
      </c>
    </row>
    <row r="1369" spans="1:24">
      <c r="B1369" t="s">
        <v>197</v>
      </c>
      <c r="C1369" t="s">
        <v>197</v>
      </c>
      <c r="D1369" t="s">
        <v>197</v>
      </c>
      <c r="E1369" t="s">
        <v>197</v>
      </c>
      <c r="F1369" t="s">
        <v>197</v>
      </c>
      <c r="G1369" t="s">
        <v>197</v>
      </c>
      <c r="H1369" t="s">
        <v>197</v>
      </c>
      <c r="I1369" t="s">
        <v>197</v>
      </c>
      <c r="J1369" t="s">
        <v>197</v>
      </c>
      <c r="K1369" t="s">
        <v>549</v>
      </c>
    </row>
    <row r="1370" spans="1:24">
      <c r="B1370" t="s">
        <v>197</v>
      </c>
      <c r="C1370" t="s">
        <v>197</v>
      </c>
      <c r="D1370" t="s">
        <v>197</v>
      </c>
      <c r="E1370" t="s">
        <v>197</v>
      </c>
      <c r="F1370" t="s">
        <v>197</v>
      </c>
      <c r="G1370" t="s">
        <v>197</v>
      </c>
      <c r="H1370" t="s">
        <v>197</v>
      </c>
      <c r="I1370" t="s">
        <v>197</v>
      </c>
      <c r="J1370" t="s">
        <v>197</v>
      </c>
      <c r="K1370" t="s">
        <v>550</v>
      </c>
    </row>
    <row r="1371" spans="1:24">
      <c r="B1371" t="s">
        <v>197</v>
      </c>
      <c r="C1371" t="s">
        <v>197</v>
      </c>
      <c r="D1371" t="s">
        <v>197</v>
      </c>
      <c r="E1371" t="s">
        <v>197</v>
      </c>
      <c r="F1371" t="s">
        <v>197</v>
      </c>
      <c r="G1371" t="s">
        <v>197</v>
      </c>
      <c r="H1371" t="s">
        <v>197</v>
      </c>
      <c r="I1371" t="s">
        <v>197</v>
      </c>
      <c r="J1371" t="s">
        <v>197</v>
      </c>
      <c r="K1371" t="s">
        <v>551</v>
      </c>
    </row>
    <row r="1372" spans="1:24">
      <c r="B1372" t="s">
        <v>197</v>
      </c>
      <c r="C1372" t="s">
        <v>197</v>
      </c>
      <c r="D1372" t="s">
        <v>197</v>
      </c>
      <c r="E1372" t="s">
        <v>197</v>
      </c>
      <c r="F1372" t="s">
        <v>197</v>
      </c>
      <c r="G1372" t="s">
        <v>197</v>
      </c>
      <c r="H1372" t="s">
        <v>197</v>
      </c>
      <c r="I1372" t="s">
        <v>197</v>
      </c>
      <c r="J1372" t="s">
        <v>197</v>
      </c>
      <c r="K1372" t="s">
        <v>552</v>
      </c>
    </row>
    <row r="1373" spans="1:24">
      <c r="B1373" t="s">
        <v>197</v>
      </c>
      <c r="C1373" t="s">
        <v>197</v>
      </c>
      <c r="D1373" t="s">
        <v>197</v>
      </c>
      <c r="E1373" t="s">
        <v>197</v>
      </c>
      <c r="F1373" t="s">
        <v>197</v>
      </c>
      <c r="G1373" t="s">
        <v>197</v>
      </c>
      <c r="H1373" t="s">
        <v>197</v>
      </c>
      <c r="I1373" t="s">
        <v>197</v>
      </c>
      <c r="J1373" t="s">
        <v>197</v>
      </c>
      <c r="K1373" t="s">
        <v>553</v>
      </c>
    </row>
    <row r="1374" spans="1:24">
      <c r="B1374" t="s">
        <v>197</v>
      </c>
      <c r="C1374" t="s">
        <v>197</v>
      </c>
      <c r="D1374" t="s">
        <v>197</v>
      </c>
      <c r="E1374" t="s">
        <v>197</v>
      </c>
      <c r="F1374" t="s">
        <v>197</v>
      </c>
      <c r="G1374" t="s">
        <v>197</v>
      </c>
      <c r="H1374" t="s">
        <v>197</v>
      </c>
      <c r="I1374" t="s">
        <v>197</v>
      </c>
      <c r="J1374" t="s">
        <v>197</v>
      </c>
      <c r="K1374" t="s">
        <v>554</v>
      </c>
    </row>
    <row r="1375" spans="1:24">
      <c r="B1375" t="s">
        <v>197</v>
      </c>
      <c r="C1375" t="s">
        <v>197</v>
      </c>
      <c r="D1375" t="s">
        <v>197</v>
      </c>
      <c r="E1375" t="s">
        <v>197</v>
      </c>
      <c r="F1375" t="s">
        <v>197</v>
      </c>
      <c r="G1375" t="s">
        <v>197</v>
      </c>
      <c r="H1375" t="s">
        <v>197</v>
      </c>
      <c r="I1375" t="s">
        <v>197</v>
      </c>
      <c r="J1375" t="s">
        <v>197</v>
      </c>
      <c r="K1375" t="s">
        <v>555</v>
      </c>
    </row>
    <row r="1376" spans="1:24">
      <c r="B1376" t="s">
        <v>197</v>
      </c>
      <c r="C1376" t="s">
        <v>197</v>
      </c>
      <c r="D1376" t="s">
        <v>197</v>
      </c>
      <c r="E1376" t="s">
        <v>197</v>
      </c>
      <c r="F1376" t="s">
        <v>197</v>
      </c>
      <c r="G1376" t="s">
        <v>197</v>
      </c>
      <c r="H1376" t="s">
        <v>197</v>
      </c>
      <c r="I1376" t="s">
        <v>197</v>
      </c>
      <c r="J1376" t="s">
        <v>197</v>
      </c>
      <c r="K1376" t="s">
        <v>556</v>
      </c>
    </row>
    <row r="1377" spans="2:11">
      <c r="B1377" t="s">
        <v>197</v>
      </c>
      <c r="C1377" t="s">
        <v>197</v>
      </c>
      <c r="D1377" t="s">
        <v>197</v>
      </c>
      <c r="E1377" t="s">
        <v>197</v>
      </c>
      <c r="F1377" t="s">
        <v>197</v>
      </c>
      <c r="G1377" t="s">
        <v>197</v>
      </c>
      <c r="H1377" t="s">
        <v>197</v>
      </c>
      <c r="I1377" t="s">
        <v>197</v>
      </c>
      <c r="J1377" t="s">
        <v>197</v>
      </c>
      <c r="K1377" t="s">
        <v>557</v>
      </c>
    </row>
    <row r="1378" spans="2:11">
      <c r="B1378" t="s">
        <v>197</v>
      </c>
      <c r="C1378" t="s">
        <v>197</v>
      </c>
      <c r="D1378" t="s">
        <v>197</v>
      </c>
      <c r="E1378" t="s">
        <v>197</v>
      </c>
      <c r="F1378" t="s">
        <v>197</v>
      </c>
      <c r="G1378" t="s">
        <v>197</v>
      </c>
      <c r="H1378" t="s">
        <v>197</v>
      </c>
      <c r="I1378" t="s">
        <v>197</v>
      </c>
      <c r="J1378" t="s">
        <v>197</v>
      </c>
      <c r="K1378" t="s">
        <v>558</v>
      </c>
    </row>
    <row r="1379" spans="2:11">
      <c r="B1379" t="s">
        <v>197</v>
      </c>
      <c r="C1379" t="s">
        <v>197</v>
      </c>
      <c r="D1379" t="s">
        <v>197</v>
      </c>
      <c r="E1379" t="s">
        <v>197</v>
      </c>
      <c r="F1379" t="s">
        <v>197</v>
      </c>
      <c r="G1379" t="s">
        <v>197</v>
      </c>
      <c r="H1379" t="s">
        <v>197</v>
      </c>
      <c r="I1379" t="s">
        <v>197</v>
      </c>
      <c r="J1379" t="s">
        <v>197</v>
      </c>
      <c r="K1379" t="s">
        <v>559</v>
      </c>
    </row>
    <row r="1380" spans="2:11">
      <c r="B1380" t="s">
        <v>197</v>
      </c>
      <c r="C1380" t="s">
        <v>197</v>
      </c>
      <c r="D1380" t="s">
        <v>197</v>
      </c>
      <c r="E1380" t="s">
        <v>197</v>
      </c>
      <c r="F1380" t="s">
        <v>197</v>
      </c>
      <c r="G1380" t="s">
        <v>197</v>
      </c>
      <c r="H1380" t="s">
        <v>197</v>
      </c>
      <c r="I1380" t="s">
        <v>197</v>
      </c>
      <c r="J1380" t="s">
        <v>197</v>
      </c>
      <c r="K1380" t="s">
        <v>560</v>
      </c>
    </row>
    <row r="1381" spans="2:11">
      <c r="B1381" t="s">
        <v>197</v>
      </c>
      <c r="C1381" t="s">
        <v>197</v>
      </c>
      <c r="D1381" t="s">
        <v>197</v>
      </c>
      <c r="E1381" t="s">
        <v>197</v>
      </c>
      <c r="F1381" t="s">
        <v>197</v>
      </c>
      <c r="G1381" t="s">
        <v>197</v>
      </c>
      <c r="H1381" t="s">
        <v>197</v>
      </c>
      <c r="I1381" t="s">
        <v>197</v>
      </c>
      <c r="J1381" t="s">
        <v>197</v>
      </c>
      <c r="K1381" t="s">
        <v>561</v>
      </c>
    </row>
    <row r="1382" spans="2:11">
      <c r="B1382" t="s">
        <v>197</v>
      </c>
      <c r="C1382" t="s">
        <v>197</v>
      </c>
      <c r="D1382" t="s">
        <v>197</v>
      </c>
      <c r="E1382" t="s">
        <v>197</v>
      </c>
      <c r="F1382" t="s">
        <v>197</v>
      </c>
      <c r="G1382" t="s">
        <v>197</v>
      </c>
      <c r="H1382" t="s">
        <v>197</v>
      </c>
      <c r="I1382" t="s">
        <v>197</v>
      </c>
      <c r="J1382" t="s">
        <v>197</v>
      </c>
      <c r="K1382" t="s">
        <v>562</v>
      </c>
    </row>
    <row r="1383" spans="2:11">
      <c r="B1383" t="s">
        <v>197</v>
      </c>
      <c r="C1383" t="s">
        <v>197</v>
      </c>
      <c r="D1383" t="s">
        <v>197</v>
      </c>
      <c r="E1383" t="s">
        <v>197</v>
      </c>
      <c r="F1383" t="s">
        <v>197</v>
      </c>
      <c r="G1383" t="s">
        <v>197</v>
      </c>
      <c r="H1383" t="s">
        <v>197</v>
      </c>
      <c r="I1383" t="s">
        <v>197</v>
      </c>
      <c r="J1383" t="s">
        <v>197</v>
      </c>
      <c r="K1383" t="s">
        <v>563</v>
      </c>
    </row>
    <row r="1384" spans="2:11">
      <c r="B1384" t="s">
        <v>197</v>
      </c>
      <c r="C1384" t="s">
        <v>197</v>
      </c>
      <c r="D1384" t="s">
        <v>197</v>
      </c>
      <c r="E1384" t="s">
        <v>197</v>
      </c>
      <c r="F1384" t="s">
        <v>197</v>
      </c>
      <c r="G1384" t="s">
        <v>197</v>
      </c>
      <c r="H1384" t="s">
        <v>197</v>
      </c>
      <c r="I1384" t="s">
        <v>197</v>
      </c>
      <c r="J1384" t="s">
        <v>197</v>
      </c>
      <c r="K1384" t="s">
        <v>564</v>
      </c>
    </row>
    <row r="1385" spans="2:11">
      <c r="B1385" t="s">
        <v>197</v>
      </c>
      <c r="C1385" t="s">
        <v>197</v>
      </c>
      <c r="D1385" t="s">
        <v>197</v>
      </c>
      <c r="E1385" t="s">
        <v>197</v>
      </c>
      <c r="F1385" t="s">
        <v>197</v>
      </c>
      <c r="G1385" t="s">
        <v>197</v>
      </c>
      <c r="H1385" t="s">
        <v>197</v>
      </c>
      <c r="I1385" t="s">
        <v>197</v>
      </c>
      <c r="J1385" t="s">
        <v>197</v>
      </c>
      <c r="K1385" t="s">
        <v>565</v>
      </c>
    </row>
    <row r="1386" spans="2:11">
      <c r="B1386" t="s">
        <v>197</v>
      </c>
      <c r="C1386" t="s">
        <v>197</v>
      </c>
      <c r="D1386" t="s">
        <v>197</v>
      </c>
      <c r="E1386" t="s">
        <v>197</v>
      </c>
      <c r="F1386" t="s">
        <v>197</v>
      </c>
      <c r="G1386" t="s">
        <v>197</v>
      </c>
      <c r="H1386" t="s">
        <v>197</v>
      </c>
      <c r="I1386" t="s">
        <v>197</v>
      </c>
      <c r="J1386" t="s">
        <v>197</v>
      </c>
      <c r="K1386" t="s">
        <v>566</v>
      </c>
    </row>
    <row r="1387" spans="2:11">
      <c r="B1387" t="s">
        <v>197</v>
      </c>
      <c r="C1387" t="s">
        <v>197</v>
      </c>
      <c r="D1387" t="s">
        <v>197</v>
      </c>
      <c r="E1387" t="s">
        <v>197</v>
      </c>
      <c r="F1387" t="s">
        <v>197</v>
      </c>
      <c r="G1387" t="s">
        <v>197</v>
      </c>
      <c r="H1387" t="s">
        <v>197</v>
      </c>
      <c r="I1387" t="s">
        <v>197</v>
      </c>
      <c r="J1387" t="s">
        <v>197</v>
      </c>
      <c r="K1387" t="s">
        <v>567</v>
      </c>
    </row>
  </sheetData>
  <mergeCells count="201">
    <mergeCell ref="A3:A6"/>
    <mergeCell ref="A7:A16"/>
    <mergeCell ref="A17:A19"/>
    <mergeCell ref="A20:A22"/>
    <mergeCell ref="A23:A28"/>
    <mergeCell ref="A29:A33"/>
    <mergeCell ref="A34:A36"/>
    <mergeCell ref="A37:A39"/>
    <mergeCell ref="A40:A42"/>
    <mergeCell ref="A43:A46"/>
    <mergeCell ref="A47:A51"/>
    <mergeCell ref="A52:A61"/>
    <mergeCell ref="A62:A64"/>
    <mergeCell ref="A65:A68"/>
    <mergeCell ref="A69:A73"/>
    <mergeCell ref="A74:A78"/>
    <mergeCell ref="A79:A81"/>
    <mergeCell ref="A82:A84"/>
    <mergeCell ref="A85:A89"/>
    <mergeCell ref="A90:A110"/>
    <mergeCell ref="A111:A113"/>
    <mergeCell ref="A114:A118"/>
    <mergeCell ref="A119:A121"/>
    <mergeCell ref="A122:A124"/>
    <mergeCell ref="A125:A134"/>
    <mergeCell ref="A135:A138"/>
    <mergeCell ref="A139:A141"/>
    <mergeCell ref="A142:A147"/>
    <mergeCell ref="A148:A168"/>
    <mergeCell ref="A169:A173"/>
    <mergeCell ref="A174:A176"/>
    <mergeCell ref="A177:A179"/>
    <mergeCell ref="A180:A184"/>
    <mergeCell ref="A185:A187"/>
    <mergeCell ref="A188:A192"/>
    <mergeCell ref="A193:A214"/>
    <mergeCell ref="A215:A220"/>
    <mergeCell ref="A221:A223"/>
    <mergeCell ref="A224:A226"/>
    <mergeCell ref="A227:A231"/>
    <mergeCell ref="A232:A234"/>
    <mergeCell ref="A235:A239"/>
    <mergeCell ref="A240:A242"/>
    <mergeCell ref="A243:A246"/>
    <mergeCell ref="A247:A249"/>
    <mergeCell ref="A250:A255"/>
    <mergeCell ref="A256:A260"/>
    <mergeCell ref="A261:A263"/>
    <mergeCell ref="A264:A268"/>
    <mergeCell ref="A269:A271"/>
    <mergeCell ref="A272:A281"/>
    <mergeCell ref="A282:A291"/>
    <mergeCell ref="A292:A301"/>
    <mergeCell ref="A302:A322"/>
    <mergeCell ref="A323:A327"/>
    <mergeCell ref="A328:A337"/>
    <mergeCell ref="A338:A343"/>
    <mergeCell ref="A344:A346"/>
    <mergeCell ref="A347:A356"/>
    <mergeCell ref="A357:A362"/>
    <mergeCell ref="A363:A365"/>
    <mergeCell ref="A366:A375"/>
    <mergeCell ref="A376:A380"/>
    <mergeCell ref="A381:A385"/>
    <mergeCell ref="A386:A390"/>
    <mergeCell ref="A391:A395"/>
    <mergeCell ref="A396:A406"/>
    <mergeCell ref="A407:A411"/>
    <mergeCell ref="A412:A421"/>
    <mergeCell ref="A422:A426"/>
    <mergeCell ref="A427:A429"/>
    <mergeCell ref="A430:A434"/>
    <mergeCell ref="A435:A439"/>
    <mergeCell ref="A440:A442"/>
    <mergeCell ref="A443:A445"/>
    <mergeCell ref="A446:A455"/>
    <mergeCell ref="A456:A465"/>
    <mergeCell ref="A466:A470"/>
    <mergeCell ref="A471:A473"/>
    <mergeCell ref="A474:A477"/>
    <mergeCell ref="A478:A487"/>
    <mergeCell ref="A488:A492"/>
    <mergeCell ref="A493:A502"/>
    <mergeCell ref="A503:A507"/>
    <mergeCell ref="A508:A517"/>
    <mergeCell ref="A518:A522"/>
    <mergeCell ref="A523:A532"/>
    <mergeCell ref="A533:A537"/>
    <mergeCell ref="A538:A547"/>
    <mergeCell ref="A548:A557"/>
    <mergeCell ref="A558:A568"/>
    <mergeCell ref="A569:A573"/>
    <mergeCell ref="A574:A576"/>
    <mergeCell ref="A577:A579"/>
    <mergeCell ref="A580:A584"/>
    <mergeCell ref="A585:A594"/>
    <mergeCell ref="A595:A604"/>
    <mergeCell ref="A605:A609"/>
    <mergeCell ref="A610:A612"/>
    <mergeCell ref="A613:A618"/>
    <mergeCell ref="A619:A628"/>
    <mergeCell ref="A629:A633"/>
    <mergeCell ref="A634:A636"/>
    <mergeCell ref="A637:A641"/>
    <mergeCell ref="A642:A646"/>
    <mergeCell ref="A647:A656"/>
    <mergeCell ref="A657:A666"/>
    <mergeCell ref="A667:A669"/>
    <mergeCell ref="A670:A674"/>
    <mergeCell ref="A675:A695"/>
    <mergeCell ref="A696:A701"/>
    <mergeCell ref="A702:A704"/>
    <mergeCell ref="A705:A709"/>
    <mergeCell ref="A710:A712"/>
    <mergeCell ref="A713:A716"/>
    <mergeCell ref="A717:A721"/>
    <mergeCell ref="A722:A742"/>
    <mergeCell ref="A743:A745"/>
    <mergeCell ref="A746:A749"/>
    <mergeCell ref="A750:A754"/>
    <mergeCell ref="A755:A760"/>
    <mergeCell ref="A761:A765"/>
    <mergeCell ref="A766:A771"/>
    <mergeCell ref="A772:A774"/>
    <mergeCell ref="A775:A777"/>
    <mergeCell ref="A778:A782"/>
    <mergeCell ref="A783:A785"/>
    <mergeCell ref="A786:A806"/>
    <mergeCell ref="A807:A810"/>
    <mergeCell ref="A811:A831"/>
    <mergeCell ref="A832:A836"/>
    <mergeCell ref="A837:A841"/>
    <mergeCell ref="A842:A844"/>
    <mergeCell ref="A845:A849"/>
    <mergeCell ref="A850:A854"/>
    <mergeCell ref="A855:A858"/>
    <mergeCell ref="A859:A864"/>
    <mergeCell ref="A865:A867"/>
    <mergeCell ref="A868:A872"/>
    <mergeCell ref="A873:A876"/>
    <mergeCell ref="A877:A879"/>
    <mergeCell ref="A880:A884"/>
    <mergeCell ref="A885:A887"/>
    <mergeCell ref="A888:A890"/>
    <mergeCell ref="A891:A893"/>
    <mergeCell ref="A894:A903"/>
    <mergeCell ref="A904:A908"/>
    <mergeCell ref="A909:A913"/>
    <mergeCell ref="A914:A919"/>
    <mergeCell ref="A920:A929"/>
    <mergeCell ref="A930:A955"/>
    <mergeCell ref="A956:A958"/>
    <mergeCell ref="A959:A963"/>
    <mergeCell ref="A964:A968"/>
    <mergeCell ref="A969:A971"/>
    <mergeCell ref="A972:A976"/>
    <mergeCell ref="A977:A986"/>
    <mergeCell ref="A987:A991"/>
    <mergeCell ref="A992:A994"/>
    <mergeCell ref="A995:A999"/>
    <mergeCell ref="A1000:A1005"/>
    <mergeCell ref="A1006:A1010"/>
    <mergeCell ref="A1011:A1020"/>
    <mergeCell ref="A1021:A1025"/>
    <mergeCell ref="A1026:A1051"/>
    <mergeCell ref="A1052:A1057"/>
    <mergeCell ref="A1058:A1062"/>
    <mergeCell ref="A1063:A1083"/>
    <mergeCell ref="A1084:A1109"/>
    <mergeCell ref="A1110:A1112"/>
    <mergeCell ref="A1113:A1122"/>
    <mergeCell ref="A1123:A1125"/>
    <mergeCell ref="A1126:A1130"/>
    <mergeCell ref="A1131:A1140"/>
    <mergeCell ref="A1141:A1166"/>
    <mergeCell ref="A1167:A1176"/>
    <mergeCell ref="A1177:A1186"/>
    <mergeCell ref="A1187:A1189"/>
    <mergeCell ref="A1190:A1199"/>
    <mergeCell ref="A1200:A1204"/>
    <mergeCell ref="A1205:A1215"/>
    <mergeCell ref="A1216:A1218"/>
    <mergeCell ref="A1219:A1239"/>
    <mergeCell ref="A1240:A1242"/>
    <mergeCell ref="A1243:A1252"/>
    <mergeCell ref="A1253:A1257"/>
    <mergeCell ref="A1258:A1267"/>
    <mergeCell ref="A1268:A1270"/>
    <mergeCell ref="A1271:A1275"/>
    <mergeCell ref="A1276:A1280"/>
    <mergeCell ref="A1281:A1290"/>
    <mergeCell ref="A1291:A1311"/>
    <mergeCell ref="A1312:A1314"/>
    <mergeCell ref="A1315:A1317"/>
    <mergeCell ref="A1318:A1327"/>
    <mergeCell ref="A1328:A1348"/>
    <mergeCell ref="A1349:A1353"/>
    <mergeCell ref="A1354:A1358"/>
    <mergeCell ref="A1359:A1363"/>
    <mergeCell ref="A1364:A1366"/>
    <mergeCell ref="A1367:A138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V1387"/>
  <sheetViews>
    <sheetView workbookViewId="0">
      <selection activeCell="A1" sqref="A1"/>
    </sheetView>
  </sheetViews>
  <sheetFormatPr defaultColWidth="9" defaultRowHeight="13.5"/>
  <sheetData>
    <row r="1" spans="1:48">
      <c r="A1" t="s">
        <v>2291</v>
      </c>
      <c r="E1" t="s">
        <v>1196</v>
      </c>
    </row>
    <row r="2" spans="1:48">
      <c r="A2" t="s">
        <v>157</v>
      </c>
      <c r="B2" t="s">
        <v>158</v>
      </c>
      <c r="C2" t="s">
        <v>159</v>
      </c>
      <c r="D2" t="s">
        <v>160</v>
      </c>
      <c r="E2" t="s">
        <v>161</v>
      </c>
      <c r="F2" t="s">
        <v>162</v>
      </c>
      <c r="G2" t="s">
        <v>163</v>
      </c>
      <c r="H2" t="s">
        <v>164</v>
      </c>
      <c r="I2" t="s">
        <v>165</v>
      </c>
      <c r="J2" t="s">
        <v>166</v>
      </c>
      <c r="K2" t="s">
        <v>167</v>
      </c>
      <c r="W2" t="s">
        <v>168</v>
      </c>
      <c r="Y2" s="1" t="str">
        <f>HYPERLINK("#2026042016hbase0!W22","info_geometry_dml_single_pk_irp")</f>
        <v>info_geometry_dml_single_pk_irp</v>
      </c>
      <c r="Z2" s="1" t="str">
        <f>HYPERLINK("#2026042016hbase0!W71","info_geometry_dml_single_pk_urp")</f>
        <v>info_geometry_dml_single_pk_urp</v>
      </c>
      <c r="AA2" s="1" t="str">
        <f>HYPERLINK("#2026042016hbase0!W90","info_int_dml_batch1_pk_urp1")</f>
        <v>info_int_dml_batch1_pk_urp1</v>
      </c>
      <c r="AB2" s="1" t="str">
        <f>HYPERLINK("#2026042016hbase0!W111","info_xml_dml_single_pk_urp")</f>
        <v>info_xml_dml_single_pk_urp</v>
      </c>
      <c r="AC2" s="1" t="str">
        <f>HYPERLINK("#2026042016hbase0!W148","info_int_dml_batch1_pk_urp2")</f>
        <v>info_int_dml_batch1_pk_urp2</v>
      </c>
      <c r="AD2" s="1" t="str">
        <f>HYPERLINK("#2026042016hbase0!W224","info_geometry_dml_single_pk_drp")</f>
        <v>info_geometry_dml_single_pk_drp</v>
      </c>
      <c r="AE2" s="1" t="str">
        <f>HYPERLINK("#2026042016hbase0!W240","info_geometry_dml_single_pk")</f>
        <v>info_geometry_dml_single_pk</v>
      </c>
      <c r="AF2" s="1" t="str">
        <f>HYPERLINK("#2026042016hbase0!W307","info_int_dml_batch1_pk_drp2")</f>
        <v>info_int_dml_batch1_pk_drp2</v>
      </c>
      <c r="AG2" s="1" t="str">
        <f>HYPERLINK("#2026042016hbase0!W349","info_hierarchyid_dml_single_pk_irp")</f>
        <v>info_hierarchyid_dml_single_pk_irp</v>
      </c>
      <c r="AH2" s="1" t="str">
        <f>HYPERLINK("#2026042016hbase0!W667","info_int_dml_single_pk_irp")</f>
        <v>info_int_dml_single_pk_irp</v>
      </c>
      <c r="AI2" s="1" t="str">
        <f>HYPERLINK("#2026042016hbase0!W729","info_int_dml_single_pk_urp")</f>
        <v>info_int_dml_single_pk_urp</v>
      </c>
      <c r="AJ2" s="1" t="str">
        <f>HYPERLINK("#2026042016hbase0!W786","info_int_dml_single_pk_drp")</f>
        <v>info_int_dml_single_pk_drp</v>
      </c>
      <c r="AK2" s="1" t="str">
        <f>HYPERLINK("#2026042016hbase0!W938","info_sql_variant_dml_single_pk_irp")</f>
        <v>info_sql_variant_dml_single_pk_irp</v>
      </c>
      <c r="AL2" s="1" t="str">
        <f>HYPERLINK("#2026042016hbase0!W997","info_geography_dml_single_pk_irp")</f>
        <v>info_geography_dml_single_pk_irp</v>
      </c>
      <c r="AM2" s="1" t="str">
        <f>HYPERLINK("#2026042016hbase0!W1026","info_sql_variant_dml_single_pk_urp")</f>
        <v>info_sql_variant_dml_single_pk_urp</v>
      </c>
      <c r="AN2" s="1" t="str">
        <f>HYPERLINK("#2026042016hbase0!W1058","info_sql_variant_dml_single_pk_drp")</f>
        <v>info_sql_variant_dml_single_pk_drp</v>
      </c>
      <c r="AO2" s="1" t="str">
        <f>HYPERLINK("#2026042016hbase0!W1084","info_int_dml_batch1_pk_irp1")</f>
        <v>info_int_dml_batch1_pk_irp1</v>
      </c>
      <c r="AP2" s="1" t="str">
        <f>HYPERLINK("#2026042016hbase0!W1123","info_geography_dml_single_pk_urp")</f>
        <v>info_geography_dml_single_pk_urp</v>
      </c>
      <c r="AQ2" s="1" t="str">
        <f>HYPERLINK("#2026042016hbase0!W1151","info_sql_variant_dml_single_pk")</f>
        <v>info_sql_variant_dml_single_pk</v>
      </c>
      <c r="AR2" s="1" t="str">
        <f>HYPERLINK("#2026042016hbase0!W1216","info_int_dml_batch1_pk_irp2")</f>
        <v>info_int_dml_batch1_pk_irp2</v>
      </c>
      <c r="AS2" s="1" t="str">
        <f>HYPERLINK("#2026042016hbase0!W1250","info_geography_dml_single_pk_drp")</f>
        <v>info_geography_dml_single_pk_drp</v>
      </c>
      <c r="AT2" s="1" t="str">
        <f>HYPERLINK("#2026042016hbase0!W1291","info_int_dml_batch1_pk")</f>
        <v>info_int_dml_batch1_pk</v>
      </c>
      <c r="AU2" s="1" t="str">
        <f>HYPERLINK("#2026042016hbase0!W1315","info_int_dml_batch2_pk_irp1")</f>
        <v>info_int_dml_batch2_pk_irp1</v>
      </c>
      <c r="AV2" s="1" t="str">
        <f>HYPERLINK("#2026042016hbase0!W1359","info_int_dml_batch2_pk_irp2")</f>
        <v>info_int_dml_batch2_pk_irp2</v>
      </c>
    </row>
    <row r="3" spans="1:48">
      <c r="A3" t="s">
        <v>169</v>
      </c>
      <c r="K3" t="s">
        <v>170</v>
      </c>
      <c r="W3" t="s">
        <v>171</v>
      </c>
      <c r="X3" t="str">
        <f>A3</f>
        <v>info_text_dml_single_pk_irp</v>
      </c>
      <c r="Y3" t="s">
        <v>2292</v>
      </c>
      <c r="Z3" t="s">
        <v>2293</v>
      </c>
      <c r="AA3" t="s">
        <v>1197</v>
      </c>
      <c r="AB3" t="s">
        <v>174</v>
      </c>
      <c r="AC3" t="s">
        <v>2294</v>
      </c>
      <c r="AD3" t="s">
        <v>2295</v>
      </c>
      <c r="AE3" t="s">
        <v>2296</v>
      </c>
      <c r="AF3" t="s">
        <v>1199</v>
      </c>
      <c r="AG3" t="s">
        <v>177</v>
      </c>
      <c r="AH3" t="s">
        <v>1202</v>
      </c>
      <c r="AI3" t="s">
        <v>2297</v>
      </c>
      <c r="AJ3" t="s">
        <v>2297</v>
      </c>
      <c r="AK3" t="s">
        <v>2298</v>
      </c>
      <c r="AL3" t="s">
        <v>190</v>
      </c>
      <c r="AM3" t="s">
        <v>2299</v>
      </c>
      <c r="AN3" t="s">
        <v>2300</v>
      </c>
      <c r="AO3" t="s">
        <v>1199</v>
      </c>
      <c r="AP3" t="s">
        <v>193</v>
      </c>
      <c r="AQ3" t="s">
        <v>2301</v>
      </c>
      <c r="AR3" t="s">
        <v>1199</v>
      </c>
      <c r="AS3" t="s">
        <v>195</v>
      </c>
      <c r="AT3" t="s">
        <v>1199</v>
      </c>
      <c r="AU3" t="s">
        <v>1199</v>
      </c>
      <c r="AV3" t="s">
        <v>1199</v>
      </c>
    </row>
    <row r="4" spans="1:48">
      <c r="B4" t="s">
        <v>196</v>
      </c>
      <c r="C4" t="s">
        <v>197</v>
      </c>
      <c r="D4" t="s">
        <v>197</v>
      </c>
      <c r="E4" t="s">
        <v>197</v>
      </c>
      <c r="F4" t="s">
        <v>197</v>
      </c>
      <c r="G4" t="s">
        <v>197</v>
      </c>
      <c r="H4" t="s">
        <v>197</v>
      </c>
      <c r="I4" t="s">
        <v>198</v>
      </c>
      <c r="J4" t="s">
        <v>199</v>
      </c>
      <c r="K4" t="s">
        <v>200</v>
      </c>
      <c r="Y4" t="s">
        <v>2295</v>
      </c>
      <c r="Z4" t="s">
        <v>2296</v>
      </c>
      <c r="AA4" t="s">
        <v>1200</v>
      </c>
      <c r="AB4" t="s">
        <v>202</v>
      </c>
      <c r="AC4" t="s">
        <v>2302</v>
      </c>
      <c r="AD4" t="s">
        <v>2303</v>
      </c>
      <c r="AE4" t="s">
        <v>2304</v>
      </c>
      <c r="AF4" t="s">
        <v>2305</v>
      </c>
      <c r="AG4" t="s">
        <v>206</v>
      </c>
      <c r="AH4" t="s">
        <v>2297</v>
      </c>
      <c r="AI4" t="s">
        <v>2306</v>
      </c>
      <c r="AJ4" t="s">
        <v>2307</v>
      </c>
      <c r="AK4" t="s">
        <v>2308</v>
      </c>
      <c r="AL4" t="s">
        <v>195</v>
      </c>
      <c r="AM4" t="s">
        <v>2309</v>
      </c>
      <c r="AN4" t="s">
        <v>2310</v>
      </c>
      <c r="AO4" t="s">
        <v>2297</v>
      </c>
      <c r="AP4" t="s">
        <v>225</v>
      </c>
      <c r="AQ4" t="s">
        <v>2311</v>
      </c>
      <c r="AR4" t="s">
        <v>2297</v>
      </c>
      <c r="AS4" t="s">
        <v>227</v>
      </c>
      <c r="AT4" t="s">
        <v>2305</v>
      </c>
      <c r="AU4" t="s">
        <v>2297</v>
      </c>
      <c r="AV4" t="s">
        <v>2297</v>
      </c>
    </row>
    <row r="5" spans="1:48">
      <c r="B5" t="s">
        <v>197</v>
      </c>
      <c r="C5" t="s">
        <v>197</v>
      </c>
      <c r="D5" t="s">
        <v>197</v>
      </c>
      <c r="E5" t="s">
        <v>197</v>
      </c>
      <c r="F5" t="s">
        <v>197</v>
      </c>
      <c r="G5" t="s">
        <v>197</v>
      </c>
      <c r="H5" t="s">
        <v>197</v>
      </c>
      <c r="I5" t="s">
        <v>197</v>
      </c>
      <c r="J5" t="s">
        <v>197</v>
      </c>
      <c r="K5" t="s">
        <v>229</v>
      </c>
      <c r="Y5" t="s">
        <v>2312</v>
      </c>
      <c r="Z5" t="s">
        <v>2313</v>
      </c>
      <c r="AA5" t="s">
        <v>1204</v>
      </c>
      <c r="AB5" t="s">
        <v>231</v>
      </c>
      <c r="AC5" t="s">
        <v>1205</v>
      </c>
      <c r="AD5" t="s">
        <v>2314</v>
      </c>
      <c r="AE5" t="s">
        <v>2315</v>
      </c>
      <c r="AG5" t="s">
        <v>234</v>
      </c>
      <c r="AH5" t="s">
        <v>2307</v>
      </c>
      <c r="AJ5" t="s">
        <v>2306</v>
      </c>
      <c r="AL5" t="s">
        <v>227</v>
      </c>
      <c r="AO5" t="s">
        <v>2316</v>
      </c>
      <c r="AP5" t="s">
        <v>248</v>
      </c>
      <c r="AR5" t="s">
        <v>2317</v>
      </c>
      <c r="AS5" t="s">
        <v>249</v>
      </c>
      <c r="AU5" t="s">
        <v>2316</v>
      </c>
      <c r="AV5" t="s">
        <v>2317</v>
      </c>
    </row>
    <row r="6" spans="1:48">
      <c r="B6" t="s">
        <v>197</v>
      </c>
      <c r="C6" t="s">
        <v>197</v>
      </c>
      <c r="D6" t="s">
        <v>197</v>
      </c>
      <c r="E6" t="s">
        <v>197</v>
      </c>
      <c r="F6" t="s">
        <v>197</v>
      </c>
      <c r="G6" t="s">
        <v>197</v>
      </c>
      <c r="H6" t="s">
        <v>197</v>
      </c>
      <c r="I6" t="s">
        <v>197</v>
      </c>
      <c r="J6" t="s">
        <v>197</v>
      </c>
      <c r="K6" t="s">
        <v>251</v>
      </c>
      <c r="Y6" t="s">
        <v>2303</v>
      </c>
      <c r="Z6" t="s">
        <v>2304</v>
      </c>
      <c r="AA6" t="s">
        <v>1208</v>
      </c>
      <c r="AB6" t="s">
        <v>254</v>
      </c>
      <c r="AC6" t="s">
        <v>1208</v>
      </c>
      <c r="AD6" t="s">
        <v>2318</v>
      </c>
      <c r="AE6" t="s">
        <v>2319</v>
      </c>
      <c r="AG6" t="s">
        <v>257</v>
      </c>
      <c r="AH6" t="s">
        <v>2306</v>
      </c>
      <c r="AJ6" t="s">
        <v>2320</v>
      </c>
      <c r="AL6" t="s">
        <v>270</v>
      </c>
      <c r="AO6" t="s">
        <v>312</v>
      </c>
      <c r="AP6" t="s">
        <v>273</v>
      </c>
      <c r="AR6" t="s">
        <v>1234</v>
      </c>
      <c r="AS6" t="s">
        <v>275</v>
      </c>
      <c r="AU6" t="s">
        <v>312</v>
      </c>
      <c r="AV6" t="s">
        <v>1234</v>
      </c>
    </row>
    <row r="7" spans="1:48">
      <c r="A7" t="s">
        <v>397</v>
      </c>
      <c r="K7" t="s">
        <v>398</v>
      </c>
      <c r="W7" t="s">
        <v>171</v>
      </c>
      <c r="X7" t="str">
        <f>A7</f>
        <v>info_nvarchar_dml_batch1_pk_urp1</v>
      </c>
      <c r="Y7" t="s">
        <v>2321</v>
      </c>
      <c r="Z7" t="s">
        <v>2322</v>
      </c>
      <c r="AA7" t="s">
        <v>1210</v>
      </c>
      <c r="AC7" t="s">
        <v>1210</v>
      </c>
      <c r="AD7" t="s">
        <v>2323</v>
      </c>
      <c r="AE7" t="s">
        <v>2324</v>
      </c>
      <c r="AH7" t="s">
        <v>2320</v>
      </c>
      <c r="AL7" t="s">
        <v>288</v>
      </c>
      <c r="AO7" t="s">
        <v>2306</v>
      </c>
      <c r="AR7" t="s">
        <v>2316</v>
      </c>
      <c r="AU7" t="s">
        <v>2306</v>
      </c>
      <c r="AV7" t="s">
        <v>2316</v>
      </c>
    </row>
    <row r="8" spans="1:48">
      <c r="B8" t="s">
        <v>196</v>
      </c>
      <c r="C8" t="s">
        <v>197</v>
      </c>
      <c r="D8" t="s">
        <v>197</v>
      </c>
      <c r="E8" t="s">
        <v>197</v>
      </c>
      <c r="F8" t="s">
        <v>197</v>
      </c>
      <c r="G8" t="s">
        <v>197</v>
      </c>
      <c r="H8" t="s">
        <v>197</v>
      </c>
      <c r="I8" t="s">
        <v>403</v>
      </c>
      <c r="J8" t="s">
        <v>199</v>
      </c>
      <c r="K8" t="s">
        <v>200</v>
      </c>
      <c r="Y8" t="s">
        <v>2314</v>
      </c>
      <c r="Z8" t="s">
        <v>2325</v>
      </c>
      <c r="AA8" t="s">
        <v>1211</v>
      </c>
      <c r="AC8" t="s">
        <v>1211</v>
      </c>
      <c r="AD8" t="s">
        <v>2326</v>
      </c>
      <c r="AE8" t="s">
        <v>2327</v>
      </c>
      <c r="AH8" t="s">
        <v>2328</v>
      </c>
      <c r="AL8" t="s">
        <v>249</v>
      </c>
      <c r="AO8" t="s">
        <v>2329</v>
      </c>
      <c r="AR8" t="s">
        <v>371</v>
      </c>
      <c r="AU8" t="s">
        <v>2329</v>
      </c>
      <c r="AV8" t="s">
        <v>371</v>
      </c>
    </row>
    <row r="9" spans="1:48">
      <c r="B9" t="s">
        <v>197</v>
      </c>
      <c r="C9" t="s">
        <v>197</v>
      </c>
      <c r="D9" t="s">
        <v>197</v>
      </c>
      <c r="E9" t="s">
        <v>197</v>
      </c>
      <c r="F9" t="s">
        <v>197</v>
      </c>
      <c r="G9" t="s">
        <v>197</v>
      </c>
      <c r="H9" t="s">
        <v>197</v>
      </c>
      <c r="I9" t="s">
        <v>197</v>
      </c>
      <c r="J9" t="s">
        <v>197</v>
      </c>
      <c r="K9" t="s">
        <v>408</v>
      </c>
      <c r="Y9" t="s">
        <v>2330</v>
      </c>
      <c r="Z9" t="s">
        <v>2319</v>
      </c>
      <c r="AA9" t="s">
        <v>1214</v>
      </c>
      <c r="AC9" t="s">
        <v>1214</v>
      </c>
      <c r="AD9" t="s">
        <v>2331</v>
      </c>
      <c r="AL9" t="s">
        <v>275</v>
      </c>
      <c r="AO9" t="s">
        <v>346</v>
      </c>
      <c r="AR9" t="s">
        <v>378</v>
      </c>
      <c r="AU9" t="s">
        <v>346</v>
      </c>
      <c r="AV9" t="s">
        <v>378</v>
      </c>
    </row>
    <row r="10" spans="1:48">
      <c r="B10" t="s">
        <v>197</v>
      </c>
      <c r="C10" t="s">
        <v>197</v>
      </c>
      <c r="D10" t="s">
        <v>197</v>
      </c>
      <c r="E10" t="s">
        <v>197</v>
      </c>
      <c r="F10" t="s">
        <v>197</v>
      </c>
      <c r="G10" t="s">
        <v>197</v>
      </c>
      <c r="H10" t="s">
        <v>197</v>
      </c>
      <c r="I10" t="s">
        <v>197</v>
      </c>
      <c r="J10" t="s">
        <v>197</v>
      </c>
      <c r="K10" t="s">
        <v>412</v>
      </c>
      <c r="Y10" t="s">
        <v>2323</v>
      </c>
      <c r="Z10" t="s">
        <v>2332</v>
      </c>
      <c r="AA10" t="s">
        <v>1216</v>
      </c>
      <c r="AC10" t="s">
        <v>1217</v>
      </c>
      <c r="AD10" t="s">
        <v>2333</v>
      </c>
      <c r="AL10" t="s">
        <v>321</v>
      </c>
      <c r="AO10" t="s">
        <v>2305</v>
      </c>
      <c r="AR10" t="s">
        <v>312</v>
      </c>
      <c r="AU10" t="s">
        <v>2305</v>
      </c>
      <c r="AV10" t="s">
        <v>312</v>
      </c>
    </row>
    <row r="11" spans="1:48">
      <c r="B11" t="s">
        <v>197</v>
      </c>
      <c r="C11" t="s">
        <v>197</v>
      </c>
      <c r="D11" t="s">
        <v>197</v>
      </c>
      <c r="E11" t="s">
        <v>197</v>
      </c>
      <c r="F11" t="s">
        <v>197</v>
      </c>
      <c r="G11" t="s">
        <v>197</v>
      </c>
      <c r="H11" t="s">
        <v>197</v>
      </c>
      <c r="I11" t="s">
        <v>197</v>
      </c>
      <c r="J11" t="s">
        <v>197</v>
      </c>
      <c r="K11" t="s">
        <v>416</v>
      </c>
      <c r="Y11" t="s">
        <v>2334</v>
      </c>
      <c r="Z11" t="s">
        <v>2324</v>
      </c>
      <c r="AA11" t="s">
        <v>1220</v>
      </c>
      <c r="AC11" t="s">
        <v>1221</v>
      </c>
      <c r="AR11" t="s">
        <v>2306</v>
      </c>
      <c r="AV11" t="s">
        <v>2306</v>
      </c>
    </row>
    <row r="12" spans="1:48">
      <c r="A12" t="s">
        <v>277</v>
      </c>
      <c r="K12" t="s">
        <v>278</v>
      </c>
      <c r="W12" t="s">
        <v>171</v>
      </c>
      <c r="X12" t="str">
        <f>A12</f>
        <v>info_datetimeoffset_dml_single_pk_urp</v>
      </c>
      <c r="Y12" t="s">
        <v>2326</v>
      </c>
      <c r="Z12" t="s">
        <v>2335</v>
      </c>
      <c r="AA12" t="s">
        <v>1223</v>
      </c>
      <c r="AC12" t="s">
        <v>1224</v>
      </c>
      <c r="AR12" t="s">
        <v>2329</v>
      </c>
      <c r="AV12" t="s">
        <v>2329</v>
      </c>
    </row>
    <row r="13" spans="1:48">
      <c r="B13" t="s">
        <v>196</v>
      </c>
      <c r="C13" t="s">
        <v>197</v>
      </c>
      <c r="D13" t="s">
        <v>197</v>
      </c>
      <c r="E13" t="s">
        <v>197</v>
      </c>
      <c r="F13" t="s">
        <v>197</v>
      </c>
      <c r="G13" t="s">
        <v>197</v>
      </c>
      <c r="H13" t="s">
        <v>197</v>
      </c>
      <c r="I13" t="s">
        <v>291</v>
      </c>
      <c r="J13" t="s">
        <v>199</v>
      </c>
      <c r="K13" t="s">
        <v>200</v>
      </c>
      <c r="Y13" t="s">
        <v>2336</v>
      </c>
      <c r="AA13" t="s">
        <v>1227</v>
      </c>
      <c r="AC13" t="s">
        <v>2337</v>
      </c>
      <c r="AR13" t="s">
        <v>346</v>
      </c>
      <c r="AV13" t="s">
        <v>346</v>
      </c>
    </row>
    <row r="14" spans="1:48">
      <c r="B14" t="s">
        <v>197</v>
      </c>
      <c r="C14" t="s">
        <v>197</v>
      </c>
      <c r="D14" t="s">
        <v>197</v>
      </c>
      <c r="E14" t="s">
        <v>197</v>
      </c>
      <c r="F14" t="s">
        <v>197</v>
      </c>
      <c r="G14" t="s">
        <v>197</v>
      </c>
      <c r="H14" t="s">
        <v>197</v>
      </c>
      <c r="I14" t="s">
        <v>197</v>
      </c>
      <c r="J14" t="s">
        <v>197</v>
      </c>
      <c r="K14" t="s">
        <v>301</v>
      </c>
      <c r="Y14" t="s">
        <v>2331</v>
      </c>
      <c r="AA14" t="s">
        <v>1229</v>
      </c>
      <c r="AC14" t="s">
        <v>2338</v>
      </c>
      <c r="AR14" t="s">
        <v>2305</v>
      </c>
      <c r="AV14" t="s">
        <v>2305</v>
      </c>
    </row>
    <row r="15" spans="1:48">
      <c r="B15" t="s">
        <v>197</v>
      </c>
      <c r="C15" t="s">
        <v>197</v>
      </c>
      <c r="D15" t="s">
        <v>197</v>
      </c>
      <c r="E15" t="s">
        <v>197</v>
      </c>
      <c r="F15" t="s">
        <v>197</v>
      </c>
      <c r="G15" t="s">
        <v>197</v>
      </c>
      <c r="H15" t="s">
        <v>197</v>
      </c>
      <c r="I15" t="s">
        <v>197</v>
      </c>
      <c r="J15" t="s">
        <v>197</v>
      </c>
      <c r="K15" t="s">
        <v>314</v>
      </c>
      <c r="AA15" t="s">
        <v>1232</v>
      </c>
      <c r="AC15" t="s">
        <v>1233</v>
      </c>
      <c r="AR15" t="s">
        <v>426</v>
      </c>
      <c r="AV15" t="s">
        <v>426</v>
      </c>
    </row>
    <row r="16" spans="1:48">
      <c r="B16" t="s">
        <v>197</v>
      </c>
      <c r="C16" t="s">
        <v>197</v>
      </c>
      <c r="D16" t="s">
        <v>197</v>
      </c>
      <c r="E16" t="s">
        <v>197</v>
      </c>
      <c r="F16" t="s">
        <v>197</v>
      </c>
      <c r="G16" t="s">
        <v>197</v>
      </c>
      <c r="H16" t="s">
        <v>197</v>
      </c>
      <c r="I16" t="s">
        <v>197</v>
      </c>
      <c r="J16" t="s">
        <v>197</v>
      </c>
      <c r="K16" t="s">
        <v>324</v>
      </c>
      <c r="AA16" t="s">
        <v>1235</v>
      </c>
      <c r="AC16" t="s">
        <v>2339</v>
      </c>
      <c r="AR16" t="s">
        <v>430</v>
      </c>
      <c r="AV16" t="s">
        <v>430</v>
      </c>
    </row>
    <row r="17" spans="1:48">
      <c r="B17" t="s">
        <v>197</v>
      </c>
      <c r="C17" t="s">
        <v>197</v>
      </c>
      <c r="D17" t="s">
        <v>197</v>
      </c>
      <c r="E17" t="s">
        <v>197</v>
      </c>
      <c r="F17" t="s">
        <v>197</v>
      </c>
      <c r="G17" t="s">
        <v>197</v>
      </c>
      <c r="H17" t="s">
        <v>197</v>
      </c>
      <c r="I17" t="s">
        <v>197</v>
      </c>
      <c r="J17" t="s">
        <v>197</v>
      </c>
      <c r="K17" t="s">
        <v>335</v>
      </c>
      <c r="AA17" t="s">
        <v>1237</v>
      </c>
      <c r="AC17" t="s">
        <v>1237</v>
      </c>
      <c r="AR17" t="s">
        <v>2340</v>
      </c>
      <c r="AV17" t="s">
        <v>2340</v>
      </c>
    </row>
    <row r="18" spans="1:48">
      <c r="B18" t="s">
        <v>197</v>
      </c>
      <c r="C18" t="s">
        <v>197</v>
      </c>
      <c r="D18" t="s">
        <v>197</v>
      </c>
      <c r="E18" t="s">
        <v>197</v>
      </c>
      <c r="F18" t="s">
        <v>197</v>
      </c>
      <c r="G18" t="s">
        <v>197</v>
      </c>
      <c r="H18" t="s">
        <v>197</v>
      </c>
      <c r="I18" t="s">
        <v>197</v>
      </c>
      <c r="J18" t="s">
        <v>197</v>
      </c>
      <c r="K18" t="s">
        <v>350</v>
      </c>
      <c r="AA18" t="s">
        <v>1238</v>
      </c>
      <c r="AC18" t="s">
        <v>2341</v>
      </c>
      <c r="AR18" t="s">
        <v>2342</v>
      </c>
      <c r="AV18" t="s">
        <v>2342</v>
      </c>
    </row>
    <row r="19" spans="1:48">
      <c r="B19" t="s">
        <v>197</v>
      </c>
      <c r="C19" t="s">
        <v>197</v>
      </c>
      <c r="D19" t="s">
        <v>197</v>
      </c>
      <c r="E19" t="s">
        <v>197</v>
      </c>
      <c r="F19" t="s">
        <v>197</v>
      </c>
      <c r="G19" t="s">
        <v>197</v>
      </c>
      <c r="H19" t="s">
        <v>197</v>
      </c>
      <c r="I19" t="s">
        <v>197</v>
      </c>
      <c r="J19" t="s">
        <v>197</v>
      </c>
      <c r="K19" t="s">
        <v>360</v>
      </c>
      <c r="AA19" t="s">
        <v>1240</v>
      </c>
      <c r="AC19" t="s">
        <v>1241</v>
      </c>
    </row>
    <row r="20" spans="1:48">
      <c r="B20" t="s">
        <v>197</v>
      </c>
      <c r="C20" t="s">
        <v>197</v>
      </c>
      <c r="D20" t="s">
        <v>197</v>
      </c>
      <c r="E20" t="s">
        <v>197</v>
      </c>
      <c r="F20" t="s">
        <v>197</v>
      </c>
      <c r="G20" t="s">
        <v>197</v>
      </c>
      <c r="H20" t="s">
        <v>197</v>
      </c>
      <c r="I20" t="s">
        <v>197</v>
      </c>
      <c r="J20" t="s">
        <v>197</v>
      </c>
      <c r="K20" t="s">
        <v>367</v>
      </c>
      <c r="AA20" t="s">
        <v>1242</v>
      </c>
      <c r="AC20" t="s">
        <v>1243</v>
      </c>
    </row>
    <row r="21" spans="1:48">
      <c r="B21" t="s">
        <v>197</v>
      </c>
      <c r="C21" t="s">
        <v>197</v>
      </c>
      <c r="D21" t="s">
        <v>197</v>
      </c>
      <c r="E21" t="s">
        <v>197</v>
      </c>
      <c r="F21" t="s">
        <v>197</v>
      </c>
      <c r="G21" t="s">
        <v>197</v>
      </c>
      <c r="H21" t="s">
        <v>197</v>
      </c>
      <c r="I21" t="s">
        <v>197</v>
      </c>
      <c r="J21" t="s">
        <v>197</v>
      </c>
      <c r="K21" t="s">
        <v>373</v>
      </c>
      <c r="AA21" t="s">
        <v>1244</v>
      </c>
      <c r="AC21" t="s">
        <v>2343</v>
      </c>
    </row>
    <row r="22" spans="1:48">
      <c r="A22" t="s">
        <v>380</v>
      </c>
      <c r="K22" t="s">
        <v>381</v>
      </c>
      <c r="W22" s="1" t="str">
        <f>HYPERLINK("#2026042016hbase0!Y2","NO 源备存在差异，共12个")</f>
        <v>NO 源备存在差异，共12个</v>
      </c>
      <c r="X22" t="str">
        <f>A22</f>
        <v>info_geometry_dml_single_pk_irp</v>
      </c>
      <c r="AA22" t="s">
        <v>1246</v>
      </c>
      <c r="AC22" t="s">
        <v>1247</v>
      </c>
    </row>
    <row r="23" spans="1:48">
      <c r="B23" t="s">
        <v>196</v>
      </c>
      <c r="C23" t="s">
        <v>197</v>
      </c>
      <c r="D23" t="s">
        <v>197</v>
      </c>
      <c r="E23" t="s">
        <v>197</v>
      </c>
      <c r="F23" t="s">
        <v>197</v>
      </c>
      <c r="G23" t="s">
        <v>197</v>
      </c>
      <c r="H23" t="s">
        <v>197</v>
      </c>
      <c r="I23" t="s">
        <v>385</v>
      </c>
      <c r="J23" t="s">
        <v>199</v>
      </c>
      <c r="K23" t="s">
        <v>200</v>
      </c>
      <c r="AA23" t="s">
        <v>2344</v>
      </c>
      <c r="AC23" t="s">
        <v>2345</v>
      </c>
    </row>
    <row r="24" spans="1:48">
      <c r="B24" t="s">
        <v>197</v>
      </c>
      <c r="C24" t="s">
        <v>197</v>
      </c>
      <c r="D24" t="s">
        <v>197</v>
      </c>
      <c r="E24" t="s">
        <v>197</v>
      </c>
      <c r="F24" t="s">
        <v>197</v>
      </c>
      <c r="G24" t="s">
        <v>197</v>
      </c>
      <c r="H24" t="s">
        <v>197</v>
      </c>
      <c r="I24" t="s">
        <v>197</v>
      </c>
      <c r="J24" t="s">
        <v>197</v>
      </c>
      <c r="K24" t="s">
        <v>393</v>
      </c>
      <c r="AA24" t="s">
        <v>2346</v>
      </c>
      <c r="AC24" t="s">
        <v>2347</v>
      </c>
    </row>
    <row r="25" spans="1:48">
      <c r="A25" t="s">
        <v>417</v>
      </c>
      <c r="K25" t="s">
        <v>418</v>
      </c>
      <c r="W25" t="s">
        <v>171</v>
      </c>
      <c r="X25" t="str">
        <f>A25</f>
        <v>info_sdt_dml_batch2_pk_irp2</v>
      </c>
      <c r="AA25" t="s">
        <v>2348</v>
      </c>
      <c r="AC25" t="s">
        <v>2349</v>
      </c>
    </row>
    <row r="26" spans="1:48">
      <c r="B26" t="s">
        <v>196</v>
      </c>
      <c r="C26" t="s">
        <v>197</v>
      </c>
      <c r="D26" t="s">
        <v>197</v>
      </c>
      <c r="E26" t="s">
        <v>197</v>
      </c>
      <c r="F26" t="s">
        <v>197</v>
      </c>
      <c r="G26" t="s">
        <v>197</v>
      </c>
      <c r="H26" t="s">
        <v>197</v>
      </c>
      <c r="I26" t="s">
        <v>420</v>
      </c>
      <c r="J26" t="s">
        <v>199</v>
      </c>
      <c r="K26" t="s">
        <v>200</v>
      </c>
      <c r="AA26" t="s">
        <v>2350</v>
      </c>
      <c r="AC26" t="s">
        <v>2350</v>
      </c>
    </row>
    <row r="27" spans="1:48">
      <c r="B27" t="s">
        <v>197</v>
      </c>
      <c r="C27" t="s">
        <v>197</v>
      </c>
      <c r="D27" t="s">
        <v>197</v>
      </c>
      <c r="E27" t="s">
        <v>197</v>
      </c>
      <c r="F27" t="s">
        <v>197</v>
      </c>
      <c r="G27" t="s">
        <v>197</v>
      </c>
      <c r="H27" t="s">
        <v>197</v>
      </c>
      <c r="I27" t="s">
        <v>197</v>
      </c>
      <c r="J27" t="s">
        <v>197</v>
      </c>
      <c r="K27" t="s">
        <v>422</v>
      </c>
      <c r="AA27" t="s">
        <v>2351</v>
      </c>
      <c r="AC27" t="s">
        <v>2352</v>
      </c>
    </row>
    <row r="28" spans="1:48">
      <c r="A28" t="s">
        <v>423</v>
      </c>
      <c r="K28" t="s">
        <v>424</v>
      </c>
      <c r="W28" t="s">
        <v>171</v>
      </c>
      <c r="X28" t="str">
        <f>A28</f>
        <v>info_varchar_dml_batch1_pk_drp1</v>
      </c>
      <c r="AA28" t="s">
        <v>2353</v>
      </c>
      <c r="AC28" t="s">
        <v>2354</v>
      </c>
    </row>
    <row r="29" spans="1:48">
      <c r="B29" t="s">
        <v>196</v>
      </c>
      <c r="C29" t="s">
        <v>197</v>
      </c>
      <c r="D29" t="s">
        <v>197</v>
      </c>
      <c r="E29" t="s">
        <v>197</v>
      </c>
      <c r="F29" t="s">
        <v>197</v>
      </c>
      <c r="G29" t="s">
        <v>197</v>
      </c>
      <c r="H29" t="s">
        <v>197</v>
      </c>
      <c r="I29" t="s">
        <v>427</v>
      </c>
      <c r="J29" t="s">
        <v>199</v>
      </c>
      <c r="K29" t="s">
        <v>200</v>
      </c>
      <c r="AA29" t="s">
        <v>2355</v>
      </c>
      <c r="AC29" t="s">
        <v>2356</v>
      </c>
    </row>
    <row r="30" spans="1:48">
      <c r="B30" t="s">
        <v>197</v>
      </c>
      <c r="C30" t="s">
        <v>197</v>
      </c>
      <c r="D30" t="s">
        <v>197</v>
      </c>
      <c r="E30" t="s">
        <v>197</v>
      </c>
      <c r="F30" t="s">
        <v>197</v>
      </c>
      <c r="G30" t="s">
        <v>197</v>
      </c>
      <c r="H30" t="s">
        <v>197</v>
      </c>
      <c r="I30" t="s">
        <v>197</v>
      </c>
      <c r="J30" t="s">
        <v>197</v>
      </c>
      <c r="K30" t="s">
        <v>431</v>
      </c>
      <c r="AA30" t="s">
        <v>2357</v>
      </c>
      <c r="AC30" t="s">
        <v>2358</v>
      </c>
    </row>
    <row r="31" spans="1:48">
      <c r="B31" t="s">
        <v>197</v>
      </c>
      <c r="C31" t="s">
        <v>197</v>
      </c>
      <c r="D31" t="s">
        <v>197</v>
      </c>
      <c r="E31" t="s">
        <v>197</v>
      </c>
      <c r="F31" t="s">
        <v>197</v>
      </c>
      <c r="G31" t="s">
        <v>197</v>
      </c>
      <c r="H31" t="s">
        <v>197</v>
      </c>
      <c r="I31" t="s">
        <v>197</v>
      </c>
      <c r="J31" t="s">
        <v>197</v>
      </c>
      <c r="K31" t="s">
        <v>434</v>
      </c>
      <c r="AA31" t="s">
        <v>2359</v>
      </c>
      <c r="AC31" t="s">
        <v>2360</v>
      </c>
    </row>
    <row r="32" spans="1:48">
      <c r="B32" t="s">
        <v>197</v>
      </c>
      <c r="C32" t="s">
        <v>197</v>
      </c>
      <c r="D32" t="s">
        <v>197</v>
      </c>
      <c r="E32" t="s">
        <v>197</v>
      </c>
      <c r="F32" t="s">
        <v>197</v>
      </c>
      <c r="G32" t="s">
        <v>197</v>
      </c>
      <c r="H32" t="s">
        <v>197</v>
      </c>
      <c r="I32" t="s">
        <v>197</v>
      </c>
      <c r="J32" t="s">
        <v>197</v>
      </c>
      <c r="K32" t="s">
        <v>439</v>
      </c>
      <c r="AA32" t="s">
        <v>2361</v>
      </c>
      <c r="AC32" t="s">
        <v>2362</v>
      </c>
    </row>
    <row r="33" spans="1:29">
      <c r="K33" t="s">
        <v>443</v>
      </c>
      <c r="AA33" t="s">
        <v>2363</v>
      </c>
      <c r="AC33" t="s">
        <v>2364</v>
      </c>
    </row>
    <row r="34" spans="1:29">
      <c r="A34" t="s">
        <v>448</v>
      </c>
      <c r="K34" t="s">
        <v>449</v>
      </c>
      <c r="W34" t="s">
        <v>171</v>
      </c>
      <c r="X34" t="str">
        <f>A34</f>
        <v>info_sdt_dml_batch1_pk_urp1</v>
      </c>
      <c r="AA34" t="s">
        <v>2365</v>
      </c>
      <c r="AC34" t="s">
        <v>2365</v>
      </c>
    </row>
    <row r="35" spans="1:29">
      <c r="B35" t="s">
        <v>196</v>
      </c>
      <c r="C35" t="s">
        <v>197</v>
      </c>
      <c r="D35" t="s">
        <v>197</v>
      </c>
      <c r="E35" t="s">
        <v>197</v>
      </c>
      <c r="F35" t="s">
        <v>197</v>
      </c>
      <c r="G35" t="s">
        <v>197</v>
      </c>
      <c r="H35" t="s">
        <v>197</v>
      </c>
      <c r="I35" t="s">
        <v>454</v>
      </c>
      <c r="J35" t="s">
        <v>199</v>
      </c>
      <c r="K35" t="s">
        <v>200</v>
      </c>
      <c r="AA35" t="s">
        <v>2366</v>
      </c>
      <c r="AC35" t="s">
        <v>2366</v>
      </c>
    </row>
    <row r="36" spans="1:29">
      <c r="B36" t="s">
        <v>197</v>
      </c>
      <c r="C36" t="s">
        <v>197</v>
      </c>
      <c r="D36" t="s">
        <v>197</v>
      </c>
      <c r="E36" t="s">
        <v>197</v>
      </c>
      <c r="F36" t="s">
        <v>197</v>
      </c>
      <c r="G36" t="s">
        <v>197</v>
      </c>
      <c r="H36" t="s">
        <v>197</v>
      </c>
      <c r="I36" t="s">
        <v>197</v>
      </c>
      <c r="J36" t="s">
        <v>197</v>
      </c>
      <c r="K36" t="s">
        <v>422</v>
      </c>
      <c r="AA36" t="s">
        <v>2367</v>
      </c>
      <c r="AC36" t="s">
        <v>2367</v>
      </c>
    </row>
    <row r="37" spans="1:29">
      <c r="A37" t="s">
        <v>462</v>
      </c>
      <c r="K37" t="s">
        <v>463</v>
      </c>
      <c r="W37" t="s">
        <v>171</v>
      </c>
      <c r="X37" t="str">
        <f>A37</f>
        <v>info_xml_dml_single_pk_irp</v>
      </c>
      <c r="AA37" t="s">
        <v>2368</v>
      </c>
      <c r="AC37" t="s">
        <v>2368</v>
      </c>
    </row>
    <row r="38" spans="1:29">
      <c r="B38" t="s">
        <v>196</v>
      </c>
      <c r="C38" t="s">
        <v>197</v>
      </c>
      <c r="D38" t="s">
        <v>197</v>
      </c>
      <c r="E38" t="s">
        <v>197</v>
      </c>
      <c r="F38" t="s">
        <v>197</v>
      </c>
      <c r="G38" t="s">
        <v>197</v>
      </c>
      <c r="H38" t="s">
        <v>197</v>
      </c>
      <c r="I38" t="s">
        <v>467</v>
      </c>
      <c r="J38" t="s">
        <v>199</v>
      </c>
      <c r="K38" t="s">
        <v>200</v>
      </c>
      <c r="AA38" t="s">
        <v>2369</v>
      </c>
      <c r="AC38" t="s">
        <v>2370</v>
      </c>
    </row>
    <row r="39" spans="1:29">
      <c r="B39" t="s">
        <v>197</v>
      </c>
      <c r="C39" t="s">
        <v>197</v>
      </c>
      <c r="D39" t="s">
        <v>197</v>
      </c>
      <c r="E39" t="s">
        <v>197</v>
      </c>
      <c r="F39" t="s">
        <v>197</v>
      </c>
      <c r="G39" t="s">
        <v>197</v>
      </c>
      <c r="H39" t="s">
        <v>197</v>
      </c>
      <c r="I39" t="s">
        <v>197</v>
      </c>
      <c r="J39" t="s">
        <v>197</v>
      </c>
      <c r="K39" t="s">
        <v>472</v>
      </c>
      <c r="AA39" t="s">
        <v>2371</v>
      </c>
      <c r="AC39" t="s">
        <v>2372</v>
      </c>
    </row>
    <row r="40" spans="1:29">
      <c r="A40" t="s">
        <v>476</v>
      </c>
      <c r="K40" t="s">
        <v>477</v>
      </c>
      <c r="W40" t="s">
        <v>171</v>
      </c>
      <c r="X40" t="str">
        <f>A40</f>
        <v>info_sdt_dml_batch1_pk_urp2</v>
      </c>
      <c r="AA40" t="s">
        <v>2373</v>
      </c>
      <c r="AC40" t="s">
        <v>2374</v>
      </c>
    </row>
    <row r="41" spans="1:29">
      <c r="B41" t="s">
        <v>196</v>
      </c>
      <c r="C41" t="s">
        <v>197</v>
      </c>
      <c r="D41" t="s">
        <v>197</v>
      </c>
      <c r="E41" t="s">
        <v>197</v>
      </c>
      <c r="F41" t="s">
        <v>197</v>
      </c>
      <c r="G41" t="s">
        <v>197</v>
      </c>
      <c r="H41" t="s">
        <v>197</v>
      </c>
      <c r="I41" t="s">
        <v>481</v>
      </c>
      <c r="J41" t="s">
        <v>199</v>
      </c>
      <c r="K41" t="s">
        <v>200</v>
      </c>
      <c r="AA41" t="s">
        <v>2375</v>
      </c>
      <c r="AC41" t="s">
        <v>2376</v>
      </c>
    </row>
    <row r="42" spans="1:29">
      <c r="B42" t="s">
        <v>197</v>
      </c>
      <c r="C42" t="s">
        <v>197</v>
      </c>
      <c r="D42" t="s">
        <v>197</v>
      </c>
      <c r="E42" t="s">
        <v>197</v>
      </c>
      <c r="F42" t="s">
        <v>197</v>
      </c>
      <c r="G42" t="s">
        <v>197</v>
      </c>
      <c r="H42" t="s">
        <v>197</v>
      </c>
      <c r="I42" t="s">
        <v>197</v>
      </c>
      <c r="J42" t="s">
        <v>197</v>
      </c>
      <c r="K42" t="s">
        <v>422</v>
      </c>
      <c r="AA42" t="s">
        <v>2377</v>
      </c>
      <c r="AC42" t="s">
        <v>2378</v>
      </c>
    </row>
    <row r="43" spans="1:29">
      <c r="A43" t="s">
        <v>486</v>
      </c>
      <c r="K43" t="s">
        <v>487</v>
      </c>
      <c r="W43" t="s">
        <v>171</v>
      </c>
      <c r="X43" t="str">
        <f>A43</f>
        <v>info_varbinary_dml_batch1_pk_urp1</v>
      </c>
    </row>
    <row r="44" spans="1:29">
      <c r="B44" t="s">
        <v>196</v>
      </c>
      <c r="C44" t="s">
        <v>197</v>
      </c>
      <c r="D44" t="s">
        <v>197</v>
      </c>
      <c r="E44" t="s">
        <v>197</v>
      </c>
      <c r="F44" t="s">
        <v>197</v>
      </c>
      <c r="G44" t="s">
        <v>197</v>
      </c>
      <c r="H44" t="s">
        <v>197</v>
      </c>
      <c r="I44" t="s">
        <v>491</v>
      </c>
      <c r="J44" t="s">
        <v>199</v>
      </c>
      <c r="K44" t="s">
        <v>200</v>
      </c>
    </row>
    <row r="45" spans="1:29">
      <c r="B45" t="s">
        <v>197</v>
      </c>
      <c r="C45" t="s">
        <v>197</v>
      </c>
      <c r="D45" t="s">
        <v>197</v>
      </c>
      <c r="E45" t="s">
        <v>197</v>
      </c>
      <c r="F45" t="s">
        <v>197</v>
      </c>
      <c r="G45" t="s">
        <v>197</v>
      </c>
      <c r="H45" t="s">
        <v>197</v>
      </c>
      <c r="I45" t="s">
        <v>197</v>
      </c>
      <c r="J45" t="s">
        <v>197</v>
      </c>
      <c r="K45" t="s">
        <v>495</v>
      </c>
    </row>
    <row r="46" spans="1:29">
      <c r="B46" t="s">
        <v>197</v>
      </c>
      <c r="C46" t="s">
        <v>197</v>
      </c>
      <c r="D46" t="s">
        <v>197</v>
      </c>
      <c r="E46" t="s">
        <v>197</v>
      </c>
      <c r="F46" t="s">
        <v>197</v>
      </c>
      <c r="G46" t="s">
        <v>197</v>
      </c>
      <c r="H46" t="s">
        <v>197</v>
      </c>
      <c r="I46" t="s">
        <v>197</v>
      </c>
      <c r="J46" t="s">
        <v>197</v>
      </c>
      <c r="K46" t="s">
        <v>499</v>
      </c>
    </row>
    <row r="47" spans="1:29">
      <c r="B47" t="s">
        <v>197</v>
      </c>
      <c r="C47" t="s">
        <v>197</v>
      </c>
      <c r="D47" t="s">
        <v>197</v>
      </c>
      <c r="E47" t="s">
        <v>197</v>
      </c>
      <c r="F47" t="s">
        <v>197</v>
      </c>
      <c r="G47" t="s">
        <v>197</v>
      </c>
      <c r="H47" t="s">
        <v>197</v>
      </c>
      <c r="I47" t="s">
        <v>197</v>
      </c>
      <c r="J47" t="s">
        <v>197</v>
      </c>
      <c r="K47" t="s">
        <v>503</v>
      </c>
    </row>
    <row r="48" spans="1:29">
      <c r="A48" t="s">
        <v>504</v>
      </c>
      <c r="K48" t="s">
        <v>505</v>
      </c>
      <c r="W48" t="s">
        <v>171</v>
      </c>
      <c r="X48" t="str">
        <f>A48</f>
        <v>info_sdt_dml_batch1_pk_drp1</v>
      </c>
    </row>
    <row r="49" spans="1:24">
      <c r="B49" t="s">
        <v>196</v>
      </c>
      <c r="C49" t="s">
        <v>197</v>
      </c>
      <c r="D49" t="s">
        <v>197</v>
      </c>
      <c r="E49" t="s">
        <v>197</v>
      </c>
      <c r="F49" t="s">
        <v>197</v>
      </c>
      <c r="G49" t="s">
        <v>197</v>
      </c>
      <c r="H49" t="s">
        <v>197</v>
      </c>
      <c r="I49" t="s">
        <v>507</v>
      </c>
      <c r="J49" t="s">
        <v>199</v>
      </c>
      <c r="K49" t="s">
        <v>200</v>
      </c>
    </row>
    <row r="50" spans="1:24">
      <c r="B50" t="s">
        <v>197</v>
      </c>
      <c r="C50" t="s">
        <v>197</v>
      </c>
      <c r="D50" t="s">
        <v>197</v>
      </c>
      <c r="E50" t="s">
        <v>197</v>
      </c>
      <c r="F50" t="s">
        <v>197</v>
      </c>
      <c r="G50" t="s">
        <v>197</v>
      </c>
      <c r="H50" t="s">
        <v>197</v>
      </c>
      <c r="I50" t="s">
        <v>197</v>
      </c>
      <c r="J50" t="s">
        <v>197</v>
      </c>
      <c r="K50" t="s">
        <v>422</v>
      </c>
    </row>
    <row r="51" spans="1:24">
      <c r="K51" t="s">
        <v>443</v>
      </c>
    </row>
    <row r="52" spans="1:24">
      <c r="A52" t="s">
        <v>519</v>
      </c>
      <c r="K52" t="s">
        <v>520</v>
      </c>
      <c r="W52" t="s">
        <v>171</v>
      </c>
      <c r="X52" t="str">
        <f>A52</f>
        <v>info_datetimeoffset_dml_single_pk_drp</v>
      </c>
    </row>
    <row r="53" spans="1:24">
      <c r="B53" t="s">
        <v>196</v>
      </c>
      <c r="C53" t="s">
        <v>197</v>
      </c>
      <c r="D53" t="s">
        <v>197</v>
      </c>
      <c r="E53" t="s">
        <v>197</v>
      </c>
      <c r="F53" t="s">
        <v>197</v>
      </c>
      <c r="G53" t="s">
        <v>197</v>
      </c>
      <c r="H53" t="s">
        <v>197</v>
      </c>
      <c r="I53" t="s">
        <v>522</v>
      </c>
      <c r="J53" t="s">
        <v>199</v>
      </c>
      <c r="K53" t="s">
        <v>200</v>
      </c>
    </row>
    <row r="54" spans="1:24">
      <c r="B54" t="s">
        <v>197</v>
      </c>
      <c r="C54" t="s">
        <v>197</v>
      </c>
      <c r="D54" t="s">
        <v>197</v>
      </c>
      <c r="E54" t="s">
        <v>197</v>
      </c>
      <c r="F54" t="s">
        <v>197</v>
      </c>
      <c r="G54" t="s">
        <v>197</v>
      </c>
      <c r="H54" t="s">
        <v>197</v>
      </c>
      <c r="I54" t="s">
        <v>197</v>
      </c>
      <c r="J54" t="s">
        <v>197</v>
      </c>
      <c r="K54" t="s">
        <v>301</v>
      </c>
    </row>
    <row r="55" spans="1:24">
      <c r="B55" t="s">
        <v>197</v>
      </c>
      <c r="C55" t="s">
        <v>197</v>
      </c>
      <c r="D55" t="s">
        <v>197</v>
      </c>
      <c r="E55" t="s">
        <v>197</v>
      </c>
      <c r="F55" t="s">
        <v>197</v>
      </c>
      <c r="G55" t="s">
        <v>197</v>
      </c>
      <c r="H55" t="s">
        <v>197</v>
      </c>
      <c r="I55" t="s">
        <v>197</v>
      </c>
      <c r="J55" t="s">
        <v>197</v>
      </c>
      <c r="K55" t="s">
        <v>314</v>
      </c>
    </row>
    <row r="56" spans="1:24">
      <c r="B56" t="s">
        <v>197</v>
      </c>
      <c r="C56" t="s">
        <v>197</v>
      </c>
      <c r="D56" t="s">
        <v>197</v>
      </c>
      <c r="E56" t="s">
        <v>197</v>
      </c>
      <c r="F56" t="s">
        <v>197</v>
      </c>
      <c r="G56" t="s">
        <v>197</v>
      </c>
      <c r="H56" t="s">
        <v>197</v>
      </c>
      <c r="I56" t="s">
        <v>197</v>
      </c>
      <c r="J56" t="s">
        <v>197</v>
      </c>
      <c r="K56" t="s">
        <v>324</v>
      </c>
    </row>
    <row r="57" spans="1:24">
      <c r="B57" t="s">
        <v>197</v>
      </c>
      <c r="C57" t="s">
        <v>197</v>
      </c>
      <c r="D57" t="s">
        <v>197</v>
      </c>
      <c r="E57" t="s">
        <v>197</v>
      </c>
      <c r="F57" t="s">
        <v>197</v>
      </c>
      <c r="G57" t="s">
        <v>197</v>
      </c>
      <c r="H57" t="s">
        <v>197</v>
      </c>
      <c r="I57" t="s">
        <v>197</v>
      </c>
      <c r="J57" t="s">
        <v>197</v>
      </c>
      <c r="K57" t="s">
        <v>335</v>
      </c>
    </row>
    <row r="58" spans="1:24">
      <c r="B58" t="s">
        <v>197</v>
      </c>
      <c r="C58" t="s">
        <v>197</v>
      </c>
      <c r="D58" t="s">
        <v>197</v>
      </c>
      <c r="E58" t="s">
        <v>197</v>
      </c>
      <c r="F58" t="s">
        <v>197</v>
      </c>
      <c r="G58" t="s">
        <v>197</v>
      </c>
      <c r="H58" t="s">
        <v>197</v>
      </c>
      <c r="I58" t="s">
        <v>197</v>
      </c>
      <c r="J58" t="s">
        <v>197</v>
      </c>
      <c r="K58" t="s">
        <v>350</v>
      </c>
    </row>
    <row r="59" spans="1:24">
      <c r="B59" t="s">
        <v>197</v>
      </c>
      <c r="C59" t="s">
        <v>197</v>
      </c>
      <c r="D59" t="s">
        <v>197</v>
      </c>
      <c r="E59" t="s">
        <v>197</v>
      </c>
      <c r="F59" t="s">
        <v>197</v>
      </c>
      <c r="G59" t="s">
        <v>197</v>
      </c>
      <c r="H59" t="s">
        <v>197</v>
      </c>
      <c r="I59" t="s">
        <v>197</v>
      </c>
      <c r="J59" t="s">
        <v>197</v>
      </c>
      <c r="K59" t="s">
        <v>360</v>
      </c>
    </row>
    <row r="60" spans="1:24">
      <c r="B60" t="s">
        <v>197</v>
      </c>
      <c r="C60" t="s">
        <v>197</v>
      </c>
      <c r="D60" t="s">
        <v>197</v>
      </c>
      <c r="E60" t="s">
        <v>197</v>
      </c>
      <c r="F60" t="s">
        <v>197</v>
      </c>
      <c r="G60" t="s">
        <v>197</v>
      </c>
      <c r="H60" t="s">
        <v>197</v>
      </c>
      <c r="I60" t="s">
        <v>197</v>
      </c>
      <c r="J60" t="s">
        <v>197</v>
      </c>
      <c r="K60" t="s">
        <v>367</v>
      </c>
    </row>
    <row r="61" spans="1:24">
      <c r="B61" t="s">
        <v>197</v>
      </c>
      <c r="C61" t="s">
        <v>197</v>
      </c>
      <c r="D61" t="s">
        <v>197</v>
      </c>
      <c r="E61" t="s">
        <v>197</v>
      </c>
      <c r="F61" t="s">
        <v>197</v>
      </c>
      <c r="G61" t="s">
        <v>197</v>
      </c>
      <c r="H61" t="s">
        <v>197</v>
      </c>
      <c r="I61" t="s">
        <v>197</v>
      </c>
      <c r="J61" t="s">
        <v>197</v>
      </c>
      <c r="K61" t="s">
        <v>373</v>
      </c>
    </row>
    <row r="62" spans="1:24">
      <c r="A62" t="s">
        <v>510</v>
      </c>
      <c r="K62" t="s">
        <v>511</v>
      </c>
      <c r="W62" t="s">
        <v>171</v>
      </c>
      <c r="X62" t="str">
        <f>A62</f>
        <v>info_nchar_dml_single_pk_irp</v>
      </c>
    </row>
    <row r="63" spans="1:24">
      <c r="B63" t="s">
        <v>196</v>
      </c>
      <c r="C63" t="s">
        <v>197</v>
      </c>
      <c r="D63" t="s">
        <v>197</v>
      </c>
      <c r="E63" t="s">
        <v>197</v>
      </c>
      <c r="F63" t="s">
        <v>197</v>
      </c>
      <c r="G63" t="s">
        <v>197</v>
      </c>
      <c r="H63" t="s">
        <v>197</v>
      </c>
      <c r="I63" t="s">
        <v>512</v>
      </c>
      <c r="J63" t="s">
        <v>199</v>
      </c>
      <c r="K63" t="s">
        <v>200</v>
      </c>
    </row>
    <row r="64" spans="1:24">
      <c r="B64" t="s">
        <v>197</v>
      </c>
      <c r="C64" t="s">
        <v>197</v>
      </c>
      <c r="D64" t="s">
        <v>197</v>
      </c>
      <c r="E64" t="s">
        <v>197</v>
      </c>
      <c r="F64" t="s">
        <v>197</v>
      </c>
      <c r="G64" t="s">
        <v>197</v>
      </c>
      <c r="H64" t="s">
        <v>197</v>
      </c>
      <c r="I64" t="s">
        <v>197</v>
      </c>
      <c r="J64" t="s">
        <v>197</v>
      </c>
      <c r="K64" t="s">
        <v>514</v>
      </c>
    </row>
    <row r="65" spans="1:24">
      <c r="B65" t="s">
        <v>197</v>
      </c>
      <c r="C65" t="s">
        <v>197</v>
      </c>
      <c r="D65" t="s">
        <v>197</v>
      </c>
      <c r="E65" t="s">
        <v>197</v>
      </c>
      <c r="F65" t="s">
        <v>197</v>
      </c>
      <c r="G65" t="s">
        <v>197</v>
      </c>
      <c r="H65" t="s">
        <v>197</v>
      </c>
      <c r="I65" t="s">
        <v>197</v>
      </c>
      <c r="J65" t="s">
        <v>197</v>
      </c>
      <c r="K65" t="s">
        <v>516</v>
      </c>
    </row>
    <row r="66" spans="1:24">
      <c r="B66" t="s">
        <v>197</v>
      </c>
      <c r="C66" t="s">
        <v>197</v>
      </c>
      <c r="D66" t="s">
        <v>197</v>
      </c>
      <c r="E66" t="s">
        <v>197</v>
      </c>
      <c r="F66" t="s">
        <v>197</v>
      </c>
      <c r="G66" t="s">
        <v>197</v>
      </c>
      <c r="H66" t="s">
        <v>197</v>
      </c>
      <c r="I66" t="s">
        <v>197</v>
      </c>
      <c r="J66" t="s">
        <v>197</v>
      </c>
      <c r="K66" t="s">
        <v>517</v>
      </c>
    </row>
    <row r="67" spans="1:24">
      <c r="A67" t="s">
        <v>528</v>
      </c>
      <c r="K67" t="s">
        <v>529</v>
      </c>
      <c r="W67" t="s">
        <v>171</v>
      </c>
      <c r="X67" t="str">
        <f>A67</f>
        <v>info_text_dml_single_pk_urp</v>
      </c>
    </row>
    <row r="68" spans="1:24">
      <c r="B68" t="s">
        <v>196</v>
      </c>
      <c r="C68" t="s">
        <v>197</v>
      </c>
      <c r="D68" t="s">
        <v>197</v>
      </c>
      <c r="E68" t="s">
        <v>197</v>
      </c>
      <c r="F68" t="s">
        <v>197</v>
      </c>
      <c r="G68" t="s">
        <v>197</v>
      </c>
      <c r="H68" t="s">
        <v>197</v>
      </c>
      <c r="I68" t="s">
        <v>530</v>
      </c>
      <c r="J68" t="s">
        <v>199</v>
      </c>
      <c r="K68" t="s">
        <v>200</v>
      </c>
    </row>
    <row r="69" spans="1:24">
      <c r="B69" t="s">
        <v>197</v>
      </c>
      <c r="C69" t="s">
        <v>197</v>
      </c>
      <c r="D69" t="s">
        <v>197</v>
      </c>
      <c r="E69" t="s">
        <v>197</v>
      </c>
      <c r="F69" t="s">
        <v>197</v>
      </c>
      <c r="G69" t="s">
        <v>197</v>
      </c>
      <c r="H69" t="s">
        <v>197</v>
      </c>
      <c r="I69" t="s">
        <v>197</v>
      </c>
      <c r="J69" t="s">
        <v>197</v>
      </c>
      <c r="K69" t="s">
        <v>229</v>
      </c>
    </row>
    <row r="70" spans="1:24">
      <c r="B70" t="s">
        <v>197</v>
      </c>
      <c r="C70" t="s">
        <v>197</v>
      </c>
      <c r="D70" t="s">
        <v>197</v>
      </c>
      <c r="E70" t="s">
        <v>197</v>
      </c>
      <c r="F70" t="s">
        <v>197</v>
      </c>
      <c r="G70" t="s">
        <v>197</v>
      </c>
      <c r="H70" t="s">
        <v>197</v>
      </c>
      <c r="I70" t="s">
        <v>197</v>
      </c>
      <c r="J70" t="s">
        <v>197</v>
      </c>
      <c r="K70" t="s">
        <v>251</v>
      </c>
    </row>
    <row r="71" spans="1:24">
      <c r="A71" t="s">
        <v>531</v>
      </c>
      <c r="K71" t="s">
        <v>532</v>
      </c>
      <c r="W71" s="1" t="str">
        <f>HYPERLINK("#2026042016hbase0!Z2","NO 源备存在差异，共10个")</f>
        <v>NO 源备存在差异，共10个</v>
      </c>
      <c r="X71" t="str">
        <f>A71</f>
        <v>info_geometry_dml_single_pk_urp</v>
      </c>
    </row>
    <row r="72" spans="1:24">
      <c r="B72" t="s">
        <v>196</v>
      </c>
      <c r="C72" t="s">
        <v>197</v>
      </c>
      <c r="D72" t="s">
        <v>197</v>
      </c>
      <c r="E72" t="s">
        <v>197</v>
      </c>
      <c r="F72" t="s">
        <v>197</v>
      </c>
      <c r="G72" t="s">
        <v>197</v>
      </c>
      <c r="H72" t="s">
        <v>197</v>
      </c>
      <c r="I72" t="s">
        <v>533</v>
      </c>
      <c r="J72" t="s">
        <v>199</v>
      </c>
      <c r="K72" t="s">
        <v>200</v>
      </c>
    </row>
    <row r="73" spans="1:24">
      <c r="B73" t="s">
        <v>197</v>
      </c>
      <c r="C73" t="s">
        <v>197</v>
      </c>
      <c r="D73" t="s">
        <v>197</v>
      </c>
      <c r="E73" t="s">
        <v>197</v>
      </c>
      <c r="F73" t="s">
        <v>197</v>
      </c>
      <c r="G73" t="s">
        <v>197</v>
      </c>
      <c r="H73" t="s">
        <v>197</v>
      </c>
      <c r="I73" t="s">
        <v>197</v>
      </c>
      <c r="J73" t="s">
        <v>197</v>
      </c>
      <c r="K73" t="s">
        <v>393</v>
      </c>
    </row>
    <row r="74" spans="1:24">
      <c r="A74" t="s">
        <v>534</v>
      </c>
      <c r="K74" t="s">
        <v>535</v>
      </c>
      <c r="W74" t="s">
        <v>171</v>
      </c>
      <c r="X74" t="str">
        <f>A74</f>
        <v>info_sdt_dml_batch1_pk_drp2</v>
      </c>
    </row>
    <row r="75" spans="1:24">
      <c r="B75" t="s">
        <v>196</v>
      </c>
      <c r="C75" t="s">
        <v>197</v>
      </c>
      <c r="D75" t="s">
        <v>197</v>
      </c>
      <c r="E75" t="s">
        <v>197</v>
      </c>
      <c r="F75" t="s">
        <v>197</v>
      </c>
      <c r="G75" t="s">
        <v>197</v>
      </c>
      <c r="H75" t="s">
        <v>197</v>
      </c>
      <c r="I75" t="s">
        <v>536</v>
      </c>
      <c r="J75" t="s">
        <v>199</v>
      </c>
      <c r="K75" t="s">
        <v>200</v>
      </c>
    </row>
    <row r="76" spans="1:24">
      <c r="B76" t="s">
        <v>197</v>
      </c>
      <c r="C76" t="s">
        <v>197</v>
      </c>
      <c r="D76" t="s">
        <v>197</v>
      </c>
      <c r="E76" t="s">
        <v>197</v>
      </c>
      <c r="F76" t="s">
        <v>197</v>
      </c>
      <c r="G76" t="s">
        <v>197</v>
      </c>
      <c r="H76" t="s">
        <v>197</v>
      </c>
      <c r="I76" t="s">
        <v>197</v>
      </c>
      <c r="J76" t="s">
        <v>197</v>
      </c>
      <c r="K76" t="s">
        <v>422</v>
      </c>
    </row>
    <row r="77" spans="1:24">
      <c r="A77" t="s">
        <v>537</v>
      </c>
      <c r="K77" t="s">
        <v>538</v>
      </c>
      <c r="W77" t="s">
        <v>171</v>
      </c>
      <c r="X77" t="str">
        <f>A77</f>
        <v>info_nvarchar_dml_batch2_pk_urp2</v>
      </c>
    </row>
    <row r="78" spans="1:24">
      <c r="B78" t="s">
        <v>196</v>
      </c>
      <c r="C78" t="s">
        <v>197</v>
      </c>
      <c r="D78" t="s">
        <v>197</v>
      </c>
      <c r="E78" t="s">
        <v>197</v>
      </c>
      <c r="F78" t="s">
        <v>197</v>
      </c>
      <c r="G78" t="s">
        <v>197</v>
      </c>
      <c r="H78" t="s">
        <v>197</v>
      </c>
      <c r="I78" t="s">
        <v>539</v>
      </c>
      <c r="J78" t="s">
        <v>199</v>
      </c>
      <c r="K78" t="s">
        <v>200</v>
      </c>
    </row>
    <row r="79" spans="1:24">
      <c r="B79" t="s">
        <v>197</v>
      </c>
      <c r="C79" t="s">
        <v>197</v>
      </c>
      <c r="D79" t="s">
        <v>197</v>
      </c>
      <c r="E79" t="s">
        <v>197</v>
      </c>
      <c r="F79" t="s">
        <v>197</v>
      </c>
      <c r="G79" t="s">
        <v>197</v>
      </c>
      <c r="H79" t="s">
        <v>197</v>
      </c>
      <c r="I79" t="s">
        <v>197</v>
      </c>
      <c r="J79" t="s">
        <v>197</v>
      </c>
      <c r="K79" t="s">
        <v>408</v>
      </c>
    </row>
    <row r="80" spans="1:24">
      <c r="B80" t="s">
        <v>197</v>
      </c>
      <c r="C80" t="s">
        <v>197</v>
      </c>
      <c r="D80" t="s">
        <v>197</v>
      </c>
      <c r="E80" t="s">
        <v>197</v>
      </c>
      <c r="F80" t="s">
        <v>197</v>
      </c>
      <c r="G80" t="s">
        <v>197</v>
      </c>
      <c r="H80" t="s">
        <v>197</v>
      </c>
      <c r="I80" t="s">
        <v>197</v>
      </c>
      <c r="J80" t="s">
        <v>197</v>
      </c>
      <c r="K80" t="s">
        <v>412</v>
      </c>
    </row>
    <row r="81" spans="1:24">
      <c r="B81" t="s">
        <v>197</v>
      </c>
      <c r="C81" t="s">
        <v>197</v>
      </c>
      <c r="D81" t="s">
        <v>197</v>
      </c>
      <c r="E81" t="s">
        <v>197</v>
      </c>
      <c r="F81" t="s">
        <v>197</v>
      </c>
      <c r="G81" t="s">
        <v>197</v>
      </c>
      <c r="H81" t="s">
        <v>197</v>
      </c>
      <c r="I81" t="s">
        <v>197</v>
      </c>
      <c r="J81" t="s">
        <v>197</v>
      </c>
      <c r="K81" t="s">
        <v>416</v>
      </c>
    </row>
    <row r="82" spans="1:24">
      <c r="A82" t="s">
        <v>540</v>
      </c>
      <c r="K82" t="s">
        <v>541</v>
      </c>
      <c r="W82" t="s">
        <v>171</v>
      </c>
      <c r="X82" t="str">
        <f>A82</f>
        <v>info_varchar_dml_batch1_pk_drp2</v>
      </c>
    </row>
    <row r="83" spans="1:24">
      <c r="B83" t="s">
        <v>196</v>
      </c>
      <c r="C83" t="s">
        <v>197</v>
      </c>
      <c r="D83" t="s">
        <v>197</v>
      </c>
      <c r="E83" t="s">
        <v>197</v>
      </c>
      <c r="F83" t="s">
        <v>197</v>
      </c>
      <c r="G83" t="s">
        <v>197</v>
      </c>
      <c r="H83" t="s">
        <v>197</v>
      </c>
      <c r="I83" t="s">
        <v>542</v>
      </c>
      <c r="J83" t="s">
        <v>199</v>
      </c>
      <c r="K83" t="s">
        <v>200</v>
      </c>
    </row>
    <row r="84" spans="1:24">
      <c r="B84" t="s">
        <v>197</v>
      </c>
      <c r="C84" t="s">
        <v>197</v>
      </c>
      <c r="D84" t="s">
        <v>197</v>
      </c>
      <c r="E84" t="s">
        <v>197</v>
      </c>
      <c r="F84" t="s">
        <v>197</v>
      </c>
      <c r="G84" t="s">
        <v>197</v>
      </c>
      <c r="H84" t="s">
        <v>197</v>
      </c>
      <c r="I84" t="s">
        <v>197</v>
      </c>
      <c r="J84" t="s">
        <v>197</v>
      </c>
      <c r="K84" t="s">
        <v>431</v>
      </c>
    </row>
    <row r="85" spans="1:24">
      <c r="B85" t="s">
        <v>197</v>
      </c>
      <c r="C85" t="s">
        <v>197</v>
      </c>
      <c r="D85" t="s">
        <v>197</v>
      </c>
      <c r="E85" t="s">
        <v>197</v>
      </c>
      <c r="F85" t="s">
        <v>197</v>
      </c>
      <c r="G85" t="s">
        <v>197</v>
      </c>
      <c r="H85" t="s">
        <v>197</v>
      </c>
      <c r="I85" t="s">
        <v>197</v>
      </c>
      <c r="J85" t="s">
        <v>197</v>
      </c>
      <c r="K85" t="s">
        <v>434</v>
      </c>
    </row>
    <row r="86" spans="1:24">
      <c r="B86" t="s">
        <v>197</v>
      </c>
      <c r="C86" t="s">
        <v>197</v>
      </c>
      <c r="D86" t="s">
        <v>197</v>
      </c>
      <c r="E86" t="s">
        <v>197</v>
      </c>
      <c r="F86" t="s">
        <v>197</v>
      </c>
      <c r="G86" t="s">
        <v>197</v>
      </c>
      <c r="H86" t="s">
        <v>197</v>
      </c>
      <c r="I86" t="s">
        <v>197</v>
      </c>
      <c r="J86" t="s">
        <v>197</v>
      </c>
      <c r="K86" t="s">
        <v>439</v>
      </c>
    </row>
    <row r="87" spans="1:24">
      <c r="A87" t="s">
        <v>543</v>
      </c>
      <c r="K87" t="s">
        <v>544</v>
      </c>
      <c r="W87" t="s">
        <v>171</v>
      </c>
      <c r="X87" t="str">
        <f>A87</f>
        <v>info_sdt_dml_batch1_pk</v>
      </c>
    </row>
    <row r="88" spans="1:24">
      <c r="B88" t="s">
        <v>196</v>
      </c>
      <c r="C88" t="s">
        <v>197</v>
      </c>
      <c r="D88" t="s">
        <v>197</v>
      </c>
      <c r="E88" t="s">
        <v>197</v>
      </c>
      <c r="F88" t="s">
        <v>197</v>
      </c>
      <c r="G88" t="s">
        <v>197</v>
      </c>
      <c r="H88" t="s">
        <v>197</v>
      </c>
      <c r="I88" t="s">
        <v>545</v>
      </c>
      <c r="J88" t="s">
        <v>199</v>
      </c>
      <c r="K88" t="s">
        <v>200</v>
      </c>
    </row>
    <row r="89" spans="1:24">
      <c r="B89" t="s">
        <v>197</v>
      </c>
      <c r="C89" t="s">
        <v>197</v>
      </c>
      <c r="D89" t="s">
        <v>197</v>
      </c>
      <c r="E89" t="s">
        <v>197</v>
      </c>
      <c r="F89" t="s">
        <v>197</v>
      </c>
      <c r="G89" t="s">
        <v>197</v>
      </c>
      <c r="H89" t="s">
        <v>197</v>
      </c>
      <c r="I89" t="s">
        <v>197</v>
      </c>
      <c r="J89" t="s">
        <v>197</v>
      </c>
      <c r="K89" t="s">
        <v>422</v>
      </c>
    </row>
    <row r="90" spans="1:24">
      <c r="A90" t="s">
        <v>546</v>
      </c>
      <c r="K90" t="s">
        <v>547</v>
      </c>
      <c r="W90" s="1" t="str">
        <f>HYPERLINK("#2026042016hbase0!AA2","NO 源备存在差异，共40个")</f>
        <v>NO 源备存在差异，共40个</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568</v>
      </c>
      <c r="K111" t="s">
        <v>569</v>
      </c>
      <c r="W111" s="1" t="str">
        <f>HYPERLINK("#2026042016hbase0!AB2","NO 源备存在差异，共4个")</f>
        <v>NO 源备存在差异，共4个</v>
      </c>
      <c r="X111" t="str">
        <f>A111</f>
        <v>info_xml_dml_single_pk_urp</v>
      </c>
    </row>
    <row r="112" spans="1:24">
      <c r="B112" t="s">
        <v>196</v>
      </c>
      <c r="C112" t="s">
        <v>197</v>
      </c>
      <c r="D112" t="s">
        <v>197</v>
      </c>
      <c r="E112" t="s">
        <v>197</v>
      </c>
      <c r="F112" t="s">
        <v>197</v>
      </c>
      <c r="G112" t="s">
        <v>197</v>
      </c>
      <c r="H112" t="s">
        <v>197</v>
      </c>
      <c r="I112" t="s">
        <v>570</v>
      </c>
      <c r="J112" t="s">
        <v>199</v>
      </c>
      <c r="K112" t="s">
        <v>200</v>
      </c>
    </row>
    <row r="113" spans="1:24">
      <c r="B113" t="s">
        <v>197</v>
      </c>
      <c r="C113" t="s">
        <v>197</v>
      </c>
      <c r="D113" t="s">
        <v>197</v>
      </c>
      <c r="E113" t="s">
        <v>197</v>
      </c>
      <c r="F113" t="s">
        <v>197</v>
      </c>
      <c r="G113" t="s">
        <v>197</v>
      </c>
      <c r="H113" t="s">
        <v>197</v>
      </c>
      <c r="I113" t="s">
        <v>197</v>
      </c>
      <c r="J113" t="s">
        <v>197</v>
      </c>
      <c r="K113" t="s">
        <v>472</v>
      </c>
    </row>
    <row r="114" spans="1:24">
      <c r="A114" t="s">
        <v>571</v>
      </c>
      <c r="K114" t="s">
        <v>572</v>
      </c>
      <c r="W114" t="s">
        <v>171</v>
      </c>
      <c r="X114" t="str">
        <f>A114</f>
        <v>info_datetime_dml_batch1_pk_irp1</v>
      </c>
    </row>
    <row r="115" spans="1:24">
      <c r="B115" t="s">
        <v>196</v>
      </c>
      <c r="C115" t="s">
        <v>197</v>
      </c>
      <c r="D115" t="s">
        <v>197</v>
      </c>
      <c r="E115" t="s">
        <v>197</v>
      </c>
      <c r="F115" t="s">
        <v>197</v>
      </c>
      <c r="G115" t="s">
        <v>197</v>
      </c>
      <c r="H115" t="s">
        <v>197</v>
      </c>
      <c r="I115" t="s">
        <v>573</v>
      </c>
      <c r="J115" t="s">
        <v>199</v>
      </c>
      <c r="K115" t="s">
        <v>200</v>
      </c>
    </row>
    <row r="116" spans="1:24">
      <c r="B116" t="s">
        <v>197</v>
      </c>
      <c r="C116" t="s">
        <v>197</v>
      </c>
      <c r="D116" t="s">
        <v>197</v>
      </c>
      <c r="E116" t="s">
        <v>197</v>
      </c>
      <c r="F116" t="s">
        <v>197</v>
      </c>
      <c r="G116" t="s">
        <v>197</v>
      </c>
      <c r="H116" t="s">
        <v>197</v>
      </c>
      <c r="I116" t="s">
        <v>197</v>
      </c>
      <c r="J116" t="s">
        <v>197</v>
      </c>
      <c r="K116" t="s">
        <v>574</v>
      </c>
    </row>
    <row r="117" spans="1:24">
      <c r="A117" t="s">
        <v>575</v>
      </c>
      <c r="K117" t="s">
        <v>576</v>
      </c>
      <c r="W117" t="s">
        <v>171</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593</v>
      </c>
      <c r="K148" t="s">
        <v>594</v>
      </c>
      <c r="W148" s="1" t="str">
        <f>HYPERLINK("#2026042016hbase0!AC2","NO 源备存在差异，共40个")</f>
        <v>NO 源备存在差异，共40个</v>
      </c>
      <c r="X148" t="str">
        <f>A148</f>
        <v>info_int_dml_batch1_pk_urp2</v>
      </c>
    </row>
    <row r="149" spans="1:24">
      <c r="B149" t="s">
        <v>196</v>
      </c>
      <c r="C149" t="s">
        <v>197</v>
      </c>
      <c r="D149" t="s">
        <v>197</v>
      </c>
      <c r="E149" t="s">
        <v>197</v>
      </c>
      <c r="F149" t="s">
        <v>197</v>
      </c>
      <c r="G149" t="s">
        <v>197</v>
      </c>
      <c r="H149" t="s">
        <v>197</v>
      </c>
      <c r="I149" t="s">
        <v>595</v>
      </c>
      <c r="J149" t="s">
        <v>199</v>
      </c>
      <c r="K149" t="s">
        <v>200</v>
      </c>
    </row>
    <row r="150" spans="1:24">
      <c r="B150" t="s">
        <v>197</v>
      </c>
      <c r="C150" t="s">
        <v>197</v>
      </c>
      <c r="D150" t="s">
        <v>197</v>
      </c>
      <c r="E150" t="s">
        <v>197</v>
      </c>
      <c r="F150" t="s">
        <v>197</v>
      </c>
      <c r="G150" t="s">
        <v>197</v>
      </c>
      <c r="H150" t="s">
        <v>197</v>
      </c>
      <c r="I150" t="s">
        <v>197</v>
      </c>
      <c r="J150" t="s">
        <v>197</v>
      </c>
      <c r="K150" t="s">
        <v>549</v>
      </c>
    </row>
    <row r="151" spans="1:24">
      <c r="B151" t="s">
        <v>197</v>
      </c>
      <c r="C151" t="s">
        <v>197</v>
      </c>
      <c r="D151" t="s">
        <v>197</v>
      </c>
      <c r="E151" t="s">
        <v>197</v>
      </c>
      <c r="F151" t="s">
        <v>197</v>
      </c>
      <c r="G151" t="s">
        <v>197</v>
      </c>
      <c r="H151" t="s">
        <v>197</v>
      </c>
      <c r="I151" t="s">
        <v>197</v>
      </c>
      <c r="J151" t="s">
        <v>197</v>
      </c>
      <c r="K151" t="s">
        <v>550</v>
      </c>
    </row>
    <row r="152" spans="1:24">
      <c r="B152" t="s">
        <v>197</v>
      </c>
      <c r="C152" t="s">
        <v>197</v>
      </c>
      <c r="D152" t="s">
        <v>197</v>
      </c>
      <c r="E152" t="s">
        <v>197</v>
      </c>
      <c r="F152" t="s">
        <v>197</v>
      </c>
      <c r="G152" t="s">
        <v>197</v>
      </c>
      <c r="H152" t="s">
        <v>197</v>
      </c>
      <c r="I152" t="s">
        <v>197</v>
      </c>
      <c r="J152" t="s">
        <v>197</v>
      </c>
      <c r="K152" t="s">
        <v>551</v>
      </c>
    </row>
    <row r="153" spans="1:24">
      <c r="B153" t="s">
        <v>197</v>
      </c>
      <c r="C153" t="s">
        <v>197</v>
      </c>
      <c r="D153" t="s">
        <v>197</v>
      </c>
      <c r="E153" t="s">
        <v>197</v>
      </c>
      <c r="F153" t="s">
        <v>197</v>
      </c>
      <c r="G153" t="s">
        <v>197</v>
      </c>
      <c r="H153" t="s">
        <v>197</v>
      </c>
      <c r="I153" t="s">
        <v>197</v>
      </c>
      <c r="J153" t="s">
        <v>197</v>
      </c>
      <c r="K153" t="s">
        <v>552</v>
      </c>
    </row>
    <row r="154" spans="1:24">
      <c r="B154" t="s">
        <v>197</v>
      </c>
      <c r="C154" t="s">
        <v>197</v>
      </c>
      <c r="D154" t="s">
        <v>197</v>
      </c>
      <c r="E154" t="s">
        <v>197</v>
      </c>
      <c r="F154" t="s">
        <v>197</v>
      </c>
      <c r="G154" t="s">
        <v>197</v>
      </c>
      <c r="H154" t="s">
        <v>197</v>
      </c>
      <c r="I154" t="s">
        <v>197</v>
      </c>
      <c r="J154" t="s">
        <v>197</v>
      </c>
      <c r="K154" t="s">
        <v>553</v>
      </c>
    </row>
    <row r="155" spans="1:24">
      <c r="B155" t="s">
        <v>197</v>
      </c>
      <c r="C155" t="s">
        <v>197</v>
      </c>
      <c r="D155" t="s">
        <v>197</v>
      </c>
      <c r="E155" t="s">
        <v>197</v>
      </c>
      <c r="F155" t="s">
        <v>197</v>
      </c>
      <c r="G155" t="s">
        <v>197</v>
      </c>
      <c r="H155" t="s">
        <v>197</v>
      </c>
      <c r="I155" t="s">
        <v>197</v>
      </c>
      <c r="J155" t="s">
        <v>197</v>
      </c>
      <c r="K155" t="s">
        <v>554</v>
      </c>
    </row>
    <row r="156" spans="1:24">
      <c r="B156" t="s">
        <v>197</v>
      </c>
      <c r="C156" t="s">
        <v>197</v>
      </c>
      <c r="D156" t="s">
        <v>197</v>
      </c>
      <c r="E156" t="s">
        <v>197</v>
      </c>
      <c r="F156" t="s">
        <v>197</v>
      </c>
      <c r="G156" t="s">
        <v>197</v>
      </c>
      <c r="H156" t="s">
        <v>197</v>
      </c>
      <c r="I156" t="s">
        <v>197</v>
      </c>
      <c r="J156" t="s">
        <v>197</v>
      </c>
      <c r="K156" t="s">
        <v>555</v>
      </c>
    </row>
    <row r="157" spans="1:24">
      <c r="B157" t="s">
        <v>197</v>
      </c>
      <c r="C157" t="s">
        <v>197</v>
      </c>
      <c r="D157" t="s">
        <v>197</v>
      </c>
      <c r="E157" t="s">
        <v>197</v>
      </c>
      <c r="F157" t="s">
        <v>197</v>
      </c>
      <c r="G157" t="s">
        <v>197</v>
      </c>
      <c r="H157" t="s">
        <v>197</v>
      </c>
      <c r="I157" t="s">
        <v>197</v>
      </c>
      <c r="J157" t="s">
        <v>197</v>
      </c>
      <c r="K157" t="s">
        <v>556</v>
      </c>
    </row>
    <row r="158" spans="1:24">
      <c r="B158" t="s">
        <v>197</v>
      </c>
      <c r="C158" t="s">
        <v>197</v>
      </c>
      <c r="D158" t="s">
        <v>197</v>
      </c>
      <c r="E158" t="s">
        <v>197</v>
      </c>
      <c r="F158" t="s">
        <v>197</v>
      </c>
      <c r="G158" t="s">
        <v>197</v>
      </c>
      <c r="H158" t="s">
        <v>197</v>
      </c>
      <c r="I158" t="s">
        <v>197</v>
      </c>
      <c r="J158" t="s">
        <v>197</v>
      </c>
      <c r="K158" t="s">
        <v>557</v>
      </c>
    </row>
    <row r="159" spans="1:24">
      <c r="B159" t="s">
        <v>197</v>
      </c>
      <c r="C159" t="s">
        <v>197</v>
      </c>
      <c r="D159" t="s">
        <v>197</v>
      </c>
      <c r="E159" t="s">
        <v>197</v>
      </c>
      <c r="F159" t="s">
        <v>197</v>
      </c>
      <c r="G159" t="s">
        <v>197</v>
      </c>
      <c r="H159" t="s">
        <v>197</v>
      </c>
      <c r="I159" t="s">
        <v>197</v>
      </c>
      <c r="J159" t="s">
        <v>197</v>
      </c>
      <c r="K159" t="s">
        <v>558</v>
      </c>
    </row>
    <row r="160" spans="1:24">
      <c r="B160" t="s">
        <v>197</v>
      </c>
      <c r="C160" t="s">
        <v>197</v>
      </c>
      <c r="D160" t="s">
        <v>197</v>
      </c>
      <c r="E160" t="s">
        <v>197</v>
      </c>
      <c r="F160" t="s">
        <v>197</v>
      </c>
      <c r="G160" t="s">
        <v>197</v>
      </c>
      <c r="H160" t="s">
        <v>197</v>
      </c>
      <c r="I160" t="s">
        <v>197</v>
      </c>
      <c r="J160" t="s">
        <v>197</v>
      </c>
      <c r="K160" t="s">
        <v>559</v>
      </c>
    </row>
    <row r="161" spans="1:24">
      <c r="B161" t="s">
        <v>197</v>
      </c>
      <c r="C161" t="s">
        <v>197</v>
      </c>
      <c r="D161" t="s">
        <v>197</v>
      </c>
      <c r="E161" t="s">
        <v>197</v>
      </c>
      <c r="F161" t="s">
        <v>197</v>
      </c>
      <c r="G161" t="s">
        <v>197</v>
      </c>
      <c r="H161" t="s">
        <v>197</v>
      </c>
      <c r="I161" t="s">
        <v>197</v>
      </c>
      <c r="J161" t="s">
        <v>197</v>
      </c>
      <c r="K161" t="s">
        <v>560</v>
      </c>
    </row>
    <row r="162" spans="1:24">
      <c r="B162" t="s">
        <v>197</v>
      </c>
      <c r="C162" t="s">
        <v>197</v>
      </c>
      <c r="D162" t="s">
        <v>197</v>
      </c>
      <c r="E162" t="s">
        <v>197</v>
      </c>
      <c r="F162" t="s">
        <v>197</v>
      </c>
      <c r="G162" t="s">
        <v>197</v>
      </c>
      <c r="H162" t="s">
        <v>197</v>
      </c>
      <c r="I162" t="s">
        <v>197</v>
      </c>
      <c r="J162" t="s">
        <v>197</v>
      </c>
      <c r="K162" t="s">
        <v>561</v>
      </c>
    </row>
    <row r="163" spans="1:24">
      <c r="B163" t="s">
        <v>197</v>
      </c>
      <c r="C163" t="s">
        <v>197</v>
      </c>
      <c r="D163" t="s">
        <v>197</v>
      </c>
      <c r="E163" t="s">
        <v>197</v>
      </c>
      <c r="F163" t="s">
        <v>197</v>
      </c>
      <c r="G163" t="s">
        <v>197</v>
      </c>
      <c r="H163" t="s">
        <v>197</v>
      </c>
      <c r="I163" t="s">
        <v>197</v>
      </c>
      <c r="J163" t="s">
        <v>197</v>
      </c>
      <c r="K163" t="s">
        <v>562</v>
      </c>
    </row>
    <row r="164" spans="1:24">
      <c r="B164" t="s">
        <v>197</v>
      </c>
      <c r="C164" t="s">
        <v>197</v>
      </c>
      <c r="D164" t="s">
        <v>197</v>
      </c>
      <c r="E164" t="s">
        <v>197</v>
      </c>
      <c r="F164" t="s">
        <v>197</v>
      </c>
      <c r="G164" t="s">
        <v>197</v>
      </c>
      <c r="H164" t="s">
        <v>197</v>
      </c>
      <c r="I164" t="s">
        <v>197</v>
      </c>
      <c r="J164" t="s">
        <v>197</v>
      </c>
      <c r="K164" t="s">
        <v>563</v>
      </c>
    </row>
    <row r="165" spans="1:24">
      <c r="B165" t="s">
        <v>197</v>
      </c>
      <c r="C165" t="s">
        <v>197</v>
      </c>
      <c r="D165" t="s">
        <v>197</v>
      </c>
      <c r="E165" t="s">
        <v>197</v>
      </c>
      <c r="F165" t="s">
        <v>197</v>
      </c>
      <c r="G165" t="s">
        <v>197</v>
      </c>
      <c r="H165" t="s">
        <v>197</v>
      </c>
      <c r="I165" t="s">
        <v>197</v>
      </c>
      <c r="J165" t="s">
        <v>197</v>
      </c>
      <c r="K165" t="s">
        <v>564</v>
      </c>
    </row>
    <row r="166" spans="1:24">
      <c r="B166" t="s">
        <v>197</v>
      </c>
      <c r="C166" t="s">
        <v>197</v>
      </c>
      <c r="D166" t="s">
        <v>197</v>
      </c>
      <c r="E166" t="s">
        <v>197</v>
      </c>
      <c r="F166" t="s">
        <v>197</v>
      </c>
      <c r="G166" t="s">
        <v>197</v>
      </c>
      <c r="H166" t="s">
        <v>197</v>
      </c>
      <c r="I166" t="s">
        <v>197</v>
      </c>
      <c r="J166" t="s">
        <v>197</v>
      </c>
      <c r="K166" t="s">
        <v>565</v>
      </c>
    </row>
    <row r="167" spans="1:24">
      <c r="B167" t="s">
        <v>197</v>
      </c>
      <c r="C167" t="s">
        <v>197</v>
      </c>
      <c r="D167" t="s">
        <v>197</v>
      </c>
      <c r="E167" t="s">
        <v>197</v>
      </c>
      <c r="F167" t="s">
        <v>197</v>
      </c>
      <c r="G167" t="s">
        <v>197</v>
      </c>
      <c r="H167" t="s">
        <v>197</v>
      </c>
      <c r="I167" t="s">
        <v>197</v>
      </c>
      <c r="J167" t="s">
        <v>197</v>
      </c>
      <c r="K167" t="s">
        <v>566</v>
      </c>
    </row>
    <row r="168" spans="1:24">
      <c r="B168" t="s">
        <v>197</v>
      </c>
      <c r="C168" t="s">
        <v>197</v>
      </c>
      <c r="D168" t="s">
        <v>197</v>
      </c>
      <c r="E168" t="s">
        <v>197</v>
      </c>
      <c r="F168" t="s">
        <v>197</v>
      </c>
      <c r="G168" t="s">
        <v>197</v>
      </c>
      <c r="H168" t="s">
        <v>197</v>
      </c>
      <c r="I168" t="s">
        <v>197</v>
      </c>
      <c r="J168" t="s">
        <v>197</v>
      </c>
      <c r="K168" t="s">
        <v>567</v>
      </c>
    </row>
    <row r="169" spans="1:24">
      <c r="A169" t="s">
        <v>596</v>
      </c>
      <c r="K169" t="s">
        <v>597</v>
      </c>
      <c r="W169" t="s">
        <v>171</v>
      </c>
      <c r="X169" t="str">
        <f>A169</f>
        <v>info_text_dml_single_pk</v>
      </c>
    </row>
    <row r="170" spans="1:24">
      <c r="B170" t="s">
        <v>196</v>
      </c>
      <c r="C170" t="s">
        <v>197</v>
      </c>
      <c r="D170" t="s">
        <v>197</v>
      </c>
      <c r="E170" t="s">
        <v>197</v>
      </c>
      <c r="F170" t="s">
        <v>197</v>
      </c>
      <c r="G170" t="s">
        <v>197</v>
      </c>
      <c r="H170" t="s">
        <v>197</v>
      </c>
      <c r="I170" t="s">
        <v>598</v>
      </c>
      <c r="J170" t="s">
        <v>199</v>
      </c>
      <c r="K170" t="s">
        <v>200</v>
      </c>
    </row>
    <row r="171" spans="1:24">
      <c r="B171" t="s">
        <v>197</v>
      </c>
      <c r="C171" t="s">
        <v>197</v>
      </c>
      <c r="D171" t="s">
        <v>197</v>
      </c>
      <c r="E171" t="s">
        <v>197</v>
      </c>
      <c r="F171" t="s">
        <v>197</v>
      </c>
      <c r="G171" t="s">
        <v>197</v>
      </c>
      <c r="H171" t="s">
        <v>197</v>
      </c>
      <c r="I171" t="s">
        <v>197</v>
      </c>
      <c r="J171" t="s">
        <v>197</v>
      </c>
      <c r="K171" t="s">
        <v>229</v>
      </c>
    </row>
    <row r="172" spans="1:24">
      <c r="B172" t="s">
        <v>197</v>
      </c>
      <c r="C172" t="s">
        <v>197</v>
      </c>
      <c r="D172" t="s">
        <v>197</v>
      </c>
      <c r="E172" t="s">
        <v>197</v>
      </c>
      <c r="F172" t="s">
        <v>197</v>
      </c>
      <c r="G172" t="s">
        <v>197</v>
      </c>
      <c r="H172" t="s">
        <v>197</v>
      </c>
      <c r="I172" t="s">
        <v>197</v>
      </c>
      <c r="J172" t="s">
        <v>197</v>
      </c>
      <c r="K172" t="s">
        <v>251</v>
      </c>
    </row>
    <row r="173" spans="1:24">
      <c r="K173" t="s">
        <v>443</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606</v>
      </c>
      <c r="K182" t="s">
        <v>607</v>
      </c>
      <c r="W182" t="s">
        <v>171</v>
      </c>
      <c r="X182" t="str">
        <f>A182</f>
        <v>info_xml_dml_single_pk_drp</v>
      </c>
    </row>
    <row r="183" spans="1:24">
      <c r="B183" t="s">
        <v>196</v>
      </c>
      <c r="C183" t="s">
        <v>197</v>
      </c>
      <c r="D183" t="s">
        <v>197</v>
      </c>
      <c r="E183" t="s">
        <v>197</v>
      </c>
      <c r="F183" t="s">
        <v>197</v>
      </c>
      <c r="G183" t="s">
        <v>197</v>
      </c>
      <c r="H183" t="s">
        <v>197</v>
      </c>
      <c r="I183" t="s">
        <v>608</v>
      </c>
      <c r="J183" t="s">
        <v>199</v>
      </c>
      <c r="K183" t="s">
        <v>200</v>
      </c>
    </row>
    <row r="184" spans="1:24">
      <c r="B184" t="s">
        <v>197</v>
      </c>
      <c r="C184" t="s">
        <v>197</v>
      </c>
      <c r="D184" t="s">
        <v>197</v>
      </c>
      <c r="E184" t="s">
        <v>197</v>
      </c>
      <c r="F184" t="s">
        <v>197</v>
      </c>
      <c r="G184" t="s">
        <v>197</v>
      </c>
      <c r="H184" t="s">
        <v>197</v>
      </c>
      <c r="I184" t="s">
        <v>197</v>
      </c>
      <c r="J184" t="s">
        <v>197</v>
      </c>
      <c r="K184" t="s">
        <v>472</v>
      </c>
    </row>
    <row r="185" spans="1:24">
      <c r="A185" t="s">
        <v>616</v>
      </c>
      <c r="K185" t="s">
        <v>617</v>
      </c>
      <c r="W185" t="s">
        <v>171</v>
      </c>
      <c r="X185" t="str">
        <f>A185</f>
        <v>info_int_dml_batch1_pk_drp1</v>
      </c>
    </row>
    <row r="186" spans="1:24">
      <c r="B186" t="s">
        <v>196</v>
      </c>
      <c r="C186" t="s">
        <v>197</v>
      </c>
      <c r="D186" t="s">
        <v>197</v>
      </c>
      <c r="E186" t="s">
        <v>197</v>
      </c>
      <c r="F186" t="s">
        <v>197</v>
      </c>
      <c r="G186" t="s">
        <v>197</v>
      </c>
      <c r="H186" t="s">
        <v>197</v>
      </c>
      <c r="I186" t="s">
        <v>618</v>
      </c>
      <c r="J186" t="s">
        <v>199</v>
      </c>
      <c r="K186" t="s">
        <v>200</v>
      </c>
    </row>
    <row r="187" spans="1:24">
      <c r="B187" t="s">
        <v>197</v>
      </c>
      <c r="C187" t="s">
        <v>197</v>
      </c>
      <c r="D187" t="s">
        <v>197</v>
      </c>
      <c r="E187" t="s">
        <v>197</v>
      </c>
      <c r="F187" t="s">
        <v>197</v>
      </c>
      <c r="G187" t="s">
        <v>197</v>
      </c>
      <c r="H187" t="s">
        <v>197</v>
      </c>
      <c r="I187" t="s">
        <v>197</v>
      </c>
      <c r="J187" t="s">
        <v>197</v>
      </c>
      <c r="K187" t="s">
        <v>549</v>
      </c>
    </row>
    <row r="188" spans="1:24">
      <c r="B188" t="s">
        <v>197</v>
      </c>
      <c r="C188" t="s">
        <v>197</v>
      </c>
      <c r="D188" t="s">
        <v>197</v>
      </c>
      <c r="E188" t="s">
        <v>197</v>
      </c>
      <c r="F188" t="s">
        <v>197</v>
      </c>
      <c r="G188" t="s">
        <v>197</v>
      </c>
      <c r="H188" t="s">
        <v>197</v>
      </c>
      <c r="I188" t="s">
        <v>197</v>
      </c>
      <c r="J188" t="s">
        <v>197</v>
      </c>
      <c r="K188" t="s">
        <v>550</v>
      </c>
    </row>
    <row r="189" spans="1:24">
      <c r="B189" t="s">
        <v>197</v>
      </c>
      <c r="C189" t="s">
        <v>197</v>
      </c>
      <c r="D189" t="s">
        <v>197</v>
      </c>
      <c r="E189" t="s">
        <v>197</v>
      </c>
      <c r="F189" t="s">
        <v>197</v>
      </c>
      <c r="G189" t="s">
        <v>197</v>
      </c>
      <c r="H189" t="s">
        <v>197</v>
      </c>
      <c r="I189" t="s">
        <v>197</v>
      </c>
      <c r="J189" t="s">
        <v>197</v>
      </c>
      <c r="K189" t="s">
        <v>551</v>
      </c>
    </row>
    <row r="190" spans="1:24">
      <c r="B190" t="s">
        <v>197</v>
      </c>
      <c r="C190" t="s">
        <v>197</v>
      </c>
      <c r="D190" t="s">
        <v>197</v>
      </c>
      <c r="E190" t="s">
        <v>197</v>
      </c>
      <c r="F190" t="s">
        <v>197</v>
      </c>
      <c r="G190" t="s">
        <v>197</v>
      </c>
      <c r="H190" t="s">
        <v>197</v>
      </c>
      <c r="I190" t="s">
        <v>197</v>
      </c>
      <c r="J190" t="s">
        <v>197</v>
      </c>
      <c r="K190" t="s">
        <v>552</v>
      </c>
    </row>
    <row r="191" spans="1:24">
      <c r="B191" t="s">
        <v>197</v>
      </c>
      <c r="C191" t="s">
        <v>197</v>
      </c>
      <c r="D191" t="s">
        <v>197</v>
      </c>
      <c r="E191" t="s">
        <v>197</v>
      </c>
      <c r="F191" t="s">
        <v>197</v>
      </c>
      <c r="G191" t="s">
        <v>197</v>
      </c>
      <c r="H191" t="s">
        <v>197</v>
      </c>
      <c r="I191" t="s">
        <v>197</v>
      </c>
      <c r="J191" t="s">
        <v>197</v>
      </c>
      <c r="K191" t="s">
        <v>553</v>
      </c>
    </row>
    <row r="192" spans="1:24">
      <c r="B192" t="s">
        <v>197</v>
      </c>
      <c r="C192" t="s">
        <v>197</v>
      </c>
      <c r="D192" t="s">
        <v>197</v>
      </c>
      <c r="E192" t="s">
        <v>197</v>
      </c>
      <c r="F192" t="s">
        <v>197</v>
      </c>
      <c r="G192" t="s">
        <v>197</v>
      </c>
      <c r="H192" t="s">
        <v>197</v>
      </c>
      <c r="I192" t="s">
        <v>197</v>
      </c>
      <c r="J192" t="s">
        <v>197</v>
      </c>
      <c r="K192" t="s">
        <v>554</v>
      </c>
    </row>
    <row r="193" spans="1:24">
      <c r="B193" t="s">
        <v>197</v>
      </c>
      <c r="C193" t="s">
        <v>197</v>
      </c>
      <c r="D193" t="s">
        <v>197</v>
      </c>
      <c r="E193" t="s">
        <v>197</v>
      </c>
      <c r="F193" t="s">
        <v>197</v>
      </c>
      <c r="G193" t="s">
        <v>197</v>
      </c>
      <c r="H193" t="s">
        <v>197</v>
      </c>
      <c r="I193" t="s">
        <v>197</v>
      </c>
      <c r="J193" t="s">
        <v>197</v>
      </c>
      <c r="K193" t="s">
        <v>555</v>
      </c>
    </row>
    <row r="194" spans="1:24">
      <c r="B194" t="s">
        <v>197</v>
      </c>
      <c r="C194" t="s">
        <v>197</v>
      </c>
      <c r="D194" t="s">
        <v>197</v>
      </c>
      <c r="E194" t="s">
        <v>197</v>
      </c>
      <c r="F194" t="s">
        <v>197</v>
      </c>
      <c r="G194" t="s">
        <v>197</v>
      </c>
      <c r="H194" t="s">
        <v>197</v>
      </c>
      <c r="I194" t="s">
        <v>197</v>
      </c>
      <c r="J194" t="s">
        <v>197</v>
      </c>
      <c r="K194" t="s">
        <v>556</v>
      </c>
    </row>
    <row r="195" spans="1:24">
      <c r="B195" t="s">
        <v>197</v>
      </c>
      <c r="C195" t="s">
        <v>197</v>
      </c>
      <c r="D195" t="s">
        <v>197</v>
      </c>
      <c r="E195" t="s">
        <v>197</v>
      </c>
      <c r="F195" t="s">
        <v>197</v>
      </c>
      <c r="G195" t="s">
        <v>197</v>
      </c>
      <c r="H195" t="s">
        <v>197</v>
      </c>
      <c r="I195" t="s">
        <v>197</v>
      </c>
      <c r="J195" t="s">
        <v>197</v>
      </c>
      <c r="K195" t="s">
        <v>557</v>
      </c>
    </row>
    <row r="196" spans="1:24">
      <c r="B196" t="s">
        <v>197</v>
      </c>
      <c r="C196" t="s">
        <v>197</v>
      </c>
      <c r="D196" t="s">
        <v>197</v>
      </c>
      <c r="E196" t="s">
        <v>197</v>
      </c>
      <c r="F196" t="s">
        <v>197</v>
      </c>
      <c r="G196" t="s">
        <v>197</v>
      </c>
      <c r="H196" t="s">
        <v>197</v>
      </c>
      <c r="I196" t="s">
        <v>197</v>
      </c>
      <c r="J196" t="s">
        <v>197</v>
      </c>
      <c r="K196" t="s">
        <v>558</v>
      </c>
    </row>
    <row r="197" spans="1:24">
      <c r="B197" t="s">
        <v>197</v>
      </c>
      <c r="C197" t="s">
        <v>197</v>
      </c>
      <c r="D197" t="s">
        <v>197</v>
      </c>
      <c r="E197" t="s">
        <v>197</v>
      </c>
      <c r="F197" t="s">
        <v>197</v>
      </c>
      <c r="G197" t="s">
        <v>197</v>
      </c>
      <c r="H197" t="s">
        <v>197</v>
      </c>
      <c r="I197" t="s">
        <v>197</v>
      </c>
      <c r="J197" t="s">
        <v>197</v>
      </c>
      <c r="K197" t="s">
        <v>559</v>
      </c>
    </row>
    <row r="198" spans="1:24">
      <c r="B198" t="s">
        <v>197</v>
      </c>
      <c r="C198" t="s">
        <v>197</v>
      </c>
      <c r="D198" t="s">
        <v>197</v>
      </c>
      <c r="E198" t="s">
        <v>197</v>
      </c>
      <c r="F198" t="s">
        <v>197</v>
      </c>
      <c r="G198" t="s">
        <v>197</v>
      </c>
      <c r="H198" t="s">
        <v>197</v>
      </c>
      <c r="I198" t="s">
        <v>197</v>
      </c>
      <c r="J198" t="s">
        <v>197</v>
      </c>
      <c r="K198" t="s">
        <v>560</v>
      </c>
    </row>
    <row r="199" spans="1:24">
      <c r="B199" t="s">
        <v>197</v>
      </c>
      <c r="C199" t="s">
        <v>197</v>
      </c>
      <c r="D199" t="s">
        <v>197</v>
      </c>
      <c r="E199" t="s">
        <v>197</v>
      </c>
      <c r="F199" t="s">
        <v>197</v>
      </c>
      <c r="G199" t="s">
        <v>197</v>
      </c>
      <c r="H199" t="s">
        <v>197</v>
      </c>
      <c r="I199" t="s">
        <v>197</v>
      </c>
      <c r="J199" t="s">
        <v>197</v>
      </c>
      <c r="K199" t="s">
        <v>561</v>
      </c>
    </row>
    <row r="200" spans="1:24">
      <c r="B200" t="s">
        <v>197</v>
      </c>
      <c r="C200" t="s">
        <v>197</v>
      </c>
      <c r="D200" t="s">
        <v>197</v>
      </c>
      <c r="E200" t="s">
        <v>197</v>
      </c>
      <c r="F200" t="s">
        <v>197</v>
      </c>
      <c r="G200" t="s">
        <v>197</v>
      </c>
      <c r="H200" t="s">
        <v>197</v>
      </c>
      <c r="I200" t="s">
        <v>197</v>
      </c>
      <c r="J200" t="s">
        <v>197</v>
      </c>
      <c r="K200" t="s">
        <v>562</v>
      </c>
    </row>
    <row r="201" spans="1:24">
      <c r="B201" t="s">
        <v>197</v>
      </c>
      <c r="C201" t="s">
        <v>197</v>
      </c>
      <c r="D201" t="s">
        <v>197</v>
      </c>
      <c r="E201" t="s">
        <v>197</v>
      </c>
      <c r="F201" t="s">
        <v>197</v>
      </c>
      <c r="G201" t="s">
        <v>197</v>
      </c>
      <c r="H201" t="s">
        <v>197</v>
      </c>
      <c r="I201" t="s">
        <v>197</v>
      </c>
      <c r="J201" t="s">
        <v>197</v>
      </c>
      <c r="K201" t="s">
        <v>563</v>
      </c>
    </row>
    <row r="202" spans="1:24">
      <c r="B202" t="s">
        <v>197</v>
      </c>
      <c r="C202" t="s">
        <v>197</v>
      </c>
      <c r="D202" t="s">
        <v>197</v>
      </c>
      <c r="E202" t="s">
        <v>197</v>
      </c>
      <c r="F202" t="s">
        <v>197</v>
      </c>
      <c r="G202" t="s">
        <v>197</v>
      </c>
      <c r="H202" t="s">
        <v>197</v>
      </c>
      <c r="I202" t="s">
        <v>197</v>
      </c>
      <c r="J202" t="s">
        <v>197</v>
      </c>
      <c r="K202" t="s">
        <v>564</v>
      </c>
    </row>
    <row r="203" spans="1:24">
      <c r="B203" t="s">
        <v>197</v>
      </c>
      <c r="C203" t="s">
        <v>197</v>
      </c>
      <c r="D203" t="s">
        <v>197</v>
      </c>
      <c r="E203" t="s">
        <v>197</v>
      </c>
      <c r="F203" t="s">
        <v>197</v>
      </c>
      <c r="G203" t="s">
        <v>197</v>
      </c>
      <c r="H203" t="s">
        <v>197</v>
      </c>
      <c r="I203" t="s">
        <v>197</v>
      </c>
      <c r="J203" t="s">
        <v>197</v>
      </c>
      <c r="K203" t="s">
        <v>565</v>
      </c>
    </row>
    <row r="204" spans="1:24">
      <c r="B204" t="s">
        <v>197</v>
      </c>
      <c r="C204" t="s">
        <v>197</v>
      </c>
      <c r="D204" t="s">
        <v>197</v>
      </c>
      <c r="E204" t="s">
        <v>197</v>
      </c>
      <c r="F204" t="s">
        <v>197</v>
      </c>
      <c r="G204" t="s">
        <v>197</v>
      </c>
      <c r="H204" t="s">
        <v>197</v>
      </c>
      <c r="I204" t="s">
        <v>197</v>
      </c>
      <c r="J204" t="s">
        <v>197</v>
      </c>
      <c r="K204" t="s">
        <v>566</v>
      </c>
    </row>
    <row r="205" spans="1:24">
      <c r="B205" t="s">
        <v>197</v>
      </c>
      <c r="C205" t="s">
        <v>197</v>
      </c>
      <c r="D205" t="s">
        <v>197</v>
      </c>
      <c r="E205" t="s">
        <v>197</v>
      </c>
      <c r="F205" t="s">
        <v>197</v>
      </c>
      <c r="G205" t="s">
        <v>197</v>
      </c>
      <c r="H205" t="s">
        <v>197</v>
      </c>
      <c r="I205" t="s">
        <v>197</v>
      </c>
      <c r="J205" t="s">
        <v>197</v>
      </c>
      <c r="K205" t="s">
        <v>567</v>
      </c>
    </row>
    <row r="206" spans="1:24">
      <c r="K206" t="s">
        <v>443</v>
      </c>
    </row>
    <row r="207" spans="1:24">
      <c r="A207" t="s">
        <v>609</v>
      </c>
      <c r="K207" t="s">
        <v>610</v>
      </c>
      <c r="W207" t="s">
        <v>171</v>
      </c>
      <c r="X207" t="str">
        <f>A207</f>
        <v>info_nchar_dml_single_pk_urp</v>
      </c>
    </row>
    <row r="208" spans="1:24">
      <c r="B208" t="s">
        <v>196</v>
      </c>
      <c r="C208" t="s">
        <v>197</v>
      </c>
      <c r="D208" t="s">
        <v>197</v>
      </c>
      <c r="E208" t="s">
        <v>197</v>
      </c>
      <c r="F208" t="s">
        <v>197</v>
      </c>
      <c r="G208" t="s">
        <v>197</v>
      </c>
      <c r="H208" t="s">
        <v>197</v>
      </c>
      <c r="I208" t="s">
        <v>611</v>
      </c>
      <c r="J208" t="s">
        <v>199</v>
      </c>
      <c r="K208" t="s">
        <v>200</v>
      </c>
    </row>
    <row r="209" spans="1:24">
      <c r="B209" t="s">
        <v>197</v>
      </c>
      <c r="C209" t="s">
        <v>197</v>
      </c>
      <c r="D209" t="s">
        <v>197</v>
      </c>
      <c r="E209" t="s">
        <v>197</v>
      </c>
      <c r="F209" t="s">
        <v>197</v>
      </c>
      <c r="G209" t="s">
        <v>197</v>
      </c>
      <c r="H209" t="s">
        <v>197</v>
      </c>
      <c r="I209" t="s">
        <v>197</v>
      </c>
      <c r="J209" t="s">
        <v>197</v>
      </c>
      <c r="K209" t="s">
        <v>514</v>
      </c>
    </row>
    <row r="210" spans="1:24">
      <c r="B210" t="s">
        <v>197</v>
      </c>
      <c r="C210" t="s">
        <v>197</v>
      </c>
      <c r="D210" t="s">
        <v>197</v>
      </c>
      <c r="E210" t="s">
        <v>197</v>
      </c>
      <c r="F210" t="s">
        <v>197</v>
      </c>
      <c r="G210" t="s">
        <v>197</v>
      </c>
      <c r="H210" t="s">
        <v>197</v>
      </c>
      <c r="I210" t="s">
        <v>197</v>
      </c>
      <c r="J210" t="s">
        <v>197</v>
      </c>
      <c r="K210" t="s">
        <v>516</v>
      </c>
    </row>
    <row r="211" spans="1:24">
      <c r="B211" t="s">
        <v>197</v>
      </c>
      <c r="C211" t="s">
        <v>197</v>
      </c>
      <c r="D211" t="s">
        <v>197</v>
      </c>
      <c r="E211" t="s">
        <v>197</v>
      </c>
      <c r="F211" t="s">
        <v>197</v>
      </c>
      <c r="G211" t="s">
        <v>197</v>
      </c>
      <c r="H211" t="s">
        <v>197</v>
      </c>
      <c r="I211" t="s">
        <v>197</v>
      </c>
      <c r="J211" t="s">
        <v>197</v>
      </c>
      <c r="K211" t="s">
        <v>612</v>
      </c>
    </row>
    <row r="212" spans="1:24">
      <c r="A212" t="s">
        <v>613</v>
      </c>
      <c r="K212" t="s">
        <v>614</v>
      </c>
      <c r="W212" t="s">
        <v>171</v>
      </c>
      <c r="X212" t="str">
        <f>A212</f>
        <v>info_datetime_dml_batch1_pk_urp1</v>
      </c>
    </row>
    <row r="213" spans="1:24">
      <c r="B213" t="s">
        <v>196</v>
      </c>
      <c r="C213" t="s">
        <v>197</v>
      </c>
      <c r="D213" t="s">
        <v>197</v>
      </c>
      <c r="E213" t="s">
        <v>197</v>
      </c>
      <c r="F213" t="s">
        <v>197</v>
      </c>
      <c r="G213" t="s">
        <v>197</v>
      </c>
      <c r="H213" t="s">
        <v>197</v>
      </c>
      <c r="I213" t="s">
        <v>615</v>
      </c>
      <c r="J213" t="s">
        <v>199</v>
      </c>
      <c r="K213" t="s">
        <v>200</v>
      </c>
    </row>
    <row r="214" spans="1:24">
      <c r="B214" t="s">
        <v>197</v>
      </c>
      <c r="C214" t="s">
        <v>197</v>
      </c>
      <c r="D214" t="s">
        <v>197</v>
      </c>
      <c r="E214" t="s">
        <v>197</v>
      </c>
      <c r="F214" t="s">
        <v>197</v>
      </c>
      <c r="G214" t="s">
        <v>197</v>
      </c>
      <c r="H214" t="s">
        <v>197</v>
      </c>
      <c r="I214" t="s">
        <v>197</v>
      </c>
      <c r="J214" t="s">
        <v>197</v>
      </c>
      <c r="K214" t="s">
        <v>574</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s="1" t="str">
        <f>HYPERLINK("#2026042016hbase0!AD2","NO 源备存在差异，共8个")</f>
        <v>NO 源备存在差异，共8个</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s="1" t="str">
        <f>HYPERLINK("#2026042016hbase0!AE2","NO 源备存在差异，共6个")</f>
        <v>NO 源备存在差异，共6个</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646</v>
      </c>
      <c r="K250" t="s">
        <v>647</v>
      </c>
      <c r="W250" t="s">
        <v>171</v>
      </c>
      <c r="X250" t="str">
        <f>A250</f>
        <v>info_nchar_dml_batch1_pk_irp1</v>
      </c>
    </row>
    <row r="251" spans="1:24">
      <c r="B251" t="s">
        <v>196</v>
      </c>
      <c r="C251" t="s">
        <v>197</v>
      </c>
      <c r="D251" t="s">
        <v>197</v>
      </c>
      <c r="E251" t="s">
        <v>197</v>
      </c>
      <c r="F251" t="s">
        <v>197</v>
      </c>
      <c r="G251" t="s">
        <v>197</v>
      </c>
      <c r="H251" t="s">
        <v>197</v>
      </c>
      <c r="I251" t="s">
        <v>648</v>
      </c>
      <c r="J251" t="s">
        <v>199</v>
      </c>
      <c r="K251" t="s">
        <v>200</v>
      </c>
    </row>
    <row r="252" spans="1:24">
      <c r="B252" t="s">
        <v>197</v>
      </c>
      <c r="C252" t="s">
        <v>197</v>
      </c>
      <c r="D252" t="s">
        <v>197</v>
      </c>
      <c r="E252" t="s">
        <v>197</v>
      </c>
      <c r="F252" t="s">
        <v>197</v>
      </c>
      <c r="G252" t="s">
        <v>197</v>
      </c>
      <c r="H252" t="s">
        <v>197</v>
      </c>
      <c r="I252" t="s">
        <v>197</v>
      </c>
      <c r="J252" t="s">
        <v>197</v>
      </c>
      <c r="K252" t="s">
        <v>514</v>
      </c>
    </row>
    <row r="253" spans="1:24">
      <c r="B253" t="s">
        <v>197</v>
      </c>
      <c r="C253" t="s">
        <v>197</v>
      </c>
      <c r="D253" t="s">
        <v>197</v>
      </c>
      <c r="E253" t="s">
        <v>197</v>
      </c>
      <c r="F253" t="s">
        <v>197</v>
      </c>
      <c r="G253" t="s">
        <v>197</v>
      </c>
      <c r="H253" t="s">
        <v>197</v>
      </c>
      <c r="I253" t="s">
        <v>197</v>
      </c>
      <c r="J253" t="s">
        <v>197</v>
      </c>
      <c r="K253" t="s">
        <v>516</v>
      </c>
    </row>
    <row r="254" spans="1:24">
      <c r="B254" t="s">
        <v>197</v>
      </c>
      <c r="C254" t="s">
        <v>197</v>
      </c>
      <c r="D254" t="s">
        <v>197</v>
      </c>
      <c r="E254" t="s">
        <v>197</v>
      </c>
      <c r="F254" t="s">
        <v>197</v>
      </c>
      <c r="G254" t="s">
        <v>197</v>
      </c>
      <c r="H254" t="s">
        <v>197</v>
      </c>
      <c r="I254" t="s">
        <v>197</v>
      </c>
      <c r="J254" t="s">
        <v>197</v>
      </c>
      <c r="K254" t="s">
        <v>517</v>
      </c>
    </row>
    <row r="255" spans="1:24">
      <c r="A255" t="s">
        <v>652</v>
      </c>
      <c r="K255" t="s">
        <v>653</v>
      </c>
      <c r="W255" t="s">
        <v>171</v>
      </c>
      <c r="X255" t="str">
        <f>A255</f>
        <v>info_nvarchar_dml_batch1_pk</v>
      </c>
    </row>
    <row r="256" spans="1:24">
      <c r="B256" t="s">
        <v>196</v>
      </c>
      <c r="C256" t="s">
        <v>197</v>
      </c>
      <c r="D256" t="s">
        <v>197</v>
      </c>
      <c r="E256" t="s">
        <v>197</v>
      </c>
      <c r="F256" t="s">
        <v>197</v>
      </c>
      <c r="G256" t="s">
        <v>197</v>
      </c>
      <c r="H256" t="s">
        <v>197</v>
      </c>
      <c r="I256" t="s">
        <v>654</v>
      </c>
      <c r="J256" t="s">
        <v>199</v>
      </c>
      <c r="K256" t="s">
        <v>200</v>
      </c>
    </row>
    <row r="257" spans="1:24">
      <c r="B257" t="s">
        <v>197</v>
      </c>
      <c r="C257" t="s">
        <v>197</v>
      </c>
      <c r="D257" t="s">
        <v>197</v>
      </c>
      <c r="E257" t="s">
        <v>197</v>
      </c>
      <c r="F257" t="s">
        <v>197</v>
      </c>
      <c r="G257" t="s">
        <v>197</v>
      </c>
      <c r="H257" t="s">
        <v>197</v>
      </c>
      <c r="I257" t="s">
        <v>197</v>
      </c>
      <c r="J257" t="s">
        <v>197</v>
      </c>
      <c r="K257" t="s">
        <v>408</v>
      </c>
    </row>
    <row r="258" spans="1:24">
      <c r="B258" t="s">
        <v>197</v>
      </c>
      <c r="C258" t="s">
        <v>197</v>
      </c>
      <c r="D258" t="s">
        <v>197</v>
      </c>
      <c r="E258" t="s">
        <v>197</v>
      </c>
      <c r="F258" t="s">
        <v>197</v>
      </c>
      <c r="G258" t="s">
        <v>197</v>
      </c>
      <c r="H258" t="s">
        <v>197</v>
      </c>
      <c r="I258" t="s">
        <v>197</v>
      </c>
      <c r="J258" t="s">
        <v>197</v>
      </c>
      <c r="K258" t="s">
        <v>412</v>
      </c>
    </row>
    <row r="259" spans="1:24">
      <c r="B259" t="s">
        <v>197</v>
      </c>
      <c r="C259" t="s">
        <v>197</v>
      </c>
      <c r="D259" t="s">
        <v>197</v>
      </c>
      <c r="E259" t="s">
        <v>197</v>
      </c>
      <c r="F259" t="s">
        <v>197</v>
      </c>
      <c r="G259" t="s">
        <v>197</v>
      </c>
      <c r="H259" t="s">
        <v>197</v>
      </c>
      <c r="I259" t="s">
        <v>197</v>
      </c>
      <c r="J259" t="s">
        <v>197</v>
      </c>
      <c r="K259" t="s">
        <v>605</v>
      </c>
    </row>
    <row r="260" spans="1:24">
      <c r="A260" t="s">
        <v>655</v>
      </c>
      <c r="K260" t="s">
        <v>656</v>
      </c>
      <c r="W260" t="s">
        <v>171</v>
      </c>
      <c r="X260" t="str">
        <f>A260</f>
        <v>info_datetime_dml_batch1_pk</v>
      </c>
    </row>
    <row r="261" spans="1:24">
      <c r="B261" t="s">
        <v>196</v>
      </c>
      <c r="C261" t="s">
        <v>197</v>
      </c>
      <c r="D261" t="s">
        <v>197</v>
      </c>
      <c r="E261" t="s">
        <v>197</v>
      </c>
      <c r="F261" t="s">
        <v>197</v>
      </c>
      <c r="G261" t="s">
        <v>197</v>
      </c>
      <c r="H261" t="s">
        <v>197</v>
      </c>
      <c r="I261" t="s">
        <v>657</v>
      </c>
      <c r="J261" t="s">
        <v>199</v>
      </c>
      <c r="K261" t="s">
        <v>200</v>
      </c>
    </row>
    <row r="262" spans="1:24">
      <c r="B262" t="s">
        <v>197</v>
      </c>
      <c r="C262" t="s">
        <v>197</v>
      </c>
      <c r="D262" t="s">
        <v>197</v>
      </c>
      <c r="E262" t="s">
        <v>197</v>
      </c>
      <c r="F262" t="s">
        <v>197</v>
      </c>
      <c r="G262" t="s">
        <v>197</v>
      </c>
      <c r="H262" t="s">
        <v>197</v>
      </c>
      <c r="I262" t="s">
        <v>197</v>
      </c>
      <c r="J262" t="s">
        <v>197</v>
      </c>
      <c r="K262" t="s">
        <v>574</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685</v>
      </c>
      <c r="K307" t="s">
        <v>686</v>
      </c>
      <c r="W307" s="1" t="str">
        <f>HYPERLINK("#2026042016hbase0!AF2","NO 源备存在差异，共2个")</f>
        <v>NO 源备存在差异，共2个</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t="s">
        <v>171</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700</v>
      </c>
      <c r="K343" t="s">
        <v>701</v>
      </c>
      <c r="W343" t="s">
        <v>171</v>
      </c>
      <c r="X343" t="str">
        <f>A343</f>
        <v>info_char_dml_batch2_pk_irp1</v>
      </c>
    </row>
    <row r="344" spans="1:24">
      <c r="B344" t="s">
        <v>196</v>
      </c>
      <c r="C344" t="s">
        <v>197</v>
      </c>
      <c r="D344" t="s">
        <v>197</v>
      </c>
      <c r="E344" t="s">
        <v>197</v>
      </c>
      <c r="F344" t="s">
        <v>197</v>
      </c>
      <c r="G344" t="s">
        <v>197</v>
      </c>
      <c r="H344" t="s">
        <v>197</v>
      </c>
      <c r="I344" t="s">
        <v>702</v>
      </c>
      <c r="J344" t="s">
        <v>199</v>
      </c>
      <c r="K344" t="s">
        <v>200</v>
      </c>
    </row>
    <row r="345" spans="1:24">
      <c r="B345" t="s">
        <v>197</v>
      </c>
      <c r="C345" t="s">
        <v>197</v>
      </c>
      <c r="D345" t="s">
        <v>197</v>
      </c>
      <c r="E345" t="s">
        <v>197</v>
      </c>
      <c r="F345" t="s">
        <v>197</v>
      </c>
      <c r="G345" t="s">
        <v>197</v>
      </c>
      <c r="H345" t="s">
        <v>197</v>
      </c>
      <c r="I345" t="s">
        <v>197</v>
      </c>
      <c r="J345" t="s">
        <v>197</v>
      </c>
      <c r="K345" t="s">
        <v>622</v>
      </c>
    </row>
    <row r="346" spans="1:24">
      <c r="B346" t="s">
        <v>197</v>
      </c>
      <c r="C346" t="s">
        <v>197</v>
      </c>
      <c r="D346" t="s">
        <v>197</v>
      </c>
      <c r="E346" t="s">
        <v>197</v>
      </c>
      <c r="F346" t="s">
        <v>197</v>
      </c>
      <c r="G346" t="s">
        <v>197</v>
      </c>
      <c r="H346" t="s">
        <v>197</v>
      </c>
      <c r="I346" t="s">
        <v>197</v>
      </c>
      <c r="J346" t="s">
        <v>197</v>
      </c>
      <c r="K346" t="s">
        <v>623</v>
      </c>
    </row>
    <row r="347" spans="1:24">
      <c r="B347" t="s">
        <v>197</v>
      </c>
      <c r="C347" t="s">
        <v>197</v>
      </c>
      <c r="D347" t="s">
        <v>197</v>
      </c>
      <c r="E347" t="s">
        <v>197</v>
      </c>
      <c r="F347" t="s">
        <v>197</v>
      </c>
      <c r="G347" t="s">
        <v>197</v>
      </c>
      <c r="H347" t="s">
        <v>197</v>
      </c>
      <c r="I347" t="s">
        <v>197</v>
      </c>
      <c r="J347" t="s">
        <v>197</v>
      </c>
      <c r="K347" t="s">
        <v>624</v>
      </c>
    </row>
    <row r="348" spans="1:24">
      <c r="K348" t="s">
        <v>443</v>
      </c>
    </row>
    <row r="349" spans="1:24">
      <c r="A349" t="s">
        <v>703</v>
      </c>
      <c r="K349" t="s">
        <v>704</v>
      </c>
      <c r="W349" s="1" t="str">
        <f>HYPERLINK("#2026042016hbase0!AG2","NO 源备存在差异，共4个")</f>
        <v>NO 源备存在差异，共4个</v>
      </c>
      <c r="X349" t="str">
        <f>A349</f>
        <v>info_hierarchyid_dml_single_pk_irp</v>
      </c>
    </row>
    <row r="350" spans="1:24">
      <c r="B350" t="s">
        <v>196</v>
      </c>
      <c r="C350" t="s">
        <v>197</v>
      </c>
      <c r="D350" t="s">
        <v>197</v>
      </c>
      <c r="E350" t="s">
        <v>197</v>
      </c>
      <c r="F350" t="s">
        <v>197</v>
      </c>
      <c r="G350" t="s">
        <v>197</v>
      </c>
      <c r="H350" t="s">
        <v>197</v>
      </c>
      <c r="I350" t="s">
        <v>705</v>
      </c>
      <c r="J350" t="s">
        <v>199</v>
      </c>
      <c r="K350" t="s">
        <v>200</v>
      </c>
    </row>
    <row r="351" spans="1:24">
      <c r="B351" t="s">
        <v>197</v>
      </c>
      <c r="C351" t="s">
        <v>197</v>
      </c>
      <c r="D351" t="s">
        <v>197</v>
      </c>
      <c r="E351" t="s">
        <v>197</v>
      </c>
      <c r="F351" t="s">
        <v>197</v>
      </c>
      <c r="G351" t="s">
        <v>197</v>
      </c>
      <c r="H351" t="s">
        <v>197</v>
      </c>
      <c r="I351" t="s">
        <v>197</v>
      </c>
      <c r="J351" t="s">
        <v>197</v>
      </c>
      <c r="K351" t="s">
        <v>706</v>
      </c>
    </row>
    <row r="352" spans="1:24">
      <c r="A352" t="s">
        <v>707</v>
      </c>
      <c r="K352" t="s">
        <v>708</v>
      </c>
      <c r="W352" t="s">
        <v>171</v>
      </c>
      <c r="X352" t="str">
        <f>A352</f>
        <v>info_datetime2_dml_batch1_pk_urp1</v>
      </c>
    </row>
    <row r="353" spans="1:24">
      <c r="B353" t="s">
        <v>196</v>
      </c>
      <c r="C353" t="s">
        <v>197</v>
      </c>
      <c r="D353" t="s">
        <v>197</v>
      </c>
      <c r="E353" t="s">
        <v>197</v>
      </c>
      <c r="F353" t="s">
        <v>197</v>
      </c>
      <c r="G353" t="s">
        <v>197</v>
      </c>
      <c r="H353" t="s">
        <v>197</v>
      </c>
      <c r="I353" t="s">
        <v>709</v>
      </c>
      <c r="J353" t="s">
        <v>199</v>
      </c>
      <c r="K353" t="s">
        <v>200</v>
      </c>
    </row>
    <row r="354" spans="1:24">
      <c r="B354" t="s">
        <v>197</v>
      </c>
      <c r="C354" t="s">
        <v>197</v>
      </c>
      <c r="D354" t="s">
        <v>197</v>
      </c>
      <c r="E354" t="s">
        <v>197</v>
      </c>
      <c r="F354" t="s">
        <v>197</v>
      </c>
      <c r="G354" t="s">
        <v>197</v>
      </c>
      <c r="H354" t="s">
        <v>197</v>
      </c>
      <c r="I354" t="s">
        <v>197</v>
      </c>
      <c r="J354" t="s">
        <v>197</v>
      </c>
      <c r="K354" t="s">
        <v>667</v>
      </c>
    </row>
    <row r="355" spans="1:24">
      <c r="B355" t="s">
        <v>197</v>
      </c>
      <c r="C355" t="s">
        <v>197</v>
      </c>
      <c r="D355" t="s">
        <v>197</v>
      </c>
      <c r="E355" t="s">
        <v>197</v>
      </c>
      <c r="F355" t="s">
        <v>197</v>
      </c>
      <c r="G355" t="s">
        <v>197</v>
      </c>
      <c r="H355" t="s">
        <v>197</v>
      </c>
      <c r="I355" t="s">
        <v>197</v>
      </c>
      <c r="J355" t="s">
        <v>197</v>
      </c>
      <c r="K355" t="s">
        <v>668</v>
      </c>
    </row>
    <row r="356" spans="1:24">
      <c r="B356" t="s">
        <v>197</v>
      </c>
      <c r="C356" t="s">
        <v>197</v>
      </c>
      <c r="D356" t="s">
        <v>197</v>
      </c>
      <c r="E356" t="s">
        <v>197</v>
      </c>
      <c r="F356" t="s">
        <v>197</v>
      </c>
      <c r="G356" t="s">
        <v>197</v>
      </c>
      <c r="H356" t="s">
        <v>197</v>
      </c>
      <c r="I356" t="s">
        <v>197</v>
      </c>
      <c r="J356" t="s">
        <v>197</v>
      </c>
      <c r="K356" t="s">
        <v>669</v>
      </c>
    </row>
    <row r="357" spans="1:24">
      <c r="B357" t="s">
        <v>197</v>
      </c>
      <c r="C357" t="s">
        <v>197</v>
      </c>
      <c r="D357" t="s">
        <v>197</v>
      </c>
      <c r="E357" t="s">
        <v>197</v>
      </c>
      <c r="F357" t="s">
        <v>197</v>
      </c>
      <c r="G357" t="s">
        <v>197</v>
      </c>
      <c r="H357" t="s">
        <v>197</v>
      </c>
      <c r="I357" t="s">
        <v>197</v>
      </c>
      <c r="J357" t="s">
        <v>197</v>
      </c>
      <c r="K357" t="s">
        <v>670</v>
      </c>
    </row>
    <row r="358" spans="1:24">
      <c r="B358" t="s">
        <v>197</v>
      </c>
      <c r="C358" t="s">
        <v>197</v>
      </c>
      <c r="D358" t="s">
        <v>197</v>
      </c>
      <c r="E358" t="s">
        <v>197</v>
      </c>
      <c r="F358" t="s">
        <v>197</v>
      </c>
      <c r="G358" t="s">
        <v>197</v>
      </c>
      <c r="H358" t="s">
        <v>197</v>
      </c>
      <c r="I358" t="s">
        <v>197</v>
      </c>
      <c r="J358" t="s">
        <v>197</v>
      </c>
      <c r="K358" t="s">
        <v>671</v>
      </c>
    </row>
    <row r="359" spans="1:24">
      <c r="B359" t="s">
        <v>197</v>
      </c>
      <c r="C359" t="s">
        <v>197</v>
      </c>
      <c r="D359" t="s">
        <v>197</v>
      </c>
      <c r="E359" t="s">
        <v>197</v>
      </c>
      <c r="F359" t="s">
        <v>197</v>
      </c>
      <c r="G359" t="s">
        <v>197</v>
      </c>
      <c r="H359" t="s">
        <v>197</v>
      </c>
      <c r="I359" t="s">
        <v>197</v>
      </c>
      <c r="J359" t="s">
        <v>197</v>
      </c>
      <c r="K359" t="s">
        <v>672</v>
      </c>
    </row>
    <row r="360" spans="1:24">
      <c r="B360" t="s">
        <v>197</v>
      </c>
      <c r="C360" t="s">
        <v>197</v>
      </c>
      <c r="D360" t="s">
        <v>197</v>
      </c>
      <c r="E360" t="s">
        <v>197</v>
      </c>
      <c r="F360" t="s">
        <v>197</v>
      </c>
      <c r="G360" t="s">
        <v>197</v>
      </c>
      <c r="H360" t="s">
        <v>197</v>
      </c>
      <c r="I360" t="s">
        <v>197</v>
      </c>
      <c r="J360" t="s">
        <v>197</v>
      </c>
      <c r="K360" t="s">
        <v>673</v>
      </c>
    </row>
    <row r="361" spans="1:24">
      <c r="B361" t="s">
        <v>197</v>
      </c>
      <c r="C361" t="s">
        <v>197</v>
      </c>
      <c r="D361" t="s">
        <v>197</v>
      </c>
      <c r="E361" t="s">
        <v>197</v>
      </c>
      <c r="F361" t="s">
        <v>197</v>
      </c>
      <c r="G361" t="s">
        <v>197</v>
      </c>
      <c r="H361" t="s">
        <v>197</v>
      </c>
      <c r="I361" t="s">
        <v>197</v>
      </c>
      <c r="J361" t="s">
        <v>197</v>
      </c>
      <c r="K361" t="s">
        <v>674</v>
      </c>
    </row>
    <row r="362" spans="1:24">
      <c r="A362" t="s">
        <v>710</v>
      </c>
      <c r="K362" t="s">
        <v>711</v>
      </c>
      <c r="W362" t="s">
        <v>171</v>
      </c>
      <c r="X362" t="str">
        <f>A362</f>
        <v>info_char_dml_batch2_pk_irp2</v>
      </c>
    </row>
    <row r="363" spans="1:24">
      <c r="B363" t="s">
        <v>196</v>
      </c>
      <c r="C363" t="s">
        <v>197</v>
      </c>
      <c r="D363" t="s">
        <v>197</v>
      </c>
      <c r="E363" t="s">
        <v>197</v>
      </c>
      <c r="F363" t="s">
        <v>197</v>
      </c>
      <c r="G363" t="s">
        <v>197</v>
      </c>
      <c r="H363" t="s">
        <v>197</v>
      </c>
      <c r="I363" t="s">
        <v>712</v>
      </c>
      <c r="J363" t="s">
        <v>199</v>
      </c>
      <c r="K363" t="s">
        <v>200</v>
      </c>
    </row>
    <row r="364" spans="1:24">
      <c r="B364" t="s">
        <v>197</v>
      </c>
      <c r="C364" t="s">
        <v>197</v>
      </c>
      <c r="D364" t="s">
        <v>197</v>
      </c>
      <c r="E364" t="s">
        <v>197</v>
      </c>
      <c r="F364" t="s">
        <v>197</v>
      </c>
      <c r="G364" t="s">
        <v>197</v>
      </c>
      <c r="H364" t="s">
        <v>197</v>
      </c>
      <c r="I364" t="s">
        <v>197</v>
      </c>
      <c r="J364" t="s">
        <v>197</v>
      </c>
      <c r="K364" t="s">
        <v>622</v>
      </c>
    </row>
    <row r="365" spans="1:24">
      <c r="B365" t="s">
        <v>197</v>
      </c>
      <c r="C365" t="s">
        <v>197</v>
      </c>
      <c r="D365" t="s">
        <v>197</v>
      </c>
      <c r="E365" t="s">
        <v>197</v>
      </c>
      <c r="F365" t="s">
        <v>197</v>
      </c>
      <c r="G365" t="s">
        <v>197</v>
      </c>
      <c r="H365" t="s">
        <v>197</v>
      </c>
      <c r="I365" t="s">
        <v>197</v>
      </c>
      <c r="J365" t="s">
        <v>197</v>
      </c>
      <c r="K365" t="s">
        <v>623</v>
      </c>
    </row>
    <row r="366" spans="1:24">
      <c r="B366" t="s">
        <v>197</v>
      </c>
      <c r="C366" t="s">
        <v>197</v>
      </c>
      <c r="D366" t="s">
        <v>197</v>
      </c>
      <c r="E366" t="s">
        <v>197</v>
      </c>
      <c r="F366" t="s">
        <v>197</v>
      </c>
      <c r="G366" t="s">
        <v>197</v>
      </c>
      <c r="H366" t="s">
        <v>197</v>
      </c>
      <c r="I366" t="s">
        <v>197</v>
      </c>
      <c r="J366" t="s">
        <v>197</v>
      </c>
      <c r="K366" t="s">
        <v>624</v>
      </c>
    </row>
    <row r="367" spans="1:24">
      <c r="K367" t="s">
        <v>443</v>
      </c>
    </row>
    <row r="368" spans="1:24">
      <c r="A368" t="s">
        <v>713</v>
      </c>
      <c r="K368" t="s">
        <v>714</v>
      </c>
      <c r="W368" t="s">
        <v>171</v>
      </c>
      <c r="X368" t="str">
        <f>A368</f>
        <v>info_nchar_dml_batch1_pk_irp2</v>
      </c>
    </row>
    <row r="369" spans="1:24">
      <c r="B369" t="s">
        <v>196</v>
      </c>
      <c r="C369" t="s">
        <v>197</v>
      </c>
      <c r="D369" t="s">
        <v>197</v>
      </c>
      <c r="E369" t="s">
        <v>197</v>
      </c>
      <c r="F369" t="s">
        <v>197</v>
      </c>
      <c r="G369" t="s">
        <v>197</v>
      </c>
      <c r="H369" t="s">
        <v>197</v>
      </c>
      <c r="I369" t="s">
        <v>715</v>
      </c>
      <c r="J369" t="s">
        <v>199</v>
      </c>
      <c r="K369" t="s">
        <v>200</v>
      </c>
    </row>
    <row r="370" spans="1:24">
      <c r="B370" t="s">
        <v>197</v>
      </c>
      <c r="C370" t="s">
        <v>197</v>
      </c>
      <c r="D370" t="s">
        <v>197</v>
      </c>
      <c r="E370" t="s">
        <v>197</v>
      </c>
      <c r="F370" t="s">
        <v>197</v>
      </c>
      <c r="G370" t="s">
        <v>197</v>
      </c>
      <c r="H370" t="s">
        <v>197</v>
      </c>
      <c r="I370" t="s">
        <v>197</v>
      </c>
      <c r="J370" t="s">
        <v>197</v>
      </c>
      <c r="K370" t="s">
        <v>514</v>
      </c>
    </row>
    <row r="371" spans="1:24">
      <c r="B371" t="s">
        <v>197</v>
      </c>
      <c r="C371" t="s">
        <v>197</v>
      </c>
      <c r="D371" t="s">
        <v>197</v>
      </c>
      <c r="E371" t="s">
        <v>197</v>
      </c>
      <c r="F371" t="s">
        <v>197</v>
      </c>
      <c r="G371" t="s">
        <v>197</v>
      </c>
      <c r="H371" t="s">
        <v>197</v>
      </c>
      <c r="I371" t="s">
        <v>197</v>
      </c>
      <c r="J371" t="s">
        <v>197</v>
      </c>
      <c r="K371" t="s">
        <v>516</v>
      </c>
    </row>
    <row r="372" spans="1:24">
      <c r="B372" t="s">
        <v>197</v>
      </c>
      <c r="C372" t="s">
        <v>197</v>
      </c>
      <c r="D372" t="s">
        <v>197</v>
      </c>
      <c r="E372" t="s">
        <v>197</v>
      </c>
      <c r="F372" t="s">
        <v>197</v>
      </c>
      <c r="G372" t="s">
        <v>197</v>
      </c>
      <c r="H372" t="s">
        <v>197</v>
      </c>
      <c r="I372" t="s">
        <v>197</v>
      </c>
      <c r="J372" t="s">
        <v>197</v>
      </c>
      <c r="K372" t="s">
        <v>612</v>
      </c>
    </row>
    <row r="373" spans="1:24">
      <c r="A373" t="s">
        <v>716</v>
      </c>
      <c r="K373" t="s">
        <v>717</v>
      </c>
      <c r="W373" t="s">
        <v>171</v>
      </c>
      <c r="X373" t="str">
        <f>A373</f>
        <v>info_date_dml_single_pk_urp</v>
      </c>
    </row>
    <row r="374" spans="1:24">
      <c r="B374" t="s">
        <v>196</v>
      </c>
      <c r="C374" t="s">
        <v>197</v>
      </c>
      <c r="D374" t="s">
        <v>197</v>
      </c>
      <c r="E374" t="s">
        <v>197</v>
      </c>
      <c r="F374" t="s">
        <v>197</v>
      </c>
      <c r="G374" t="s">
        <v>197</v>
      </c>
      <c r="H374" t="s">
        <v>197</v>
      </c>
      <c r="I374" t="s">
        <v>718</v>
      </c>
      <c r="J374" t="s">
        <v>199</v>
      </c>
      <c r="K374" t="s">
        <v>200</v>
      </c>
    </row>
    <row r="375" spans="1:24">
      <c r="B375" t="s">
        <v>197</v>
      </c>
      <c r="C375" t="s">
        <v>197</v>
      </c>
      <c r="D375" t="s">
        <v>197</v>
      </c>
      <c r="E375" t="s">
        <v>197</v>
      </c>
      <c r="F375" t="s">
        <v>197</v>
      </c>
      <c r="G375" t="s">
        <v>197</v>
      </c>
      <c r="H375" t="s">
        <v>197</v>
      </c>
      <c r="I375" t="s">
        <v>197</v>
      </c>
      <c r="J375" t="s">
        <v>197</v>
      </c>
      <c r="K375" t="s">
        <v>678</v>
      </c>
    </row>
    <row r="376" spans="1:24">
      <c r="A376" t="s">
        <v>719</v>
      </c>
      <c r="K376" t="s">
        <v>720</v>
      </c>
      <c r="W376" t="s">
        <v>171</v>
      </c>
      <c r="X376" t="str">
        <f>A376</f>
        <v>info_datetime2_dml_batch1_pk_urp2</v>
      </c>
    </row>
    <row r="377" spans="1:24">
      <c r="B377" t="s">
        <v>196</v>
      </c>
      <c r="C377" t="s">
        <v>197</v>
      </c>
      <c r="D377" t="s">
        <v>197</v>
      </c>
      <c r="E377" t="s">
        <v>197</v>
      </c>
      <c r="F377" t="s">
        <v>197</v>
      </c>
      <c r="G377" t="s">
        <v>197</v>
      </c>
      <c r="H377" t="s">
        <v>197</v>
      </c>
      <c r="I377" t="s">
        <v>721</v>
      </c>
      <c r="J377" t="s">
        <v>199</v>
      </c>
      <c r="K377" t="s">
        <v>200</v>
      </c>
    </row>
    <row r="378" spans="1:24">
      <c r="B378" t="s">
        <v>197</v>
      </c>
      <c r="C378" t="s">
        <v>197</v>
      </c>
      <c r="D378" t="s">
        <v>197</v>
      </c>
      <c r="E378" t="s">
        <v>197</v>
      </c>
      <c r="F378" t="s">
        <v>197</v>
      </c>
      <c r="G378" t="s">
        <v>197</v>
      </c>
      <c r="H378" t="s">
        <v>197</v>
      </c>
      <c r="I378" t="s">
        <v>197</v>
      </c>
      <c r="J378" t="s">
        <v>197</v>
      </c>
      <c r="K378" t="s">
        <v>667</v>
      </c>
    </row>
    <row r="379" spans="1:24">
      <c r="B379" t="s">
        <v>197</v>
      </c>
      <c r="C379" t="s">
        <v>197</v>
      </c>
      <c r="D379" t="s">
        <v>197</v>
      </c>
      <c r="E379" t="s">
        <v>197</v>
      </c>
      <c r="F379" t="s">
        <v>197</v>
      </c>
      <c r="G379" t="s">
        <v>197</v>
      </c>
      <c r="H379" t="s">
        <v>197</v>
      </c>
      <c r="I379" t="s">
        <v>197</v>
      </c>
      <c r="J379" t="s">
        <v>197</v>
      </c>
      <c r="K379" t="s">
        <v>668</v>
      </c>
    </row>
    <row r="380" spans="1:24">
      <c r="B380" t="s">
        <v>197</v>
      </c>
      <c r="C380" t="s">
        <v>197</v>
      </c>
      <c r="D380" t="s">
        <v>197</v>
      </c>
      <c r="E380" t="s">
        <v>197</v>
      </c>
      <c r="F380" t="s">
        <v>197</v>
      </c>
      <c r="G380" t="s">
        <v>197</v>
      </c>
      <c r="H380" t="s">
        <v>197</v>
      </c>
      <c r="I380" t="s">
        <v>197</v>
      </c>
      <c r="J380" t="s">
        <v>197</v>
      </c>
      <c r="K380" t="s">
        <v>669</v>
      </c>
    </row>
    <row r="381" spans="1:24">
      <c r="B381" t="s">
        <v>197</v>
      </c>
      <c r="C381" t="s">
        <v>197</v>
      </c>
      <c r="D381" t="s">
        <v>197</v>
      </c>
      <c r="E381" t="s">
        <v>197</v>
      </c>
      <c r="F381" t="s">
        <v>197</v>
      </c>
      <c r="G381" t="s">
        <v>197</v>
      </c>
      <c r="H381" t="s">
        <v>197</v>
      </c>
      <c r="I381" t="s">
        <v>197</v>
      </c>
      <c r="J381" t="s">
        <v>197</v>
      </c>
      <c r="K381" t="s">
        <v>670</v>
      </c>
    </row>
    <row r="382" spans="1:24">
      <c r="B382" t="s">
        <v>197</v>
      </c>
      <c r="C382" t="s">
        <v>197</v>
      </c>
      <c r="D382" t="s">
        <v>197</v>
      </c>
      <c r="E382" t="s">
        <v>197</v>
      </c>
      <c r="F382" t="s">
        <v>197</v>
      </c>
      <c r="G382" t="s">
        <v>197</v>
      </c>
      <c r="H382" t="s">
        <v>197</v>
      </c>
      <c r="I382" t="s">
        <v>197</v>
      </c>
      <c r="J382" t="s">
        <v>197</v>
      </c>
      <c r="K382" t="s">
        <v>671</v>
      </c>
    </row>
    <row r="383" spans="1:24">
      <c r="B383" t="s">
        <v>197</v>
      </c>
      <c r="C383" t="s">
        <v>197</v>
      </c>
      <c r="D383" t="s">
        <v>197</v>
      </c>
      <c r="E383" t="s">
        <v>197</v>
      </c>
      <c r="F383" t="s">
        <v>197</v>
      </c>
      <c r="G383" t="s">
        <v>197</v>
      </c>
      <c r="H383" t="s">
        <v>197</v>
      </c>
      <c r="I383" t="s">
        <v>197</v>
      </c>
      <c r="J383" t="s">
        <v>197</v>
      </c>
      <c r="K383" t="s">
        <v>672</v>
      </c>
    </row>
    <row r="384" spans="1:24">
      <c r="B384" t="s">
        <v>197</v>
      </c>
      <c r="C384" t="s">
        <v>197</v>
      </c>
      <c r="D384" t="s">
        <v>197</v>
      </c>
      <c r="E384" t="s">
        <v>197</v>
      </c>
      <c r="F384" t="s">
        <v>197</v>
      </c>
      <c r="G384" t="s">
        <v>197</v>
      </c>
      <c r="H384" t="s">
        <v>197</v>
      </c>
      <c r="I384" t="s">
        <v>197</v>
      </c>
      <c r="J384" t="s">
        <v>197</v>
      </c>
      <c r="K384" t="s">
        <v>673</v>
      </c>
    </row>
    <row r="385" spans="1:24">
      <c r="B385" t="s">
        <v>197</v>
      </c>
      <c r="C385" t="s">
        <v>197</v>
      </c>
      <c r="D385" t="s">
        <v>197</v>
      </c>
      <c r="E385" t="s">
        <v>197</v>
      </c>
      <c r="F385" t="s">
        <v>197</v>
      </c>
      <c r="G385" t="s">
        <v>197</v>
      </c>
      <c r="H385" t="s">
        <v>197</v>
      </c>
      <c r="I385" t="s">
        <v>197</v>
      </c>
      <c r="J385" t="s">
        <v>197</v>
      </c>
      <c r="K385" t="s">
        <v>674</v>
      </c>
    </row>
    <row r="386" spans="1:24">
      <c r="A386" t="s">
        <v>722</v>
      </c>
      <c r="K386" t="s">
        <v>723</v>
      </c>
      <c r="W386" t="s">
        <v>171</v>
      </c>
      <c r="X386" t="str">
        <f>A386</f>
        <v>info_varcharmax_dml_batch1_pk_irp1</v>
      </c>
    </row>
    <row r="387" spans="1:24">
      <c r="B387" t="s">
        <v>196</v>
      </c>
      <c r="C387" t="s">
        <v>197</v>
      </c>
      <c r="D387" t="s">
        <v>197</v>
      </c>
      <c r="E387" t="s">
        <v>197</v>
      </c>
      <c r="F387" t="s">
        <v>197</v>
      </c>
      <c r="G387" t="s">
        <v>197</v>
      </c>
      <c r="H387" t="s">
        <v>197</v>
      </c>
      <c r="I387" t="s">
        <v>724</v>
      </c>
      <c r="J387" t="s">
        <v>199</v>
      </c>
      <c r="K387" t="s">
        <v>200</v>
      </c>
    </row>
    <row r="388" spans="1:24">
      <c r="B388" t="s">
        <v>197</v>
      </c>
      <c r="C388" t="s">
        <v>197</v>
      </c>
      <c r="D388" t="s">
        <v>197</v>
      </c>
      <c r="E388" t="s">
        <v>197</v>
      </c>
      <c r="F388" t="s">
        <v>197</v>
      </c>
      <c r="G388" t="s">
        <v>197</v>
      </c>
      <c r="H388" t="s">
        <v>197</v>
      </c>
      <c r="I388" t="s">
        <v>197</v>
      </c>
      <c r="J388" t="s">
        <v>197</v>
      </c>
      <c r="K388" t="s">
        <v>725</v>
      </c>
    </row>
    <row r="389" spans="1:24">
      <c r="B389" t="s">
        <v>197</v>
      </c>
      <c r="C389" t="s">
        <v>197</v>
      </c>
      <c r="D389" t="s">
        <v>197</v>
      </c>
      <c r="E389" t="s">
        <v>197</v>
      </c>
      <c r="F389" t="s">
        <v>197</v>
      </c>
      <c r="G389" t="s">
        <v>197</v>
      </c>
      <c r="H389" t="s">
        <v>197</v>
      </c>
      <c r="I389" t="s">
        <v>197</v>
      </c>
      <c r="J389" t="s">
        <v>197</v>
      </c>
      <c r="K389" t="s">
        <v>726</v>
      </c>
    </row>
    <row r="390" spans="1:24">
      <c r="K390" t="s">
        <v>443</v>
      </c>
    </row>
    <row r="391" spans="1:24">
      <c r="A391" t="s">
        <v>731</v>
      </c>
      <c r="K391" t="s">
        <v>732</v>
      </c>
      <c r="W391" t="s">
        <v>171</v>
      </c>
      <c r="X391" t="str">
        <f>A391</f>
        <v>info_datetime2_dml_batch1_pk_drp1</v>
      </c>
    </row>
    <row r="392" spans="1:24">
      <c r="B392" t="s">
        <v>196</v>
      </c>
      <c r="C392" t="s">
        <v>197</v>
      </c>
      <c r="D392" t="s">
        <v>197</v>
      </c>
      <c r="E392" t="s">
        <v>197</v>
      </c>
      <c r="F392" t="s">
        <v>197</v>
      </c>
      <c r="G392" t="s">
        <v>197</v>
      </c>
      <c r="H392" t="s">
        <v>197</v>
      </c>
      <c r="I392" t="s">
        <v>733</v>
      </c>
      <c r="J392" t="s">
        <v>199</v>
      </c>
      <c r="K392" t="s">
        <v>200</v>
      </c>
    </row>
    <row r="393" spans="1:24">
      <c r="B393" t="s">
        <v>197</v>
      </c>
      <c r="C393" t="s">
        <v>197</v>
      </c>
      <c r="D393" t="s">
        <v>197</v>
      </c>
      <c r="E393" t="s">
        <v>197</v>
      </c>
      <c r="F393" t="s">
        <v>197</v>
      </c>
      <c r="G393" t="s">
        <v>197</v>
      </c>
      <c r="H393" t="s">
        <v>197</v>
      </c>
      <c r="I393" t="s">
        <v>197</v>
      </c>
      <c r="J393" t="s">
        <v>197</v>
      </c>
      <c r="K393" t="s">
        <v>667</v>
      </c>
    </row>
    <row r="394" spans="1:24">
      <c r="B394" t="s">
        <v>197</v>
      </c>
      <c r="C394" t="s">
        <v>197</v>
      </c>
      <c r="D394" t="s">
        <v>197</v>
      </c>
      <c r="E394" t="s">
        <v>197</v>
      </c>
      <c r="F394" t="s">
        <v>197</v>
      </c>
      <c r="G394" t="s">
        <v>197</v>
      </c>
      <c r="H394" t="s">
        <v>197</v>
      </c>
      <c r="I394" t="s">
        <v>197</v>
      </c>
      <c r="J394" t="s">
        <v>197</v>
      </c>
      <c r="K394" t="s">
        <v>668</v>
      </c>
    </row>
    <row r="395" spans="1:24">
      <c r="B395" t="s">
        <v>197</v>
      </c>
      <c r="C395" t="s">
        <v>197</v>
      </c>
      <c r="D395" t="s">
        <v>197</v>
      </c>
      <c r="E395" t="s">
        <v>197</v>
      </c>
      <c r="F395" t="s">
        <v>197</v>
      </c>
      <c r="G395" t="s">
        <v>197</v>
      </c>
      <c r="H395" t="s">
        <v>197</v>
      </c>
      <c r="I395" t="s">
        <v>197</v>
      </c>
      <c r="J395" t="s">
        <v>197</v>
      </c>
      <c r="K395" t="s">
        <v>669</v>
      </c>
    </row>
    <row r="396" spans="1:24">
      <c r="B396" t="s">
        <v>197</v>
      </c>
      <c r="C396" t="s">
        <v>197</v>
      </c>
      <c r="D396" t="s">
        <v>197</v>
      </c>
      <c r="E396" t="s">
        <v>197</v>
      </c>
      <c r="F396" t="s">
        <v>197</v>
      </c>
      <c r="G396" t="s">
        <v>197</v>
      </c>
      <c r="H396" t="s">
        <v>197</v>
      </c>
      <c r="I396" t="s">
        <v>197</v>
      </c>
      <c r="J396" t="s">
        <v>197</v>
      </c>
      <c r="K396" t="s">
        <v>670</v>
      </c>
    </row>
    <row r="397" spans="1:24">
      <c r="B397" t="s">
        <v>197</v>
      </c>
      <c r="C397" t="s">
        <v>197</v>
      </c>
      <c r="D397" t="s">
        <v>197</v>
      </c>
      <c r="E397" t="s">
        <v>197</v>
      </c>
      <c r="F397" t="s">
        <v>197</v>
      </c>
      <c r="G397" t="s">
        <v>197</v>
      </c>
      <c r="H397" t="s">
        <v>197</v>
      </c>
      <c r="I397" t="s">
        <v>197</v>
      </c>
      <c r="J397" t="s">
        <v>197</v>
      </c>
      <c r="K397" t="s">
        <v>671</v>
      </c>
    </row>
    <row r="398" spans="1:24">
      <c r="B398" t="s">
        <v>197</v>
      </c>
      <c r="C398" t="s">
        <v>197</v>
      </c>
      <c r="D398" t="s">
        <v>197</v>
      </c>
      <c r="E398" t="s">
        <v>197</v>
      </c>
      <c r="F398" t="s">
        <v>197</v>
      </c>
      <c r="G398" t="s">
        <v>197</v>
      </c>
      <c r="H398" t="s">
        <v>197</v>
      </c>
      <c r="I398" t="s">
        <v>197</v>
      </c>
      <c r="J398" t="s">
        <v>197</v>
      </c>
      <c r="K398" t="s">
        <v>672</v>
      </c>
    </row>
    <row r="399" spans="1:24">
      <c r="B399" t="s">
        <v>197</v>
      </c>
      <c r="C399" t="s">
        <v>197</v>
      </c>
      <c r="D399" t="s">
        <v>197</v>
      </c>
      <c r="E399" t="s">
        <v>197</v>
      </c>
      <c r="F399" t="s">
        <v>197</v>
      </c>
      <c r="G399" t="s">
        <v>197</v>
      </c>
      <c r="H399" t="s">
        <v>197</v>
      </c>
      <c r="I399" t="s">
        <v>197</v>
      </c>
      <c r="J399" t="s">
        <v>197</v>
      </c>
      <c r="K399" t="s">
        <v>673</v>
      </c>
    </row>
    <row r="400" spans="1:24">
      <c r="B400" t="s">
        <v>197</v>
      </c>
      <c r="C400" t="s">
        <v>197</v>
      </c>
      <c r="D400" t="s">
        <v>197</v>
      </c>
      <c r="E400" t="s">
        <v>197</v>
      </c>
      <c r="F400" t="s">
        <v>197</v>
      </c>
      <c r="G400" t="s">
        <v>197</v>
      </c>
      <c r="H400" t="s">
        <v>197</v>
      </c>
      <c r="I400" t="s">
        <v>197</v>
      </c>
      <c r="J400" t="s">
        <v>197</v>
      </c>
      <c r="K400" t="s">
        <v>674</v>
      </c>
    </row>
    <row r="401" spans="1:24">
      <c r="K401" t="s">
        <v>443</v>
      </c>
    </row>
    <row r="402" spans="1:24">
      <c r="A402" t="s">
        <v>727</v>
      </c>
      <c r="K402" t="s">
        <v>728</v>
      </c>
      <c r="W402" t="s">
        <v>171</v>
      </c>
      <c r="X402" t="str">
        <f>A402</f>
        <v>info_nvarchar_dml_single_pk_irp</v>
      </c>
    </row>
    <row r="403" spans="1:24">
      <c r="B403" t="s">
        <v>196</v>
      </c>
      <c r="C403" t="s">
        <v>197</v>
      </c>
      <c r="D403" t="s">
        <v>197</v>
      </c>
      <c r="E403" t="s">
        <v>197</v>
      </c>
      <c r="F403" t="s">
        <v>197</v>
      </c>
      <c r="G403" t="s">
        <v>197</v>
      </c>
      <c r="H403" t="s">
        <v>197</v>
      </c>
      <c r="I403" t="s">
        <v>729</v>
      </c>
      <c r="J403" t="s">
        <v>199</v>
      </c>
      <c r="K403" t="s">
        <v>200</v>
      </c>
    </row>
    <row r="404" spans="1:24">
      <c r="B404" t="s">
        <v>197</v>
      </c>
      <c r="C404" t="s">
        <v>197</v>
      </c>
      <c r="D404" t="s">
        <v>197</v>
      </c>
      <c r="E404" t="s">
        <v>197</v>
      </c>
      <c r="F404" t="s">
        <v>197</v>
      </c>
      <c r="G404" t="s">
        <v>197</v>
      </c>
      <c r="H404" t="s">
        <v>197</v>
      </c>
      <c r="I404" t="s">
        <v>197</v>
      </c>
      <c r="J404" t="s">
        <v>197</v>
      </c>
      <c r="K404" t="s">
        <v>408</v>
      </c>
    </row>
    <row r="405" spans="1:24">
      <c r="B405" t="s">
        <v>197</v>
      </c>
      <c r="C405" t="s">
        <v>197</v>
      </c>
      <c r="D405" t="s">
        <v>197</v>
      </c>
      <c r="E405" t="s">
        <v>197</v>
      </c>
      <c r="F405" t="s">
        <v>197</v>
      </c>
      <c r="G405" t="s">
        <v>197</v>
      </c>
      <c r="H405" t="s">
        <v>197</v>
      </c>
      <c r="I405" t="s">
        <v>197</v>
      </c>
      <c r="J405" t="s">
        <v>197</v>
      </c>
      <c r="K405" t="s">
        <v>412</v>
      </c>
    </row>
    <row r="406" spans="1:24">
      <c r="B406" t="s">
        <v>197</v>
      </c>
      <c r="C406" t="s">
        <v>197</v>
      </c>
      <c r="D406" t="s">
        <v>197</v>
      </c>
      <c r="E406" t="s">
        <v>197</v>
      </c>
      <c r="F406" t="s">
        <v>197</v>
      </c>
      <c r="G406" t="s">
        <v>197</v>
      </c>
      <c r="H406" t="s">
        <v>197</v>
      </c>
      <c r="I406" t="s">
        <v>197</v>
      </c>
      <c r="J406" t="s">
        <v>197</v>
      </c>
      <c r="K406" t="s">
        <v>730</v>
      </c>
    </row>
    <row r="407" spans="1:24">
      <c r="A407" t="s">
        <v>734</v>
      </c>
      <c r="K407" t="s">
        <v>735</v>
      </c>
      <c r="W407" t="s">
        <v>171</v>
      </c>
      <c r="X407" t="str">
        <f>A407</f>
        <v>info_varcharmax_dml_batch1_pk_irp2</v>
      </c>
    </row>
    <row r="408" spans="1:24">
      <c r="B408" t="s">
        <v>196</v>
      </c>
      <c r="C408" t="s">
        <v>197</v>
      </c>
      <c r="D408" t="s">
        <v>197</v>
      </c>
      <c r="E408" t="s">
        <v>197</v>
      </c>
      <c r="F408" t="s">
        <v>197</v>
      </c>
      <c r="G408" t="s">
        <v>197</v>
      </c>
      <c r="H408" t="s">
        <v>197</v>
      </c>
      <c r="I408" t="s">
        <v>736</v>
      </c>
      <c r="J408" t="s">
        <v>199</v>
      </c>
      <c r="K408" t="s">
        <v>200</v>
      </c>
    </row>
    <row r="409" spans="1:24">
      <c r="B409" t="s">
        <v>197</v>
      </c>
      <c r="C409" t="s">
        <v>197</v>
      </c>
      <c r="D409" t="s">
        <v>197</v>
      </c>
      <c r="E409" t="s">
        <v>197</v>
      </c>
      <c r="F409" t="s">
        <v>197</v>
      </c>
      <c r="G409" t="s">
        <v>197</v>
      </c>
      <c r="H409" t="s">
        <v>197</v>
      </c>
      <c r="I409" t="s">
        <v>197</v>
      </c>
      <c r="J409" t="s">
        <v>197</v>
      </c>
      <c r="K409" t="s">
        <v>725</v>
      </c>
    </row>
    <row r="410" spans="1:24">
      <c r="B410" t="s">
        <v>197</v>
      </c>
      <c r="C410" t="s">
        <v>197</v>
      </c>
      <c r="D410" t="s">
        <v>197</v>
      </c>
      <c r="E410" t="s">
        <v>197</v>
      </c>
      <c r="F410" t="s">
        <v>197</v>
      </c>
      <c r="G410" t="s">
        <v>197</v>
      </c>
      <c r="H410" t="s">
        <v>197</v>
      </c>
      <c r="I410" t="s">
        <v>197</v>
      </c>
      <c r="J410" t="s">
        <v>197</v>
      </c>
      <c r="K410" t="s">
        <v>726</v>
      </c>
    </row>
    <row r="411" spans="1:24">
      <c r="K411" t="s">
        <v>443</v>
      </c>
    </row>
    <row r="412" spans="1:24">
      <c r="A412" t="s">
        <v>737</v>
      </c>
      <c r="K412" t="s">
        <v>738</v>
      </c>
      <c r="W412" t="s">
        <v>171</v>
      </c>
      <c r="X412" t="str">
        <f>A412</f>
        <v>info_binary_dml_batch1_pk_irp2</v>
      </c>
    </row>
    <row r="413" spans="1:24">
      <c r="B413" t="s">
        <v>196</v>
      </c>
      <c r="C413" t="s">
        <v>197</v>
      </c>
      <c r="D413" t="s">
        <v>197</v>
      </c>
      <c r="E413" t="s">
        <v>197</v>
      </c>
      <c r="F413" t="s">
        <v>197</v>
      </c>
      <c r="G413" t="s">
        <v>197</v>
      </c>
      <c r="H413" t="s">
        <v>197</v>
      </c>
      <c r="I413" t="s">
        <v>739</v>
      </c>
      <c r="J413" t="s">
        <v>199</v>
      </c>
      <c r="K413" t="s">
        <v>200</v>
      </c>
    </row>
    <row r="414" spans="1:24">
      <c r="B414" t="s">
        <v>197</v>
      </c>
      <c r="C414" t="s">
        <v>197</v>
      </c>
      <c r="D414" t="s">
        <v>197</v>
      </c>
      <c r="E414" t="s">
        <v>197</v>
      </c>
      <c r="F414" t="s">
        <v>197</v>
      </c>
      <c r="G414" t="s">
        <v>197</v>
      </c>
      <c r="H414" t="s">
        <v>197</v>
      </c>
      <c r="I414" t="s">
        <v>197</v>
      </c>
      <c r="J414" t="s">
        <v>197</v>
      </c>
      <c r="K414" t="s">
        <v>691</v>
      </c>
    </row>
    <row r="415" spans="1:24">
      <c r="B415" t="s">
        <v>197</v>
      </c>
      <c r="C415" t="s">
        <v>197</v>
      </c>
      <c r="D415" t="s">
        <v>197</v>
      </c>
      <c r="E415" t="s">
        <v>197</v>
      </c>
      <c r="F415" t="s">
        <v>197</v>
      </c>
      <c r="G415" t="s">
        <v>197</v>
      </c>
      <c r="H415" t="s">
        <v>197</v>
      </c>
      <c r="I415" t="s">
        <v>197</v>
      </c>
      <c r="J415" t="s">
        <v>197</v>
      </c>
      <c r="K415" t="s">
        <v>692</v>
      </c>
    </row>
    <row r="416" spans="1:24">
      <c r="B416" t="s">
        <v>197</v>
      </c>
      <c r="C416" t="s">
        <v>197</v>
      </c>
      <c r="D416" t="s">
        <v>197</v>
      </c>
      <c r="E416" t="s">
        <v>197</v>
      </c>
      <c r="F416" t="s">
        <v>197</v>
      </c>
      <c r="G416" t="s">
        <v>197</v>
      </c>
      <c r="H416" t="s">
        <v>197</v>
      </c>
      <c r="I416" t="s">
        <v>197</v>
      </c>
      <c r="J416" t="s">
        <v>197</v>
      </c>
      <c r="K416" t="s">
        <v>693</v>
      </c>
    </row>
    <row r="417" spans="1:24">
      <c r="A417" t="s">
        <v>740</v>
      </c>
      <c r="K417" t="s">
        <v>741</v>
      </c>
      <c r="W417" t="s">
        <v>171</v>
      </c>
      <c r="X417" t="str">
        <f>A417</f>
        <v>info_datetime2_dml_batch1_pk_drp2</v>
      </c>
    </row>
    <row r="418" spans="1:24">
      <c r="B418" t="s">
        <v>196</v>
      </c>
      <c r="C418" t="s">
        <v>197</v>
      </c>
      <c r="D418" t="s">
        <v>197</v>
      </c>
      <c r="E418" t="s">
        <v>197</v>
      </c>
      <c r="F418" t="s">
        <v>197</v>
      </c>
      <c r="G418" t="s">
        <v>197</v>
      </c>
      <c r="H418" t="s">
        <v>197</v>
      </c>
      <c r="I418" t="s">
        <v>742</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749</v>
      </c>
      <c r="K435" t="s">
        <v>750</v>
      </c>
      <c r="W435" t="s">
        <v>171</v>
      </c>
      <c r="X435" t="str">
        <f>A435</f>
        <v>info_datetime2_dml_batch1_pk</v>
      </c>
    </row>
    <row r="436" spans="1:24">
      <c r="B436" t="s">
        <v>196</v>
      </c>
      <c r="C436" t="s">
        <v>197</v>
      </c>
      <c r="D436" t="s">
        <v>197</v>
      </c>
      <c r="E436" t="s">
        <v>197</v>
      </c>
      <c r="F436" t="s">
        <v>197</v>
      </c>
      <c r="G436" t="s">
        <v>197</v>
      </c>
      <c r="H436" t="s">
        <v>197</v>
      </c>
      <c r="I436" t="s">
        <v>751</v>
      </c>
      <c r="J436" t="s">
        <v>199</v>
      </c>
      <c r="K436" t="s">
        <v>200</v>
      </c>
    </row>
    <row r="437" spans="1:24">
      <c r="B437" t="s">
        <v>197</v>
      </c>
      <c r="C437" t="s">
        <v>197</v>
      </c>
      <c r="D437" t="s">
        <v>197</v>
      </c>
      <c r="E437" t="s">
        <v>197</v>
      </c>
      <c r="F437" t="s">
        <v>197</v>
      </c>
      <c r="G437" t="s">
        <v>197</v>
      </c>
      <c r="H437" t="s">
        <v>197</v>
      </c>
      <c r="I437" t="s">
        <v>197</v>
      </c>
      <c r="J437" t="s">
        <v>197</v>
      </c>
      <c r="K437" t="s">
        <v>667</v>
      </c>
    </row>
    <row r="438" spans="1:24">
      <c r="B438" t="s">
        <v>197</v>
      </c>
      <c r="C438" t="s">
        <v>197</v>
      </c>
      <c r="D438" t="s">
        <v>197</v>
      </c>
      <c r="E438" t="s">
        <v>197</v>
      </c>
      <c r="F438" t="s">
        <v>197</v>
      </c>
      <c r="G438" t="s">
        <v>197</v>
      </c>
      <c r="H438" t="s">
        <v>197</v>
      </c>
      <c r="I438" t="s">
        <v>197</v>
      </c>
      <c r="J438" t="s">
        <v>197</v>
      </c>
      <c r="K438" t="s">
        <v>668</v>
      </c>
    </row>
    <row r="439" spans="1:24">
      <c r="B439" t="s">
        <v>197</v>
      </c>
      <c r="C439" t="s">
        <v>197</v>
      </c>
      <c r="D439" t="s">
        <v>197</v>
      </c>
      <c r="E439" t="s">
        <v>197</v>
      </c>
      <c r="F439" t="s">
        <v>197</v>
      </c>
      <c r="G439" t="s">
        <v>197</v>
      </c>
      <c r="H439" t="s">
        <v>197</v>
      </c>
      <c r="I439" t="s">
        <v>197</v>
      </c>
      <c r="J439" t="s">
        <v>197</v>
      </c>
      <c r="K439" t="s">
        <v>669</v>
      </c>
    </row>
    <row r="440" spans="1:24">
      <c r="B440" t="s">
        <v>197</v>
      </c>
      <c r="C440" t="s">
        <v>197</v>
      </c>
      <c r="D440" t="s">
        <v>197</v>
      </c>
      <c r="E440" t="s">
        <v>197</v>
      </c>
      <c r="F440" t="s">
        <v>197</v>
      </c>
      <c r="G440" t="s">
        <v>197</v>
      </c>
      <c r="H440" t="s">
        <v>197</v>
      </c>
      <c r="I440" t="s">
        <v>197</v>
      </c>
      <c r="J440" t="s">
        <v>197</v>
      </c>
      <c r="K440" t="s">
        <v>670</v>
      </c>
    </row>
    <row r="441" spans="1:24">
      <c r="B441" t="s">
        <v>197</v>
      </c>
      <c r="C441" t="s">
        <v>197</v>
      </c>
      <c r="D441" t="s">
        <v>197</v>
      </c>
      <c r="E441" t="s">
        <v>197</v>
      </c>
      <c r="F441" t="s">
        <v>197</v>
      </c>
      <c r="G441" t="s">
        <v>197</v>
      </c>
      <c r="H441" t="s">
        <v>197</v>
      </c>
      <c r="I441" t="s">
        <v>197</v>
      </c>
      <c r="J441" t="s">
        <v>197</v>
      </c>
      <c r="K441" t="s">
        <v>671</v>
      </c>
    </row>
    <row r="442" spans="1:24">
      <c r="B442" t="s">
        <v>197</v>
      </c>
      <c r="C442" t="s">
        <v>197</v>
      </c>
      <c r="D442" t="s">
        <v>197</v>
      </c>
      <c r="E442" t="s">
        <v>197</v>
      </c>
      <c r="F442" t="s">
        <v>197</v>
      </c>
      <c r="G442" t="s">
        <v>197</v>
      </c>
      <c r="H442" t="s">
        <v>197</v>
      </c>
      <c r="I442" t="s">
        <v>197</v>
      </c>
      <c r="J442" t="s">
        <v>197</v>
      </c>
      <c r="K442" t="s">
        <v>672</v>
      </c>
    </row>
    <row r="443" spans="1:24">
      <c r="B443" t="s">
        <v>197</v>
      </c>
      <c r="C443" t="s">
        <v>197</v>
      </c>
      <c r="D443" t="s">
        <v>197</v>
      </c>
      <c r="E443" t="s">
        <v>197</v>
      </c>
      <c r="F443" t="s">
        <v>197</v>
      </c>
      <c r="G443" t="s">
        <v>197</v>
      </c>
      <c r="H443" t="s">
        <v>197</v>
      </c>
      <c r="I443" t="s">
        <v>197</v>
      </c>
      <c r="J443" t="s">
        <v>197</v>
      </c>
      <c r="K443" t="s">
        <v>673</v>
      </c>
    </row>
    <row r="444" spans="1:24">
      <c r="B444" t="s">
        <v>197</v>
      </c>
      <c r="C444" t="s">
        <v>197</v>
      </c>
      <c r="D444" t="s">
        <v>197</v>
      </c>
      <c r="E444" t="s">
        <v>197</v>
      </c>
      <c r="F444" t="s">
        <v>197</v>
      </c>
      <c r="G444" t="s">
        <v>197</v>
      </c>
      <c r="H444" t="s">
        <v>197</v>
      </c>
      <c r="I444" t="s">
        <v>197</v>
      </c>
      <c r="J444" t="s">
        <v>197</v>
      </c>
      <c r="K444" t="s">
        <v>674</v>
      </c>
    </row>
    <row r="445" spans="1:24">
      <c r="A445" t="s">
        <v>752</v>
      </c>
      <c r="K445" t="s">
        <v>753</v>
      </c>
      <c r="W445" t="s">
        <v>171</v>
      </c>
      <c r="X445" t="str">
        <f>A445</f>
        <v>info_nchar_dml_batch2_pk_irp1</v>
      </c>
    </row>
    <row r="446" spans="1:24">
      <c r="B446" t="s">
        <v>196</v>
      </c>
      <c r="C446" t="s">
        <v>197</v>
      </c>
      <c r="D446" t="s">
        <v>197</v>
      </c>
      <c r="E446" t="s">
        <v>197</v>
      </c>
      <c r="F446" t="s">
        <v>197</v>
      </c>
      <c r="G446" t="s">
        <v>197</v>
      </c>
      <c r="H446" t="s">
        <v>197</v>
      </c>
      <c r="I446" t="s">
        <v>754</v>
      </c>
      <c r="J446" t="s">
        <v>199</v>
      </c>
      <c r="K446" t="s">
        <v>200</v>
      </c>
    </row>
    <row r="447" spans="1:24">
      <c r="B447" t="s">
        <v>197</v>
      </c>
      <c r="C447" t="s">
        <v>197</v>
      </c>
      <c r="D447" t="s">
        <v>197</v>
      </c>
      <c r="E447" t="s">
        <v>197</v>
      </c>
      <c r="F447" t="s">
        <v>197</v>
      </c>
      <c r="G447" t="s">
        <v>197</v>
      </c>
      <c r="H447" t="s">
        <v>197</v>
      </c>
      <c r="I447" t="s">
        <v>197</v>
      </c>
      <c r="J447" t="s">
        <v>197</v>
      </c>
      <c r="K447" t="s">
        <v>514</v>
      </c>
    </row>
    <row r="448" spans="1:24">
      <c r="B448" t="s">
        <v>197</v>
      </c>
      <c r="C448" t="s">
        <v>197</v>
      </c>
      <c r="D448" t="s">
        <v>197</v>
      </c>
      <c r="E448" t="s">
        <v>197</v>
      </c>
      <c r="F448" t="s">
        <v>197</v>
      </c>
      <c r="G448" t="s">
        <v>197</v>
      </c>
      <c r="H448" t="s">
        <v>197</v>
      </c>
      <c r="I448" t="s">
        <v>197</v>
      </c>
      <c r="J448" t="s">
        <v>197</v>
      </c>
      <c r="K448" t="s">
        <v>516</v>
      </c>
    </row>
    <row r="449" spans="1:24">
      <c r="B449" t="s">
        <v>197</v>
      </c>
      <c r="C449" t="s">
        <v>197</v>
      </c>
      <c r="D449" t="s">
        <v>197</v>
      </c>
      <c r="E449" t="s">
        <v>197</v>
      </c>
      <c r="F449" t="s">
        <v>197</v>
      </c>
      <c r="G449" t="s">
        <v>197</v>
      </c>
      <c r="H449" t="s">
        <v>197</v>
      </c>
      <c r="I449" t="s">
        <v>197</v>
      </c>
      <c r="J449" t="s">
        <v>197</v>
      </c>
      <c r="K449" t="s">
        <v>612</v>
      </c>
    </row>
    <row r="450" spans="1:24">
      <c r="A450" t="s">
        <v>755</v>
      </c>
      <c r="K450" t="s">
        <v>756</v>
      </c>
      <c r="W450" t="s">
        <v>171</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t="s">
        <v>171</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770</v>
      </c>
      <c r="K461" t="s">
        <v>771</v>
      </c>
      <c r="W461" t="s">
        <v>171</v>
      </c>
      <c r="X461" t="str">
        <f>A461</f>
        <v>info_date_dml_single_pk</v>
      </c>
    </row>
    <row r="462" spans="1:24">
      <c r="B462" t="s">
        <v>196</v>
      </c>
      <c r="C462" t="s">
        <v>197</v>
      </c>
      <c r="D462" t="s">
        <v>197</v>
      </c>
      <c r="E462" t="s">
        <v>197</v>
      </c>
      <c r="F462" t="s">
        <v>197</v>
      </c>
      <c r="G462" t="s">
        <v>197</v>
      </c>
      <c r="H462" t="s">
        <v>197</v>
      </c>
      <c r="I462" t="s">
        <v>772</v>
      </c>
      <c r="J462" t="s">
        <v>199</v>
      </c>
      <c r="K462" t="s">
        <v>200</v>
      </c>
    </row>
    <row r="463" spans="1:24">
      <c r="B463" t="s">
        <v>197</v>
      </c>
      <c r="C463" t="s">
        <v>197</v>
      </c>
      <c r="D463" t="s">
        <v>197</v>
      </c>
      <c r="E463" t="s">
        <v>197</v>
      </c>
      <c r="F463" t="s">
        <v>197</v>
      </c>
      <c r="G463" t="s">
        <v>197</v>
      </c>
      <c r="H463" t="s">
        <v>197</v>
      </c>
      <c r="I463" t="s">
        <v>197</v>
      </c>
      <c r="J463" t="s">
        <v>197</v>
      </c>
      <c r="K463" t="s">
        <v>678</v>
      </c>
    </row>
    <row r="464" spans="1:24">
      <c r="A464" t="s">
        <v>767</v>
      </c>
      <c r="K464" t="s">
        <v>768</v>
      </c>
      <c r="W464" t="s">
        <v>171</v>
      </c>
      <c r="X464" t="str">
        <f>A464</f>
        <v>info_nchar_dml_batch2_pk_irp2</v>
      </c>
    </row>
    <row r="465" spans="1:24">
      <c r="B465" t="s">
        <v>196</v>
      </c>
      <c r="C465" t="s">
        <v>197</v>
      </c>
      <c r="D465" t="s">
        <v>197</v>
      </c>
      <c r="E465" t="s">
        <v>197</v>
      </c>
      <c r="F465" t="s">
        <v>197</v>
      </c>
      <c r="G465" t="s">
        <v>197</v>
      </c>
      <c r="H465" t="s">
        <v>197</v>
      </c>
      <c r="I465" t="s">
        <v>769</v>
      </c>
      <c r="J465" t="s">
        <v>199</v>
      </c>
      <c r="K465" t="s">
        <v>200</v>
      </c>
    </row>
    <row r="466" spans="1:24">
      <c r="B466" t="s">
        <v>197</v>
      </c>
      <c r="C466" t="s">
        <v>197</v>
      </c>
      <c r="D466" t="s">
        <v>197</v>
      </c>
      <c r="E466" t="s">
        <v>197</v>
      </c>
      <c r="F466" t="s">
        <v>197</v>
      </c>
      <c r="G466" t="s">
        <v>197</v>
      </c>
      <c r="H466" t="s">
        <v>197</v>
      </c>
      <c r="I466" t="s">
        <v>197</v>
      </c>
      <c r="J466" t="s">
        <v>197</v>
      </c>
      <c r="K466" t="s">
        <v>514</v>
      </c>
    </row>
    <row r="467" spans="1:24">
      <c r="B467" t="s">
        <v>197</v>
      </c>
      <c r="C467" t="s">
        <v>197</v>
      </c>
      <c r="D467" t="s">
        <v>197</v>
      </c>
      <c r="E467" t="s">
        <v>197</v>
      </c>
      <c r="F467" t="s">
        <v>197</v>
      </c>
      <c r="G467" t="s">
        <v>197</v>
      </c>
      <c r="H467" t="s">
        <v>197</v>
      </c>
      <c r="I467" t="s">
        <v>197</v>
      </c>
      <c r="J467" t="s">
        <v>197</v>
      </c>
      <c r="K467" t="s">
        <v>516</v>
      </c>
    </row>
    <row r="468" spans="1:24">
      <c r="B468" t="s">
        <v>197</v>
      </c>
      <c r="C468" t="s">
        <v>197</v>
      </c>
      <c r="D468" t="s">
        <v>197</v>
      </c>
      <c r="E468" t="s">
        <v>197</v>
      </c>
      <c r="F468" t="s">
        <v>197</v>
      </c>
      <c r="G468" t="s">
        <v>197</v>
      </c>
      <c r="H468" t="s">
        <v>197</v>
      </c>
      <c r="I468" t="s">
        <v>197</v>
      </c>
      <c r="J468" t="s">
        <v>197</v>
      </c>
      <c r="K468" t="s">
        <v>612</v>
      </c>
    </row>
    <row r="469" spans="1:24">
      <c r="A469" t="s">
        <v>764</v>
      </c>
      <c r="K469" t="s">
        <v>765</v>
      </c>
      <c r="W469" t="s">
        <v>171</v>
      </c>
      <c r="X469" t="str">
        <f>A469</f>
        <v>info_datetimeoffset_dml_batch1_pk_irp1</v>
      </c>
    </row>
    <row r="470" spans="1:24">
      <c r="B470" t="s">
        <v>196</v>
      </c>
      <c r="C470" t="s">
        <v>197</v>
      </c>
      <c r="D470" t="s">
        <v>197</v>
      </c>
      <c r="E470" t="s">
        <v>197</v>
      </c>
      <c r="F470" t="s">
        <v>197</v>
      </c>
      <c r="G470" t="s">
        <v>197</v>
      </c>
      <c r="H470" t="s">
        <v>197</v>
      </c>
      <c r="I470" t="s">
        <v>766</v>
      </c>
      <c r="J470" t="s">
        <v>199</v>
      </c>
      <c r="K470" t="s">
        <v>200</v>
      </c>
    </row>
    <row r="471" spans="1:24">
      <c r="B471" t="s">
        <v>197</v>
      </c>
      <c r="C471" t="s">
        <v>197</v>
      </c>
      <c r="D471" t="s">
        <v>197</v>
      </c>
      <c r="E471" t="s">
        <v>197</v>
      </c>
      <c r="F471" t="s">
        <v>197</v>
      </c>
      <c r="G471" t="s">
        <v>197</v>
      </c>
      <c r="H471" t="s">
        <v>197</v>
      </c>
      <c r="I471" t="s">
        <v>197</v>
      </c>
      <c r="J471" t="s">
        <v>197</v>
      </c>
      <c r="K471" t="s">
        <v>301</v>
      </c>
    </row>
    <row r="472" spans="1:24">
      <c r="B472" t="s">
        <v>197</v>
      </c>
      <c r="C472" t="s">
        <v>197</v>
      </c>
      <c r="D472" t="s">
        <v>197</v>
      </c>
      <c r="E472" t="s">
        <v>197</v>
      </c>
      <c r="F472" t="s">
        <v>197</v>
      </c>
      <c r="G472" t="s">
        <v>197</v>
      </c>
      <c r="H472" t="s">
        <v>197</v>
      </c>
      <c r="I472" t="s">
        <v>197</v>
      </c>
      <c r="J472" t="s">
        <v>197</v>
      </c>
      <c r="K472" t="s">
        <v>314</v>
      </c>
    </row>
    <row r="473" spans="1:24">
      <c r="B473" t="s">
        <v>197</v>
      </c>
      <c r="C473" t="s">
        <v>197</v>
      </c>
      <c r="D473" t="s">
        <v>197</v>
      </c>
      <c r="E473" t="s">
        <v>197</v>
      </c>
      <c r="F473" t="s">
        <v>197</v>
      </c>
      <c r="G473" t="s">
        <v>197</v>
      </c>
      <c r="H473" t="s">
        <v>197</v>
      </c>
      <c r="I473" t="s">
        <v>197</v>
      </c>
      <c r="J473" t="s">
        <v>197</v>
      </c>
      <c r="K473" t="s">
        <v>324</v>
      </c>
    </row>
    <row r="474" spans="1:24">
      <c r="B474" t="s">
        <v>197</v>
      </c>
      <c r="C474" t="s">
        <v>197</v>
      </c>
      <c r="D474" t="s">
        <v>197</v>
      </c>
      <c r="E474" t="s">
        <v>197</v>
      </c>
      <c r="F474" t="s">
        <v>197</v>
      </c>
      <c r="G474" t="s">
        <v>197</v>
      </c>
      <c r="H474" t="s">
        <v>197</v>
      </c>
      <c r="I474" t="s">
        <v>197</v>
      </c>
      <c r="J474" t="s">
        <v>197</v>
      </c>
      <c r="K474" t="s">
        <v>335</v>
      </c>
    </row>
    <row r="475" spans="1:24">
      <c r="B475" t="s">
        <v>197</v>
      </c>
      <c r="C475" t="s">
        <v>197</v>
      </c>
      <c r="D475" t="s">
        <v>197</v>
      </c>
      <c r="E475" t="s">
        <v>197</v>
      </c>
      <c r="F475" t="s">
        <v>197</v>
      </c>
      <c r="G475" t="s">
        <v>197</v>
      </c>
      <c r="H475" t="s">
        <v>197</v>
      </c>
      <c r="I475" t="s">
        <v>197</v>
      </c>
      <c r="J475" t="s">
        <v>197</v>
      </c>
      <c r="K475" t="s">
        <v>350</v>
      </c>
    </row>
    <row r="476" spans="1:24">
      <c r="B476" t="s">
        <v>197</v>
      </c>
      <c r="C476" t="s">
        <v>197</v>
      </c>
      <c r="D476" t="s">
        <v>197</v>
      </c>
      <c r="E476" t="s">
        <v>197</v>
      </c>
      <c r="F476" t="s">
        <v>197</v>
      </c>
      <c r="G476" t="s">
        <v>197</v>
      </c>
      <c r="H476" t="s">
        <v>197</v>
      </c>
      <c r="I476" t="s">
        <v>197</v>
      </c>
      <c r="J476" t="s">
        <v>197</v>
      </c>
      <c r="K476" t="s">
        <v>360</v>
      </c>
    </row>
    <row r="477" spans="1:24">
      <c r="B477" t="s">
        <v>197</v>
      </c>
      <c r="C477" t="s">
        <v>197</v>
      </c>
      <c r="D477" t="s">
        <v>197</v>
      </c>
      <c r="E477" t="s">
        <v>197</v>
      </c>
      <c r="F477" t="s">
        <v>197</v>
      </c>
      <c r="G477" t="s">
        <v>197</v>
      </c>
      <c r="H477" t="s">
        <v>197</v>
      </c>
      <c r="I477" t="s">
        <v>197</v>
      </c>
      <c r="J477" t="s">
        <v>197</v>
      </c>
      <c r="K477" t="s">
        <v>367</v>
      </c>
    </row>
    <row r="478" spans="1:24">
      <c r="B478" t="s">
        <v>197</v>
      </c>
      <c r="C478" t="s">
        <v>197</v>
      </c>
      <c r="D478" t="s">
        <v>197</v>
      </c>
      <c r="E478" t="s">
        <v>197</v>
      </c>
      <c r="F478" t="s">
        <v>197</v>
      </c>
      <c r="G478" t="s">
        <v>197</v>
      </c>
      <c r="H478" t="s">
        <v>197</v>
      </c>
      <c r="I478" t="s">
        <v>197</v>
      </c>
      <c r="J478" t="s">
        <v>197</v>
      </c>
      <c r="K478" t="s">
        <v>373</v>
      </c>
    </row>
    <row r="479" spans="1:24">
      <c r="A479" t="s">
        <v>773</v>
      </c>
      <c r="K479" t="s">
        <v>774</v>
      </c>
      <c r="W479" t="s">
        <v>171</v>
      </c>
      <c r="X479" t="str">
        <f>A479</f>
        <v>info_date_dml_batch1_pk_irp1</v>
      </c>
    </row>
    <row r="480" spans="1:24">
      <c r="B480" t="s">
        <v>196</v>
      </c>
      <c r="C480" t="s">
        <v>197</v>
      </c>
      <c r="D480" t="s">
        <v>197</v>
      </c>
      <c r="E480" t="s">
        <v>197</v>
      </c>
      <c r="F480" t="s">
        <v>197</v>
      </c>
      <c r="G480" t="s">
        <v>197</v>
      </c>
      <c r="H480" t="s">
        <v>197</v>
      </c>
      <c r="I480" t="s">
        <v>775</v>
      </c>
      <c r="J480" t="s">
        <v>199</v>
      </c>
      <c r="K480" t="s">
        <v>200</v>
      </c>
    </row>
    <row r="481" spans="1:24">
      <c r="B481" t="s">
        <v>197</v>
      </c>
      <c r="C481" t="s">
        <v>197</v>
      </c>
      <c r="D481" t="s">
        <v>197</v>
      </c>
      <c r="E481" t="s">
        <v>197</v>
      </c>
      <c r="F481" t="s">
        <v>197</v>
      </c>
      <c r="G481" t="s">
        <v>197</v>
      </c>
      <c r="H481" t="s">
        <v>197</v>
      </c>
      <c r="I481" t="s">
        <v>197</v>
      </c>
      <c r="J481" t="s">
        <v>197</v>
      </c>
      <c r="K481" t="s">
        <v>678</v>
      </c>
    </row>
    <row r="482" spans="1:24">
      <c r="K482" t="s">
        <v>443</v>
      </c>
    </row>
    <row r="483" spans="1:24">
      <c r="A483" t="s">
        <v>776</v>
      </c>
      <c r="K483" t="s">
        <v>777</v>
      </c>
      <c r="W483" t="s">
        <v>171</v>
      </c>
      <c r="X483" t="str">
        <f>A483</f>
        <v>info_datetimeoffset_dml_batch1_pk_irp2</v>
      </c>
    </row>
    <row r="484" spans="1:24">
      <c r="B484" t="s">
        <v>196</v>
      </c>
      <c r="C484" t="s">
        <v>197</v>
      </c>
      <c r="D484" t="s">
        <v>197</v>
      </c>
      <c r="E484" t="s">
        <v>197</v>
      </c>
      <c r="F484" t="s">
        <v>197</v>
      </c>
      <c r="G484" t="s">
        <v>197</v>
      </c>
      <c r="H484" t="s">
        <v>197</v>
      </c>
      <c r="I484" t="s">
        <v>778</v>
      </c>
      <c r="J484" t="s">
        <v>199</v>
      </c>
      <c r="K484" t="s">
        <v>200</v>
      </c>
    </row>
    <row r="485" spans="1:24">
      <c r="B485" t="s">
        <v>197</v>
      </c>
      <c r="C485" t="s">
        <v>197</v>
      </c>
      <c r="D485" t="s">
        <v>197</v>
      </c>
      <c r="E485" t="s">
        <v>197</v>
      </c>
      <c r="F485" t="s">
        <v>197</v>
      </c>
      <c r="G485" t="s">
        <v>197</v>
      </c>
      <c r="H485" t="s">
        <v>197</v>
      </c>
      <c r="I485" t="s">
        <v>197</v>
      </c>
      <c r="J485" t="s">
        <v>197</v>
      </c>
      <c r="K485" t="s">
        <v>301</v>
      </c>
    </row>
    <row r="486" spans="1:24">
      <c r="B486" t="s">
        <v>197</v>
      </c>
      <c r="C486" t="s">
        <v>197</v>
      </c>
      <c r="D486" t="s">
        <v>197</v>
      </c>
      <c r="E486" t="s">
        <v>197</v>
      </c>
      <c r="F486" t="s">
        <v>197</v>
      </c>
      <c r="G486" t="s">
        <v>197</v>
      </c>
      <c r="H486" t="s">
        <v>197</v>
      </c>
      <c r="I486" t="s">
        <v>197</v>
      </c>
      <c r="J486" t="s">
        <v>197</v>
      </c>
      <c r="K486" t="s">
        <v>314</v>
      </c>
    </row>
    <row r="487" spans="1:24">
      <c r="B487" t="s">
        <v>197</v>
      </c>
      <c r="C487" t="s">
        <v>197</v>
      </c>
      <c r="D487" t="s">
        <v>197</v>
      </c>
      <c r="E487" t="s">
        <v>197</v>
      </c>
      <c r="F487" t="s">
        <v>197</v>
      </c>
      <c r="G487" t="s">
        <v>197</v>
      </c>
      <c r="H487" t="s">
        <v>197</v>
      </c>
      <c r="I487" t="s">
        <v>197</v>
      </c>
      <c r="J487" t="s">
        <v>197</v>
      </c>
      <c r="K487" t="s">
        <v>324</v>
      </c>
    </row>
    <row r="488" spans="1:24">
      <c r="B488" t="s">
        <v>197</v>
      </c>
      <c r="C488" t="s">
        <v>197</v>
      </c>
      <c r="D488" t="s">
        <v>197</v>
      </c>
      <c r="E488" t="s">
        <v>197</v>
      </c>
      <c r="F488" t="s">
        <v>197</v>
      </c>
      <c r="G488" t="s">
        <v>197</v>
      </c>
      <c r="H488" t="s">
        <v>197</v>
      </c>
      <c r="I488" t="s">
        <v>197</v>
      </c>
      <c r="J488" t="s">
        <v>197</v>
      </c>
      <c r="K488" t="s">
        <v>335</v>
      </c>
    </row>
    <row r="489" spans="1:24">
      <c r="B489" t="s">
        <v>197</v>
      </c>
      <c r="C489" t="s">
        <v>197</v>
      </c>
      <c r="D489" t="s">
        <v>197</v>
      </c>
      <c r="E489" t="s">
        <v>197</v>
      </c>
      <c r="F489" t="s">
        <v>197</v>
      </c>
      <c r="G489" t="s">
        <v>197</v>
      </c>
      <c r="H489" t="s">
        <v>197</v>
      </c>
      <c r="I489" t="s">
        <v>197</v>
      </c>
      <c r="J489" t="s">
        <v>197</v>
      </c>
      <c r="K489" t="s">
        <v>350</v>
      </c>
    </row>
    <row r="490" spans="1:24">
      <c r="B490" t="s">
        <v>197</v>
      </c>
      <c r="C490" t="s">
        <v>197</v>
      </c>
      <c r="D490" t="s">
        <v>197</v>
      </c>
      <c r="E490" t="s">
        <v>197</v>
      </c>
      <c r="F490" t="s">
        <v>197</v>
      </c>
      <c r="G490" t="s">
        <v>197</v>
      </c>
      <c r="H490" t="s">
        <v>197</v>
      </c>
      <c r="I490" t="s">
        <v>197</v>
      </c>
      <c r="J490" t="s">
        <v>197</v>
      </c>
      <c r="K490" t="s">
        <v>360</v>
      </c>
    </row>
    <row r="491" spans="1:24">
      <c r="B491" t="s">
        <v>197</v>
      </c>
      <c r="C491" t="s">
        <v>197</v>
      </c>
      <c r="D491" t="s">
        <v>197</v>
      </c>
      <c r="E491" t="s">
        <v>197</v>
      </c>
      <c r="F491" t="s">
        <v>197</v>
      </c>
      <c r="G491" t="s">
        <v>197</v>
      </c>
      <c r="H491" t="s">
        <v>197</v>
      </c>
      <c r="I491" t="s">
        <v>197</v>
      </c>
      <c r="J491" t="s">
        <v>197</v>
      </c>
      <c r="K491" t="s">
        <v>367</v>
      </c>
    </row>
    <row r="492" spans="1:24">
      <c r="B492" t="s">
        <v>197</v>
      </c>
      <c r="C492" t="s">
        <v>197</v>
      </c>
      <c r="D492" t="s">
        <v>197</v>
      </c>
      <c r="E492" t="s">
        <v>197</v>
      </c>
      <c r="F492" t="s">
        <v>197</v>
      </c>
      <c r="G492" t="s">
        <v>197</v>
      </c>
      <c r="H492" t="s">
        <v>197</v>
      </c>
      <c r="I492" t="s">
        <v>197</v>
      </c>
      <c r="J492" t="s">
        <v>197</v>
      </c>
      <c r="K492" t="s">
        <v>373</v>
      </c>
    </row>
    <row r="493" spans="1:24">
      <c r="A493" t="s">
        <v>782</v>
      </c>
      <c r="K493" t="s">
        <v>783</v>
      </c>
      <c r="W493" t="s">
        <v>171</v>
      </c>
      <c r="X493" t="str">
        <f>A493</f>
        <v>info_datetimeoffset_dml_batch2_pk_irp1</v>
      </c>
    </row>
    <row r="494" spans="1:24">
      <c r="B494" t="s">
        <v>196</v>
      </c>
      <c r="C494" t="s">
        <v>197</v>
      </c>
      <c r="D494" t="s">
        <v>197</v>
      </c>
      <c r="E494" t="s">
        <v>197</v>
      </c>
      <c r="F494" t="s">
        <v>197</v>
      </c>
      <c r="G494" t="s">
        <v>197</v>
      </c>
      <c r="H494" t="s">
        <v>197</v>
      </c>
      <c r="I494" t="s">
        <v>784</v>
      </c>
      <c r="J494" t="s">
        <v>199</v>
      </c>
      <c r="K494" t="s">
        <v>200</v>
      </c>
    </row>
    <row r="495" spans="1:24">
      <c r="B495" t="s">
        <v>197</v>
      </c>
      <c r="C495" t="s">
        <v>197</v>
      </c>
      <c r="D495" t="s">
        <v>197</v>
      </c>
      <c r="E495" t="s">
        <v>197</v>
      </c>
      <c r="F495" t="s">
        <v>197</v>
      </c>
      <c r="G495" t="s">
        <v>197</v>
      </c>
      <c r="H495" t="s">
        <v>197</v>
      </c>
      <c r="I495" t="s">
        <v>197</v>
      </c>
      <c r="J495" t="s">
        <v>197</v>
      </c>
      <c r="K495" t="s">
        <v>301</v>
      </c>
    </row>
    <row r="496" spans="1:24">
      <c r="B496" t="s">
        <v>197</v>
      </c>
      <c r="C496" t="s">
        <v>197</v>
      </c>
      <c r="D496" t="s">
        <v>197</v>
      </c>
      <c r="E496" t="s">
        <v>197</v>
      </c>
      <c r="F496" t="s">
        <v>197</v>
      </c>
      <c r="G496" t="s">
        <v>197</v>
      </c>
      <c r="H496" t="s">
        <v>197</v>
      </c>
      <c r="I496" t="s">
        <v>197</v>
      </c>
      <c r="J496" t="s">
        <v>197</v>
      </c>
      <c r="K496" t="s">
        <v>314</v>
      </c>
    </row>
    <row r="497" spans="1:24">
      <c r="B497" t="s">
        <v>197</v>
      </c>
      <c r="C497" t="s">
        <v>197</v>
      </c>
      <c r="D497" t="s">
        <v>197</v>
      </c>
      <c r="E497" t="s">
        <v>197</v>
      </c>
      <c r="F497" t="s">
        <v>197</v>
      </c>
      <c r="G497" t="s">
        <v>197</v>
      </c>
      <c r="H497" t="s">
        <v>197</v>
      </c>
      <c r="I497" t="s">
        <v>197</v>
      </c>
      <c r="J497" t="s">
        <v>197</v>
      </c>
      <c r="K497" t="s">
        <v>324</v>
      </c>
    </row>
    <row r="498" spans="1:24">
      <c r="B498" t="s">
        <v>197</v>
      </c>
      <c r="C498" t="s">
        <v>197</v>
      </c>
      <c r="D498" t="s">
        <v>197</v>
      </c>
      <c r="E498" t="s">
        <v>197</v>
      </c>
      <c r="F498" t="s">
        <v>197</v>
      </c>
      <c r="G498" t="s">
        <v>197</v>
      </c>
      <c r="H498" t="s">
        <v>197</v>
      </c>
      <c r="I498" t="s">
        <v>197</v>
      </c>
      <c r="J498" t="s">
        <v>197</v>
      </c>
      <c r="K498" t="s">
        <v>335</v>
      </c>
    </row>
    <row r="499" spans="1:24">
      <c r="B499" t="s">
        <v>197</v>
      </c>
      <c r="C499" t="s">
        <v>197</v>
      </c>
      <c r="D499" t="s">
        <v>197</v>
      </c>
      <c r="E499" t="s">
        <v>197</v>
      </c>
      <c r="F499" t="s">
        <v>197</v>
      </c>
      <c r="G499" t="s">
        <v>197</v>
      </c>
      <c r="H499" t="s">
        <v>197</v>
      </c>
      <c r="I499" t="s">
        <v>197</v>
      </c>
      <c r="J499" t="s">
        <v>197</v>
      </c>
      <c r="K499" t="s">
        <v>350</v>
      </c>
    </row>
    <row r="500" spans="1:24">
      <c r="B500" t="s">
        <v>197</v>
      </c>
      <c r="C500" t="s">
        <v>197</v>
      </c>
      <c r="D500" t="s">
        <v>197</v>
      </c>
      <c r="E500" t="s">
        <v>197</v>
      </c>
      <c r="F500" t="s">
        <v>197</v>
      </c>
      <c r="G500" t="s">
        <v>197</v>
      </c>
      <c r="H500" t="s">
        <v>197</v>
      </c>
      <c r="I500" t="s">
        <v>197</v>
      </c>
      <c r="J500" t="s">
        <v>197</v>
      </c>
      <c r="K500" t="s">
        <v>360</v>
      </c>
    </row>
    <row r="501" spans="1:24">
      <c r="B501" t="s">
        <v>197</v>
      </c>
      <c r="C501" t="s">
        <v>197</v>
      </c>
      <c r="D501" t="s">
        <v>197</v>
      </c>
      <c r="E501" t="s">
        <v>197</v>
      </c>
      <c r="F501" t="s">
        <v>197</v>
      </c>
      <c r="G501" t="s">
        <v>197</v>
      </c>
      <c r="H501" t="s">
        <v>197</v>
      </c>
      <c r="I501" t="s">
        <v>197</v>
      </c>
      <c r="J501" t="s">
        <v>197</v>
      </c>
      <c r="K501" t="s">
        <v>367</v>
      </c>
    </row>
    <row r="502" spans="1:24">
      <c r="B502" t="s">
        <v>197</v>
      </c>
      <c r="C502" t="s">
        <v>197</v>
      </c>
      <c r="D502" t="s">
        <v>197</v>
      </c>
      <c r="E502" t="s">
        <v>197</v>
      </c>
      <c r="F502" t="s">
        <v>197</v>
      </c>
      <c r="G502" t="s">
        <v>197</v>
      </c>
      <c r="H502" t="s">
        <v>197</v>
      </c>
      <c r="I502" t="s">
        <v>197</v>
      </c>
      <c r="J502" t="s">
        <v>197</v>
      </c>
      <c r="K502" t="s">
        <v>373</v>
      </c>
    </row>
    <row r="503" spans="1:24">
      <c r="A503" t="s">
        <v>779</v>
      </c>
      <c r="K503" t="s">
        <v>780</v>
      </c>
      <c r="W503" t="s">
        <v>171</v>
      </c>
      <c r="X503" t="str">
        <f>A503</f>
        <v>info_binary_dml_batch2_pk_irp2</v>
      </c>
    </row>
    <row r="504" spans="1:24">
      <c r="B504" t="s">
        <v>196</v>
      </c>
      <c r="C504" t="s">
        <v>197</v>
      </c>
      <c r="D504" t="s">
        <v>197</v>
      </c>
      <c r="E504" t="s">
        <v>197</v>
      </c>
      <c r="F504" t="s">
        <v>197</v>
      </c>
      <c r="G504" t="s">
        <v>197</v>
      </c>
      <c r="H504" t="s">
        <v>197</v>
      </c>
      <c r="I504" t="s">
        <v>781</v>
      </c>
      <c r="J504" t="s">
        <v>199</v>
      </c>
      <c r="K504" t="s">
        <v>200</v>
      </c>
    </row>
    <row r="505" spans="1:24">
      <c r="B505" t="s">
        <v>197</v>
      </c>
      <c r="C505" t="s">
        <v>197</v>
      </c>
      <c r="D505" t="s">
        <v>197</v>
      </c>
      <c r="E505" t="s">
        <v>197</v>
      </c>
      <c r="F505" t="s">
        <v>197</v>
      </c>
      <c r="G505" t="s">
        <v>197</v>
      </c>
      <c r="H505" t="s">
        <v>197</v>
      </c>
      <c r="I505" t="s">
        <v>197</v>
      </c>
      <c r="J505" t="s">
        <v>197</v>
      </c>
      <c r="K505" t="s">
        <v>691</v>
      </c>
    </row>
    <row r="506" spans="1:24">
      <c r="B506" t="s">
        <v>197</v>
      </c>
      <c r="C506" t="s">
        <v>197</v>
      </c>
      <c r="D506" t="s">
        <v>197</v>
      </c>
      <c r="E506" t="s">
        <v>197</v>
      </c>
      <c r="F506" t="s">
        <v>197</v>
      </c>
      <c r="G506" t="s">
        <v>197</v>
      </c>
      <c r="H506" t="s">
        <v>197</v>
      </c>
      <c r="I506" t="s">
        <v>197</v>
      </c>
      <c r="J506" t="s">
        <v>197</v>
      </c>
      <c r="K506" t="s">
        <v>692</v>
      </c>
    </row>
    <row r="507" spans="1:24">
      <c r="B507" t="s">
        <v>197</v>
      </c>
      <c r="C507" t="s">
        <v>197</v>
      </c>
      <c r="D507" t="s">
        <v>197</v>
      </c>
      <c r="E507" t="s">
        <v>197</v>
      </c>
      <c r="F507" t="s">
        <v>197</v>
      </c>
      <c r="G507" t="s">
        <v>197</v>
      </c>
      <c r="H507" t="s">
        <v>197</v>
      </c>
      <c r="I507" t="s">
        <v>197</v>
      </c>
      <c r="J507" t="s">
        <v>197</v>
      </c>
      <c r="K507" t="s">
        <v>693</v>
      </c>
    </row>
    <row r="508" spans="1:24">
      <c r="A508" t="s">
        <v>785</v>
      </c>
      <c r="K508" t="s">
        <v>786</v>
      </c>
      <c r="W508" t="s">
        <v>171</v>
      </c>
      <c r="X508" t="str">
        <f>A508</f>
        <v>info_nvarchar_dml_single_pk_drp</v>
      </c>
    </row>
    <row r="509" spans="1:24">
      <c r="B509" t="s">
        <v>196</v>
      </c>
      <c r="C509" t="s">
        <v>197</v>
      </c>
      <c r="D509" t="s">
        <v>197</v>
      </c>
      <c r="E509" t="s">
        <v>197</v>
      </c>
      <c r="F509" t="s">
        <v>197</v>
      </c>
      <c r="G509" t="s">
        <v>197</v>
      </c>
      <c r="H509" t="s">
        <v>197</v>
      </c>
      <c r="I509" t="s">
        <v>787</v>
      </c>
      <c r="J509" t="s">
        <v>199</v>
      </c>
      <c r="K509" t="s">
        <v>200</v>
      </c>
    </row>
    <row r="510" spans="1:24">
      <c r="B510" t="s">
        <v>197</v>
      </c>
      <c r="C510" t="s">
        <v>197</v>
      </c>
      <c r="D510" t="s">
        <v>197</v>
      </c>
      <c r="E510" t="s">
        <v>197</v>
      </c>
      <c r="F510" t="s">
        <v>197</v>
      </c>
      <c r="G510" t="s">
        <v>197</v>
      </c>
      <c r="H510" t="s">
        <v>197</v>
      </c>
      <c r="I510" t="s">
        <v>197</v>
      </c>
      <c r="J510" t="s">
        <v>197</v>
      </c>
      <c r="K510" t="s">
        <v>408</v>
      </c>
    </row>
    <row r="511" spans="1:24">
      <c r="B511" t="s">
        <v>197</v>
      </c>
      <c r="C511" t="s">
        <v>197</v>
      </c>
      <c r="D511" t="s">
        <v>197</v>
      </c>
      <c r="E511" t="s">
        <v>197</v>
      </c>
      <c r="F511" t="s">
        <v>197</v>
      </c>
      <c r="G511" t="s">
        <v>197</v>
      </c>
      <c r="H511" t="s">
        <v>197</v>
      </c>
      <c r="I511" t="s">
        <v>197</v>
      </c>
      <c r="J511" t="s">
        <v>197</v>
      </c>
      <c r="K511" t="s">
        <v>412</v>
      </c>
    </row>
    <row r="512" spans="1:24">
      <c r="B512" t="s">
        <v>197</v>
      </c>
      <c r="C512" t="s">
        <v>197</v>
      </c>
      <c r="D512" t="s">
        <v>197</v>
      </c>
      <c r="E512" t="s">
        <v>197</v>
      </c>
      <c r="F512" t="s">
        <v>197</v>
      </c>
      <c r="G512" t="s">
        <v>197</v>
      </c>
      <c r="H512" t="s">
        <v>197</v>
      </c>
      <c r="I512" t="s">
        <v>197</v>
      </c>
      <c r="J512" t="s">
        <v>197</v>
      </c>
      <c r="K512" t="s">
        <v>730</v>
      </c>
    </row>
    <row r="513" spans="1:24">
      <c r="A513" t="s">
        <v>788</v>
      </c>
      <c r="K513" t="s">
        <v>789</v>
      </c>
      <c r="W513" t="s">
        <v>171</v>
      </c>
      <c r="X513" t="str">
        <f>A513</f>
        <v>info_datetimeoffset_dml_batch2_pk_irp2</v>
      </c>
    </row>
    <row r="514" spans="1:24">
      <c r="B514" t="s">
        <v>196</v>
      </c>
      <c r="C514" t="s">
        <v>197</v>
      </c>
      <c r="D514" t="s">
        <v>197</v>
      </c>
      <c r="E514" t="s">
        <v>197</v>
      </c>
      <c r="F514" t="s">
        <v>197</v>
      </c>
      <c r="G514" t="s">
        <v>197</v>
      </c>
      <c r="H514" t="s">
        <v>197</v>
      </c>
      <c r="I514" t="s">
        <v>790</v>
      </c>
      <c r="J514" t="s">
        <v>199</v>
      </c>
      <c r="K514" t="s">
        <v>200</v>
      </c>
    </row>
    <row r="515" spans="1:24">
      <c r="B515" t="s">
        <v>197</v>
      </c>
      <c r="C515" t="s">
        <v>197</v>
      </c>
      <c r="D515" t="s">
        <v>197</v>
      </c>
      <c r="E515" t="s">
        <v>197</v>
      </c>
      <c r="F515" t="s">
        <v>197</v>
      </c>
      <c r="G515" t="s">
        <v>197</v>
      </c>
      <c r="H515" t="s">
        <v>197</v>
      </c>
      <c r="I515" t="s">
        <v>197</v>
      </c>
      <c r="J515" t="s">
        <v>197</v>
      </c>
      <c r="K515" t="s">
        <v>301</v>
      </c>
    </row>
    <row r="516" spans="1:24">
      <c r="B516" t="s">
        <v>197</v>
      </c>
      <c r="C516" t="s">
        <v>197</v>
      </c>
      <c r="D516" t="s">
        <v>197</v>
      </c>
      <c r="E516" t="s">
        <v>197</v>
      </c>
      <c r="F516" t="s">
        <v>197</v>
      </c>
      <c r="G516" t="s">
        <v>197</v>
      </c>
      <c r="H516" t="s">
        <v>197</v>
      </c>
      <c r="I516" t="s">
        <v>197</v>
      </c>
      <c r="J516" t="s">
        <v>197</v>
      </c>
      <c r="K516" t="s">
        <v>314</v>
      </c>
    </row>
    <row r="517" spans="1:24">
      <c r="B517" t="s">
        <v>197</v>
      </c>
      <c r="C517" t="s">
        <v>197</v>
      </c>
      <c r="D517" t="s">
        <v>197</v>
      </c>
      <c r="E517" t="s">
        <v>197</v>
      </c>
      <c r="F517" t="s">
        <v>197</v>
      </c>
      <c r="G517" t="s">
        <v>197</v>
      </c>
      <c r="H517" t="s">
        <v>197</v>
      </c>
      <c r="I517" t="s">
        <v>197</v>
      </c>
      <c r="J517" t="s">
        <v>197</v>
      </c>
      <c r="K517" t="s">
        <v>324</v>
      </c>
    </row>
    <row r="518" spans="1:24">
      <c r="B518" t="s">
        <v>197</v>
      </c>
      <c r="C518" t="s">
        <v>197</v>
      </c>
      <c r="D518" t="s">
        <v>197</v>
      </c>
      <c r="E518" t="s">
        <v>197</v>
      </c>
      <c r="F518" t="s">
        <v>197</v>
      </c>
      <c r="G518" t="s">
        <v>197</v>
      </c>
      <c r="H518" t="s">
        <v>197</v>
      </c>
      <c r="I518" t="s">
        <v>197</v>
      </c>
      <c r="J518" t="s">
        <v>197</v>
      </c>
      <c r="K518" t="s">
        <v>335</v>
      </c>
    </row>
    <row r="519" spans="1:24">
      <c r="B519" t="s">
        <v>197</v>
      </c>
      <c r="C519" t="s">
        <v>197</v>
      </c>
      <c r="D519" t="s">
        <v>197</v>
      </c>
      <c r="E519" t="s">
        <v>197</v>
      </c>
      <c r="F519" t="s">
        <v>197</v>
      </c>
      <c r="G519" t="s">
        <v>197</v>
      </c>
      <c r="H519" t="s">
        <v>197</v>
      </c>
      <c r="I519" t="s">
        <v>197</v>
      </c>
      <c r="J519" t="s">
        <v>197</v>
      </c>
      <c r="K519" t="s">
        <v>350</v>
      </c>
    </row>
    <row r="520" spans="1:24">
      <c r="B520" t="s">
        <v>197</v>
      </c>
      <c r="C520" t="s">
        <v>197</v>
      </c>
      <c r="D520" t="s">
        <v>197</v>
      </c>
      <c r="E520" t="s">
        <v>197</v>
      </c>
      <c r="F520" t="s">
        <v>197</v>
      </c>
      <c r="G520" t="s">
        <v>197</v>
      </c>
      <c r="H520" t="s">
        <v>197</v>
      </c>
      <c r="I520" t="s">
        <v>197</v>
      </c>
      <c r="J520" t="s">
        <v>197</v>
      </c>
      <c r="K520" t="s">
        <v>360</v>
      </c>
    </row>
    <row r="521" spans="1:24">
      <c r="B521" t="s">
        <v>197</v>
      </c>
      <c r="C521" t="s">
        <v>197</v>
      </c>
      <c r="D521" t="s">
        <v>197</v>
      </c>
      <c r="E521" t="s">
        <v>197</v>
      </c>
      <c r="F521" t="s">
        <v>197</v>
      </c>
      <c r="G521" t="s">
        <v>197</v>
      </c>
      <c r="H521" t="s">
        <v>197</v>
      </c>
      <c r="I521" t="s">
        <v>197</v>
      </c>
      <c r="J521" t="s">
        <v>197</v>
      </c>
      <c r="K521" t="s">
        <v>367</v>
      </c>
    </row>
    <row r="522" spans="1:24">
      <c r="B522" t="s">
        <v>197</v>
      </c>
      <c r="C522" t="s">
        <v>197</v>
      </c>
      <c r="D522" t="s">
        <v>197</v>
      </c>
      <c r="E522" t="s">
        <v>197</v>
      </c>
      <c r="F522" t="s">
        <v>197</v>
      </c>
      <c r="G522" t="s">
        <v>197</v>
      </c>
      <c r="H522" t="s">
        <v>197</v>
      </c>
      <c r="I522" t="s">
        <v>197</v>
      </c>
      <c r="J522" t="s">
        <v>197</v>
      </c>
      <c r="K522" t="s">
        <v>373</v>
      </c>
    </row>
    <row r="523" spans="1:24">
      <c r="A523" t="s">
        <v>791</v>
      </c>
      <c r="K523" t="s">
        <v>792</v>
      </c>
      <c r="W523" t="s">
        <v>171</v>
      </c>
      <c r="X523" t="str">
        <f>A523</f>
        <v>info_varcharmax_dml_batch2_pk_irp1</v>
      </c>
    </row>
    <row r="524" spans="1:24">
      <c r="B524" t="s">
        <v>196</v>
      </c>
      <c r="C524" t="s">
        <v>197</v>
      </c>
      <c r="D524" t="s">
        <v>197</v>
      </c>
      <c r="E524" t="s">
        <v>197</v>
      </c>
      <c r="F524" t="s">
        <v>197</v>
      </c>
      <c r="G524" t="s">
        <v>197</v>
      </c>
      <c r="H524" t="s">
        <v>197</v>
      </c>
      <c r="I524" t="s">
        <v>793</v>
      </c>
      <c r="J524" t="s">
        <v>199</v>
      </c>
      <c r="K524" t="s">
        <v>200</v>
      </c>
    </row>
    <row r="525" spans="1:24">
      <c r="B525" t="s">
        <v>197</v>
      </c>
      <c r="C525" t="s">
        <v>197</v>
      </c>
      <c r="D525" t="s">
        <v>197</v>
      </c>
      <c r="E525" t="s">
        <v>197</v>
      </c>
      <c r="F525" t="s">
        <v>197</v>
      </c>
      <c r="G525" t="s">
        <v>197</v>
      </c>
      <c r="H525" t="s">
        <v>197</v>
      </c>
      <c r="I525" t="s">
        <v>197</v>
      </c>
      <c r="J525" t="s">
        <v>197</v>
      </c>
      <c r="K525" t="s">
        <v>725</v>
      </c>
    </row>
    <row r="526" spans="1:24">
      <c r="B526" t="s">
        <v>197</v>
      </c>
      <c r="C526" t="s">
        <v>197</v>
      </c>
      <c r="D526" t="s">
        <v>197</v>
      </c>
      <c r="E526" t="s">
        <v>197</v>
      </c>
      <c r="F526" t="s">
        <v>197</v>
      </c>
      <c r="G526" t="s">
        <v>197</v>
      </c>
      <c r="H526" t="s">
        <v>197</v>
      </c>
      <c r="I526" t="s">
        <v>197</v>
      </c>
      <c r="J526" t="s">
        <v>197</v>
      </c>
      <c r="K526" t="s">
        <v>726</v>
      </c>
    </row>
    <row r="527" spans="1:24">
      <c r="K527" t="s">
        <v>443</v>
      </c>
    </row>
    <row r="528" spans="1:24">
      <c r="A528" t="s">
        <v>794</v>
      </c>
      <c r="K528" t="s">
        <v>795</v>
      </c>
      <c r="W528" t="s">
        <v>171</v>
      </c>
      <c r="X528" t="str">
        <f>A528</f>
        <v>info_datetimeoffset_dml_batch1_pk_urp1</v>
      </c>
    </row>
    <row r="529" spans="1:24">
      <c r="B529" t="s">
        <v>196</v>
      </c>
      <c r="C529" t="s">
        <v>197</v>
      </c>
      <c r="D529" t="s">
        <v>197</v>
      </c>
      <c r="E529" t="s">
        <v>197</v>
      </c>
      <c r="F529" t="s">
        <v>197</v>
      </c>
      <c r="G529" t="s">
        <v>197</v>
      </c>
      <c r="H529" t="s">
        <v>197</v>
      </c>
      <c r="I529" t="s">
        <v>796</v>
      </c>
      <c r="J529" t="s">
        <v>199</v>
      </c>
      <c r="K529" t="s">
        <v>200</v>
      </c>
    </row>
    <row r="530" spans="1:24">
      <c r="B530" t="s">
        <v>197</v>
      </c>
      <c r="C530" t="s">
        <v>197</v>
      </c>
      <c r="D530" t="s">
        <v>197</v>
      </c>
      <c r="E530" t="s">
        <v>197</v>
      </c>
      <c r="F530" t="s">
        <v>197</v>
      </c>
      <c r="G530" t="s">
        <v>197</v>
      </c>
      <c r="H530" t="s">
        <v>197</v>
      </c>
      <c r="I530" t="s">
        <v>197</v>
      </c>
      <c r="J530" t="s">
        <v>197</v>
      </c>
      <c r="K530" t="s">
        <v>301</v>
      </c>
    </row>
    <row r="531" spans="1:24">
      <c r="B531" t="s">
        <v>197</v>
      </c>
      <c r="C531" t="s">
        <v>197</v>
      </c>
      <c r="D531" t="s">
        <v>197</v>
      </c>
      <c r="E531" t="s">
        <v>197</v>
      </c>
      <c r="F531" t="s">
        <v>197</v>
      </c>
      <c r="G531" t="s">
        <v>197</v>
      </c>
      <c r="H531" t="s">
        <v>197</v>
      </c>
      <c r="I531" t="s">
        <v>197</v>
      </c>
      <c r="J531" t="s">
        <v>197</v>
      </c>
      <c r="K531" t="s">
        <v>314</v>
      </c>
    </row>
    <row r="532" spans="1:24">
      <c r="B532" t="s">
        <v>197</v>
      </c>
      <c r="C532" t="s">
        <v>197</v>
      </c>
      <c r="D532" t="s">
        <v>197</v>
      </c>
      <c r="E532" t="s">
        <v>197</v>
      </c>
      <c r="F532" t="s">
        <v>197</v>
      </c>
      <c r="G532" t="s">
        <v>197</v>
      </c>
      <c r="H532" t="s">
        <v>197</v>
      </c>
      <c r="I532" t="s">
        <v>197</v>
      </c>
      <c r="J532" t="s">
        <v>197</v>
      </c>
      <c r="K532" t="s">
        <v>324</v>
      </c>
    </row>
    <row r="533" spans="1:24">
      <c r="B533" t="s">
        <v>197</v>
      </c>
      <c r="C533" t="s">
        <v>197</v>
      </c>
      <c r="D533" t="s">
        <v>197</v>
      </c>
      <c r="E533" t="s">
        <v>197</v>
      </c>
      <c r="F533" t="s">
        <v>197</v>
      </c>
      <c r="G533" t="s">
        <v>197</v>
      </c>
      <c r="H533" t="s">
        <v>197</v>
      </c>
      <c r="I533" t="s">
        <v>197</v>
      </c>
      <c r="J533" t="s">
        <v>197</v>
      </c>
      <c r="K533" t="s">
        <v>335</v>
      </c>
    </row>
    <row r="534" spans="1:24">
      <c r="B534" t="s">
        <v>197</v>
      </c>
      <c r="C534" t="s">
        <v>197</v>
      </c>
      <c r="D534" t="s">
        <v>197</v>
      </c>
      <c r="E534" t="s">
        <v>197</v>
      </c>
      <c r="F534" t="s">
        <v>197</v>
      </c>
      <c r="G534" t="s">
        <v>197</v>
      </c>
      <c r="H534" t="s">
        <v>197</v>
      </c>
      <c r="I534" t="s">
        <v>197</v>
      </c>
      <c r="J534" t="s">
        <v>197</v>
      </c>
      <c r="K534" t="s">
        <v>350</v>
      </c>
    </row>
    <row r="535" spans="1:24">
      <c r="B535" t="s">
        <v>197</v>
      </c>
      <c r="C535" t="s">
        <v>197</v>
      </c>
      <c r="D535" t="s">
        <v>197</v>
      </c>
      <c r="E535" t="s">
        <v>197</v>
      </c>
      <c r="F535" t="s">
        <v>197</v>
      </c>
      <c r="G535" t="s">
        <v>197</v>
      </c>
      <c r="H535" t="s">
        <v>197</v>
      </c>
      <c r="I535" t="s">
        <v>197</v>
      </c>
      <c r="J535" t="s">
        <v>197</v>
      </c>
      <c r="K535" t="s">
        <v>360</v>
      </c>
    </row>
    <row r="536" spans="1:24">
      <c r="B536" t="s">
        <v>197</v>
      </c>
      <c r="C536" t="s">
        <v>197</v>
      </c>
      <c r="D536" t="s">
        <v>197</v>
      </c>
      <c r="E536" t="s">
        <v>197</v>
      </c>
      <c r="F536" t="s">
        <v>197</v>
      </c>
      <c r="G536" t="s">
        <v>197</v>
      </c>
      <c r="H536" t="s">
        <v>197</v>
      </c>
      <c r="I536" t="s">
        <v>197</v>
      </c>
      <c r="J536" t="s">
        <v>197</v>
      </c>
      <c r="K536" t="s">
        <v>367</v>
      </c>
    </row>
    <row r="537" spans="1:24">
      <c r="B537" t="s">
        <v>197</v>
      </c>
      <c r="C537" t="s">
        <v>197</v>
      </c>
      <c r="D537" t="s">
        <v>197</v>
      </c>
      <c r="E537" t="s">
        <v>197</v>
      </c>
      <c r="F537" t="s">
        <v>197</v>
      </c>
      <c r="G537" t="s">
        <v>197</v>
      </c>
      <c r="H537" t="s">
        <v>197</v>
      </c>
      <c r="I537" t="s">
        <v>197</v>
      </c>
      <c r="J537" t="s">
        <v>197</v>
      </c>
      <c r="K537" t="s">
        <v>373</v>
      </c>
    </row>
    <row r="538" spans="1:24">
      <c r="A538" t="s">
        <v>797</v>
      </c>
      <c r="K538" t="s">
        <v>798</v>
      </c>
      <c r="W538" t="s">
        <v>171</v>
      </c>
      <c r="X538" t="str">
        <f>A538</f>
        <v>info_time_dml_single_pk_irp</v>
      </c>
    </row>
    <row r="539" spans="1:24">
      <c r="B539" t="s">
        <v>196</v>
      </c>
      <c r="C539" t="s">
        <v>197</v>
      </c>
      <c r="D539" t="s">
        <v>197</v>
      </c>
      <c r="E539" t="s">
        <v>197</v>
      </c>
      <c r="F539" t="s">
        <v>197</v>
      </c>
      <c r="G539" t="s">
        <v>197</v>
      </c>
      <c r="H539" t="s">
        <v>197</v>
      </c>
      <c r="I539" t="s">
        <v>799</v>
      </c>
      <c r="J539" t="s">
        <v>199</v>
      </c>
      <c r="K539" t="s">
        <v>200</v>
      </c>
    </row>
    <row r="540" spans="1:24">
      <c r="B540" t="s">
        <v>197</v>
      </c>
      <c r="C540" t="s">
        <v>197</v>
      </c>
      <c r="D540" t="s">
        <v>197</v>
      </c>
      <c r="E540" t="s">
        <v>197</v>
      </c>
      <c r="F540" t="s">
        <v>197</v>
      </c>
      <c r="G540" t="s">
        <v>197</v>
      </c>
      <c r="H540" t="s">
        <v>197</v>
      </c>
      <c r="I540" t="s">
        <v>197</v>
      </c>
      <c r="J540" t="s">
        <v>197</v>
      </c>
      <c r="K540" t="s">
        <v>800</v>
      </c>
    </row>
    <row r="541" spans="1:24">
      <c r="B541" t="s">
        <v>197</v>
      </c>
      <c r="C541" t="s">
        <v>197</v>
      </c>
      <c r="D541" t="s">
        <v>197</v>
      </c>
      <c r="E541" t="s">
        <v>197</v>
      </c>
      <c r="F541" t="s">
        <v>197</v>
      </c>
      <c r="G541" t="s">
        <v>197</v>
      </c>
      <c r="H541" t="s">
        <v>197</v>
      </c>
      <c r="I541" t="s">
        <v>197</v>
      </c>
      <c r="J541" t="s">
        <v>197</v>
      </c>
      <c r="K541" t="s">
        <v>801</v>
      </c>
    </row>
    <row r="542" spans="1:24">
      <c r="B542" t="s">
        <v>197</v>
      </c>
      <c r="C542" t="s">
        <v>197</v>
      </c>
      <c r="D542" t="s">
        <v>197</v>
      </c>
      <c r="E542" t="s">
        <v>197</v>
      </c>
      <c r="F542" t="s">
        <v>197</v>
      </c>
      <c r="G542" t="s">
        <v>197</v>
      </c>
      <c r="H542" t="s">
        <v>197</v>
      </c>
      <c r="I542" t="s">
        <v>197</v>
      </c>
      <c r="J542" t="s">
        <v>197</v>
      </c>
      <c r="K542" t="s">
        <v>802</v>
      </c>
    </row>
    <row r="543" spans="1:24">
      <c r="B543" t="s">
        <v>197</v>
      </c>
      <c r="C543" t="s">
        <v>197</v>
      </c>
      <c r="D543" t="s">
        <v>197</v>
      </c>
      <c r="E543" t="s">
        <v>197</v>
      </c>
      <c r="F543" t="s">
        <v>197</v>
      </c>
      <c r="G543" t="s">
        <v>197</v>
      </c>
      <c r="H543" t="s">
        <v>197</v>
      </c>
      <c r="I543" t="s">
        <v>197</v>
      </c>
      <c r="J543" t="s">
        <v>197</v>
      </c>
      <c r="K543" t="s">
        <v>803</v>
      </c>
    </row>
    <row r="544" spans="1:24">
      <c r="B544" t="s">
        <v>197</v>
      </c>
      <c r="C544" t="s">
        <v>197</v>
      </c>
      <c r="D544" t="s">
        <v>197</v>
      </c>
      <c r="E544" t="s">
        <v>197</v>
      </c>
      <c r="F544" t="s">
        <v>197</v>
      </c>
      <c r="G544" t="s">
        <v>197</v>
      </c>
      <c r="H544" t="s">
        <v>197</v>
      </c>
      <c r="I544" t="s">
        <v>197</v>
      </c>
      <c r="J544" t="s">
        <v>197</v>
      </c>
      <c r="K544" t="s">
        <v>804</v>
      </c>
    </row>
    <row r="545" spans="1:24">
      <c r="B545" t="s">
        <v>197</v>
      </c>
      <c r="C545" t="s">
        <v>197</v>
      </c>
      <c r="D545" t="s">
        <v>197</v>
      </c>
      <c r="E545" t="s">
        <v>197</v>
      </c>
      <c r="F545" t="s">
        <v>197</v>
      </c>
      <c r="G545" t="s">
        <v>197</v>
      </c>
      <c r="H545" t="s">
        <v>197</v>
      </c>
      <c r="I545" t="s">
        <v>197</v>
      </c>
      <c r="J545" t="s">
        <v>197</v>
      </c>
      <c r="K545" t="s">
        <v>805</v>
      </c>
    </row>
    <row r="546" spans="1:24">
      <c r="B546" t="s">
        <v>197</v>
      </c>
      <c r="C546" t="s">
        <v>197</v>
      </c>
      <c r="D546" t="s">
        <v>197</v>
      </c>
      <c r="E546" t="s">
        <v>197</v>
      </c>
      <c r="F546" t="s">
        <v>197</v>
      </c>
      <c r="G546" t="s">
        <v>197</v>
      </c>
      <c r="H546" t="s">
        <v>197</v>
      </c>
      <c r="I546" t="s">
        <v>197</v>
      </c>
      <c r="J546" t="s">
        <v>197</v>
      </c>
      <c r="K546" t="s">
        <v>806</v>
      </c>
    </row>
    <row r="547" spans="1:24">
      <c r="B547" t="s">
        <v>197</v>
      </c>
      <c r="C547" t="s">
        <v>197</v>
      </c>
      <c r="D547" t="s">
        <v>197</v>
      </c>
      <c r="E547" t="s">
        <v>197</v>
      </c>
      <c r="F547" t="s">
        <v>197</v>
      </c>
      <c r="G547" t="s">
        <v>197</v>
      </c>
      <c r="H547" t="s">
        <v>197</v>
      </c>
      <c r="I547" t="s">
        <v>197</v>
      </c>
      <c r="J547" t="s">
        <v>197</v>
      </c>
      <c r="K547" t="s">
        <v>807</v>
      </c>
    </row>
    <row r="548" spans="1:24">
      <c r="A548" t="s">
        <v>808</v>
      </c>
      <c r="K548" t="s">
        <v>809</v>
      </c>
      <c r="W548" t="s">
        <v>171</v>
      </c>
      <c r="X548" t="str">
        <f>A548</f>
        <v>info_date_dml_batch1_pk_irp2</v>
      </c>
    </row>
    <row r="549" spans="1:24">
      <c r="B549" t="s">
        <v>196</v>
      </c>
      <c r="C549" t="s">
        <v>197</v>
      </c>
      <c r="D549" t="s">
        <v>197</v>
      </c>
      <c r="E549" t="s">
        <v>197</v>
      </c>
      <c r="F549" t="s">
        <v>197</v>
      </c>
      <c r="G549" t="s">
        <v>197</v>
      </c>
      <c r="H549" t="s">
        <v>197</v>
      </c>
      <c r="I549" t="s">
        <v>810</v>
      </c>
      <c r="J549" t="s">
        <v>199</v>
      </c>
      <c r="K549" t="s">
        <v>200</v>
      </c>
    </row>
    <row r="550" spans="1:24">
      <c r="B550" t="s">
        <v>197</v>
      </c>
      <c r="C550" t="s">
        <v>197</v>
      </c>
      <c r="D550" t="s">
        <v>197</v>
      </c>
      <c r="E550" t="s">
        <v>197</v>
      </c>
      <c r="F550" t="s">
        <v>197</v>
      </c>
      <c r="G550" t="s">
        <v>197</v>
      </c>
      <c r="H550" t="s">
        <v>197</v>
      </c>
      <c r="I550" t="s">
        <v>197</v>
      </c>
      <c r="J550" t="s">
        <v>197</v>
      </c>
      <c r="K550" t="s">
        <v>678</v>
      </c>
    </row>
    <row r="551" spans="1:24">
      <c r="A551" t="s">
        <v>811</v>
      </c>
      <c r="K551" t="s">
        <v>812</v>
      </c>
      <c r="W551" t="s">
        <v>171</v>
      </c>
      <c r="X551" t="str">
        <f>A551</f>
        <v>info_datetimeoffset_dml_batch1_pk_urp2</v>
      </c>
    </row>
    <row r="552" spans="1:24">
      <c r="B552" t="s">
        <v>196</v>
      </c>
      <c r="C552" t="s">
        <v>197</v>
      </c>
      <c r="D552" t="s">
        <v>197</v>
      </c>
      <c r="E552" t="s">
        <v>197</v>
      </c>
      <c r="F552" t="s">
        <v>197</v>
      </c>
      <c r="G552" t="s">
        <v>197</v>
      </c>
      <c r="H552" t="s">
        <v>197</v>
      </c>
      <c r="I552" t="s">
        <v>813</v>
      </c>
      <c r="J552" t="s">
        <v>199</v>
      </c>
      <c r="K552" t="s">
        <v>200</v>
      </c>
    </row>
    <row r="553" spans="1:24">
      <c r="B553" t="s">
        <v>197</v>
      </c>
      <c r="C553" t="s">
        <v>197</v>
      </c>
      <c r="D553" t="s">
        <v>197</v>
      </c>
      <c r="E553" t="s">
        <v>197</v>
      </c>
      <c r="F553" t="s">
        <v>197</v>
      </c>
      <c r="G553" t="s">
        <v>197</v>
      </c>
      <c r="H553" t="s">
        <v>197</v>
      </c>
      <c r="I553" t="s">
        <v>197</v>
      </c>
      <c r="J553" t="s">
        <v>197</v>
      </c>
      <c r="K553" t="s">
        <v>301</v>
      </c>
    </row>
    <row r="554" spans="1:24">
      <c r="B554" t="s">
        <v>197</v>
      </c>
      <c r="C554" t="s">
        <v>197</v>
      </c>
      <c r="D554" t="s">
        <v>197</v>
      </c>
      <c r="E554" t="s">
        <v>197</v>
      </c>
      <c r="F554" t="s">
        <v>197</v>
      </c>
      <c r="G554" t="s">
        <v>197</v>
      </c>
      <c r="H554" t="s">
        <v>197</v>
      </c>
      <c r="I554" t="s">
        <v>197</v>
      </c>
      <c r="J554" t="s">
        <v>197</v>
      </c>
      <c r="K554" t="s">
        <v>314</v>
      </c>
    </row>
    <row r="555" spans="1:24">
      <c r="B555" t="s">
        <v>197</v>
      </c>
      <c r="C555" t="s">
        <v>197</v>
      </c>
      <c r="D555" t="s">
        <v>197</v>
      </c>
      <c r="E555" t="s">
        <v>197</v>
      </c>
      <c r="F555" t="s">
        <v>197</v>
      </c>
      <c r="G555" t="s">
        <v>197</v>
      </c>
      <c r="H555" t="s">
        <v>197</v>
      </c>
      <c r="I555" t="s">
        <v>197</v>
      </c>
      <c r="J555" t="s">
        <v>197</v>
      </c>
      <c r="K555" t="s">
        <v>324</v>
      </c>
    </row>
    <row r="556" spans="1:24">
      <c r="B556" t="s">
        <v>197</v>
      </c>
      <c r="C556" t="s">
        <v>197</v>
      </c>
      <c r="D556" t="s">
        <v>197</v>
      </c>
      <c r="E556" t="s">
        <v>197</v>
      </c>
      <c r="F556" t="s">
        <v>197</v>
      </c>
      <c r="G556" t="s">
        <v>197</v>
      </c>
      <c r="H556" t="s">
        <v>197</v>
      </c>
      <c r="I556" t="s">
        <v>197</v>
      </c>
      <c r="J556" t="s">
        <v>197</v>
      </c>
      <c r="K556" t="s">
        <v>335</v>
      </c>
    </row>
    <row r="557" spans="1:24">
      <c r="B557" t="s">
        <v>197</v>
      </c>
      <c r="C557" t="s">
        <v>197</v>
      </c>
      <c r="D557" t="s">
        <v>197</v>
      </c>
      <c r="E557" t="s">
        <v>197</v>
      </c>
      <c r="F557" t="s">
        <v>197</v>
      </c>
      <c r="G557" t="s">
        <v>197</v>
      </c>
      <c r="H557" t="s">
        <v>197</v>
      </c>
      <c r="I557" t="s">
        <v>197</v>
      </c>
      <c r="J557" t="s">
        <v>197</v>
      </c>
      <c r="K557" t="s">
        <v>350</v>
      </c>
    </row>
    <row r="558" spans="1:24">
      <c r="B558" t="s">
        <v>197</v>
      </c>
      <c r="C558" t="s">
        <v>197</v>
      </c>
      <c r="D558" t="s">
        <v>197</v>
      </c>
      <c r="E558" t="s">
        <v>197</v>
      </c>
      <c r="F558" t="s">
        <v>197</v>
      </c>
      <c r="G558" t="s">
        <v>197</v>
      </c>
      <c r="H558" t="s">
        <v>197</v>
      </c>
      <c r="I558" t="s">
        <v>197</v>
      </c>
      <c r="J558" t="s">
        <v>197</v>
      </c>
      <c r="K558" t="s">
        <v>360</v>
      </c>
    </row>
    <row r="559" spans="1:24">
      <c r="B559" t="s">
        <v>197</v>
      </c>
      <c r="C559" t="s">
        <v>197</v>
      </c>
      <c r="D559" t="s">
        <v>197</v>
      </c>
      <c r="E559" t="s">
        <v>197</v>
      </c>
      <c r="F559" t="s">
        <v>197</v>
      </c>
      <c r="G559" t="s">
        <v>197</v>
      </c>
      <c r="H559" t="s">
        <v>197</v>
      </c>
      <c r="I559" t="s">
        <v>197</v>
      </c>
      <c r="J559" t="s">
        <v>197</v>
      </c>
      <c r="K559" t="s">
        <v>367</v>
      </c>
    </row>
    <row r="560" spans="1:24">
      <c r="B560" t="s">
        <v>197</v>
      </c>
      <c r="C560" t="s">
        <v>197</v>
      </c>
      <c r="D560" t="s">
        <v>197</v>
      </c>
      <c r="E560" t="s">
        <v>197</v>
      </c>
      <c r="F560" t="s">
        <v>197</v>
      </c>
      <c r="G560" t="s">
        <v>197</v>
      </c>
      <c r="H560" t="s">
        <v>197</v>
      </c>
      <c r="I560" t="s">
        <v>197</v>
      </c>
      <c r="J560" t="s">
        <v>197</v>
      </c>
      <c r="K560" t="s">
        <v>373</v>
      </c>
    </row>
    <row r="561" spans="1:24">
      <c r="A561" t="s">
        <v>814</v>
      </c>
      <c r="K561" t="s">
        <v>815</v>
      </c>
      <c r="W561" t="s">
        <v>171</v>
      </c>
      <c r="X561" t="str">
        <f>A561</f>
        <v>info_varcharmax_dml_batch2_pk_irp2</v>
      </c>
    </row>
    <row r="562" spans="1:24">
      <c r="B562" t="s">
        <v>196</v>
      </c>
      <c r="C562" t="s">
        <v>197</v>
      </c>
      <c r="D562" t="s">
        <v>197</v>
      </c>
      <c r="E562" t="s">
        <v>197</v>
      </c>
      <c r="F562" t="s">
        <v>197</v>
      </c>
      <c r="G562" t="s">
        <v>197</v>
      </c>
      <c r="H562" t="s">
        <v>197</v>
      </c>
      <c r="I562" t="s">
        <v>816</v>
      </c>
      <c r="J562" t="s">
        <v>199</v>
      </c>
      <c r="K562" t="s">
        <v>200</v>
      </c>
    </row>
    <row r="563" spans="1:24">
      <c r="B563" t="s">
        <v>197</v>
      </c>
      <c r="C563" t="s">
        <v>197</v>
      </c>
      <c r="D563" t="s">
        <v>197</v>
      </c>
      <c r="E563" t="s">
        <v>197</v>
      </c>
      <c r="F563" t="s">
        <v>197</v>
      </c>
      <c r="G563" t="s">
        <v>197</v>
      </c>
      <c r="H563" t="s">
        <v>197</v>
      </c>
      <c r="I563" t="s">
        <v>197</v>
      </c>
      <c r="J563" t="s">
        <v>197</v>
      </c>
      <c r="K563" t="s">
        <v>725</v>
      </c>
    </row>
    <row r="564" spans="1:24">
      <c r="B564" t="s">
        <v>197</v>
      </c>
      <c r="C564" t="s">
        <v>197</v>
      </c>
      <c r="D564" t="s">
        <v>197</v>
      </c>
      <c r="E564" t="s">
        <v>197</v>
      </c>
      <c r="F564" t="s">
        <v>197</v>
      </c>
      <c r="G564" t="s">
        <v>197</v>
      </c>
      <c r="H564" t="s">
        <v>197</v>
      </c>
      <c r="I564" t="s">
        <v>197</v>
      </c>
      <c r="J564" t="s">
        <v>197</v>
      </c>
      <c r="K564" t="s">
        <v>726</v>
      </c>
    </row>
    <row r="565" spans="1:24">
      <c r="K565" t="s">
        <v>443</v>
      </c>
    </row>
    <row r="566" spans="1:24">
      <c r="A566" t="s">
        <v>817</v>
      </c>
      <c r="K566" t="s">
        <v>818</v>
      </c>
      <c r="W566" t="s">
        <v>171</v>
      </c>
      <c r="X566" t="str">
        <f>A566</f>
        <v>info_datetimeoffset_dml_batch1_pk_drp1</v>
      </c>
    </row>
    <row r="567" spans="1:24">
      <c r="B567" t="s">
        <v>196</v>
      </c>
      <c r="C567" t="s">
        <v>197</v>
      </c>
      <c r="D567" t="s">
        <v>197</v>
      </c>
      <c r="E567" t="s">
        <v>197</v>
      </c>
      <c r="F567" t="s">
        <v>197</v>
      </c>
      <c r="G567" t="s">
        <v>197</v>
      </c>
      <c r="H567" t="s">
        <v>197</v>
      </c>
      <c r="I567" t="s">
        <v>819</v>
      </c>
      <c r="J567" t="s">
        <v>199</v>
      </c>
      <c r="K567" t="s">
        <v>200</v>
      </c>
    </row>
    <row r="568" spans="1:24">
      <c r="B568" t="s">
        <v>197</v>
      </c>
      <c r="C568" t="s">
        <v>197</v>
      </c>
      <c r="D568" t="s">
        <v>197</v>
      </c>
      <c r="E568" t="s">
        <v>197</v>
      </c>
      <c r="F568" t="s">
        <v>197</v>
      </c>
      <c r="G568" t="s">
        <v>197</v>
      </c>
      <c r="H568" t="s">
        <v>197</v>
      </c>
      <c r="I568" t="s">
        <v>197</v>
      </c>
      <c r="J568" t="s">
        <v>197</v>
      </c>
      <c r="K568" t="s">
        <v>301</v>
      </c>
    </row>
    <row r="569" spans="1:24">
      <c r="B569" t="s">
        <v>197</v>
      </c>
      <c r="C569" t="s">
        <v>197</v>
      </c>
      <c r="D569" t="s">
        <v>197</v>
      </c>
      <c r="E569" t="s">
        <v>197</v>
      </c>
      <c r="F569" t="s">
        <v>197</v>
      </c>
      <c r="G569" t="s">
        <v>197</v>
      </c>
      <c r="H569" t="s">
        <v>197</v>
      </c>
      <c r="I569" t="s">
        <v>197</v>
      </c>
      <c r="J569" t="s">
        <v>197</v>
      </c>
      <c r="K569" t="s">
        <v>314</v>
      </c>
    </row>
    <row r="570" spans="1:24">
      <c r="B570" t="s">
        <v>197</v>
      </c>
      <c r="C570" t="s">
        <v>197</v>
      </c>
      <c r="D570" t="s">
        <v>197</v>
      </c>
      <c r="E570" t="s">
        <v>197</v>
      </c>
      <c r="F570" t="s">
        <v>197</v>
      </c>
      <c r="G570" t="s">
        <v>197</v>
      </c>
      <c r="H570" t="s">
        <v>197</v>
      </c>
      <c r="I570" t="s">
        <v>197</v>
      </c>
      <c r="J570" t="s">
        <v>197</v>
      </c>
      <c r="K570" t="s">
        <v>324</v>
      </c>
    </row>
    <row r="571" spans="1:24">
      <c r="B571" t="s">
        <v>197</v>
      </c>
      <c r="C571" t="s">
        <v>197</v>
      </c>
      <c r="D571" t="s">
        <v>197</v>
      </c>
      <c r="E571" t="s">
        <v>197</v>
      </c>
      <c r="F571" t="s">
        <v>197</v>
      </c>
      <c r="G571" t="s">
        <v>197</v>
      </c>
      <c r="H571" t="s">
        <v>197</v>
      </c>
      <c r="I571" t="s">
        <v>197</v>
      </c>
      <c r="J571" t="s">
        <v>197</v>
      </c>
      <c r="K571" t="s">
        <v>335</v>
      </c>
    </row>
    <row r="572" spans="1:24">
      <c r="B572" t="s">
        <v>197</v>
      </c>
      <c r="C572" t="s">
        <v>197</v>
      </c>
      <c r="D572" t="s">
        <v>197</v>
      </c>
      <c r="E572" t="s">
        <v>197</v>
      </c>
      <c r="F572" t="s">
        <v>197</v>
      </c>
      <c r="G572" t="s">
        <v>197</v>
      </c>
      <c r="H572" t="s">
        <v>197</v>
      </c>
      <c r="I572" t="s">
        <v>197</v>
      </c>
      <c r="J572" t="s">
        <v>197</v>
      </c>
      <c r="K572" t="s">
        <v>350</v>
      </c>
    </row>
    <row r="573" spans="1:24">
      <c r="B573" t="s">
        <v>197</v>
      </c>
      <c r="C573" t="s">
        <v>197</v>
      </c>
      <c r="D573" t="s">
        <v>197</v>
      </c>
      <c r="E573" t="s">
        <v>197</v>
      </c>
      <c r="F573" t="s">
        <v>197</v>
      </c>
      <c r="G573" t="s">
        <v>197</v>
      </c>
      <c r="H573" t="s">
        <v>197</v>
      </c>
      <c r="I573" t="s">
        <v>197</v>
      </c>
      <c r="J573" t="s">
        <v>197</v>
      </c>
      <c r="K573" t="s">
        <v>360</v>
      </c>
    </row>
    <row r="574" spans="1:24">
      <c r="B574" t="s">
        <v>197</v>
      </c>
      <c r="C574" t="s">
        <v>197</v>
      </c>
      <c r="D574" t="s">
        <v>197</v>
      </c>
      <c r="E574" t="s">
        <v>197</v>
      </c>
      <c r="F574" t="s">
        <v>197</v>
      </c>
      <c r="G574" t="s">
        <v>197</v>
      </c>
      <c r="H574" t="s">
        <v>197</v>
      </c>
      <c r="I574" t="s">
        <v>197</v>
      </c>
      <c r="J574" t="s">
        <v>197</v>
      </c>
      <c r="K574" t="s">
        <v>367</v>
      </c>
    </row>
    <row r="575" spans="1:24">
      <c r="B575" t="s">
        <v>197</v>
      </c>
      <c r="C575" t="s">
        <v>197</v>
      </c>
      <c r="D575" t="s">
        <v>197</v>
      </c>
      <c r="E575" t="s">
        <v>197</v>
      </c>
      <c r="F575" t="s">
        <v>197</v>
      </c>
      <c r="G575" t="s">
        <v>197</v>
      </c>
      <c r="H575" t="s">
        <v>197</v>
      </c>
      <c r="I575" t="s">
        <v>197</v>
      </c>
      <c r="J575" t="s">
        <v>197</v>
      </c>
      <c r="K575" t="s">
        <v>373</v>
      </c>
    </row>
    <row r="576" spans="1:24">
      <c r="K576" t="s">
        <v>443</v>
      </c>
    </row>
    <row r="577" spans="1:24">
      <c r="A577" t="s">
        <v>823</v>
      </c>
      <c r="K577" t="s">
        <v>824</v>
      </c>
      <c r="W577" t="s">
        <v>171</v>
      </c>
      <c r="X577" t="str">
        <f>A577</f>
        <v>info_hierarchyid_dml_single_pk</v>
      </c>
    </row>
    <row r="578" spans="1:24">
      <c r="B578" t="s">
        <v>196</v>
      </c>
      <c r="C578" t="s">
        <v>197</v>
      </c>
      <c r="D578" t="s">
        <v>197</v>
      </c>
      <c r="E578" t="s">
        <v>197</v>
      </c>
      <c r="F578" t="s">
        <v>197</v>
      </c>
      <c r="G578" t="s">
        <v>197</v>
      </c>
      <c r="H578" t="s">
        <v>197</v>
      </c>
      <c r="I578" t="s">
        <v>825</v>
      </c>
      <c r="J578" t="s">
        <v>199</v>
      </c>
      <c r="K578" t="s">
        <v>200</v>
      </c>
    </row>
    <row r="579" spans="1:24">
      <c r="B579" t="s">
        <v>197</v>
      </c>
      <c r="C579" t="s">
        <v>197</v>
      </c>
      <c r="D579" t="s">
        <v>197</v>
      </c>
      <c r="E579" t="s">
        <v>197</v>
      </c>
      <c r="F579" t="s">
        <v>197</v>
      </c>
      <c r="G579" t="s">
        <v>197</v>
      </c>
      <c r="H579" t="s">
        <v>197</v>
      </c>
      <c r="I579" t="s">
        <v>197</v>
      </c>
      <c r="J579" t="s">
        <v>197</v>
      </c>
      <c r="K579" t="s">
        <v>706</v>
      </c>
    </row>
    <row r="580" spans="1:24">
      <c r="A580" t="s">
        <v>820</v>
      </c>
      <c r="K580" t="s">
        <v>821</v>
      </c>
      <c r="W580" t="s">
        <v>171</v>
      </c>
      <c r="X580" t="str">
        <f>A580</f>
        <v>info_nchar_dml_batch1_pk_urp1</v>
      </c>
    </row>
    <row r="581" spans="1:24">
      <c r="B581" t="s">
        <v>196</v>
      </c>
      <c r="C581" t="s">
        <v>197</v>
      </c>
      <c r="D581" t="s">
        <v>197</v>
      </c>
      <c r="E581" t="s">
        <v>197</v>
      </c>
      <c r="F581" t="s">
        <v>197</v>
      </c>
      <c r="G581" t="s">
        <v>197</v>
      </c>
      <c r="H581" t="s">
        <v>197</v>
      </c>
      <c r="I581" t="s">
        <v>822</v>
      </c>
      <c r="J581" t="s">
        <v>199</v>
      </c>
      <c r="K581" t="s">
        <v>200</v>
      </c>
    </row>
    <row r="582" spans="1:24">
      <c r="B582" t="s">
        <v>197</v>
      </c>
      <c r="C582" t="s">
        <v>197</v>
      </c>
      <c r="D582" t="s">
        <v>197</v>
      </c>
      <c r="E582" t="s">
        <v>197</v>
      </c>
      <c r="F582" t="s">
        <v>197</v>
      </c>
      <c r="G582" t="s">
        <v>197</v>
      </c>
      <c r="H582" t="s">
        <v>197</v>
      </c>
      <c r="I582" t="s">
        <v>197</v>
      </c>
      <c r="J582" t="s">
        <v>197</v>
      </c>
      <c r="K582" t="s">
        <v>514</v>
      </c>
    </row>
    <row r="583" spans="1:24">
      <c r="B583" t="s">
        <v>197</v>
      </c>
      <c r="C583" t="s">
        <v>197</v>
      </c>
      <c r="D583" t="s">
        <v>197</v>
      </c>
      <c r="E583" t="s">
        <v>197</v>
      </c>
      <c r="F583" t="s">
        <v>197</v>
      </c>
      <c r="G583" t="s">
        <v>197</v>
      </c>
      <c r="H583" t="s">
        <v>197</v>
      </c>
      <c r="I583" t="s">
        <v>197</v>
      </c>
      <c r="J583" t="s">
        <v>197</v>
      </c>
      <c r="K583" t="s">
        <v>516</v>
      </c>
    </row>
    <row r="584" spans="1:24">
      <c r="B584" t="s">
        <v>197</v>
      </c>
      <c r="C584" t="s">
        <v>197</v>
      </c>
      <c r="D584" t="s">
        <v>197</v>
      </c>
      <c r="E584" t="s">
        <v>197</v>
      </c>
      <c r="F584" t="s">
        <v>197</v>
      </c>
      <c r="G584" t="s">
        <v>197</v>
      </c>
      <c r="H584" t="s">
        <v>197</v>
      </c>
      <c r="I584" t="s">
        <v>197</v>
      </c>
      <c r="J584" t="s">
        <v>197</v>
      </c>
      <c r="K584" t="s">
        <v>612</v>
      </c>
    </row>
    <row r="585" spans="1:24">
      <c r="A585" t="s">
        <v>826</v>
      </c>
      <c r="K585" t="s">
        <v>827</v>
      </c>
      <c r="W585" t="s">
        <v>171</v>
      </c>
      <c r="X585" t="str">
        <f>A585</f>
        <v>info_datetimeoffset_dml_batch1_pk_drp2</v>
      </c>
    </row>
    <row r="586" spans="1:24">
      <c r="B586" t="s">
        <v>196</v>
      </c>
      <c r="C586" t="s">
        <v>197</v>
      </c>
      <c r="D586" t="s">
        <v>197</v>
      </c>
      <c r="E586" t="s">
        <v>197</v>
      </c>
      <c r="F586" t="s">
        <v>197</v>
      </c>
      <c r="G586" t="s">
        <v>197</v>
      </c>
      <c r="H586" t="s">
        <v>197</v>
      </c>
      <c r="I586" t="s">
        <v>828</v>
      </c>
      <c r="J586" t="s">
        <v>199</v>
      </c>
      <c r="K586" t="s">
        <v>200</v>
      </c>
    </row>
    <row r="587" spans="1:24">
      <c r="B587" t="s">
        <v>197</v>
      </c>
      <c r="C587" t="s">
        <v>197</v>
      </c>
      <c r="D587" t="s">
        <v>197</v>
      </c>
      <c r="E587" t="s">
        <v>197</v>
      </c>
      <c r="F587" t="s">
        <v>197</v>
      </c>
      <c r="G587" t="s">
        <v>197</v>
      </c>
      <c r="H587" t="s">
        <v>197</v>
      </c>
      <c r="I587" t="s">
        <v>197</v>
      </c>
      <c r="J587" t="s">
        <v>197</v>
      </c>
      <c r="K587" t="s">
        <v>301</v>
      </c>
    </row>
    <row r="588" spans="1:24">
      <c r="B588" t="s">
        <v>197</v>
      </c>
      <c r="C588" t="s">
        <v>197</v>
      </c>
      <c r="D588" t="s">
        <v>197</v>
      </c>
      <c r="E588" t="s">
        <v>197</v>
      </c>
      <c r="F588" t="s">
        <v>197</v>
      </c>
      <c r="G588" t="s">
        <v>197</v>
      </c>
      <c r="H588" t="s">
        <v>197</v>
      </c>
      <c r="I588" t="s">
        <v>197</v>
      </c>
      <c r="J588" t="s">
        <v>197</v>
      </c>
      <c r="K588" t="s">
        <v>314</v>
      </c>
    </row>
    <row r="589" spans="1:24">
      <c r="B589" t="s">
        <v>197</v>
      </c>
      <c r="C589" t="s">
        <v>197</v>
      </c>
      <c r="D589" t="s">
        <v>197</v>
      </c>
      <c r="E589" t="s">
        <v>197</v>
      </c>
      <c r="F589" t="s">
        <v>197</v>
      </c>
      <c r="G589" t="s">
        <v>197</v>
      </c>
      <c r="H589" t="s">
        <v>197</v>
      </c>
      <c r="I589" t="s">
        <v>197</v>
      </c>
      <c r="J589" t="s">
        <v>197</v>
      </c>
      <c r="K589" t="s">
        <v>324</v>
      </c>
    </row>
    <row r="590" spans="1:24">
      <c r="B590" t="s">
        <v>197</v>
      </c>
      <c r="C590" t="s">
        <v>197</v>
      </c>
      <c r="D590" t="s">
        <v>197</v>
      </c>
      <c r="E590" t="s">
        <v>197</v>
      </c>
      <c r="F590" t="s">
        <v>197</v>
      </c>
      <c r="G590" t="s">
        <v>197</v>
      </c>
      <c r="H590" t="s">
        <v>197</v>
      </c>
      <c r="I590" t="s">
        <v>197</v>
      </c>
      <c r="J590" t="s">
        <v>197</v>
      </c>
      <c r="K590" t="s">
        <v>335</v>
      </c>
    </row>
    <row r="591" spans="1:24">
      <c r="B591" t="s">
        <v>197</v>
      </c>
      <c r="C591" t="s">
        <v>197</v>
      </c>
      <c r="D591" t="s">
        <v>197</v>
      </c>
      <c r="E591" t="s">
        <v>197</v>
      </c>
      <c r="F591" t="s">
        <v>197</v>
      </c>
      <c r="G591" t="s">
        <v>197</v>
      </c>
      <c r="H591" t="s">
        <v>197</v>
      </c>
      <c r="I591" t="s">
        <v>197</v>
      </c>
      <c r="J591" t="s">
        <v>197</v>
      </c>
      <c r="K591" t="s">
        <v>350</v>
      </c>
    </row>
    <row r="592" spans="1:24">
      <c r="B592" t="s">
        <v>197</v>
      </c>
      <c r="C592" t="s">
        <v>197</v>
      </c>
      <c r="D592" t="s">
        <v>197</v>
      </c>
      <c r="E592" t="s">
        <v>197</v>
      </c>
      <c r="F592" t="s">
        <v>197</v>
      </c>
      <c r="G592" t="s">
        <v>197</v>
      </c>
      <c r="H592" t="s">
        <v>197</v>
      </c>
      <c r="I592" t="s">
        <v>197</v>
      </c>
      <c r="J592" t="s">
        <v>197</v>
      </c>
      <c r="K592" t="s">
        <v>360</v>
      </c>
    </row>
    <row r="593" spans="1:24">
      <c r="B593" t="s">
        <v>197</v>
      </c>
      <c r="C593" t="s">
        <v>197</v>
      </c>
      <c r="D593" t="s">
        <v>197</v>
      </c>
      <c r="E593" t="s">
        <v>197</v>
      </c>
      <c r="F593" t="s">
        <v>197</v>
      </c>
      <c r="G593" t="s">
        <v>197</v>
      </c>
      <c r="H593" t="s">
        <v>197</v>
      </c>
      <c r="I593" t="s">
        <v>197</v>
      </c>
      <c r="J593" t="s">
        <v>197</v>
      </c>
      <c r="K593" t="s">
        <v>367</v>
      </c>
    </row>
    <row r="594" spans="1:24">
      <c r="B594" t="s">
        <v>197</v>
      </c>
      <c r="C594" t="s">
        <v>197</v>
      </c>
      <c r="D594" t="s">
        <v>197</v>
      </c>
      <c r="E594" t="s">
        <v>197</v>
      </c>
      <c r="F594" t="s">
        <v>197</v>
      </c>
      <c r="G594" t="s">
        <v>197</v>
      </c>
      <c r="H594" t="s">
        <v>197</v>
      </c>
      <c r="I594" t="s">
        <v>197</v>
      </c>
      <c r="J594" t="s">
        <v>197</v>
      </c>
      <c r="K594" t="s">
        <v>373</v>
      </c>
    </row>
    <row r="595" spans="1:24">
      <c r="A595" t="s">
        <v>829</v>
      </c>
      <c r="K595" t="s">
        <v>830</v>
      </c>
      <c r="W595" t="s">
        <v>171</v>
      </c>
      <c r="X595" t="str">
        <f>A595</f>
        <v>info_char_dml_batch1_pk_drp1</v>
      </c>
    </row>
    <row r="596" spans="1:24">
      <c r="B596" t="s">
        <v>196</v>
      </c>
      <c r="C596" t="s">
        <v>197</v>
      </c>
      <c r="D596" t="s">
        <v>197</v>
      </c>
      <c r="E596" t="s">
        <v>197</v>
      </c>
      <c r="F596" t="s">
        <v>197</v>
      </c>
      <c r="G596" t="s">
        <v>197</v>
      </c>
      <c r="H596" t="s">
        <v>197</v>
      </c>
      <c r="I596" t="s">
        <v>831</v>
      </c>
      <c r="J596" t="s">
        <v>199</v>
      </c>
      <c r="K596" t="s">
        <v>200</v>
      </c>
    </row>
    <row r="597" spans="1:24">
      <c r="B597" t="s">
        <v>197</v>
      </c>
      <c r="C597" t="s">
        <v>197</v>
      </c>
      <c r="D597" t="s">
        <v>197</v>
      </c>
      <c r="E597" t="s">
        <v>197</v>
      </c>
      <c r="F597" t="s">
        <v>197</v>
      </c>
      <c r="G597" t="s">
        <v>197</v>
      </c>
      <c r="H597" t="s">
        <v>197</v>
      </c>
      <c r="I597" t="s">
        <v>197</v>
      </c>
      <c r="J597" t="s">
        <v>197</v>
      </c>
      <c r="K597" t="s">
        <v>622</v>
      </c>
    </row>
    <row r="598" spans="1:24">
      <c r="B598" t="s">
        <v>197</v>
      </c>
      <c r="C598" t="s">
        <v>197</v>
      </c>
      <c r="D598" t="s">
        <v>197</v>
      </c>
      <c r="E598" t="s">
        <v>197</v>
      </c>
      <c r="F598" t="s">
        <v>197</v>
      </c>
      <c r="G598" t="s">
        <v>197</v>
      </c>
      <c r="H598" t="s">
        <v>197</v>
      </c>
      <c r="I598" t="s">
        <v>197</v>
      </c>
      <c r="J598" t="s">
        <v>197</v>
      </c>
      <c r="K598" t="s">
        <v>623</v>
      </c>
    </row>
    <row r="599" spans="1:24">
      <c r="B599" t="s">
        <v>197</v>
      </c>
      <c r="C599" t="s">
        <v>197</v>
      </c>
      <c r="D599" t="s">
        <v>197</v>
      </c>
      <c r="E599" t="s">
        <v>197</v>
      </c>
      <c r="F599" t="s">
        <v>197</v>
      </c>
      <c r="G599" t="s">
        <v>197</v>
      </c>
      <c r="H599" t="s">
        <v>197</v>
      </c>
      <c r="I599" t="s">
        <v>197</v>
      </c>
      <c r="J599" t="s">
        <v>197</v>
      </c>
      <c r="K599" t="s">
        <v>832</v>
      </c>
    </row>
    <row r="600" spans="1:24">
      <c r="K600" t="s">
        <v>443</v>
      </c>
    </row>
    <row r="601" spans="1:24">
      <c r="A601" t="s">
        <v>833</v>
      </c>
      <c r="K601" t="s">
        <v>834</v>
      </c>
      <c r="W601" t="s">
        <v>171</v>
      </c>
      <c r="X601" t="str">
        <f>A601</f>
        <v>info_datetimeoffset_dml_batch1_pk</v>
      </c>
    </row>
    <row r="602" spans="1:24">
      <c r="B602" t="s">
        <v>196</v>
      </c>
      <c r="C602" t="s">
        <v>197</v>
      </c>
      <c r="D602" t="s">
        <v>197</v>
      </c>
      <c r="E602" t="s">
        <v>197</v>
      </c>
      <c r="F602" t="s">
        <v>197</v>
      </c>
      <c r="G602" t="s">
        <v>197</v>
      </c>
      <c r="H602" t="s">
        <v>197</v>
      </c>
      <c r="I602" t="s">
        <v>835</v>
      </c>
      <c r="J602" t="s">
        <v>199</v>
      </c>
      <c r="K602" t="s">
        <v>200</v>
      </c>
    </row>
    <row r="603" spans="1:24">
      <c r="B603" t="s">
        <v>197</v>
      </c>
      <c r="C603" t="s">
        <v>197</v>
      </c>
      <c r="D603" t="s">
        <v>197</v>
      </c>
      <c r="E603" t="s">
        <v>197</v>
      </c>
      <c r="F603" t="s">
        <v>197</v>
      </c>
      <c r="G603" t="s">
        <v>197</v>
      </c>
      <c r="H603" t="s">
        <v>197</v>
      </c>
      <c r="I603" t="s">
        <v>197</v>
      </c>
      <c r="J603" t="s">
        <v>197</v>
      </c>
      <c r="K603" t="s">
        <v>301</v>
      </c>
    </row>
    <row r="604" spans="1:24">
      <c r="B604" t="s">
        <v>197</v>
      </c>
      <c r="C604" t="s">
        <v>197</v>
      </c>
      <c r="D604" t="s">
        <v>197</v>
      </c>
      <c r="E604" t="s">
        <v>197</v>
      </c>
      <c r="F604" t="s">
        <v>197</v>
      </c>
      <c r="G604" t="s">
        <v>197</v>
      </c>
      <c r="H604" t="s">
        <v>197</v>
      </c>
      <c r="I604" t="s">
        <v>197</v>
      </c>
      <c r="J604" t="s">
        <v>197</v>
      </c>
      <c r="K604" t="s">
        <v>314</v>
      </c>
    </row>
    <row r="605" spans="1:24">
      <c r="B605" t="s">
        <v>197</v>
      </c>
      <c r="C605" t="s">
        <v>197</v>
      </c>
      <c r="D605" t="s">
        <v>197</v>
      </c>
      <c r="E605" t="s">
        <v>197</v>
      </c>
      <c r="F605" t="s">
        <v>197</v>
      </c>
      <c r="G605" t="s">
        <v>197</v>
      </c>
      <c r="H605" t="s">
        <v>197</v>
      </c>
      <c r="I605" t="s">
        <v>197</v>
      </c>
      <c r="J605" t="s">
        <v>197</v>
      </c>
      <c r="K605" t="s">
        <v>324</v>
      </c>
    </row>
    <row r="606" spans="1:24">
      <c r="B606" t="s">
        <v>197</v>
      </c>
      <c r="C606" t="s">
        <v>197</v>
      </c>
      <c r="D606" t="s">
        <v>197</v>
      </c>
      <c r="E606" t="s">
        <v>197</v>
      </c>
      <c r="F606" t="s">
        <v>197</v>
      </c>
      <c r="G606" t="s">
        <v>197</v>
      </c>
      <c r="H606" t="s">
        <v>197</v>
      </c>
      <c r="I606" t="s">
        <v>197</v>
      </c>
      <c r="J606" t="s">
        <v>197</v>
      </c>
      <c r="K606" t="s">
        <v>335</v>
      </c>
    </row>
    <row r="607" spans="1:24">
      <c r="B607" t="s">
        <v>197</v>
      </c>
      <c r="C607" t="s">
        <v>197</v>
      </c>
      <c r="D607" t="s">
        <v>197</v>
      </c>
      <c r="E607" t="s">
        <v>197</v>
      </c>
      <c r="F607" t="s">
        <v>197</v>
      </c>
      <c r="G607" t="s">
        <v>197</v>
      </c>
      <c r="H607" t="s">
        <v>197</v>
      </c>
      <c r="I607" t="s">
        <v>197</v>
      </c>
      <c r="J607" t="s">
        <v>197</v>
      </c>
      <c r="K607" t="s">
        <v>350</v>
      </c>
    </row>
    <row r="608" spans="1:24">
      <c r="B608" t="s">
        <v>197</v>
      </c>
      <c r="C608" t="s">
        <v>197</v>
      </c>
      <c r="D608" t="s">
        <v>197</v>
      </c>
      <c r="E608" t="s">
        <v>197</v>
      </c>
      <c r="F608" t="s">
        <v>197</v>
      </c>
      <c r="G608" t="s">
        <v>197</v>
      </c>
      <c r="H608" t="s">
        <v>197</v>
      </c>
      <c r="I608" t="s">
        <v>197</v>
      </c>
      <c r="J608" t="s">
        <v>197</v>
      </c>
      <c r="K608" t="s">
        <v>360</v>
      </c>
    </row>
    <row r="609" spans="1:24">
      <c r="B609" t="s">
        <v>197</v>
      </c>
      <c r="C609" t="s">
        <v>197</v>
      </c>
      <c r="D609" t="s">
        <v>197</v>
      </c>
      <c r="E609" t="s">
        <v>197</v>
      </c>
      <c r="F609" t="s">
        <v>197</v>
      </c>
      <c r="G609" t="s">
        <v>197</v>
      </c>
      <c r="H609" t="s">
        <v>197</v>
      </c>
      <c r="I609" t="s">
        <v>197</v>
      </c>
      <c r="J609" t="s">
        <v>197</v>
      </c>
      <c r="K609" t="s">
        <v>367</v>
      </c>
    </row>
    <row r="610" spans="1:24">
      <c r="B610" t="s">
        <v>197</v>
      </c>
      <c r="C610" t="s">
        <v>197</v>
      </c>
      <c r="D610" t="s">
        <v>197</v>
      </c>
      <c r="E610" t="s">
        <v>197</v>
      </c>
      <c r="F610" t="s">
        <v>197</v>
      </c>
      <c r="G610" t="s">
        <v>197</v>
      </c>
      <c r="H610" t="s">
        <v>197</v>
      </c>
      <c r="I610" t="s">
        <v>197</v>
      </c>
      <c r="J610" t="s">
        <v>197</v>
      </c>
      <c r="K610" t="s">
        <v>373</v>
      </c>
    </row>
    <row r="611" spans="1:24">
      <c r="A611" t="s">
        <v>839</v>
      </c>
      <c r="K611" t="s">
        <v>840</v>
      </c>
      <c r="W611" t="s">
        <v>171</v>
      </c>
      <c r="X611" t="str">
        <f>A611</f>
        <v>info_date_dml_batch2_pk_irp1</v>
      </c>
    </row>
    <row r="612" spans="1:24">
      <c r="B612" t="s">
        <v>196</v>
      </c>
      <c r="C612" t="s">
        <v>197</v>
      </c>
      <c r="D612" t="s">
        <v>197</v>
      </c>
      <c r="E612" t="s">
        <v>197</v>
      </c>
      <c r="F612" t="s">
        <v>197</v>
      </c>
      <c r="G612" t="s">
        <v>197</v>
      </c>
      <c r="H612" t="s">
        <v>197</v>
      </c>
      <c r="I612" t="s">
        <v>841</v>
      </c>
      <c r="J612" t="s">
        <v>199</v>
      </c>
      <c r="K612" t="s">
        <v>200</v>
      </c>
    </row>
    <row r="613" spans="1:24">
      <c r="B613" t="s">
        <v>197</v>
      </c>
      <c r="C613" t="s">
        <v>197</v>
      </c>
      <c r="D613" t="s">
        <v>197</v>
      </c>
      <c r="E613" t="s">
        <v>197</v>
      </c>
      <c r="F613" t="s">
        <v>197</v>
      </c>
      <c r="G613" t="s">
        <v>197</v>
      </c>
      <c r="H613" t="s">
        <v>197</v>
      </c>
      <c r="I613" t="s">
        <v>197</v>
      </c>
      <c r="J613" t="s">
        <v>197</v>
      </c>
      <c r="K613" t="s">
        <v>678</v>
      </c>
    </row>
    <row r="614" spans="1:24">
      <c r="A614" t="s">
        <v>836</v>
      </c>
      <c r="K614" t="s">
        <v>837</v>
      </c>
      <c r="W614" t="s">
        <v>171</v>
      </c>
      <c r="X614" t="str">
        <f>A614</f>
        <v>info_nchar_dml_batch2_pk_urp2</v>
      </c>
    </row>
    <row r="615" spans="1:24">
      <c r="B615" t="s">
        <v>196</v>
      </c>
      <c r="C615" t="s">
        <v>197</v>
      </c>
      <c r="D615" t="s">
        <v>197</v>
      </c>
      <c r="E615" t="s">
        <v>197</v>
      </c>
      <c r="F615" t="s">
        <v>197</v>
      </c>
      <c r="G615" t="s">
        <v>197</v>
      </c>
      <c r="H615" t="s">
        <v>197</v>
      </c>
      <c r="I615" t="s">
        <v>838</v>
      </c>
      <c r="J615" t="s">
        <v>199</v>
      </c>
      <c r="K615" t="s">
        <v>200</v>
      </c>
    </row>
    <row r="616" spans="1:24">
      <c r="B616" t="s">
        <v>197</v>
      </c>
      <c r="C616" t="s">
        <v>197</v>
      </c>
      <c r="D616" t="s">
        <v>197</v>
      </c>
      <c r="E616" t="s">
        <v>197</v>
      </c>
      <c r="F616" t="s">
        <v>197</v>
      </c>
      <c r="G616" t="s">
        <v>197</v>
      </c>
      <c r="H616" t="s">
        <v>197</v>
      </c>
      <c r="I616" t="s">
        <v>197</v>
      </c>
      <c r="J616" t="s">
        <v>197</v>
      </c>
      <c r="K616" t="s">
        <v>514</v>
      </c>
    </row>
    <row r="617" spans="1:24">
      <c r="B617" t="s">
        <v>197</v>
      </c>
      <c r="C617" t="s">
        <v>197</v>
      </c>
      <c r="D617" t="s">
        <v>197</v>
      </c>
      <c r="E617" t="s">
        <v>197</v>
      </c>
      <c r="F617" t="s">
        <v>197</v>
      </c>
      <c r="G617" t="s">
        <v>197</v>
      </c>
      <c r="H617" t="s">
        <v>197</v>
      </c>
      <c r="I617" t="s">
        <v>197</v>
      </c>
      <c r="J617" t="s">
        <v>197</v>
      </c>
      <c r="K617" t="s">
        <v>516</v>
      </c>
    </row>
    <row r="618" spans="1:24">
      <c r="B618" t="s">
        <v>197</v>
      </c>
      <c r="C618" t="s">
        <v>197</v>
      </c>
      <c r="D618" t="s">
        <v>197</v>
      </c>
      <c r="E618" t="s">
        <v>197</v>
      </c>
      <c r="F618" t="s">
        <v>197</v>
      </c>
      <c r="G618" t="s">
        <v>197</v>
      </c>
      <c r="H618" t="s">
        <v>197</v>
      </c>
      <c r="I618" t="s">
        <v>197</v>
      </c>
      <c r="J618" t="s">
        <v>197</v>
      </c>
      <c r="K618" t="s">
        <v>612</v>
      </c>
    </row>
    <row r="619" spans="1:24">
      <c r="A619" t="s">
        <v>842</v>
      </c>
      <c r="K619" t="s">
        <v>843</v>
      </c>
      <c r="W619" t="s">
        <v>171</v>
      </c>
      <c r="X619" t="str">
        <f>A619</f>
        <v>info_time_dml_single_pk_urp</v>
      </c>
    </row>
    <row r="620" spans="1:24">
      <c r="B620" t="s">
        <v>196</v>
      </c>
      <c r="C620" t="s">
        <v>197</v>
      </c>
      <c r="D620" t="s">
        <v>197</v>
      </c>
      <c r="E620" t="s">
        <v>197</v>
      </c>
      <c r="F620" t="s">
        <v>197</v>
      </c>
      <c r="G620" t="s">
        <v>197</v>
      </c>
      <c r="H620" t="s">
        <v>197</v>
      </c>
      <c r="I620" t="s">
        <v>844</v>
      </c>
      <c r="J620" t="s">
        <v>199</v>
      </c>
      <c r="K620" t="s">
        <v>200</v>
      </c>
    </row>
    <row r="621" spans="1:24">
      <c r="B621" t="s">
        <v>197</v>
      </c>
      <c r="C621" t="s">
        <v>197</v>
      </c>
      <c r="D621" t="s">
        <v>197</v>
      </c>
      <c r="E621" t="s">
        <v>197</v>
      </c>
      <c r="F621" t="s">
        <v>197</v>
      </c>
      <c r="G621" t="s">
        <v>197</v>
      </c>
      <c r="H621" t="s">
        <v>197</v>
      </c>
      <c r="I621" t="s">
        <v>197</v>
      </c>
      <c r="J621" t="s">
        <v>197</v>
      </c>
      <c r="K621" t="s">
        <v>800</v>
      </c>
    </row>
    <row r="622" spans="1:24">
      <c r="B622" t="s">
        <v>197</v>
      </c>
      <c r="C622" t="s">
        <v>197</v>
      </c>
      <c r="D622" t="s">
        <v>197</v>
      </c>
      <c r="E622" t="s">
        <v>197</v>
      </c>
      <c r="F622" t="s">
        <v>197</v>
      </c>
      <c r="G622" t="s">
        <v>197</v>
      </c>
      <c r="H622" t="s">
        <v>197</v>
      </c>
      <c r="I622" t="s">
        <v>197</v>
      </c>
      <c r="J622" t="s">
        <v>197</v>
      </c>
      <c r="K622" t="s">
        <v>801</v>
      </c>
    </row>
    <row r="623" spans="1:24">
      <c r="B623" t="s">
        <v>197</v>
      </c>
      <c r="C623" t="s">
        <v>197</v>
      </c>
      <c r="D623" t="s">
        <v>197</v>
      </c>
      <c r="E623" t="s">
        <v>197</v>
      </c>
      <c r="F623" t="s">
        <v>197</v>
      </c>
      <c r="G623" t="s">
        <v>197</v>
      </c>
      <c r="H623" t="s">
        <v>197</v>
      </c>
      <c r="I623" t="s">
        <v>197</v>
      </c>
      <c r="J623" t="s">
        <v>197</v>
      </c>
      <c r="K623" t="s">
        <v>802</v>
      </c>
    </row>
    <row r="624" spans="1:24">
      <c r="B624" t="s">
        <v>197</v>
      </c>
      <c r="C624" t="s">
        <v>197</v>
      </c>
      <c r="D624" t="s">
        <v>197</v>
      </c>
      <c r="E624" t="s">
        <v>197</v>
      </c>
      <c r="F624" t="s">
        <v>197</v>
      </c>
      <c r="G624" t="s">
        <v>197</v>
      </c>
      <c r="H624" t="s">
        <v>197</v>
      </c>
      <c r="I624" t="s">
        <v>197</v>
      </c>
      <c r="J624" t="s">
        <v>197</v>
      </c>
      <c r="K624" t="s">
        <v>803</v>
      </c>
    </row>
    <row r="625" spans="1:24">
      <c r="B625" t="s">
        <v>197</v>
      </c>
      <c r="C625" t="s">
        <v>197</v>
      </c>
      <c r="D625" t="s">
        <v>197</v>
      </c>
      <c r="E625" t="s">
        <v>197</v>
      </c>
      <c r="F625" t="s">
        <v>197</v>
      </c>
      <c r="G625" t="s">
        <v>197</v>
      </c>
      <c r="H625" t="s">
        <v>197</v>
      </c>
      <c r="I625" t="s">
        <v>197</v>
      </c>
      <c r="J625" t="s">
        <v>197</v>
      </c>
      <c r="K625" t="s">
        <v>804</v>
      </c>
    </row>
    <row r="626" spans="1:24">
      <c r="B626" t="s">
        <v>197</v>
      </c>
      <c r="C626" t="s">
        <v>197</v>
      </c>
      <c r="D626" t="s">
        <v>197</v>
      </c>
      <c r="E626" t="s">
        <v>197</v>
      </c>
      <c r="F626" t="s">
        <v>197</v>
      </c>
      <c r="G626" t="s">
        <v>197</v>
      </c>
      <c r="H626" t="s">
        <v>197</v>
      </c>
      <c r="I626" t="s">
        <v>197</v>
      </c>
      <c r="J626" t="s">
        <v>197</v>
      </c>
      <c r="K626" t="s">
        <v>805</v>
      </c>
    </row>
    <row r="627" spans="1:24">
      <c r="B627" t="s">
        <v>197</v>
      </c>
      <c r="C627" t="s">
        <v>197</v>
      </c>
      <c r="D627" t="s">
        <v>197</v>
      </c>
      <c r="E627" t="s">
        <v>197</v>
      </c>
      <c r="F627" t="s">
        <v>197</v>
      </c>
      <c r="G627" t="s">
        <v>197</v>
      </c>
      <c r="H627" t="s">
        <v>197</v>
      </c>
      <c r="I627" t="s">
        <v>197</v>
      </c>
      <c r="J627" t="s">
        <v>197</v>
      </c>
      <c r="K627" t="s">
        <v>806</v>
      </c>
    </row>
    <row r="628" spans="1:24">
      <c r="B628" t="s">
        <v>197</v>
      </c>
      <c r="C628" t="s">
        <v>197</v>
      </c>
      <c r="D628" t="s">
        <v>197</v>
      </c>
      <c r="E628" t="s">
        <v>197</v>
      </c>
      <c r="F628" t="s">
        <v>197</v>
      </c>
      <c r="G628" t="s">
        <v>197</v>
      </c>
      <c r="H628" t="s">
        <v>197</v>
      </c>
      <c r="I628" t="s">
        <v>197</v>
      </c>
      <c r="J628" t="s">
        <v>197</v>
      </c>
      <c r="K628" t="s">
        <v>807</v>
      </c>
    </row>
    <row r="629" spans="1:24">
      <c r="A629" t="s">
        <v>845</v>
      </c>
      <c r="K629" t="s">
        <v>846</v>
      </c>
      <c r="W629" t="s">
        <v>171</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851</v>
      </c>
      <c r="K634" t="s">
        <v>852</v>
      </c>
      <c r="W634" t="s">
        <v>171</v>
      </c>
      <c r="X634" t="str">
        <f>A634</f>
        <v>info_nvarchar_dml_single_pk</v>
      </c>
    </row>
    <row r="635" spans="1:24">
      <c r="B635" t="s">
        <v>196</v>
      </c>
      <c r="C635" t="s">
        <v>197</v>
      </c>
      <c r="D635" t="s">
        <v>197</v>
      </c>
      <c r="E635" t="s">
        <v>197</v>
      </c>
      <c r="F635" t="s">
        <v>197</v>
      </c>
      <c r="G635" t="s">
        <v>197</v>
      </c>
      <c r="H635" t="s">
        <v>197</v>
      </c>
      <c r="I635" t="s">
        <v>853</v>
      </c>
      <c r="J635" t="s">
        <v>199</v>
      </c>
      <c r="K635" t="s">
        <v>200</v>
      </c>
    </row>
    <row r="636" spans="1:24">
      <c r="B636" t="s">
        <v>197</v>
      </c>
      <c r="C636" t="s">
        <v>197</v>
      </c>
      <c r="D636" t="s">
        <v>197</v>
      </c>
      <c r="E636" t="s">
        <v>197</v>
      </c>
      <c r="F636" t="s">
        <v>197</v>
      </c>
      <c r="G636" t="s">
        <v>197</v>
      </c>
      <c r="H636" t="s">
        <v>197</v>
      </c>
      <c r="I636" t="s">
        <v>197</v>
      </c>
      <c r="J636" t="s">
        <v>197</v>
      </c>
      <c r="K636" t="s">
        <v>408</v>
      </c>
    </row>
    <row r="637" spans="1:24">
      <c r="B637" t="s">
        <v>197</v>
      </c>
      <c r="C637" t="s">
        <v>197</v>
      </c>
      <c r="D637" t="s">
        <v>197</v>
      </c>
      <c r="E637" t="s">
        <v>197</v>
      </c>
      <c r="F637" t="s">
        <v>197</v>
      </c>
      <c r="G637" t="s">
        <v>197</v>
      </c>
      <c r="H637" t="s">
        <v>197</v>
      </c>
      <c r="I637" t="s">
        <v>197</v>
      </c>
      <c r="J637" t="s">
        <v>197</v>
      </c>
      <c r="K637" t="s">
        <v>412</v>
      </c>
    </row>
    <row r="638" spans="1:24">
      <c r="B638" t="s">
        <v>197</v>
      </c>
      <c r="C638" t="s">
        <v>197</v>
      </c>
      <c r="D638" t="s">
        <v>197</v>
      </c>
      <c r="E638" t="s">
        <v>197</v>
      </c>
      <c r="F638" t="s">
        <v>197</v>
      </c>
      <c r="G638" t="s">
        <v>197</v>
      </c>
      <c r="H638" t="s">
        <v>197</v>
      </c>
      <c r="I638" t="s">
        <v>197</v>
      </c>
      <c r="J638" t="s">
        <v>197</v>
      </c>
      <c r="K638" t="s">
        <v>730</v>
      </c>
    </row>
    <row r="639" spans="1:24">
      <c r="A639" t="s">
        <v>848</v>
      </c>
      <c r="K639" t="s">
        <v>849</v>
      </c>
      <c r="W639" t="s">
        <v>171</v>
      </c>
      <c r="X639" t="str">
        <f>A639</f>
        <v>info_time_dml_single_pk_drp</v>
      </c>
    </row>
    <row r="640" spans="1:24">
      <c r="B640" t="s">
        <v>196</v>
      </c>
      <c r="C640" t="s">
        <v>197</v>
      </c>
      <c r="D640" t="s">
        <v>197</v>
      </c>
      <c r="E640" t="s">
        <v>197</v>
      </c>
      <c r="F640" t="s">
        <v>197</v>
      </c>
      <c r="G640" t="s">
        <v>197</v>
      </c>
      <c r="H640" t="s">
        <v>197</v>
      </c>
      <c r="I640" t="s">
        <v>850</v>
      </c>
      <c r="J640" t="s">
        <v>199</v>
      </c>
      <c r="K640" t="s">
        <v>200</v>
      </c>
    </row>
    <row r="641" spans="1:24">
      <c r="B641" t="s">
        <v>197</v>
      </c>
      <c r="C641" t="s">
        <v>197</v>
      </c>
      <c r="D641" t="s">
        <v>197</v>
      </c>
      <c r="E641" t="s">
        <v>197</v>
      </c>
      <c r="F641" t="s">
        <v>197</v>
      </c>
      <c r="G641" t="s">
        <v>197</v>
      </c>
      <c r="H641" t="s">
        <v>197</v>
      </c>
      <c r="I641" t="s">
        <v>197</v>
      </c>
      <c r="J641" t="s">
        <v>197</v>
      </c>
      <c r="K641" t="s">
        <v>800</v>
      </c>
    </row>
    <row r="642" spans="1:24">
      <c r="B642" t="s">
        <v>197</v>
      </c>
      <c r="C642" t="s">
        <v>197</v>
      </c>
      <c r="D642" t="s">
        <v>197</v>
      </c>
      <c r="E642" t="s">
        <v>197</v>
      </c>
      <c r="F642" t="s">
        <v>197</v>
      </c>
      <c r="G642" t="s">
        <v>197</v>
      </c>
      <c r="H642" t="s">
        <v>197</v>
      </c>
      <c r="I642" t="s">
        <v>197</v>
      </c>
      <c r="J642" t="s">
        <v>197</v>
      </c>
      <c r="K642" t="s">
        <v>801</v>
      </c>
    </row>
    <row r="643" spans="1:24">
      <c r="B643" t="s">
        <v>197</v>
      </c>
      <c r="C643" t="s">
        <v>197</v>
      </c>
      <c r="D643" t="s">
        <v>197</v>
      </c>
      <c r="E643" t="s">
        <v>197</v>
      </c>
      <c r="F643" t="s">
        <v>197</v>
      </c>
      <c r="G643" t="s">
        <v>197</v>
      </c>
      <c r="H643" t="s">
        <v>197</v>
      </c>
      <c r="I643" t="s">
        <v>197</v>
      </c>
      <c r="J643" t="s">
        <v>197</v>
      </c>
      <c r="K643" t="s">
        <v>802</v>
      </c>
    </row>
    <row r="644" spans="1:24">
      <c r="B644" t="s">
        <v>197</v>
      </c>
      <c r="C644" t="s">
        <v>197</v>
      </c>
      <c r="D644" t="s">
        <v>197</v>
      </c>
      <c r="E644" t="s">
        <v>197</v>
      </c>
      <c r="F644" t="s">
        <v>197</v>
      </c>
      <c r="G644" t="s">
        <v>197</v>
      </c>
      <c r="H644" t="s">
        <v>197</v>
      </c>
      <c r="I644" t="s">
        <v>197</v>
      </c>
      <c r="J644" t="s">
        <v>197</v>
      </c>
      <c r="K644" t="s">
        <v>803</v>
      </c>
    </row>
    <row r="645" spans="1:24">
      <c r="B645" t="s">
        <v>197</v>
      </c>
      <c r="C645" t="s">
        <v>197</v>
      </c>
      <c r="D645" t="s">
        <v>197</v>
      </c>
      <c r="E645" t="s">
        <v>197</v>
      </c>
      <c r="F645" t="s">
        <v>197</v>
      </c>
      <c r="G645" t="s">
        <v>197</v>
      </c>
      <c r="H645" t="s">
        <v>197</v>
      </c>
      <c r="I645" t="s">
        <v>197</v>
      </c>
      <c r="J645" t="s">
        <v>197</v>
      </c>
      <c r="K645" t="s">
        <v>804</v>
      </c>
    </row>
    <row r="646" spans="1:24">
      <c r="B646" t="s">
        <v>197</v>
      </c>
      <c r="C646" t="s">
        <v>197</v>
      </c>
      <c r="D646" t="s">
        <v>197</v>
      </c>
      <c r="E646" t="s">
        <v>197</v>
      </c>
      <c r="F646" t="s">
        <v>197</v>
      </c>
      <c r="G646" t="s">
        <v>197</v>
      </c>
      <c r="H646" t="s">
        <v>197</v>
      </c>
      <c r="I646" t="s">
        <v>197</v>
      </c>
      <c r="J646" t="s">
        <v>197</v>
      </c>
      <c r="K646" t="s">
        <v>805</v>
      </c>
    </row>
    <row r="647" spans="1:24">
      <c r="B647" t="s">
        <v>197</v>
      </c>
      <c r="C647" t="s">
        <v>197</v>
      </c>
      <c r="D647" t="s">
        <v>197</v>
      </c>
      <c r="E647" t="s">
        <v>197</v>
      </c>
      <c r="F647" t="s">
        <v>197</v>
      </c>
      <c r="G647" t="s">
        <v>197</v>
      </c>
      <c r="H647" t="s">
        <v>197</v>
      </c>
      <c r="I647" t="s">
        <v>197</v>
      </c>
      <c r="J647" t="s">
        <v>197</v>
      </c>
      <c r="K647" t="s">
        <v>806</v>
      </c>
    </row>
    <row r="648" spans="1:24">
      <c r="B648" t="s">
        <v>197</v>
      </c>
      <c r="C648" t="s">
        <v>197</v>
      </c>
      <c r="D648" t="s">
        <v>197</v>
      </c>
      <c r="E648" t="s">
        <v>197</v>
      </c>
      <c r="F648" t="s">
        <v>197</v>
      </c>
      <c r="G648" t="s">
        <v>197</v>
      </c>
      <c r="H648" t="s">
        <v>197</v>
      </c>
      <c r="I648" t="s">
        <v>197</v>
      </c>
      <c r="J648" t="s">
        <v>197</v>
      </c>
      <c r="K648" t="s">
        <v>807</v>
      </c>
    </row>
    <row r="649" spans="1:24">
      <c r="A649" t="s">
        <v>854</v>
      </c>
      <c r="K649" t="s">
        <v>855</v>
      </c>
      <c r="W649" t="s">
        <v>171</v>
      </c>
      <c r="X649" t="str">
        <f>A649</f>
        <v>info_date_dml_batch2_pk_irp2</v>
      </c>
    </row>
    <row r="650" spans="1:24">
      <c r="B650" t="s">
        <v>196</v>
      </c>
      <c r="C650" t="s">
        <v>197</v>
      </c>
      <c r="D650" t="s">
        <v>197</v>
      </c>
      <c r="E650" t="s">
        <v>197</v>
      </c>
      <c r="F650" t="s">
        <v>197</v>
      </c>
      <c r="G650" t="s">
        <v>197</v>
      </c>
      <c r="H650" t="s">
        <v>197</v>
      </c>
      <c r="I650" t="s">
        <v>856</v>
      </c>
      <c r="J650" t="s">
        <v>199</v>
      </c>
      <c r="K650" t="s">
        <v>200</v>
      </c>
    </row>
    <row r="651" spans="1:24">
      <c r="B651" t="s">
        <v>197</v>
      </c>
      <c r="C651" t="s">
        <v>197</v>
      </c>
      <c r="D651" t="s">
        <v>197</v>
      </c>
      <c r="E651" t="s">
        <v>197</v>
      </c>
      <c r="F651" t="s">
        <v>197</v>
      </c>
      <c r="G651" t="s">
        <v>197</v>
      </c>
      <c r="H651" t="s">
        <v>197</v>
      </c>
      <c r="I651" t="s">
        <v>197</v>
      </c>
      <c r="J651" t="s">
        <v>197</v>
      </c>
      <c r="K651" t="s">
        <v>678</v>
      </c>
    </row>
    <row r="652" spans="1:24">
      <c r="A652" t="s">
        <v>857</v>
      </c>
      <c r="K652" t="s">
        <v>858</v>
      </c>
      <c r="W652" t="s">
        <v>171</v>
      </c>
      <c r="X652" t="str">
        <f>A652</f>
        <v>info_binary_dml_batch1_pk_urp2</v>
      </c>
    </row>
    <row r="653" spans="1:24">
      <c r="B653" t="s">
        <v>196</v>
      </c>
      <c r="C653" t="s">
        <v>197</v>
      </c>
      <c r="D653" t="s">
        <v>197</v>
      </c>
      <c r="E653" t="s">
        <v>197</v>
      </c>
      <c r="F653" t="s">
        <v>197</v>
      </c>
      <c r="G653" t="s">
        <v>197</v>
      </c>
      <c r="H653" t="s">
        <v>197</v>
      </c>
      <c r="I653" t="s">
        <v>859</v>
      </c>
      <c r="J653" t="s">
        <v>199</v>
      </c>
      <c r="K653" t="s">
        <v>200</v>
      </c>
    </row>
    <row r="654" spans="1:24">
      <c r="B654" t="s">
        <v>197</v>
      </c>
      <c r="C654" t="s">
        <v>197</v>
      </c>
      <c r="D654" t="s">
        <v>197</v>
      </c>
      <c r="E654" t="s">
        <v>197</v>
      </c>
      <c r="F654" t="s">
        <v>197</v>
      </c>
      <c r="G654" t="s">
        <v>197</v>
      </c>
      <c r="H654" t="s">
        <v>197</v>
      </c>
      <c r="I654" t="s">
        <v>197</v>
      </c>
      <c r="J654" t="s">
        <v>197</v>
      </c>
      <c r="K654" t="s">
        <v>691</v>
      </c>
    </row>
    <row r="655" spans="1:24">
      <c r="B655" t="s">
        <v>197</v>
      </c>
      <c r="C655" t="s">
        <v>197</v>
      </c>
      <c r="D655" t="s">
        <v>197</v>
      </c>
      <c r="E655" t="s">
        <v>197</v>
      </c>
      <c r="F655" t="s">
        <v>197</v>
      </c>
      <c r="G655" t="s">
        <v>197</v>
      </c>
      <c r="H655" t="s">
        <v>197</v>
      </c>
      <c r="I655" t="s">
        <v>197</v>
      </c>
      <c r="J655" t="s">
        <v>197</v>
      </c>
      <c r="K655" t="s">
        <v>692</v>
      </c>
    </row>
    <row r="656" spans="1:24">
      <c r="B656" t="s">
        <v>197</v>
      </c>
      <c r="C656" t="s">
        <v>197</v>
      </c>
      <c r="D656" t="s">
        <v>197</v>
      </c>
      <c r="E656" t="s">
        <v>197</v>
      </c>
      <c r="F656" t="s">
        <v>197</v>
      </c>
      <c r="G656" t="s">
        <v>197</v>
      </c>
      <c r="H656" t="s">
        <v>197</v>
      </c>
      <c r="I656" t="s">
        <v>197</v>
      </c>
      <c r="J656" t="s">
        <v>197</v>
      </c>
      <c r="K656" t="s">
        <v>693</v>
      </c>
    </row>
    <row r="657" spans="1:24">
      <c r="A657" t="s">
        <v>860</v>
      </c>
      <c r="K657" t="s">
        <v>861</v>
      </c>
      <c r="W657" t="s">
        <v>171</v>
      </c>
      <c r="X657" t="str">
        <f>A657</f>
        <v>info_time_dml_single_pk</v>
      </c>
    </row>
    <row r="658" spans="1:24">
      <c r="B658" t="s">
        <v>196</v>
      </c>
      <c r="C658" t="s">
        <v>197</v>
      </c>
      <c r="D658" t="s">
        <v>197</v>
      </c>
      <c r="E658" t="s">
        <v>197</v>
      </c>
      <c r="F658" t="s">
        <v>197</v>
      </c>
      <c r="G658" t="s">
        <v>197</v>
      </c>
      <c r="H658" t="s">
        <v>197</v>
      </c>
      <c r="I658" t="s">
        <v>862</v>
      </c>
      <c r="J658" t="s">
        <v>199</v>
      </c>
      <c r="K658" t="s">
        <v>200</v>
      </c>
    </row>
    <row r="659" spans="1:24">
      <c r="B659" t="s">
        <v>197</v>
      </c>
      <c r="C659" t="s">
        <v>197</v>
      </c>
      <c r="D659" t="s">
        <v>197</v>
      </c>
      <c r="E659" t="s">
        <v>197</v>
      </c>
      <c r="F659" t="s">
        <v>197</v>
      </c>
      <c r="G659" t="s">
        <v>197</v>
      </c>
      <c r="H659" t="s">
        <v>197</v>
      </c>
      <c r="I659" t="s">
        <v>197</v>
      </c>
      <c r="J659" t="s">
        <v>197</v>
      </c>
      <c r="K659" t="s">
        <v>800</v>
      </c>
    </row>
    <row r="660" spans="1:24">
      <c r="B660" t="s">
        <v>197</v>
      </c>
      <c r="C660" t="s">
        <v>197</v>
      </c>
      <c r="D660" t="s">
        <v>197</v>
      </c>
      <c r="E660" t="s">
        <v>197</v>
      </c>
      <c r="F660" t="s">
        <v>197</v>
      </c>
      <c r="G660" t="s">
        <v>197</v>
      </c>
      <c r="H660" t="s">
        <v>197</v>
      </c>
      <c r="I660" t="s">
        <v>197</v>
      </c>
      <c r="J660" t="s">
        <v>197</v>
      </c>
      <c r="K660" t="s">
        <v>801</v>
      </c>
    </row>
    <row r="661" spans="1:24">
      <c r="B661" t="s">
        <v>197</v>
      </c>
      <c r="C661" t="s">
        <v>197</v>
      </c>
      <c r="D661" t="s">
        <v>197</v>
      </c>
      <c r="E661" t="s">
        <v>197</v>
      </c>
      <c r="F661" t="s">
        <v>197</v>
      </c>
      <c r="G661" t="s">
        <v>197</v>
      </c>
      <c r="H661" t="s">
        <v>197</v>
      </c>
      <c r="I661" t="s">
        <v>197</v>
      </c>
      <c r="J661" t="s">
        <v>197</v>
      </c>
      <c r="K661" t="s">
        <v>802</v>
      </c>
    </row>
    <row r="662" spans="1:24">
      <c r="B662" t="s">
        <v>197</v>
      </c>
      <c r="C662" t="s">
        <v>197</v>
      </c>
      <c r="D662" t="s">
        <v>197</v>
      </c>
      <c r="E662" t="s">
        <v>197</v>
      </c>
      <c r="F662" t="s">
        <v>197</v>
      </c>
      <c r="G662" t="s">
        <v>197</v>
      </c>
      <c r="H662" t="s">
        <v>197</v>
      </c>
      <c r="I662" t="s">
        <v>197</v>
      </c>
      <c r="J662" t="s">
        <v>197</v>
      </c>
      <c r="K662" t="s">
        <v>803</v>
      </c>
    </row>
    <row r="663" spans="1:24">
      <c r="B663" t="s">
        <v>197</v>
      </c>
      <c r="C663" t="s">
        <v>197</v>
      </c>
      <c r="D663" t="s">
        <v>197</v>
      </c>
      <c r="E663" t="s">
        <v>197</v>
      </c>
      <c r="F663" t="s">
        <v>197</v>
      </c>
      <c r="G663" t="s">
        <v>197</v>
      </c>
      <c r="H663" t="s">
        <v>197</v>
      </c>
      <c r="I663" t="s">
        <v>197</v>
      </c>
      <c r="J663" t="s">
        <v>197</v>
      </c>
      <c r="K663" t="s">
        <v>804</v>
      </c>
    </row>
    <row r="664" spans="1:24">
      <c r="B664" t="s">
        <v>197</v>
      </c>
      <c r="C664" t="s">
        <v>197</v>
      </c>
      <c r="D664" t="s">
        <v>197</v>
      </c>
      <c r="E664" t="s">
        <v>197</v>
      </c>
      <c r="F664" t="s">
        <v>197</v>
      </c>
      <c r="G664" t="s">
        <v>197</v>
      </c>
      <c r="H664" t="s">
        <v>197</v>
      </c>
      <c r="I664" t="s">
        <v>197</v>
      </c>
      <c r="J664" t="s">
        <v>197</v>
      </c>
      <c r="K664" t="s">
        <v>805</v>
      </c>
    </row>
    <row r="665" spans="1:24">
      <c r="B665" t="s">
        <v>197</v>
      </c>
      <c r="C665" t="s">
        <v>197</v>
      </c>
      <c r="D665" t="s">
        <v>197</v>
      </c>
      <c r="E665" t="s">
        <v>197</v>
      </c>
      <c r="F665" t="s">
        <v>197</v>
      </c>
      <c r="G665" t="s">
        <v>197</v>
      </c>
      <c r="H665" t="s">
        <v>197</v>
      </c>
      <c r="I665" t="s">
        <v>197</v>
      </c>
      <c r="J665" t="s">
        <v>197</v>
      </c>
      <c r="K665" t="s">
        <v>806</v>
      </c>
    </row>
    <row r="666" spans="1:24">
      <c r="B666" t="s">
        <v>197</v>
      </c>
      <c r="C666" t="s">
        <v>197</v>
      </c>
      <c r="D666" t="s">
        <v>197</v>
      </c>
      <c r="E666" t="s">
        <v>197</v>
      </c>
      <c r="F666" t="s">
        <v>197</v>
      </c>
      <c r="G666" t="s">
        <v>197</v>
      </c>
      <c r="H666" t="s">
        <v>197</v>
      </c>
      <c r="I666" t="s">
        <v>197</v>
      </c>
      <c r="J666" t="s">
        <v>197</v>
      </c>
      <c r="K666" t="s">
        <v>807</v>
      </c>
    </row>
    <row r="667" spans="1:24">
      <c r="A667" t="s">
        <v>863</v>
      </c>
      <c r="K667" t="s">
        <v>864</v>
      </c>
      <c r="W667" s="1" t="str">
        <f>HYPERLINK("#2026042016hbase0!AH2","NO 源备存在差异，共6个")</f>
        <v>NO 源备存在差异，共6个</v>
      </c>
      <c r="X667" t="str">
        <f>A667</f>
        <v>info_int_dml_single_pk_irp</v>
      </c>
    </row>
    <row r="668" spans="1:24">
      <c r="B668" t="s">
        <v>196</v>
      </c>
      <c r="C668" t="s">
        <v>197</v>
      </c>
      <c r="D668" t="s">
        <v>197</v>
      </c>
      <c r="E668" t="s">
        <v>197</v>
      </c>
      <c r="F668" t="s">
        <v>197</v>
      </c>
      <c r="G668" t="s">
        <v>197</v>
      </c>
      <c r="H668" t="s">
        <v>197</v>
      </c>
      <c r="I668" t="s">
        <v>865</v>
      </c>
      <c r="J668" t="s">
        <v>199</v>
      </c>
      <c r="K668" t="s">
        <v>200</v>
      </c>
    </row>
    <row r="669" spans="1:24">
      <c r="B669" t="s">
        <v>197</v>
      </c>
      <c r="C669" t="s">
        <v>197</v>
      </c>
      <c r="D669" t="s">
        <v>197</v>
      </c>
      <c r="E669" t="s">
        <v>197</v>
      </c>
      <c r="F669" t="s">
        <v>197</v>
      </c>
      <c r="G669" t="s">
        <v>197</v>
      </c>
      <c r="H669" t="s">
        <v>197</v>
      </c>
      <c r="I669" t="s">
        <v>197</v>
      </c>
      <c r="J669" t="s">
        <v>197</v>
      </c>
      <c r="K669" t="s">
        <v>549</v>
      </c>
    </row>
    <row r="670" spans="1:24">
      <c r="B670" t="s">
        <v>197</v>
      </c>
      <c r="C670" t="s">
        <v>197</v>
      </c>
      <c r="D670" t="s">
        <v>197</v>
      </c>
      <c r="E670" t="s">
        <v>197</v>
      </c>
      <c r="F670" t="s">
        <v>197</v>
      </c>
      <c r="G670" t="s">
        <v>197</v>
      </c>
      <c r="H670" t="s">
        <v>197</v>
      </c>
      <c r="I670" t="s">
        <v>197</v>
      </c>
      <c r="J670" t="s">
        <v>197</v>
      </c>
      <c r="K670" t="s">
        <v>550</v>
      </c>
    </row>
    <row r="671" spans="1:24">
      <c r="B671" t="s">
        <v>197</v>
      </c>
      <c r="C671" t="s">
        <v>197</v>
      </c>
      <c r="D671" t="s">
        <v>197</v>
      </c>
      <c r="E671" t="s">
        <v>197</v>
      </c>
      <c r="F671" t="s">
        <v>197</v>
      </c>
      <c r="G671" t="s">
        <v>197</v>
      </c>
      <c r="H671" t="s">
        <v>197</v>
      </c>
      <c r="I671" t="s">
        <v>197</v>
      </c>
      <c r="J671" t="s">
        <v>197</v>
      </c>
      <c r="K671" t="s">
        <v>551</v>
      </c>
    </row>
    <row r="672" spans="1:24">
      <c r="B672" t="s">
        <v>197</v>
      </c>
      <c r="C672" t="s">
        <v>197</v>
      </c>
      <c r="D672" t="s">
        <v>197</v>
      </c>
      <c r="E672" t="s">
        <v>197</v>
      </c>
      <c r="F672" t="s">
        <v>197</v>
      </c>
      <c r="G672" t="s">
        <v>197</v>
      </c>
      <c r="H672" t="s">
        <v>197</v>
      </c>
      <c r="I672" t="s">
        <v>197</v>
      </c>
      <c r="J672" t="s">
        <v>197</v>
      </c>
      <c r="K672" t="s">
        <v>552</v>
      </c>
    </row>
    <row r="673" spans="1:24">
      <c r="B673" t="s">
        <v>197</v>
      </c>
      <c r="C673" t="s">
        <v>197</v>
      </c>
      <c r="D673" t="s">
        <v>197</v>
      </c>
      <c r="E673" t="s">
        <v>197</v>
      </c>
      <c r="F673" t="s">
        <v>197</v>
      </c>
      <c r="G673" t="s">
        <v>197</v>
      </c>
      <c r="H673" t="s">
        <v>197</v>
      </c>
      <c r="I673" t="s">
        <v>197</v>
      </c>
      <c r="J673" t="s">
        <v>197</v>
      </c>
      <c r="K673" t="s">
        <v>553</v>
      </c>
    </row>
    <row r="674" spans="1:24">
      <c r="B674" t="s">
        <v>197</v>
      </c>
      <c r="C674" t="s">
        <v>197</v>
      </c>
      <c r="D674" t="s">
        <v>197</v>
      </c>
      <c r="E674" t="s">
        <v>197</v>
      </c>
      <c r="F674" t="s">
        <v>197</v>
      </c>
      <c r="G674" t="s">
        <v>197</v>
      </c>
      <c r="H674" t="s">
        <v>197</v>
      </c>
      <c r="I674" t="s">
        <v>197</v>
      </c>
      <c r="J674" t="s">
        <v>197</v>
      </c>
      <c r="K674" t="s">
        <v>554</v>
      </c>
    </row>
    <row r="675" spans="1:24">
      <c r="B675" t="s">
        <v>197</v>
      </c>
      <c r="C675" t="s">
        <v>197</v>
      </c>
      <c r="D675" t="s">
        <v>197</v>
      </c>
      <c r="E675" t="s">
        <v>197</v>
      </c>
      <c r="F675" t="s">
        <v>197</v>
      </c>
      <c r="G675" t="s">
        <v>197</v>
      </c>
      <c r="H675" t="s">
        <v>197</v>
      </c>
      <c r="I675" t="s">
        <v>197</v>
      </c>
      <c r="J675" t="s">
        <v>197</v>
      </c>
      <c r="K675" t="s">
        <v>555</v>
      </c>
    </row>
    <row r="676" spans="1:24">
      <c r="B676" t="s">
        <v>197</v>
      </c>
      <c r="C676" t="s">
        <v>197</v>
      </c>
      <c r="D676" t="s">
        <v>197</v>
      </c>
      <c r="E676" t="s">
        <v>197</v>
      </c>
      <c r="F676" t="s">
        <v>197</v>
      </c>
      <c r="G676" t="s">
        <v>197</v>
      </c>
      <c r="H676" t="s">
        <v>197</v>
      </c>
      <c r="I676" t="s">
        <v>197</v>
      </c>
      <c r="J676" t="s">
        <v>197</v>
      </c>
      <c r="K676" t="s">
        <v>556</v>
      </c>
    </row>
    <row r="677" spans="1:24">
      <c r="B677" t="s">
        <v>197</v>
      </c>
      <c r="C677" t="s">
        <v>197</v>
      </c>
      <c r="D677" t="s">
        <v>197</v>
      </c>
      <c r="E677" t="s">
        <v>197</v>
      </c>
      <c r="F677" t="s">
        <v>197</v>
      </c>
      <c r="G677" t="s">
        <v>197</v>
      </c>
      <c r="H677" t="s">
        <v>197</v>
      </c>
      <c r="I677" t="s">
        <v>197</v>
      </c>
      <c r="J677" t="s">
        <v>197</v>
      </c>
      <c r="K677" t="s">
        <v>557</v>
      </c>
    </row>
    <row r="678" spans="1:24">
      <c r="B678" t="s">
        <v>197</v>
      </c>
      <c r="C678" t="s">
        <v>197</v>
      </c>
      <c r="D678" t="s">
        <v>197</v>
      </c>
      <c r="E678" t="s">
        <v>197</v>
      </c>
      <c r="F678" t="s">
        <v>197</v>
      </c>
      <c r="G678" t="s">
        <v>197</v>
      </c>
      <c r="H678" t="s">
        <v>197</v>
      </c>
      <c r="I678" t="s">
        <v>197</v>
      </c>
      <c r="J678" t="s">
        <v>197</v>
      </c>
      <c r="K678" t="s">
        <v>558</v>
      </c>
    </row>
    <row r="679" spans="1:24">
      <c r="B679" t="s">
        <v>197</v>
      </c>
      <c r="C679" t="s">
        <v>197</v>
      </c>
      <c r="D679" t="s">
        <v>197</v>
      </c>
      <c r="E679" t="s">
        <v>197</v>
      </c>
      <c r="F679" t="s">
        <v>197</v>
      </c>
      <c r="G679" t="s">
        <v>197</v>
      </c>
      <c r="H679" t="s">
        <v>197</v>
      </c>
      <c r="I679" t="s">
        <v>197</v>
      </c>
      <c r="J679" t="s">
        <v>197</v>
      </c>
      <c r="K679" t="s">
        <v>559</v>
      </c>
    </row>
    <row r="680" spans="1:24">
      <c r="B680" t="s">
        <v>197</v>
      </c>
      <c r="C680" t="s">
        <v>197</v>
      </c>
      <c r="D680" t="s">
        <v>197</v>
      </c>
      <c r="E680" t="s">
        <v>197</v>
      </c>
      <c r="F680" t="s">
        <v>197</v>
      </c>
      <c r="G680" t="s">
        <v>197</v>
      </c>
      <c r="H680" t="s">
        <v>197</v>
      </c>
      <c r="I680" t="s">
        <v>197</v>
      </c>
      <c r="J680" t="s">
        <v>197</v>
      </c>
      <c r="K680" t="s">
        <v>560</v>
      </c>
    </row>
    <row r="681" spans="1:24">
      <c r="B681" t="s">
        <v>197</v>
      </c>
      <c r="C681" t="s">
        <v>197</v>
      </c>
      <c r="D681" t="s">
        <v>197</v>
      </c>
      <c r="E681" t="s">
        <v>197</v>
      </c>
      <c r="F681" t="s">
        <v>197</v>
      </c>
      <c r="G681" t="s">
        <v>197</v>
      </c>
      <c r="H681" t="s">
        <v>197</v>
      </c>
      <c r="I681" t="s">
        <v>197</v>
      </c>
      <c r="J681" t="s">
        <v>197</v>
      </c>
      <c r="K681" t="s">
        <v>561</v>
      </c>
    </row>
    <row r="682" spans="1:24">
      <c r="B682" t="s">
        <v>197</v>
      </c>
      <c r="C682" t="s">
        <v>197</v>
      </c>
      <c r="D682" t="s">
        <v>197</v>
      </c>
      <c r="E682" t="s">
        <v>197</v>
      </c>
      <c r="F682" t="s">
        <v>197</v>
      </c>
      <c r="G682" t="s">
        <v>197</v>
      </c>
      <c r="H682" t="s">
        <v>197</v>
      </c>
      <c r="I682" t="s">
        <v>197</v>
      </c>
      <c r="J682" t="s">
        <v>197</v>
      </c>
      <c r="K682" t="s">
        <v>562</v>
      </c>
    </row>
    <row r="683" spans="1:24">
      <c r="B683" t="s">
        <v>197</v>
      </c>
      <c r="C683" t="s">
        <v>197</v>
      </c>
      <c r="D683" t="s">
        <v>197</v>
      </c>
      <c r="E683" t="s">
        <v>197</v>
      </c>
      <c r="F683" t="s">
        <v>197</v>
      </c>
      <c r="G683" t="s">
        <v>197</v>
      </c>
      <c r="H683" t="s">
        <v>197</v>
      </c>
      <c r="I683" t="s">
        <v>197</v>
      </c>
      <c r="J683" t="s">
        <v>197</v>
      </c>
      <c r="K683" t="s">
        <v>563</v>
      </c>
    </row>
    <row r="684" spans="1:24">
      <c r="B684" t="s">
        <v>197</v>
      </c>
      <c r="C684" t="s">
        <v>197</v>
      </c>
      <c r="D684" t="s">
        <v>197</v>
      </c>
      <c r="E684" t="s">
        <v>197</v>
      </c>
      <c r="F684" t="s">
        <v>197</v>
      </c>
      <c r="G684" t="s">
        <v>197</v>
      </c>
      <c r="H684" t="s">
        <v>197</v>
      </c>
      <c r="I684" t="s">
        <v>197</v>
      </c>
      <c r="J684" t="s">
        <v>197</v>
      </c>
      <c r="K684" t="s">
        <v>564</v>
      </c>
    </row>
    <row r="685" spans="1:24">
      <c r="B685" t="s">
        <v>197</v>
      </c>
      <c r="C685" t="s">
        <v>197</v>
      </c>
      <c r="D685" t="s">
        <v>197</v>
      </c>
      <c r="E685" t="s">
        <v>197</v>
      </c>
      <c r="F685" t="s">
        <v>197</v>
      </c>
      <c r="G685" t="s">
        <v>197</v>
      </c>
      <c r="H685" t="s">
        <v>197</v>
      </c>
      <c r="I685" t="s">
        <v>197</v>
      </c>
      <c r="J685" t="s">
        <v>197</v>
      </c>
      <c r="K685" t="s">
        <v>565</v>
      </c>
    </row>
    <row r="686" spans="1:24">
      <c r="B686" t="s">
        <v>197</v>
      </c>
      <c r="C686" t="s">
        <v>197</v>
      </c>
      <c r="D686" t="s">
        <v>197</v>
      </c>
      <c r="E686" t="s">
        <v>197</v>
      </c>
      <c r="F686" t="s">
        <v>197</v>
      </c>
      <c r="G686" t="s">
        <v>197</v>
      </c>
      <c r="H686" t="s">
        <v>197</v>
      </c>
      <c r="I686" t="s">
        <v>197</v>
      </c>
      <c r="J686" t="s">
        <v>197</v>
      </c>
      <c r="K686" t="s">
        <v>566</v>
      </c>
    </row>
    <row r="687" spans="1:24">
      <c r="B687" t="s">
        <v>197</v>
      </c>
      <c r="C687" t="s">
        <v>197</v>
      </c>
      <c r="D687" t="s">
        <v>197</v>
      </c>
      <c r="E687" t="s">
        <v>197</v>
      </c>
      <c r="F687" t="s">
        <v>197</v>
      </c>
      <c r="G687" t="s">
        <v>197</v>
      </c>
      <c r="H687" t="s">
        <v>197</v>
      </c>
      <c r="I687" t="s">
        <v>197</v>
      </c>
      <c r="J687" t="s">
        <v>197</v>
      </c>
      <c r="K687" t="s">
        <v>567</v>
      </c>
    </row>
    <row r="688" spans="1:24">
      <c r="A688" t="s">
        <v>866</v>
      </c>
      <c r="K688" t="s">
        <v>867</v>
      </c>
      <c r="W688" t="s">
        <v>171</v>
      </c>
      <c r="X688" t="str">
        <f>A688</f>
        <v>info_sdt_dml_single_pk_irp</v>
      </c>
    </row>
    <row r="689" spans="1:24">
      <c r="B689" t="s">
        <v>196</v>
      </c>
      <c r="C689" t="s">
        <v>197</v>
      </c>
      <c r="D689" t="s">
        <v>197</v>
      </c>
      <c r="E689" t="s">
        <v>197</v>
      </c>
      <c r="F689" t="s">
        <v>197</v>
      </c>
      <c r="G689" t="s">
        <v>197</v>
      </c>
      <c r="H689" t="s">
        <v>197</v>
      </c>
      <c r="I689" t="s">
        <v>868</v>
      </c>
      <c r="J689" t="s">
        <v>199</v>
      </c>
      <c r="K689" t="s">
        <v>200</v>
      </c>
    </row>
    <row r="690" spans="1:24">
      <c r="B690" t="s">
        <v>197</v>
      </c>
      <c r="C690" t="s">
        <v>197</v>
      </c>
      <c r="D690" t="s">
        <v>197</v>
      </c>
      <c r="E690" t="s">
        <v>197</v>
      </c>
      <c r="F690" t="s">
        <v>197</v>
      </c>
      <c r="G690" t="s">
        <v>197</v>
      </c>
      <c r="H690" t="s">
        <v>197</v>
      </c>
      <c r="I690" t="s">
        <v>197</v>
      </c>
      <c r="J690" t="s">
        <v>197</v>
      </c>
      <c r="K690" t="s">
        <v>422</v>
      </c>
    </row>
    <row r="691" spans="1:24">
      <c r="A691" t="s">
        <v>869</v>
      </c>
      <c r="K691" t="s">
        <v>870</v>
      </c>
      <c r="W691" t="s">
        <v>171</v>
      </c>
      <c r="X691" t="str">
        <f>A691</f>
        <v>info_varcharmax_dml_batch1_pk_urp1</v>
      </c>
    </row>
    <row r="692" spans="1:24">
      <c r="B692" t="s">
        <v>196</v>
      </c>
      <c r="C692" t="s">
        <v>197</v>
      </c>
      <c r="D692" t="s">
        <v>197</v>
      </c>
      <c r="E692" t="s">
        <v>197</v>
      </c>
      <c r="F692" t="s">
        <v>197</v>
      </c>
      <c r="G692" t="s">
        <v>197</v>
      </c>
      <c r="H692" t="s">
        <v>197</v>
      </c>
      <c r="I692" t="s">
        <v>871</v>
      </c>
      <c r="J692" t="s">
        <v>199</v>
      </c>
      <c r="K692" t="s">
        <v>200</v>
      </c>
    </row>
    <row r="693" spans="1:24">
      <c r="B693" t="s">
        <v>197</v>
      </c>
      <c r="C693" t="s">
        <v>197</v>
      </c>
      <c r="D693" t="s">
        <v>197</v>
      </c>
      <c r="E693" t="s">
        <v>197</v>
      </c>
      <c r="F693" t="s">
        <v>197</v>
      </c>
      <c r="G693" t="s">
        <v>197</v>
      </c>
      <c r="H693" t="s">
        <v>197</v>
      </c>
      <c r="I693" t="s">
        <v>197</v>
      </c>
      <c r="J693" t="s">
        <v>197</v>
      </c>
      <c r="K693" t="s">
        <v>725</v>
      </c>
    </row>
    <row r="694" spans="1:24">
      <c r="B694" t="s">
        <v>197</v>
      </c>
      <c r="C694" t="s">
        <v>197</v>
      </c>
      <c r="D694" t="s">
        <v>197</v>
      </c>
      <c r="E694" t="s">
        <v>197</v>
      </c>
      <c r="F694" t="s">
        <v>197</v>
      </c>
      <c r="G694" t="s">
        <v>197</v>
      </c>
      <c r="H694" t="s">
        <v>197</v>
      </c>
      <c r="I694" t="s">
        <v>197</v>
      </c>
      <c r="J694" t="s">
        <v>197</v>
      </c>
      <c r="K694" t="s">
        <v>726</v>
      </c>
    </row>
    <row r="695" spans="1:24">
      <c r="K695" t="s">
        <v>443</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884</v>
      </c>
      <c r="K710" t="s">
        <v>885</v>
      </c>
      <c r="W710" t="s">
        <v>171</v>
      </c>
      <c r="X710" t="str">
        <f>A710</f>
        <v>info_sdt_dml_single_pk_drp</v>
      </c>
    </row>
    <row r="711" spans="1:24">
      <c r="B711" t="s">
        <v>196</v>
      </c>
      <c r="C711" t="s">
        <v>197</v>
      </c>
      <c r="D711" t="s">
        <v>197</v>
      </c>
      <c r="E711" t="s">
        <v>197</v>
      </c>
      <c r="F711" t="s">
        <v>197</v>
      </c>
      <c r="G711" t="s">
        <v>197</v>
      </c>
      <c r="H711" t="s">
        <v>197</v>
      </c>
      <c r="I711" t="s">
        <v>886</v>
      </c>
      <c r="J711" t="s">
        <v>199</v>
      </c>
      <c r="K711" t="s">
        <v>200</v>
      </c>
    </row>
    <row r="712" spans="1:24">
      <c r="B712" t="s">
        <v>197</v>
      </c>
      <c r="C712" t="s">
        <v>197</v>
      </c>
      <c r="D712" t="s">
        <v>197</v>
      </c>
      <c r="E712" t="s">
        <v>197</v>
      </c>
      <c r="F712" t="s">
        <v>197</v>
      </c>
      <c r="G712" t="s">
        <v>197</v>
      </c>
      <c r="H712" t="s">
        <v>197</v>
      </c>
      <c r="I712" t="s">
        <v>197</v>
      </c>
      <c r="J712" t="s">
        <v>197</v>
      </c>
      <c r="K712" t="s">
        <v>422</v>
      </c>
    </row>
    <row r="713" spans="1:24">
      <c r="A713" t="s">
        <v>881</v>
      </c>
      <c r="K713" t="s">
        <v>882</v>
      </c>
      <c r="W713" t="s">
        <v>171</v>
      </c>
      <c r="X713" t="str">
        <f>A713</f>
        <v>info_varcharmax_dml_single_pk_irp</v>
      </c>
    </row>
    <row r="714" spans="1:24">
      <c r="B714" t="s">
        <v>196</v>
      </c>
      <c r="C714" t="s">
        <v>197</v>
      </c>
      <c r="D714" t="s">
        <v>197</v>
      </c>
      <c r="E714" t="s">
        <v>197</v>
      </c>
      <c r="F714" t="s">
        <v>197</v>
      </c>
      <c r="G714" t="s">
        <v>197</v>
      </c>
      <c r="H714" t="s">
        <v>197</v>
      </c>
      <c r="I714" t="s">
        <v>883</v>
      </c>
      <c r="J714" t="s">
        <v>199</v>
      </c>
      <c r="K714" t="s">
        <v>200</v>
      </c>
    </row>
    <row r="715" spans="1:24">
      <c r="B715" t="s">
        <v>197</v>
      </c>
      <c r="C715" t="s">
        <v>197</v>
      </c>
      <c r="D715" t="s">
        <v>197</v>
      </c>
      <c r="E715" t="s">
        <v>197</v>
      </c>
      <c r="F715" t="s">
        <v>197</v>
      </c>
      <c r="G715" t="s">
        <v>197</v>
      </c>
      <c r="H715" t="s">
        <v>197</v>
      </c>
      <c r="I715" t="s">
        <v>197</v>
      </c>
      <c r="J715" t="s">
        <v>197</v>
      </c>
      <c r="K715" t="s">
        <v>725</v>
      </c>
    </row>
    <row r="716" spans="1:24">
      <c r="B716" t="s">
        <v>197</v>
      </c>
      <c r="C716" t="s">
        <v>197</v>
      </c>
      <c r="D716" t="s">
        <v>197</v>
      </c>
      <c r="E716" t="s">
        <v>197</v>
      </c>
      <c r="F716" t="s">
        <v>197</v>
      </c>
      <c r="G716" t="s">
        <v>197</v>
      </c>
      <c r="H716" t="s">
        <v>197</v>
      </c>
      <c r="I716" t="s">
        <v>197</v>
      </c>
      <c r="J716" t="s">
        <v>197</v>
      </c>
      <c r="K716" t="s">
        <v>726</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890</v>
      </c>
      <c r="K722" t="s">
        <v>891</v>
      </c>
      <c r="W722" t="s">
        <v>171</v>
      </c>
      <c r="X722" t="str">
        <f>A722</f>
        <v>info_sdt_dml_single_pk</v>
      </c>
    </row>
    <row r="723" spans="1:24">
      <c r="B723" t="s">
        <v>196</v>
      </c>
      <c r="C723" t="s">
        <v>197</v>
      </c>
      <c r="D723" t="s">
        <v>197</v>
      </c>
      <c r="E723" t="s">
        <v>197</v>
      </c>
      <c r="F723" t="s">
        <v>197</v>
      </c>
      <c r="G723" t="s">
        <v>197</v>
      </c>
      <c r="H723" t="s">
        <v>197</v>
      </c>
      <c r="I723" t="s">
        <v>892</v>
      </c>
      <c r="J723" t="s">
        <v>199</v>
      </c>
      <c r="K723" t="s">
        <v>200</v>
      </c>
    </row>
    <row r="724" spans="1:24">
      <c r="B724" t="s">
        <v>197</v>
      </c>
      <c r="C724" t="s">
        <v>197</v>
      </c>
      <c r="D724" t="s">
        <v>197</v>
      </c>
      <c r="E724" t="s">
        <v>197</v>
      </c>
      <c r="F724" t="s">
        <v>197</v>
      </c>
      <c r="G724" t="s">
        <v>197</v>
      </c>
      <c r="H724" t="s">
        <v>197</v>
      </c>
      <c r="I724" t="s">
        <v>197</v>
      </c>
      <c r="J724" t="s">
        <v>197</v>
      </c>
      <c r="K724" t="s">
        <v>422</v>
      </c>
    </row>
    <row r="725" spans="1:24">
      <c r="A725" t="s">
        <v>899</v>
      </c>
      <c r="K725" t="s">
        <v>900</v>
      </c>
      <c r="W725" t="s">
        <v>171</v>
      </c>
      <c r="X725" t="str">
        <f>A725</f>
        <v>info_varcharmax_dml_single_pk_urp</v>
      </c>
    </row>
    <row r="726" spans="1:24">
      <c r="B726" t="s">
        <v>196</v>
      </c>
      <c r="C726" t="s">
        <v>197</v>
      </c>
      <c r="D726" t="s">
        <v>197</v>
      </c>
      <c r="E726" t="s">
        <v>197</v>
      </c>
      <c r="F726" t="s">
        <v>197</v>
      </c>
      <c r="G726" t="s">
        <v>197</v>
      </c>
      <c r="H726" t="s">
        <v>197</v>
      </c>
      <c r="I726" t="s">
        <v>901</v>
      </c>
      <c r="J726" t="s">
        <v>199</v>
      </c>
      <c r="K726" t="s">
        <v>200</v>
      </c>
    </row>
    <row r="727" spans="1:24">
      <c r="B727" t="s">
        <v>197</v>
      </c>
      <c r="C727" t="s">
        <v>197</v>
      </c>
      <c r="D727" t="s">
        <v>197</v>
      </c>
      <c r="E727" t="s">
        <v>197</v>
      </c>
      <c r="F727" t="s">
        <v>197</v>
      </c>
      <c r="G727" t="s">
        <v>197</v>
      </c>
      <c r="H727" t="s">
        <v>197</v>
      </c>
      <c r="I727" t="s">
        <v>197</v>
      </c>
      <c r="J727" t="s">
        <v>197</v>
      </c>
      <c r="K727" t="s">
        <v>725</v>
      </c>
    </row>
    <row r="728" spans="1:24">
      <c r="B728" t="s">
        <v>197</v>
      </c>
      <c r="C728" t="s">
        <v>197</v>
      </c>
      <c r="D728" t="s">
        <v>197</v>
      </c>
      <c r="E728" t="s">
        <v>197</v>
      </c>
      <c r="F728" t="s">
        <v>197</v>
      </c>
      <c r="G728" t="s">
        <v>197</v>
      </c>
      <c r="H728" t="s">
        <v>197</v>
      </c>
      <c r="I728" t="s">
        <v>197</v>
      </c>
      <c r="J728" t="s">
        <v>197</v>
      </c>
      <c r="K728" t="s">
        <v>726</v>
      </c>
    </row>
    <row r="729" spans="1:24">
      <c r="A729" t="s">
        <v>893</v>
      </c>
      <c r="K729" t="s">
        <v>894</v>
      </c>
      <c r="W729" s="1" t="str">
        <f>HYPERLINK("#2026042016hbase0!AI2","NO 源备存在差异，共2个")</f>
        <v>NO 源备存在差异，共2个</v>
      </c>
      <c r="X729" t="str">
        <f>A729</f>
        <v>info_int_dml_single_pk_urp</v>
      </c>
    </row>
    <row r="730" spans="1:24">
      <c r="B730" t="s">
        <v>196</v>
      </c>
      <c r="C730" t="s">
        <v>197</v>
      </c>
      <c r="D730" t="s">
        <v>197</v>
      </c>
      <c r="E730" t="s">
        <v>197</v>
      </c>
      <c r="F730" t="s">
        <v>197</v>
      </c>
      <c r="G730" t="s">
        <v>197</v>
      </c>
      <c r="H730" t="s">
        <v>197</v>
      </c>
      <c r="I730" t="s">
        <v>895</v>
      </c>
      <c r="J730" t="s">
        <v>199</v>
      </c>
      <c r="K730" t="s">
        <v>200</v>
      </c>
    </row>
    <row r="731" spans="1:24">
      <c r="B731" t="s">
        <v>197</v>
      </c>
      <c r="C731" t="s">
        <v>197</v>
      </c>
      <c r="D731" t="s">
        <v>197</v>
      </c>
      <c r="E731" t="s">
        <v>197</v>
      </c>
      <c r="F731" t="s">
        <v>197</v>
      </c>
      <c r="G731" t="s">
        <v>197</v>
      </c>
      <c r="H731" t="s">
        <v>197</v>
      </c>
      <c r="I731" t="s">
        <v>197</v>
      </c>
      <c r="J731" t="s">
        <v>197</v>
      </c>
      <c r="K731" t="s">
        <v>549</v>
      </c>
    </row>
    <row r="732" spans="1:24">
      <c r="B732" t="s">
        <v>197</v>
      </c>
      <c r="C732" t="s">
        <v>197</v>
      </c>
      <c r="D732" t="s">
        <v>197</v>
      </c>
      <c r="E732" t="s">
        <v>197</v>
      </c>
      <c r="F732" t="s">
        <v>197</v>
      </c>
      <c r="G732" t="s">
        <v>197</v>
      </c>
      <c r="H732" t="s">
        <v>197</v>
      </c>
      <c r="I732" t="s">
        <v>197</v>
      </c>
      <c r="J732" t="s">
        <v>197</v>
      </c>
      <c r="K732" t="s">
        <v>550</v>
      </c>
    </row>
    <row r="733" spans="1:24">
      <c r="B733" t="s">
        <v>197</v>
      </c>
      <c r="C733" t="s">
        <v>197</v>
      </c>
      <c r="D733" t="s">
        <v>197</v>
      </c>
      <c r="E733" t="s">
        <v>197</v>
      </c>
      <c r="F733" t="s">
        <v>197</v>
      </c>
      <c r="G733" t="s">
        <v>197</v>
      </c>
      <c r="H733" t="s">
        <v>197</v>
      </c>
      <c r="I733" t="s">
        <v>197</v>
      </c>
      <c r="J733" t="s">
        <v>197</v>
      </c>
      <c r="K733" t="s">
        <v>551</v>
      </c>
    </row>
    <row r="734" spans="1:24">
      <c r="B734" t="s">
        <v>197</v>
      </c>
      <c r="C734" t="s">
        <v>197</v>
      </c>
      <c r="D734" t="s">
        <v>197</v>
      </c>
      <c r="E734" t="s">
        <v>197</v>
      </c>
      <c r="F734" t="s">
        <v>197</v>
      </c>
      <c r="G734" t="s">
        <v>197</v>
      </c>
      <c r="H734" t="s">
        <v>197</v>
      </c>
      <c r="I734" t="s">
        <v>197</v>
      </c>
      <c r="J734" t="s">
        <v>197</v>
      </c>
      <c r="K734" t="s">
        <v>552</v>
      </c>
    </row>
    <row r="735" spans="1:24">
      <c r="B735" t="s">
        <v>197</v>
      </c>
      <c r="C735" t="s">
        <v>197</v>
      </c>
      <c r="D735" t="s">
        <v>197</v>
      </c>
      <c r="E735" t="s">
        <v>197</v>
      </c>
      <c r="F735" t="s">
        <v>197</v>
      </c>
      <c r="G735" t="s">
        <v>197</v>
      </c>
      <c r="H735" t="s">
        <v>197</v>
      </c>
      <c r="I735" t="s">
        <v>197</v>
      </c>
      <c r="J735" t="s">
        <v>197</v>
      </c>
      <c r="K735" t="s">
        <v>553</v>
      </c>
    </row>
    <row r="736" spans="1:24">
      <c r="B736" t="s">
        <v>197</v>
      </c>
      <c r="C736" t="s">
        <v>197</v>
      </c>
      <c r="D736" t="s">
        <v>197</v>
      </c>
      <c r="E736" t="s">
        <v>197</v>
      </c>
      <c r="F736" t="s">
        <v>197</v>
      </c>
      <c r="G736" t="s">
        <v>197</v>
      </c>
      <c r="H736" t="s">
        <v>197</v>
      </c>
      <c r="I736" t="s">
        <v>197</v>
      </c>
      <c r="J736" t="s">
        <v>197</v>
      </c>
      <c r="K736" t="s">
        <v>554</v>
      </c>
    </row>
    <row r="737" spans="1:24">
      <c r="B737" t="s">
        <v>197</v>
      </c>
      <c r="C737" t="s">
        <v>197</v>
      </c>
      <c r="D737" t="s">
        <v>197</v>
      </c>
      <c r="E737" t="s">
        <v>197</v>
      </c>
      <c r="F737" t="s">
        <v>197</v>
      </c>
      <c r="G737" t="s">
        <v>197</v>
      </c>
      <c r="H737" t="s">
        <v>197</v>
      </c>
      <c r="I737" t="s">
        <v>197</v>
      </c>
      <c r="J737" t="s">
        <v>197</v>
      </c>
      <c r="K737" t="s">
        <v>555</v>
      </c>
    </row>
    <row r="738" spans="1:24">
      <c r="B738" t="s">
        <v>197</v>
      </c>
      <c r="C738" t="s">
        <v>197</v>
      </c>
      <c r="D738" t="s">
        <v>197</v>
      </c>
      <c r="E738" t="s">
        <v>197</v>
      </c>
      <c r="F738" t="s">
        <v>197</v>
      </c>
      <c r="G738" t="s">
        <v>197</v>
      </c>
      <c r="H738" t="s">
        <v>197</v>
      </c>
      <c r="I738" t="s">
        <v>197</v>
      </c>
      <c r="J738" t="s">
        <v>197</v>
      </c>
      <c r="K738" t="s">
        <v>556</v>
      </c>
    </row>
    <row r="739" spans="1:24">
      <c r="B739" t="s">
        <v>197</v>
      </c>
      <c r="C739" t="s">
        <v>197</v>
      </c>
      <c r="D739" t="s">
        <v>197</v>
      </c>
      <c r="E739" t="s">
        <v>197</v>
      </c>
      <c r="F739" t="s">
        <v>197</v>
      </c>
      <c r="G739" t="s">
        <v>197</v>
      </c>
      <c r="H739" t="s">
        <v>197</v>
      </c>
      <c r="I739" t="s">
        <v>197</v>
      </c>
      <c r="J739" t="s">
        <v>197</v>
      </c>
      <c r="K739" t="s">
        <v>557</v>
      </c>
    </row>
    <row r="740" spans="1:24">
      <c r="B740" t="s">
        <v>197</v>
      </c>
      <c r="C740" t="s">
        <v>197</v>
      </c>
      <c r="D740" t="s">
        <v>197</v>
      </c>
      <c r="E740" t="s">
        <v>197</v>
      </c>
      <c r="F740" t="s">
        <v>197</v>
      </c>
      <c r="G740" t="s">
        <v>197</v>
      </c>
      <c r="H740" t="s">
        <v>197</v>
      </c>
      <c r="I740" t="s">
        <v>197</v>
      </c>
      <c r="J740" t="s">
        <v>197</v>
      </c>
      <c r="K740" t="s">
        <v>558</v>
      </c>
    </row>
    <row r="741" spans="1:24">
      <c r="B741" t="s">
        <v>197</v>
      </c>
      <c r="C741" t="s">
        <v>197</v>
      </c>
      <c r="D741" t="s">
        <v>197</v>
      </c>
      <c r="E741" t="s">
        <v>197</v>
      </c>
      <c r="F741" t="s">
        <v>197</v>
      </c>
      <c r="G741" t="s">
        <v>197</v>
      </c>
      <c r="H741" t="s">
        <v>197</v>
      </c>
      <c r="I741" t="s">
        <v>197</v>
      </c>
      <c r="J741" t="s">
        <v>197</v>
      </c>
      <c r="K741" t="s">
        <v>559</v>
      </c>
    </row>
    <row r="742" spans="1:24">
      <c r="B742" t="s">
        <v>197</v>
      </c>
      <c r="C742" t="s">
        <v>197</v>
      </c>
      <c r="D742" t="s">
        <v>197</v>
      </c>
      <c r="E742" t="s">
        <v>197</v>
      </c>
      <c r="F742" t="s">
        <v>197</v>
      </c>
      <c r="G742" t="s">
        <v>197</v>
      </c>
      <c r="H742" t="s">
        <v>197</v>
      </c>
      <c r="I742" t="s">
        <v>197</v>
      </c>
      <c r="J742" t="s">
        <v>197</v>
      </c>
      <c r="K742" t="s">
        <v>560</v>
      </c>
    </row>
    <row r="743" spans="1:24">
      <c r="B743" t="s">
        <v>197</v>
      </c>
      <c r="C743" t="s">
        <v>197</v>
      </c>
      <c r="D743" t="s">
        <v>197</v>
      </c>
      <c r="E743" t="s">
        <v>197</v>
      </c>
      <c r="F743" t="s">
        <v>197</v>
      </c>
      <c r="G743" t="s">
        <v>197</v>
      </c>
      <c r="H743" t="s">
        <v>197</v>
      </c>
      <c r="I743" t="s">
        <v>197</v>
      </c>
      <c r="J743" t="s">
        <v>197</v>
      </c>
      <c r="K743" t="s">
        <v>561</v>
      </c>
    </row>
    <row r="744" spans="1:24">
      <c r="B744" t="s">
        <v>197</v>
      </c>
      <c r="C744" t="s">
        <v>197</v>
      </c>
      <c r="D744" t="s">
        <v>197</v>
      </c>
      <c r="E744" t="s">
        <v>197</v>
      </c>
      <c r="F744" t="s">
        <v>197</v>
      </c>
      <c r="G744" t="s">
        <v>197</v>
      </c>
      <c r="H744" t="s">
        <v>197</v>
      </c>
      <c r="I744" t="s">
        <v>197</v>
      </c>
      <c r="J744" t="s">
        <v>197</v>
      </c>
      <c r="K744" t="s">
        <v>562</v>
      </c>
    </row>
    <row r="745" spans="1:24">
      <c r="B745" t="s">
        <v>197</v>
      </c>
      <c r="C745" t="s">
        <v>197</v>
      </c>
      <c r="D745" t="s">
        <v>197</v>
      </c>
      <c r="E745" t="s">
        <v>197</v>
      </c>
      <c r="F745" t="s">
        <v>197</v>
      </c>
      <c r="G745" t="s">
        <v>197</v>
      </c>
      <c r="H745" t="s">
        <v>197</v>
      </c>
      <c r="I745" t="s">
        <v>197</v>
      </c>
      <c r="J745" t="s">
        <v>197</v>
      </c>
      <c r="K745" t="s">
        <v>563</v>
      </c>
    </row>
    <row r="746" spans="1:24">
      <c r="B746" t="s">
        <v>197</v>
      </c>
      <c r="C746" t="s">
        <v>197</v>
      </c>
      <c r="D746" t="s">
        <v>197</v>
      </c>
      <c r="E746" t="s">
        <v>197</v>
      </c>
      <c r="F746" t="s">
        <v>197</v>
      </c>
      <c r="G746" t="s">
        <v>197</v>
      </c>
      <c r="H746" t="s">
        <v>197</v>
      </c>
      <c r="I746" t="s">
        <v>197</v>
      </c>
      <c r="J746" t="s">
        <v>197</v>
      </c>
      <c r="K746" t="s">
        <v>564</v>
      </c>
    </row>
    <row r="747" spans="1:24">
      <c r="B747" t="s">
        <v>197</v>
      </c>
      <c r="C747" t="s">
        <v>197</v>
      </c>
      <c r="D747" t="s">
        <v>197</v>
      </c>
      <c r="E747" t="s">
        <v>197</v>
      </c>
      <c r="F747" t="s">
        <v>197</v>
      </c>
      <c r="G747" t="s">
        <v>197</v>
      </c>
      <c r="H747" t="s">
        <v>197</v>
      </c>
      <c r="I747" t="s">
        <v>197</v>
      </c>
      <c r="J747" t="s">
        <v>197</v>
      </c>
      <c r="K747" t="s">
        <v>565</v>
      </c>
    </row>
    <row r="748" spans="1:24">
      <c r="B748" t="s">
        <v>197</v>
      </c>
      <c r="C748" t="s">
        <v>197</v>
      </c>
      <c r="D748" t="s">
        <v>197</v>
      </c>
      <c r="E748" t="s">
        <v>197</v>
      </c>
      <c r="F748" t="s">
        <v>197</v>
      </c>
      <c r="G748" t="s">
        <v>197</v>
      </c>
      <c r="H748" t="s">
        <v>197</v>
      </c>
      <c r="I748" t="s">
        <v>197</v>
      </c>
      <c r="J748" t="s">
        <v>197</v>
      </c>
      <c r="K748" t="s">
        <v>566</v>
      </c>
    </row>
    <row r="749" spans="1:24">
      <c r="B749" t="s">
        <v>197</v>
      </c>
      <c r="C749" t="s">
        <v>197</v>
      </c>
      <c r="D749" t="s">
        <v>197</v>
      </c>
      <c r="E749" t="s">
        <v>197</v>
      </c>
      <c r="F749" t="s">
        <v>197</v>
      </c>
      <c r="G749" t="s">
        <v>197</v>
      </c>
      <c r="H749" t="s">
        <v>197</v>
      </c>
      <c r="I749" t="s">
        <v>197</v>
      </c>
      <c r="J749" t="s">
        <v>197</v>
      </c>
      <c r="K749" t="s">
        <v>567</v>
      </c>
    </row>
    <row r="750" spans="1:24">
      <c r="A750" t="s">
        <v>896</v>
      </c>
      <c r="K750" t="s">
        <v>897</v>
      </c>
      <c r="W750" t="s">
        <v>171</v>
      </c>
      <c r="X750" t="str">
        <f>A750</f>
        <v>info_char_dml_batch1_pk</v>
      </c>
    </row>
    <row r="751" spans="1:24">
      <c r="B751" t="s">
        <v>196</v>
      </c>
      <c r="C751" t="s">
        <v>197</v>
      </c>
      <c r="D751" t="s">
        <v>197</v>
      </c>
      <c r="E751" t="s">
        <v>197</v>
      </c>
      <c r="F751" t="s">
        <v>197</v>
      </c>
      <c r="G751" t="s">
        <v>197</v>
      </c>
      <c r="H751" t="s">
        <v>197</v>
      </c>
      <c r="I751" t="s">
        <v>898</v>
      </c>
      <c r="J751" t="s">
        <v>199</v>
      </c>
      <c r="K751" t="s">
        <v>200</v>
      </c>
    </row>
    <row r="752" spans="1:24">
      <c r="B752" t="s">
        <v>197</v>
      </c>
      <c r="C752" t="s">
        <v>197</v>
      </c>
      <c r="D752" t="s">
        <v>197</v>
      </c>
      <c r="E752" t="s">
        <v>197</v>
      </c>
      <c r="F752" t="s">
        <v>197</v>
      </c>
      <c r="G752" t="s">
        <v>197</v>
      </c>
      <c r="H752" t="s">
        <v>197</v>
      </c>
      <c r="I752" t="s">
        <v>197</v>
      </c>
      <c r="J752" t="s">
        <v>197</v>
      </c>
      <c r="K752" t="s">
        <v>622</v>
      </c>
    </row>
    <row r="753" spans="1:24">
      <c r="B753" t="s">
        <v>197</v>
      </c>
      <c r="C753" t="s">
        <v>197</v>
      </c>
      <c r="D753" t="s">
        <v>197</v>
      </c>
      <c r="E753" t="s">
        <v>197</v>
      </c>
      <c r="F753" t="s">
        <v>197</v>
      </c>
      <c r="G753" t="s">
        <v>197</v>
      </c>
      <c r="H753" t="s">
        <v>197</v>
      </c>
      <c r="I753" t="s">
        <v>197</v>
      </c>
      <c r="J753" t="s">
        <v>197</v>
      </c>
      <c r="K753" t="s">
        <v>623</v>
      </c>
    </row>
    <row r="754" spans="1:24">
      <c r="B754" t="s">
        <v>197</v>
      </c>
      <c r="C754" t="s">
        <v>197</v>
      </c>
      <c r="D754" t="s">
        <v>197</v>
      </c>
      <c r="E754" t="s">
        <v>197</v>
      </c>
      <c r="F754" t="s">
        <v>197</v>
      </c>
      <c r="G754" t="s">
        <v>197</v>
      </c>
      <c r="H754" t="s">
        <v>197</v>
      </c>
      <c r="I754" t="s">
        <v>197</v>
      </c>
      <c r="J754" t="s">
        <v>197</v>
      </c>
      <c r="K754" t="s">
        <v>832</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t="s">
        <v>171</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s="1" t="str">
        <f>HYPERLINK("#2026042016hbase0!AJ2","NO 源备存在差异，共4个")</f>
        <v>NO 源备存在差异，共4个</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932</v>
      </c>
      <c r="K811" t="s">
        <v>933</v>
      </c>
      <c r="W811" t="s">
        <v>171</v>
      </c>
      <c r="X811" t="str">
        <f>A811</f>
        <v>info_char_dml_batch1_pk_urp1</v>
      </c>
    </row>
    <row r="812" spans="1:24">
      <c r="B812" t="s">
        <v>196</v>
      </c>
      <c r="C812" t="s">
        <v>197</v>
      </c>
      <c r="D812" t="s">
        <v>197</v>
      </c>
      <c r="E812" t="s">
        <v>197</v>
      </c>
      <c r="F812" t="s">
        <v>197</v>
      </c>
      <c r="G812" t="s">
        <v>197</v>
      </c>
      <c r="H812" t="s">
        <v>197</v>
      </c>
      <c r="I812" t="s">
        <v>934</v>
      </c>
      <c r="J812" t="s">
        <v>199</v>
      </c>
      <c r="K812" t="s">
        <v>200</v>
      </c>
    </row>
    <row r="813" spans="1:24">
      <c r="B813" t="s">
        <v>197</v>
      </c>
      <c r="C813" t="s">
        <v>197</v>
      </c>
      <c r="D813" t="s">
        <v>197</v>
      </c>
      <c r="E813" t="s">
        <v>197</v>
      </c>
      <c r="F813" t="s">
        <v>197</v>
      </c>
      <c r="G813" t="s">
        <v>197</v>
      </c>
      <c r="H813" t="s">
        <v>197</v>
      </c>
      <c r="I813" t="s">
        <v>197</v>
      </c>
      <c r="J813" t="s">
        <v>197</v>
      </c>
      <c r="K813" t="s">
        <v>622</v>
      </c>
    </row>
    <row r="814" spans="1:24">
      <c r="B814" t="s">
        <v>197</v>
      </c>
      <c r="C814" t="s">
        <v>197</v>
      </c>
      <c r="D814" t="s">
        <v>197</v>
      </c>
      <c r="E814" t="s">
        <v>197</v>
      </c>
      <c r="F814" t="s">
        <v>197</v>
      </c>
      <c r="G814" t="s">
        <v>197</v>
      </c>
      <c r="H814" t="s">
        <v>197</v>
      </c>
      <c r="I814" t="s">
        <v>197</v>
      </c>
      <c r="J814" t="s">
        <v>197</v>
      </c>
      <c r="K814" t="s">
        <v>623</v>
      </c>
    </row>
    <row r="815" spans="1:24">
      <c r="B815" t="s">
        <v>197</v>
      </c>
      <c r="C815" t="s">
        <v>197</v>
      </c>
      <c r="D815" t="s">
        <v>197</v>
      </c>
      <c r="E815" t="s">
        <v>197</v>
      </c>
      <c r="F815" t="s">
        <v>197</v>
      </c>
      <c r="G815" t="s">
        <v>197</v>
      </c>
      <c r="H815" t="s">
        <v>197</v>
      </c>
      <c r="I815" t="s">
        <v>197</v>
      </c>
      <c r="J815" t="s">
        <v>197</v>
      </c>
      <c r="K815" t="s">
        <v>832</v>
      </c>
    </row>
    <row r="816" spans="1:24">
      <c r="A816" t="s">
        <v>935</v>
      </c>
      <c r="K816" t="s">
        <v>936</v>
      </c>
      <c r="W816" t="s">
        <v>171</v>
      </c>
      <c r="X816" t="str">
        <f>A816</f>
        <v>info_int_dml_single_pk</v>
      </c>
    </row>
    <row r="817" spans="2:11">
      <c r="B817" t="s">
        <v>196</v>
      </c>
      <c r="C817" t="s">
        <v>197</v>
      </c>
      <c r="D817" t="s">
        <v>197</v>
      </c>
      <c r="E817" t="s">
        <v>197</v>
      </c>
      <c r="F817" t="s">
        <v>197</v>
      </c>
      <c r="G817" t="s">
        <v>197</v>
      </c>
      <c r="H817" t="s">
        <v>197</v>
      </c>
      <c r="I817" t="s">
        <v>937</v>
      </c>
      <c r="J817" t="s">
        <v>199</v>
      </c>
      <c r="K817" t="s">
        <v>200</v>
      </c>
    </row>
    <row r="818" spans="2:11">
      <c r="B818" t="s">
        <v>197</v>
      </c>
      <c r="C818" t="s">
        <v>197</v>
      </c>
      <c r="D818" t="s">
        <v>197</v>
      </c>
      <c r="E818" t="s">
        <v>197</v>
      </c>
      <c r="F818" t="s">
        <v>197</v>
      </c>
      <c r="G818" t="s">
        <v>197</v>
      </c>
      <c r="H818" t="s">
        <v>197</v>
      </c>
      <c r="I818" t="s">
        <v>197</v>
      </c>
      <c r="J818" t="s">
        <v>197</v>
      </c>
      <c r="K818" t="s">
        <v>549</v>
      </c>
    </row>
    <row r="819" spans="2:11">
      <c r="B819" t="s">
        <v>197</v>
      </c>
      <c r="C819" t="s">
        <v>197</v>
      </c>
      <c r="D819" t="s">
        <v>197</v>
      </c>
      <c r="E819" t="s">
        <v>197</v>
      </c>
      <c r="F819" t="s">
        <v>197</v>
      </c>
      <c r="G819" t="s">
        <v>197</v>
      </c>
      <c r="H819" t="s">
        <v>197</v>
      </c>
      <c r="I819" t="s">
        <v>197</v>
      </c>
      <c r="J819" t="s">
        <v>197</v>
      </c>
      <c r="K819" t="s">
        <v>550</v>
      </c>
    </row>
    <row r="820" spans="2:11">
      <c r="B820" t="s">
        <v>197</v>
      </c>
      <c r="C820" t="s">
        <v>197</v>
      </c>
      <c r="D820" t="s">
        <v>197</v>
      </c>
      <c r="E820" t="s">
        <v>197</v>
      </c>
      <c r="F820" t="s">
        <v>197</v>
      </c>
      <c r="G820" t="s">
        <v>197</v>
      </c>
      <c r="H820" t="s">
        <v>197</v>
      </c>
      <c r="I820" t="s">
        <v>197</v>
      </c>
      <c r="J820" t="s">
        <v>197</v>
      </c>
      <c r="K820" t="s">
        <v>551</v>
      </c>
    </row>
    <row r="821" spans="2:11">
      <c r="B821" t="s">
        <v>197</v>
      </c>
      <c r="C821" t="s">
        <v>197</v>
      </c>
      <c r="D821" t="s">
        <v>197</v>
      </c>
      <c r="E821" t="s">
        <v>197</v>
      </c>
      <c r="F821" t="s">
        <v>197</v>
      </c>
      <c r="G821" t="s">
        <v>197</v>
      </c>
      <c r="H821" t="s">
        <v>197</v>
      </c>
      <c r="I821" t="s">
        <v>197</v>
      </c>
      <c r="J821" t="s">
        <v>197</v>
      </c>
      <c r="K821" t="s">
        <v>552</v>
      </c>
    </row>
    <row r="822" spans="2:11">
      <c r="B822" t="s">
        <v>197</v>
      </c>
      <c r="C822" t="s">
        <v>197</v>
      </c>
      <c r="D822" t="s">
        <v>197</v>
      </c>
      <c r="E822" t="s">
        <v>197</v>
      </c>
      <c r="F822" t="s">
        <v>197</v>
      </c>
      <c r="G822" t="s">
        <v>197</v>
      </c>
      <c r="H822" t="s">
        <v>197</v>
      </c>
      <c r="I822" t="s">
        <v>197</v>
      </c>
      <c r="J822" t="s">
        <v>197</v>
      </c>
      <c r="K822" t="s">
        <v>553</v>
      </c>
    </row>
    <row r="823" spans="2:11">
      <c r="B823" t="s">
        <v>197</v>
      </c>
      <c r="C823" t="s">
        <v>197</v>
      </c>
      <c r="D823" t="s">
        <v>197</v>
      </c>
      <c r="E823" t="s">
        <v>197</v>
      </c>
      <c r="F823" t="s">
        <v>197</v>
      </c>
      <c r="G823" t="s">
        <v>197</v>
      </c>
      <c r="H823" t="s">
        <v>197</v>
      </c>
      <c r="I823" t="s">
        <v>197</v>
      </c>
      <c r="J823" t="s">
        <v>197</v>
      </c>
      <c r="K823" t="s">
        <v>554</v>
      </c>
    </row>
    <row r="824" spans="2:11">
      <c r="B824" t="s">
        <v>197</v>
      </c>
      <c r="C824" t="s">
        <v>197</v>
      </c>
      <c r="D824" t="s">
        <v>197</v>
      </c>
      <c r="E824" t="s">
        <v>197</v>
      </c>
      <c r="F824" t="s">
        <v>197</v>
      </c>
      <c r="G824" t="s">
        <v>197</v>
      </c>
      <c r="H824" t="s">
        <v>197</v>
      </c>
      <c r="I824" t="s">
        <v>197</v>
      </c>
      <c r="J824" t="s">
        <v>197</v>
      </c>
      <c r="K824" t="s">
        <v>555</v>
      </c>
    </row>
    <row r="825" spans="2:11">
      <c r="B825" t="s">
        <v>197</v>
      </c>
      <c r="C825" t="s">
        <v>197</v>
      </c>
      <c r="D825" t="s">
        <v>197</v>
      </c>
      <c r="E825" t="s">
        <v>197</v>
      </c>
      <c r="F825" t="s">
        <v>197</v>
      </c>
      <c r="G825" t="s">
        <v>197</v>
      </c>
      <c r="H825" t="s">
        <v>197</v>
      </c>
      <c r="I825" t="s">
        <v>197</v>
      </c>
      <c r="J825" t="s">
        <v>197</v>
      </c>
      <c r="K825" t="s">
        <v>556</v>
      </c>
    </row>
    <row r="826" spans="2:11">
      <c r="B826" t="s">
        <v>197</v>
      </c>
      <c r="C826" t="s">
        <v>197</v>
      </c>
      <c r="D826" t="s">
        <v>197</v>
      </c>
      <c r="E826" t="s">
        <v>197</v>
      </c>
      <c r="F826" t="s">
        <v>197</v>
      </c>
      <c r="G826" t="s">
        <v>197</v>
      </c>
      <c r="H826" t="s">
        <v>197</v>
      </c>
      <c r="I826" t="s">
        <v>197</v>
      </c>
      <c r="J826" t="s">
        <v>197</v>
      </c>
      <c r="K826" t="s">
        <v>557</v>
      </c>
    </row>
    <row r="827" spans="2:11">
      <c r="B827" t="s">
        <v>197</v>
      </c>
      <c r="C827" t="s">
        <v>197</v>
      </c>
      <c r="D827" t="s">
        <v>197</v>
      </c>
      <c r="E827" t="s">
        <v>197</v>
      </c>
      <c r="F827" t="s">
        <v>197</v>
      </c>
      <c r="G827" t="s">
        <v>197</v>
      </c>
      <c r="H827" t="s">
        <v>197</v>
      </c>
      <c r="I827" t="s">
        <v>197</v>
      </c>
      <c r="J827" t="s">
        <v>197</v>
      </c>
      <c r="K827" t="s">
        <v>558</v>
      </c>
    </row>
    <row r="828" spans="2:11">
      <c r="B828" t="s">
        <v>197</v>
      </c>
      <c r="C828" t="s">
        <v>197</v>
      </c>
      <c r="D828" t="s">
        <v>197</v>
      </c>
      <c r="E828" t="s">
        <v>197</v>
      </c>
      <c r="F828" t="s">
        <v>197</v>
      </c>
      <c r="G828" t="s">
        <v>197</v>
      </c>
      <c r="H828" t="s">
        <v>197</v>
      </c>
      <c r="I828" t="s">
        <v>197</v>
      </c>
      <c r="J828" t="s">
        <v>197</v>
      </c>
      <c r="K828" t="s">
        <v>559</v>
      </c>
    </row>
    <row r="829" spans="2:11">
      <c r="B829" t="s">
        <v>197</v>
      </c>
      <c r="C829" t="s">
        <v>197</v>
      </c>
      <c r="D829" t="s">
        <v>197</v>
      </c>
      <c r="E829" t="s">
        <v>197</v>
      </c>
      <c r="F829" t="s">
        <v>197</v>
      </c>
      <c r="G829" t="s">
        <v>197</v>
      </c>
      <c r="H829" t="s">
        <v>197</v>
      </c>
      <c r="I829" t="s">
        <v>197</v>
      </c>
      <c r="J829" t="s">
        <v>197</v>
      </c>
      <c r="K829" t="s">
        <v>560</v>
      </c>
    </row>
    <row r="830" spans="2:11">
      <c r="B830" t="s">
        <v>197</v>
      </c>
      <c r="C830" t="s">
        <v>197</v>
      </c>
      <c r="D830" t="s">
        <v>197</v>
      </c>
      <c r="E830" t="s">
        <v>197</v>
      </c>
      <c r="F830" t="s">
        <v>197</v>
      </c>
      <c r="G830" t="s">
        <v>197</v>
      </c>
      <c r="H830" t="s">
        <v>197</v>
      </c>
      <c r="I830" t="s">
        <v>197</v>
      </c>
      <c r="J830" t="s">
        <v>197</v>
      </c>
      <c r="K830" t="s">
        <v>561</v>
      </c>
    </row>
    <row r="831" spans="2:11">
      <c r="B831" t="s">
        <v>197</v>
      </c>
      <c r="C831" t="s">
        <v>197</v>
      </c>
      <c r="D831" t="s">
        <v>197</v>
      </c>
      <c r="E831" t="s">
        <v>197</v>
      </c>
      <c r="F831" t="s">
        <v>197</v>
      </c>
      <c r="G831" t="s">
        <v>197</v>
      </c>
      <c r="H831" t="s">
        <v>197</v>
      </c>
      <c r="I831" t="s">
        <v>197</v>
      </c>
      <c r="J831" t="s">
        <v>197</v>
      </c>
      <c r="K831" t="s">
        <v>562</v>
      </c>
    </row>
    <row r="832" spans="2:11">
      <c r="B832" t="s">
        <v>197</v>
      </c>
      <c r="C832" t="s">
        <v>197</v>
      </c>
      <c r="D832" t="s">
        <v>197</v>
      </c>
      <c r="E832" t="s">
        <v>197</v>
      </c>
      <c r="F832" t="s">
        <v>197</v>
      </c>
      <c r="G832" t="s">
        <v>197</v>
      </c>
      <c r="H832" t="s">
        <v>197</v>
      </c>
      <c r="I832" t="s">
        <v>197</v>
      </c>
      <c r="J832" t="s">
        <v>197</v>
      </c>
      <c r="K832" t="s">
        <v>563</v>
      </c>
    </row>
    <row r="833" spans="1:24">
      <c r="B833" t="s">
        <v>197</v>
      </c>
      <c r="C833" t="s">
        <v>197</v>
      </c>
      <c r="D833" t="s">
        <v>197</v>
      </c>
      <c r="E833" t="s">
        <v>197</v>
      </c>
      <c r="F833" t="s">
        <v>197</v>
      </c>
      <c r="G833" t="s">
        <v>197</v>
      </c>
      <c r="H833" t="s">
        <v>197</v>
      </c>
      <c r="I833" t="s">
        <v>197</v>
      </c>
      <c r="J833" t="s">
        <v>197</v>
      </c>
      <c r="K833" t="s">
        <v>564</v>
      </c>
    </row>
    <row r="834" spans="1:24">
      <c r="B834" t="s">
        <v>197</v>
      </c>
      <c r="C834" t="s">
        <v>197</v>
      </c>
      <c r="D834" t="s">
        <v>197</v>
      </c>
      <c r="E834" t="s">
        <v>197</v>
      </c>
      <c r="F834" t="s">
        <v>197</v>
      </c>
      <c r="G834" t="s">
        <v>197</v>
      </c>
      <c r="H834" t="s">
        <v>197</v>
      </c>
      <c r="I834" t="s">
        <v>197</v>
      </c>
      <c r="J834" t="s">
        <v>197</v>
      </c>
      <c r="K834" t="s">
        <v>565</v>
      </c>
    </row>
    <row r="835" spans="1:24">
      <c r="B835" t="s">
        <v>197</v>
      </c>
      <c r="C835" t="s">
        <v>197</v>
      </c>
      <c r="D835" t="s">
        <v>197</v>
      </c>
      <c r="E835" t="s">
        <v>197</v>
      </c>
      <c r="F835" t="s">
        <v>197</v>
      </c>
      <c r="G835" t="s">
        <v>197</v>
      </c>
      <c r="H835" t="s">
        <v>197</v>
      </c>
      <c r="I835" t="s">
        <v>197</v>
      </c>
      <c r="J835" t="s">
        <v>197</v>
      </c>
      <c r="K835" t="s">
        <v>566</v>
      </c>
    </row>
    <row r="836" spans="1:24">
      <c r="B836" t="s">
        <v>197</v>
      </c>
      <c r="C836" t="s">
        <v>197</v>
      </c>
      <c r="D836" t="s">
        <v>197</v>
      </c>
      <c r="E836" t="s">
        <v>197</v>
      </c>
      <c r="F836" t="s">
        <v>197</v>
      </c>
      <c r="G836" t="s">
        <v>197</v>
      </c>
      <c r="H836" t="s">
        <v>197</v>
      </c>
      <c r="I836" t="s">
        <v>197</v>
      </c>
      <c r="J836" t="s">
        <v>197</v>
      </c>
      <c r="K836" t="s">
        <v>567</v>
      </c>
    </row>
    <row r="837" spans="1:24">
      <c r="A837" t="s">
        <v>938</v>
      </c>
      <c r="K837" t="s">
        <v>939</v>
      </c>
      <c r="W837" t="s">
        <v>171</v>
      </c>
      <c r="X837" t="str">
        <f>A837</f>
        <v>info_varcharmax_dml_batch1_pk_drp1</v>
      </c>
    </row>
    <row r="838" spans="1:24">
      <c r="B838" t="s">
        <v>196</v>
      </c>
      <c r="C838" t="s">
        <v>197</v>
      </c>
      <c r="D838" t="s">
        <v>197</v>
      </c>
      <c r="E838" t="s">
        <v>197</v>
      </c>
      <c r="F838" t="s">
        <v>197</v>
      </c>
      <c r="G838" t="s">
        <v>197</v>
      </c>
      <c r="H838" t="s">
        <v>197</v>
      </c>
      <c r="I838" t="s">
        <v>940</v>
      </c>
      <c r="J838" t="s">
        <v>199</v>
      </c>
      <c r="K838" t="s">
        <v>200</v>
      </c>
    </row>
    <row r="839" spans="1:24">
      <c r="B839" t="s">
        <v>197</v>
      </c>
      <c r="C839" t="s">
        <v>197</v>
      </c>
      <c r="D839" t="s">
        <v>197</v>
      </c>
      <c r="E839" t="s">
        <v>197</v>
      </c>
      <c r="F839" t="s">
        <v>197</v>
      </c>
      <c r="G839" t="s">
        <v>197</v>
      </c>
      <c r="H839" t="s">
        <v>197</v>
      </c>
      <c r="I839" t="s">
        <v>197</v>
      </c>
      <c r="J839" t="s">
        <v>197</v>
      </c>
      <c r="K839" t="s">
        <v>725</v>
      </c>
    </row>
    <row r="840" spans="1:24">
      <c r="B840" t="s">
        <v>197</v>
      </c>
      <c r="C840" t="s">
        <v>197</v>
      </c>
      <c r="D840" t="s">
        <v>197</v>
      </c>
      <c r="E840" t="s">
        <v>197</v>
      </c>
      <c r="F840" t="s">
        <v>197</v>
      </c>
      <c r="G840" t="s">
        <v>197</v>
      </c>
      <c r="H840" t="s">
        <v>197</v>
      </c>
      <c r="I840" t="s">
        <v>197</v>
      </c>
      <c r="J840" t="s">
        <v>197</v>
      </c>
      <c r="K840" t="s">
        <v>726</v>
      </c>
    </row>
    <row r="841" spans="1:24">
      <c r="K841" t="s">
        <v>443</v>
      </c>
    </row>
    <row r="842" spans="1:24">
      <c r="A842" t="s">
        <v>941</v>
      </c>
      <c r="K842" t="s">
        <v>942</v>
      </c>
      <c r="W842" t="s">
        <v>171</v>
      </c>
      <c r="X842" t="str">
        <f>A842</f>
        <v>info_timestamp_dml_single_pk_irp</v>
      </c>
    </row>
    <row r="843" spans="1:24">
      <c r="B843" t="s">
        <v>196</v>
      </c>
      <c r="C843" t="s">
        <v>197</v>
      </c>
      <c r="D843" t="s">
        <v>197</v>
      </c>
      <c r="E843" t="s">
        <v>197</v>
      </c>
      <c r="F843" t="s">
        <v>197</v>
      </c>
      <c r="G843" t="s">
        <v>197</v>
      </c>
      <c r="H843" t="s">
        <v>197</v>
      </c>
      <c r="I843" t="s">
        <v>943</v>
      </c>
      <c r="J843" t="s">
        <v>199</v>
      </c>
      <c r="K843" t="s">
        <v>200</v>
      </c>
    </row>
    <row r="844" spans="1:24">
      <c r="B844" t="s">
        <v>197</v>
      </c>
      <c r="C844" t="s">
        <v>197</v>
      </c>
      <c r="D844" t="s">
        <v>197</v>
      </c>
      <c r="E844" t="s">
        <v>197</v>
      </c>
      <c r="F844" t="s">
        <v>197</v>
      </c>
      <c r="G844" t="s">
        <v>197</v>
      </c>
      <c r="H844" t="s">
        <v>197</v>
      </c>
      <c r="I844" t="s">
        <v>197</v>
      </c>
      <c r="J844" t="s">
        <v>197</v>
      </c>
      <c r="K844" t="s">
        <v>944</v>
      </c>
    </row>
    <row r="845" spans="1:24">
      <c r="A845" t="s">
        <v>945</v>
      </c>
      <c r="K845" t="s">
        <v>946</v>
      </c>
      <c r="W845" t="s">
        <v>171</v>
      </c>
      <c r="X845" t="str">
        <f>A845</f>
        <v>info_char_dml_batch1_pk_urp2</v>
      </c>
    </row>
    <row r="846" spans="1:24">
      <c r="B846" t="s">
        <v>196</v>
      </c>
      <c r="C846" t="s">
        <v>197</v>
      </c>
      <c r="D846" t="s">
        <v>197</v>
      </c>
      <c r="E846" t="s">
        <v>197</v>
      </c>
      <c r="F846" t="s">
        <v>197</v>
      </c>
      <c r="G846" t="s">
        <v>197</v>
      </c>
      <c r="H846" t="s">
        <v>197</v>
      </c>
      <c r="I846" t="s">
        <v>947</v>
      </c>
      <c r="J846" t="s">
        <v>199</v>
      </c>
      <c r="K846" t="s">
        <v>200</v>
      </c>
    </row>
    <row r="847" spans="1:24">
      <c r="B847" t="s">
        <v>197</v>
      </c>
      <c r="C847" t="s">
        <v>197</v>
      </c>
      <c r="D847" t="s">
        <v>197</v>
      </c>
      <c r="E847" t="s">
        <v>197</v>
      </c>
      <c r="F847" t="s">
        <v>197</v>
      </c>
      <c r="G847" t="s">
        <v>197</v>
      </c>
      <c r="H847" t="s">
        <v>197</v>
      </c>
      <c r="I847" t="s">
        <v>197</v>
      </c>
      <c r="J847" t="s">
        <v>197</v>
      </c>
      <c r="K847" t="s">
        <v>622</v>
      </c>
    </row>
    <row r="848" spans="1:24">
      <c r="B848" t="s">
        <v>197</v>
      </c>
      <c r="C848" t="s">
        <v>197</v>
      </c>
      <c r="D848" t="s">
        <v>197</v>
      </c>
      <c r="E848" t="s">
        <v>197</v>
      </c>
      <c r="F848" t="s">
        <v>197</v>
      </c>
      <c r="G848" t="s">
        <v>197</v>
      </c>
      <c r="H848" t="s">
        <v>197</v>
      </c>
      <c r="I848" t="s">
        <v>197</v>
      </c>
      <c r="J848" t="s">
        <v>197</v>
      </c>
      <c r="K848" t="s">
        <v>623</v>
      </c>
    </row>
    <row r="849" spans="1:24">
      <c r="B849" t="s">
        <v>197</v>
      </c>
      <c r="C849" t="s">
        <v>197</v>
      </c>
      <c r="D849" t="s">
        <v>197</v>
      </c>
      <c r="E849" t="s">
        <v>197</v>
      </c>
      <c r="F849" t="s">
        <v>197</v>
      </c>
      <c r="G849" t="s">
        <v>197</v>
      </c>
      <c r="H849" t="s">
        <v>197</v>
      </c>
      <c r="I849" t="s">
        <v>197</v>
      </c>
      <c r="J849" t="s">
        <v>197</v>
      </c>
      <c r="K849" t="s">
        <v>832</v>
      </c>
    </row>
    <row r="850" spans="1:24">
      <c r="A850" t="s">
        <v>951</v>
      </c>
      <c r="K850" t="s">
        <v>952</v>
      </c>
      <c r="W850" t="s">
        <v>171</v>
      </c>
      <c r="X850" t="str">
        <f>A850</f>
        <v>info_varcharmax_dml_batch1_pk_drp2</v>
      </c>
    </row>
    <row r="851" spans="1:24">
      <c r="B851" t="s">
        <v>196</v>
      </c>
      <c r="C851" t="s">
        <v>197</v>
      </c>
      <c r="D851" t="s">
        <v>197</v>
      </c>
      <c r="E851" t="s">
        <v>197</v>
      </c>
      <c r="F851" t="s">
        <v>197</v>
      </c>
      <c r="G851" t="s">
        <v>197</v>
      </c>
      <c r="H851" t="s">
        <v>197</v>
      </c>
      <c r="I851" t="s">
        <v>953</v>
      </c>
      <c r="J851" t="s">
        <v>199</v>
      </c>
      <c r="K851" t="s">
        <v>200</v>
      </c>
    </row>
    <row r="852" spans="1:24">
      <c r="B852" t="s">
        <v>197</v>
      </c>
      <c r="C852" t="s">
        <v>197</v>
      </c>
      <c r="D852" t="s">
        <v>197</v>
      </c>
      <c r="E852" t="s">
        <v>197</v>
      </c>
      <c r="F852" t="s">
        <v>197</v>
      </c>
      <c r="G852" t="s">
        <v>197</v>
      </c>
      <c r="H852" t="s">
        <v>197</v>
      </c>
      <c r="I852" t="s">
        <v>197</v>
      </c>
      <c r="J852" t="s">
        <v>197</v>
      </c>
      <c r="K852" t="s">
        <v>725</v>
      </c>
    </row>
    <row r="853" spans="1:24">
      <c r="B853" t="s">
        <v>197</v>
      </c>
      <c r="C853" t="s">
        <v>197</v>
      </c>
      <c r="D853" t="s">
        <v>197</v>
      </c>
      <c r="E853" t="s">
        <v>197</v>
      </c>
      <c r="F853" t="s">
        <v>197</v>
      </c>
      <c r="G853" t="s">
        <v>197</v>
      </c>
      <c r="H853" t="s">
        <v>197</v>
      </c>
      <c r="I853" t="s">
        <v>197</v>
      </c>
      <c r="J853" t="s">
        <v>197</v>
      </c>
      <c r="K853" t="s">
        <v>726</v>
      </c>
    </row>
    <row r="854" spans="1:24">
      <c r="K854" t="s">
        <v>443</v>
      </c>
    </row>
    <row r="855" spans="1:24">
      <c r="A855" t="s">
        <v>948</v>
      </c>
      <c r="K855" t="s">
        <v>949</v>
      </c>
      <c r="W855" t="s">
        <v>171</v>
      </c>
      <c r="X855" t="str">
        <f>A855</f>
        <v>info_char_dml_single_pk_urp</v>
      </c>
    </row>
    <row r="856" spans="1:24">
      <c r="B856" t="s">
        <v>196</v>
      </c>
      <c r="C856" t="s">
        <v>197</v>
      </c>
      <c r="D856" t="s">
        <v>197</v>
      </c>
      <c r="E856" t="s">
        <v>197</v>
      </c>
      <c r="F856" t="s">
        <v>197</v>
      </c>
      <c r="G856" t="s">
        <v>197</v>
      </c>
      <c r="H856" t="s">
        <v>197</v>
      </c>
      <c r="I856" t="s">
        <v>950</v>
      </c>
      <c r="J856" t="s">
        <v>199</v>
      </c>
      <c r="K856" t="s">
        <v>200</v>
      </c>
    </row>
    <row r="857" spans="1:24">
      <c r="B857" t="s">
        <v>197</v>
      </c>
      <c r="C857" t="s">
        <v>197</v>
      </c>
      <c r="D857" t="s">
        <v>197</v>
      </c>
      <c r="E857" t="s">
        <v>197</v>
      </c>
      <c r="F857" t="s">
        <v>197</v>
      </c>
      <c r="G857" t="s">
        <v>197</v>
      </c>
      <c r="H857" t="s">
        <v>197</v>
      </c>
      <c r="I857" t="s">
        <v>197</v>
      </c>
      <c r="J857" t="s">
        <v>197</v>
      </c>
      <c r="K857" t="s">
        <v>622</v>
      </c>
    </row>
    <row r="858" spans="1:24">
      <c r="B858" t="s">
        <v>197</v>
      </c>
      <c r="C858" t="s">
        <v>197</v>
      </c>
      <c r="D858" t="s">
        <v>197</v>
      </c>
      <c r="E858" t="s">
        <v>197</v>
      </c>
      <c r="F858" t="s">
        <v>197</v>
      </c>
      <c r="G858" t="s">
        <v>197</v>
      </c>
      <c r="H858" t="s">
        <v>197</v>
      </c>
      <c r="I858" t="s">
        <v>197</v>
      </c>
      <c r="J858" t="s">
        <v>197</v>
      </c>
      <c r="K858" t="s">
        <v>623</v>
      </c>
    </row>
    <row r="859" spans="1:24">
      <c r="B859" t="s">
        <v>197</v>
      </c>
      <c r="C859" t="s">
        <v>197</v>
      </c>
      <c r="D859" t="s">
        <v>197</v>
      </c>
      <c r="E859" t="s">
        <v>197</v>
      </c>
      <c r="F859" t="s">
        <v>197</v>
      </c>
      <c r="G859" t="s">
        <v>197</v>
      </c>
      <c r="H859" t="s">
        <v>197</v>
      </c>
      <c r="I859" t="s">
        <v>197</v>
      </c>
      <c r="J859" t="s">
        <v>197</v>
      </c>
      <c r="K859" t="s">
        <v>832</v>
      </c>
    </row>
    <row r="860" spans="1:24">
      <c r="A860" t="s">
        <v>954</v>
      </c>
      <c r="K860" t="s">
        <v>955</v>
      </c>
      <c r="W860" t="s">
        <v>171</v>
      </c>
      <c r="X860" t="str">
        <f>A860</f>
        <v>info_char_dml_single_pk_drp</v>
      </c>
    </row>
    <row r="861" spans="1:24">
      <c r="B861" t="s">
        <v>196</v>
      </c>
      <c r="C861" t="s">
        <v>197</v>
      </c>
      <c r="D861" t="s">
        <v>197</v>
      </c>
      <c r="E861" t="s">
        <v>197</v>
      </c>
      <c r="F861" t="s">
        <v>197</v>
      </c>
      <c r="G861" t="s">
        <v>197</v>
      </c>
      <c r="H861" t="s">
        <v>197</v>
      </c>
      <c r="I861" t="s">
        <v>956</v>
      </c>
      <c r="J861" t="s">
        <v>199</v>
      </c>
      <c r="K861" t="s">
        <v>200</v>
      </c>
    </row>
    <row r="862" spans="1:24">
      <c r="B862" t="s">
        <v>197</v>
      </c>
      <c r="C862" t="s">
        <v>197</v>
      </c>
      <c r="D862" t="s">
        <v>197</v>
      </c>
      <c r="E862" t="s">
        <v>197</v>
      </c>
      <c r="F862" t="s">
        <v>197</v>
      </c>
      <c r="G862" t="s">
        <v>197</v>
      </c>
      <c r="H862" t="s">
        <v>197</v>
      </c>
      <c r="I862" t="s">
        <v>197</v>
      </c>
      <c r="J862" t="s">
        <v>197</v>
      </c>
      <c r="K862" t="s">
        <v>622</v>
      </c>
    </row>
    <row r="863" spans="1:24">
      <c r="B863" t="s">
        <v>197</v>
      </c>
      <c r="C863" t="s">
        <v>197</v>
      </c>
      <c r="D863" t="s">
        <v>197</v>
      </c>
      <c r="E863" t="s">
        <v>197</v>
      </c>
      <c r="F863" t="s">
        <v>197</v>
      </c>
      <c r="G863" t="s">
        <v>197</v>
      </c>
      <c r="H863" t="s">
        <v>197</v>
      </c>
      <c r="I863" t="s">
        <v>197</v>
      </c>
      <c r="J863" t="s">
        <v>197</v>
      </c>
      <c r="K863" t="s">
        <v>623</v>
      </c>
    </row>
    <row r="864" spans="1:24">
      <c r="B864" t="s">
        <v>197</v>
      </c>
      <c r="C864" t="s">
        <v>197</v>
      </c>
      <c r="D864" t="s">
        <v>197</v>
      </c>
      <c r="E864" t="s">
        <v>197</v>
      </c>
      <c r="F864" t="s">
        <v>197</v>
      </c>
      <c r="G864" t="s">
        <v>197</v>
      </c>
      <c r="H864" t="s">
        <v>197</v>
      </c>
      <c r="I864" t="s">
        <v>197</v>
      </c>
      <c r="J864" t="s">
        <v>197</v>
      </c>
      <c r="K864" t="s">
        <v>832</v>
      </c>
    </row>
    <row r="865" spans="1:24">
      <c r="A865" t="s">
        <v>957</v>
      </c>
      <c r="K865" t="s">
        <v>958</v>
      </c>
      <c r="W865" t="s">
        <v>171</v>
      </c>
      <c r="X865" t="str">
        <f>A865</f>
        <v>info_date_dml_batch1_pk_drp1</v>
      </c>
    </row>
    <row r="866" spans="1:24">
      <c r="B866" t="s">
        <v>196</v>
      </c>
      <c r="C866" t="s">
        <v>197</v>
      </c>
      <c r="D866" t="s">
        <v>197</v>
      </c>
      <c r="E866" t="s">
        <v>197</v>
      </c>
      <c r="F866" t="s">
        <v>197</v>
      </c>
      <c r="G866" t="s">
        <v>197</v>
      </c>
      <c r="H866" t="s">
        <v>197</v>
      </c>
      <c r="I866" t="s">
        <v>959</v>
      </c>
      <c r="J866" t="s">
        <v>199</v>
      </c>
      <c r="K866" t="s">
        <v>200</v>
      </c>
    </row>
    <row r="867" spans="1:24">
      <c r="B867" t="s">
        <v>197</v>
      </c>
      <c r="C867" t="s">
        <v>197</v>
      </c>
      <c r="D867" t="s">
        <v>197</v>
      </c>
      <c r="E867" t="s">
        <v>197</v>
      </c>
      <c r="F867" t="s">
        <v>197</v>
      </c>
      <c r="G867" t="s">
        <v>197</v>
      </c>
      <c r="H867" t="s">
        <v>197</v>
      </c>
      <c r="I867" t="s">
        <v>197</v>
      </c>
      <c r="J867" t="s">
        <v>197</v>
      </c>
      <c r="K867" t="s">
        <v>678</v>
      </c>
    </row>
    <row r="868" spans="1:24">
      <c r="K868" t="s">
        <v>443</v>
      </c>
    </row>
    <row r="869" spans="1:24">
      <c r="A869" t="s">
        <v>960</v>
      </c>
      <c r="K869" t="s">
        <v>961</v>
      </c>
      <c r="W869" t="s">
        <v>171</v>
      </c>
      <c r="X869" t="str">
        <f>A869</f>
        <v>info_varchar_dml_batch1_pk_irp1</v>
      </c>
    </row>
    <row r="870" spans="1:24">
      <c r="B870" t="s">
        <v>196</v>
      </c>
      <c r="C870" t="s">
        <v>197</v>
      </c>
      <c r="D870" t="s">
        <v>197</v>
      </c>
      <c r="E870" t="s">
        <v>197</v>
      </c>
      <c r="F870" t="s">
        <v>197</v>
      </c>
      <c r="G870" t="s">
        <v>197</v>
      </c>
      <c r="H870" t="s">
        <v>197</v>
      </c>
      <c r="I870" t="s">
        <v>962</v>
      </c>
      <c r="J870" t="s">
        <v>199</v>
      </c>
      <c r="K870" t="s">
        <v>200</v>
      </c>
    </row>
    <row r="871" spans="1:24">
      <c r="B871" t="s">
        <v>197</v>
      </c>
      <c r="C871" t="s">
        <v>197</v>
      </c>
      <c r="D871" t="s">
        <v>197</v>
      </c>
      <c r="E871" t="s">
        <v>197</v>
      </c>
      <c r="F871" t="s">
        <v>197</v>
      </c>
      <c r="G871" t="s">
        <v>197</v>
      </c>
      <c r="H871" t="s">
        <v>197</v>
      </c>
      <c r="I871" t="s">
        <v>197</v>
      </c>
      <c r="J871" t="s">
        <v>197</v>
      </c>
      <c r="K871" t="s">
        <v>431</v>
      </c>
    </row>
    <row r="872" spans="1:24">
      <c r="B872" t="s">
        <v>197</v>
      </c>
      <c r="C872" t="s">
        <v>197</v>
      </c>
      <c r="D872" t="s">
        <v>197</v>
      </c>
      <c r="E872" t="s">
        <v>197</v>
      </c>
      <c r="F872" t="s">
        <v>197</v>
      </c>
      <c r="G872" t="s">
        <v>197</v>
      </c>
      <c r="H872" t="s">
        <v>197</v>
      </c>
      <c r="I872" t="s">
        <v>197</v>
      </c>
      <c r="J872" t="s">
        <v>197</v>
      </c>
      <c r="K872" t="s">
        <v>434</v>
      </c>
    </row>
    <row r="873" spans="1:24">
      <c r="B873" t="s">
        <v>197</v>
      </c>
      <c r="C873" t="s">
        <v>197</v>
      </c>
      <c r="D873" t="s">
        <v>197</v>
      </c>
      <c r="E873" t="s">
        <v>197</v>
      </c>
      <c r="F873" t="s">
        <v>197</v>
      </c>
      <c r="G873" t="s">
        <v>197</v>
      </c>
      <c r="H873" t="s">
        <v>197</v>
      </c>
      <c r="I873" t="s">
        <v>197</v>
      </c>
      <c r="J873" t="s">
        <v>197</v>
      </c>
      <c r="K873" t="s">
        <v>963</v>
      </c>
    </row>
    <row r="874" spans="1:24">
      <c r="K874" t="s">
        <v>443</v>
      </c>
    </row>
    <row r="875" spans="1:24">
      <c r="A875" t="s">
        <v>964</v>
      </c>
      <c r="K875" t="s">
        <v>965</v>
      </c>
      <c r="W875" t="s">
        <v>171</v>
      </c>
      <c r="X875" t="str">
        <f>A875</f>
        <v>info_datetime_dml_single_pk_urp</v>
      </c>
    </row>
    <row r="876" spans="1:24">
      <c r="B876" t="s">
        <v>196</v>
      </c>
      <c r="C876" t="s">
        <v>197</v>
      </c>
      <c r="D876" t="s">
        <v>197</v>
      </c>
      <c r="E876" t="s">
        <v>197</v>
      </c>
      <c r="F876" t="s">
        <v>197</v>
      </c>
      <c r="G876" t="s">
        <v>197</v>
      </c>
      <c r="H876" t="s">
        <v>197</v>
      </c>
      <c r="I876" t="s">
        <v>966</v>
      </c>
      <c r="J876" t="s">
        <v>199</v>
      </c>
      <c r="K876" t="s">
        <v>200</v>
      </c>
    </row>
    <row r="877" spans="1:24">
      <c r="B877" t="s">
        <v>197</v>
      </c>
      <c r="C877" t="s">
        <v>197</v>
      </c>
      <c r="D877" t="s">
        <v>197</v>
      </c>
      <c r="E877" t="s">
        <v>197</v>
      </c>
      <c r="F877" t="s">
        <v>197</v>
      </c>
      <c r="G877" t="s">
        <v>197</v>
      </c>
      <c r="H877" t="s">
        <v>197</v>
      </c>
      <c r="I877" t="s">
        <v>197</v>
      </c>
      <c r="J877" t="s">
        <v>197</v>
      </c>
      <c r="K877" t="s">
        <v>574</v>
      </c>
    </row>
    <row r="878" spans="1:24">
      <c r="A878" t="s">
        <v>967</v>
      </c>
      <c r="K878" t="s">
        <v>968</v>
      </c>
      <c r="W878" t="s">
        <v>171</v>
      </c>
      <c r="X878" t="str">
        <f>A878</f>
        <v>info_nchar_dml_batch1_pk</v>
      </c>
    </row>
    <row r="879" spans="1:24">
      <c r="B879" t="s">
        <v>196</v>
      </c>
      <c r="C879" t="s">
        <v>197</v>
      </c>
      <c r="D879" t="s">
        <v>197</v>
      </c>
      <c r="E879" t="s">
        <v>197</v>
      </c>
      <c r="F879" t="s">
        <v>197</v>
      </c>
      <c r="G879" t="s">
        <v>197</v>
      </c>
      <c r="H879" t="s">
        <v>197</v>
      </c>
      <c r="I879" t="s">
        <v>969</v>
      </c>
      <c r="J879" t="s">
        <v>199</v>
      </c>
      <c r="K879" t="s">
        <v>200</v>
      </c>
    </row>
    <row r="880" spans="1:24">
      <c r="B880" t="s">
        <v>197</v>
      </c>
      <c r="C880" t="s">
        <v>197</v>
      </c>
      <c r="D880" t="s">
        <v>197</v>
      </c>
      <c r="E880" t="s">
        <v>197</v>
      </c>
      <c r="F880" t="s">
        <v>197</v>
      </c>
      <c r="G880" t="s">
        <v>197</v>
      </c>
      <c r="H880" t="s">
        <v>197</v>
      </c>
      <c r="I880" t="s">
        <v>197</v>
      </c>
      <c r="J880" t="s">
        <v>197</v>
      </c>
      <c r="K880" t="s">
        <v>514</v>
      </c>
    </row>
    <row r="881" spans="1:24">
      <c r="B881" t="s">
        <v>197</v>
      </c>
      <c r="C881" t="s">
        <v>197</v>
      </c>
      <c r="D881" t="s">
        <v>197</v>
      </c>
      <c r="E881" t="s">
        <v>197</v>
      </c>
      <c r="F881" t="s">
        <v>197</v>
      </c>
      <c r="G881" t="s">
        <v>197</v>
      </c>
      <c r="H881" t="s">
        <v>197</v>
      </c>
      <c r="I881" t="s">
        <v>197</v>
      </c>
      <c r="J881" t="s">
        <v>197</v>
      </c>
      <c r="K881" t="s">
        <v>516</v>
      </c>
    </row>
    <row r="882" spans="1:24">
      <c r="B882" t="s">
        <v>197</v>
      </c>
      <c r="C882" t="s">
        <v>197</v>
      </c>
      <c r="D882" t="s">
        <v>197</v>
      </c>
      <c r="E882" t="s">
        <v>197</v>
      </c>
      <c r="F882" t="s">
        <v>197</v>
      </c>
      <c r="G882" t="s">
        <v>197</v>
      </c>
      <c r="H882" t="s">
        <v>197</v>
      </c>
      <c r="I882" t="s">
        <v>197</v>
      </c>
      <c r="J882" t="s">
        <v>197</v>
      </c>
      <c r="K882" t="s">
        <v>612</v>
      </c>
    </row>
    <row r="883" spans="1:24">
      <c r="A883" t="s">
        <v>970</v>
      </c>
      <c r="K883" t="s">
        <v>971</v>
      </c>
      <c r="W883" t="s">
        <v>171</v>
      </c>
      <c r="X883" t="str">
        <f>A883</f>
        <v>info_varcharmax_dml_single_pk</v>
      </c>
    </row>
    <row r="884" spans="1:24">
      <c r="B884" t="s">
        <v>196</v>
      </c>
      <c r="C884" t="s">
        <v>197</v>
      </c>
      <c r="D884" t="s">
        <v>197</v>
      </c>
      <c r="E884" t="s">
        <v>197</v>
      </c>
      <c r="F884" t="s">
        <v>197</v>
      </c>
      <c r="G884" t="s">
        <v>197</v>
      </c>
      <c r="H884" t="s">
        <v>197</v>
      </c>
      <c r="I884" t="s">
        <v>972</v>
      </c>
      <c r="J884" t="s">
        <v>199</v>
      </c>
      <c r="K884" t="s">
        <v>200</v>
      </c>
    </row>
    <row r="885" spans="1:24">
      <c r="B885" t="s">
        <v>197</v>
      </c>
      <c r="C885" t="s">
        <v>197</v>
      </c>
      <c r="D885" t="s">
        <v>197</v>
      </c>
      <c r="E885" t="s">
        <v>197</v>
      </c>
      <c r="F885" t="s">
        <v>197</v>
      </c>
      <c r="G885" t="s">
        <v>197</v>
      </c>
      <c r="H885" t="s">
        <v>197</v>
      </c>
      <c r="I885" t="s">
        <v>197</v>
      </c>
      <c r="J885" t="s">
        <v>197</v>
      </c>
      <c r="K885" t="s">
        <v>725</v>
      </c>
    </row>
    <row r="886" spans="1:24">
      <c r="B886" t="s">
        <v>197</v>
      </c>
      <c r="C886" t="s">
        <v>197</v>
      </c>
      <c r="D886" t="s">
        <v>197</v>
      </c>
      <c r="E886" t="s">
        <v>197</v>
      </c>
      <c r="F886" t="s">
        <v>197</v>
      </c>
      <c r="G886" t="s">
        <v>197</v>
      </c>
      <c r="H886" t="s">
        <v>197</v>
      </c>
      <c r="I886" t="s">
        <v>197</v>
      </c>
      <c r="J886" t="s">
        <v>197</v>
      </c>
      <c r="K886" t="s">
        <v>726</v>
      </c>
    </row>
    <row r="887" spans="1:24">
      <c r="A887" t="s">
        <v>973</v>
      </c>
      <c r="K887" t="s">
        <v>974</v>
      </c>
      <c r="W887" t="s">
        <v>171</v>
      </c>
      <c r="X887" t="str">
        <f>A887</f>
        <v>info_date_dml_batch1_pk_drp2</v>
      </c>
    </row>
    <row r="888" spans="1:24">
      <c r="B888" t="s">
        <v>196</v>
      </c>
      <c r="C888" t="s">
        <v>197</v>
      </c>
      <c r="D888" t="s">
        <v>197</v>
      </c>
      <c r="E888" t="s">
        <v>197</v>
      </c>
      <c r="F888" t="s">
        <v>197</v>
      </c>
      <c r="G888" t="s">
        <v>197</v>
      </c>
      <c r="H888" t="s">
        <v>197</v>
      </c>
      <c r="I888" t="s">
        <v>975</v>
      </c>
      <c r="J888" t="s">
        <v>199</v>
      </c>
      <c r="K888" t="s">
        <v>200</v>
      </c>
    </row>
    <row r="889" spans="1:24">
      <c r="B889" t="s">
        <v>197</v>
      </c>
      <c r="C889" t="s">
        <v>197</v>
      </c>
      <c r="D889" t="s">
        <v>197</v>
      </c>
      <c r="E889" t="s">
        <v>197</v>
      </c>
      <c r="F889" t="s">
        <v>197</v>
      </c>
      <c r="G889" t="s">
        <v>197</v>
      </c>
      <c r="H889" t="s">
        <v>197</v>
      </c>
      <c r="I889" t="s">
        <v>197</v>
      </c>
      <c r="J889" t="s">
        <v>197</v>
      </c>
      <c r="K889" t="s">
        <v>678</v>
      </c>
    </row>
    <row r="890" spans="1:24">
      <c r="A890" t="s">
        <v>976</v>
      </c>
      <c r="K890" t="s">
        <v>977</v>
      </c>
      <c r="W890" t="s">
        <v>171</v>
      </c>
      <c r="X890" t="str">
        <f>A890</f>
        <v>info_datetime_dml_single_pk_drp</v>
      </c>
    </row>
    <row r="891" spans="1:24">
      <c r="B891" t="s">
        <v>196</v>
      </c>
      <c r="C891" t="s">
        <v>197</v>
      </c>
      <c r="D891" t="s">
        <v>197</v>
      </c>
      <c r="E891" t="s">
        <v>197</v>
      </c>
      <c r="F891" t="s">
        <v>197</v>
      </c>
      <c r="G891" t="s">
        <v>197</v>
      </c>
      <c r="H891" t="s">
        <v>197</v>
      </c>
      <c r="I891" t="s">
        <v>978</v>
      </c>
      <c r="J891" t="s">
        <v>199</v>
      </c>
      <c r="K891" t="s">
        <v>200</v>
      </c>
    </row>
    <row r="892" spans="1:24">
      <c r="B892" t="s">
        <v>197</v>
      </c>
      <c r="C892" t="s">
        <v>197</v>
      </c>
      <c r="D892" t="s">
        <v>197</v>
      </c>
      <c r="E892" t="s">
        <v>197</v>
      </c>
      <c r="F892" t="s">
        <v>197</v>
      </c>
      <c r="G892" t="s">
        <v>197</v>
      </c>
      <c r="H892" t="s">
        <v>197</v>
      </c>
      <c r="I892" t="s">
        <v>197</v>
      </c>
      <c r="J892" t="s">
        <v>197</v>
      </c>
      <c r="K892" t="s">
        <v>574</v>
      </c>
    </row>
    <row r="893" spans="1:24">
      <c r="A893" t="s">
        <v>979</v>
      </c>
      <c r="K893" t="s">
        <v>980</v>
      </c>
      <c r="W893" t="s">
        <v>171</v>
      </c>
      <c r="X893" t="str">
        <f>A893</f>
        <v>info_date_dml_batch1_pk</v>
      </c>
    </row>
    <row r="894" spans="1:24">
      <c r="B894" t="s">
        <v>196</v>
      </c>
      <c r="C894" t="s">
        <v>197</v>
      </c>
      <c r="D894" t="s">
        <v>197</v>
      </c>
      <c r="E894" t="s">
        <v>197</v>
      </c>
      <c r="F894" t="s">
        <v>197</v>
      </c>
      <c r="G894" t="s">
        <v>197</v>
      </c>
      <c r="H894" t="s">
        <v>197</v>
      </c>
      <c r="I894" t="s">
        <v>981</v>
      </c>
      <c r="J894" t="s">
        <v>199</v>
      </c>
      <c r="K894" t="s">
        <v>200</v>
      </c>
    </row>
    <row r="895" spans="1:24">
      <c r="B895" t="s">
        <v>197</v>
      </c>
      <c r="C895" t="s">
        <v>197</v>
      </c>
      <c r="D895" t="s">
        <v>197</v>
      </c>
      <c r="E895" t="s">
        <v>197</v>
      </c>
      <c r="F895" t="s">
        <v>197</v>
      </c>
      <c r="G895" t="s">
        <v>197</v>
      </c>
      <c r="H895" t="s">
        <v>197</v>
      </c>
      <c r="I895" t="s">
        <v>197</v>
      </c>
      <c r="J895" t="s">
        <v>197</v>
      </c>
      <c r="K895" t="s">
        <v>678</v>
      </c>
    </row>
    <row r="896" spans="1:24">
      <c r="A896" t="s">
        <v>985</v>
      </c>
      <c r="K896" t="s">
        <v>986</v>
      </c>
      <c r="W896" t="s">
        <v>171</v>
      </c>
      <c r="X896" t="str">
        <f>A896</f>
        <v>info_timestamp_dml_single_pk_drp</v>
      </c>
    </row>
    <row r="897" spans="1:24">
      <c r="B897" t="s">
        <v>196</v>
      </c>
      <c r="C897" t="s">
        <v>197</v>
      </c>
      <c r="D897" t="s">
        <v>197</v>
      </c>
      <c r="E897" t="s">
        <v>197</v>
      </c>
      <c r="F897" t="s">
        <v>197</v>
      </c>
      <c r="G897" t="s">
        <v>197</v>
      </c>
      <c r="H897" t="s">
        <v>197</v>
      </c>
      <c r="I897" t="s">
        <v>987</v>
      </c>
      <c r="J897" t="s">
        <v>199</v>
      </c>
      <c r="K897" t="s">
        <v>200</v>
      </c>
    </row>
    <row r="898" spans="1:24">
      <c r="B898" t="s">
        <v>197</v>
      </c>
      <c r="C898" t="s">
        <v>197</v>
      </c>
      <c r="D898" t="s">
        <v>197</v>
      </c>
      <c r="E898" t="s">
        <v>197</v>
      </c>
      <c r="F898" t="s">
        <v>197</v>
      </c>
      <c r="G898" t="s">
        <v>197</v>
      </c>
      <c r="H898" t="s">
        <v>197</v>
      </c>
      <c r="I898" t="s">
        <v>197</v>
      </c>
      <c r="J898" t="s">
        <v>197</v>
      </c>
      <c r="K898" t="s">
        <v>944</v>
      </c>
    </row>
    <row r="899" spans="1:24">
      <c r="A899" t="s">
        <v>982</v>
      </c>
      <c r="K899" t="s">
        <v>983</v>
      </c>
      <c r="W899" t="s">
        <v>171</v>
      </c>
      <c r="X899" t="str">
        <f>A899</f>
        <v>info_nvarchar_dml_batch1_pk_irp1</v>
      </c>
    </row>
    <row r="900" spans="1:24">
      <c r="B900" t="s">
        <v>196</v>
      </c>
      <c r="C900" t="s">
        <v>197</v>
      </c>
      <c r="D900" t="s">
        <v>197</v>
      </c>
      <c r="E900" t="s">
        <v>197</v>
      </c>
      <c r="F900" t="s">
        <v>197</v>
      </c>
      <c r="G900" t="s">
        <v>197</v>
      </c>
      <c r="H900" t="s">
        <v>197</v>
      </c>
      <c r="I900" t="s">
        <v>984</v>
      </c>
      <c r="J900" t="s">
        <v>199</v>
      </c>
      <c r="K900" t="s">
        <v>200</v>
      </c>
    </row>
    <row r="901" spans="1:24">
      <c r="B901" t="s">
        <v>197</v>
      </c>
      <c r="C901" t="s">
        <v>197</v>
      </c>
      <c r="D901" t="s">
        <v>197</v>
      </c>
      <c r="E901" t="s">
        <v>197</v>
      </c>
      <c r="F901" t="s">
        <v>197</v>
      </c>
      <c r="G901" t="s">
        <v>197</v>
      </c>
      <c r="H901" t="s">
        <v>197</v>
      </c>
      <c r="I901" t="s">
        <v>197</v>
      </c>
      <c r="J901" t="s">
        <v>197</v>
      </c>
      <c r="K901" t="s">
        <v>408</v>
      </c>
    </row>
    <row r="902" spans="1:24">
      <c r="B902" t="s">
        <v>197</v>
      </c>
      <c r="C902" t="s">
        <v>197</v>
      </c>
      <c r="D902" t="s">
        <v>197</v>
      </c>
      <c r="E902" t="s">
        <v>197</v>
      </c>
      <c r="F902" t="s">
        <v>197</v>
      </c>
      <c r="G902" t="s">
        <v>197</v>
      </c>
      <c r="H902" t="s">
        <v>197</v>
      </c>
      <c r="I902" t="s">
        <v>197</v>
      </c>
      <c r="J902" t="s">
        <v>197</v>
      </c>
      <c r="K902" t="s">
        <v>412</v>
      </c>
    </row>
    <row r="903" spans="1:24">
      <c r="B903" t="s">
        <v>197</v>
      </c>
      <c r="C903" t="s">
        <v>197</v>
      </c>
      <c r="D903" t="s">
        <v>197</v>
      </c>
      <c r="E903" t="s">
        <v>197</v>
      </c>
      <c r="F903" t="s">
        <v>197</v>
      </c>
      <c r="G903" t="s">
        <v>197</v>
      </c>
      <c r="H903" t="s">
        <v>197</v>
      </c>
      <c r="I903" t="s">
        <v>197</v>
      </c>
      <c r="J903" t="s">
        <v>197</v>
      </c>
      <c r="K903" t="s">
        <v>730</v>
      </c>
    </row>
    <row r="904" spans="1:24">
      <c r="A904" t="s">
        <v>988</v>
      </c>
      <c r="K904" t="s">
        <v>989</v>
      </c>
      <c r="W904" t="s">
        <v>171</v>
      </c>
      <c r="X904" t="str">
        <f>A904</f>
        <v>info_time_dml_batch1_pk_irp1</v>
      </c>
    </row>
    <row r="905" spans="1:24">
      <c r="B905" t="s">
        <v>196</v>
      </c>
      <c r="C905" t="s">
        <v>197</v>
      </c>
      <c r="D905" t="s">
        <v>197</v>
      </c>
      <c r="E905" t="s">
        <v>197</v>
      </c>
      <c r="F905" t="s">
        <v>197</v>
      </c>
      <c r="G905" t="s">
        <v>197</v>
      </c>
      <c r="H905" t="s">
        <v>197</v>
      </c>
      <c r="I905" t="s">
        <v>990</v>
      </c>
      <c r="J905" t="s">
        <v>199</v>
      </c>
      <c r="K905" t="s">
        <v>200</v>
      </c>
    </row>
    <row r="906" spans="1:24">
      <c r="B906" t="s">
        <v>197</v>
      </c>
      <c r="C906" t="s">
        <v>197</v>
      </c>
      <c r="D906" t="s">
        <v>197</v>
      </c>
      <c r="E906" t="s">
        <v>197</v>
      </c>
      <c r="F906" t="s">
        <v>197</v>
      </c>
      <c r="G906" t="s">
        <v>197</v>
      </c>
      <c r="H906" t="s">
        <v>197</v>
      </c>
      <c r="I906" t="s">
        <v>197</v>
      </c>
      <c r="J906" t="s">
        <v>197</v>
      </c>
      <c r="K906" t="s">
        <v>800</v>
      </c>
    </row>
    <row r="907" spans="1:24">
      <c r="B907" t="s">
        <v>197</v>
      </c>
      <c r="C907" t="s">
        <v>197</v>
      </c>
      <c r="D907" t="s">
        <v>197</v>
      </c>
      <c r="E907" t="s">
        <v>197</v>
      </c>
      <c r="F907" t="s">
        <v>197</v>
      </c>
      <c r="G907" t="s">
        <v>197</v>
      </c>
      <c r="H907" t="s">
        <v>197</v>
      </c>
      <c r="I907" t="s">
        <v>197</v>
      </c>
      <c r="J907" t="s">
        <v>197</v>
      </c>
      <c r="K907" t="s">
        <v>801</v>
      </c>
    </row>
    <row r="908" spans="1:24">
      <c r="B908" t="s">
        <v>197</v>
      </c>
      <c r="C908" t="s">
        <v>197</v>
      </c>
      <c r="D908" t="s">
        <v>197</v>
      </c>
      <c r="E908" t="s">
        <v>197</v>
      </c>
      <c r="F908" t="s">
        <v>197</v>
      </c>
      <c r="G908" t="s">
        <v>197</v>
      </c>
      <c r="H908" t="s">
        <v>197</v>
      </c>
      <c r="I908" t="s">
        <v>197</v>
      </c>
      <c r="J908" t="s">
        <v>197</v>
      </c>
      <c r="K908" t="s">
        <v>802</v>
      </c>
    </row>
    <row r="909" spans="1:24">
      <c r="B909" t="s">
        <v>197</v>
      </c>
      <c r="C909" t="s">
        <v>197</v>
      </c>
      <c r="D909" t="s">
        <v>197</v>
      </c>
      <c r="E909" t="s">
        <v>197</v>
      </c>
      <c r="F909" t="s">
        <v>197</v>
      </c>
      <c r="G909" t="s">
        <v>197</v>
      </c>
      <c r="H909" t="s">
        <v>197</v>
      </c>
      <c r="I909" t="s">
        <v>197</v>
      </c>
      <c r="J909" t="s">
        <v>197</v>
      </c>
      <c r="K909" t="s">
        <v>803</v>
      </c>
    </row>
    <row r="910" spans="1:24">
      <c r="B910" t="s">
        <v>197</v>
      </c>
      <c r="C910" t="s">
        <v>197</v>
      </c>
      <c r="D910" t="s">
        <v>197</v>
      </c>
      <c r="E910" t="s">
        <v>197</v>
      </c>
      <c r="F910" t="s">
        <v>197</v>
      </c>
      <c r="G910" t="s">
        <v>197</v>
      </c>
      <c r="H910" t="s">
        <v>197</v>
      </c>
      <c r="I910" t="s">
        <v>197</v>
      </c>
      <c r="J910" t="s">
        <v>197</v>
      </c>
      <c r="K910" t="s">
        <v>804</v>
      </c>
    </row>
    <row r="911" spans="1:24">
      <c r="B911" t="s">
        <v>197</v>
      </c>
      <c r="C911" t="s">
        <v>197</v>
      </c>
      <c r="D911" t="s">
        <v>197</v>
      </c>
      <c r="E911" t="s">
        <v>197</v>
      </c>
      <c r="F911" t="s">
        <v>197</v>
      </c>
      <c r="G911" t="s">
        <v>197</v>
      </c>
      <c r="H911" t="s">
        <v>197</v>
      </c>
      <c r="I911" t="s">
        <v>197</v>
      </c>
      <c r="J911" t="s">
        <v>197</v>
      </c>
      <c r="K911" t="s">
        <v>805</v>
      </c>
    </row>
    <row r="912" spans="1:24">
      <c r="B912" t="s">
        <v>197</v>
      </c>
      <c r="C912" t="s">
        <v>197</v>
      </c>
      <c r="D912" t="s">
        <v>197</v>
      </c>
      <c r="E912" t="s">
        <v>197</v>
      </c>
      <c r="F912" t="s">
        <v>197</v>
      </c>
      <c r="G912" t="s">
        <v>197</v>
      </c>
      <c r="H912" t="s">
        <v>197</v>
      </c>
      <c r="I912" t="s">
        <v>197</v>
      </c>
      <c r="J912" t="s">
        <v>197</v>
      </c>
      <c r="K912" t="s">
        <v>806</v>
      </c>
    </row>
    <row r="913" spans="1:24">
      <c r="B913" t="s">
        <v>197</v>
      </c>
      <c r="C913" t="s">
        <v>197</v>
      </c>
      <c r="D913" t="s">
        <v>197</v>
      </c>
      <c r="E913" t="s">
        <v>197</v>
      </c>
      <c r="F913" t="s">
        <v>197</v>
      </c>
      <c r="G913" t="s">
        <v>197</v>
      </c>
      <c r="H913" t="s">
        <v>197</v>
      </c>
      <c r="I913" t="s">
        <v>197</v>
      </c>
      <c r="J913" t="s">
        <v>197</v>
      </c>
      <c r="K913" t="s">
        <v>807</v>
      </c>
    </row>
    <row r="914" spans="1:24">
      <c r="A914" t="s">
        <v>991</v>
      </c>
      <c r="K914" t="s">
        <v>992</v>
      </c>
      <c r="W914" t="s">
        <v>171</v>
      </c>
      <c r="X914" t="str">
        <f>A914</f>
        <v>info_binary_dml_batch1_pk</v>
      </c>
    </row>
    <row r="915" spans="1:24">
      <c r="B915" t="s">
        <v>196</v>
      </c>
      <c r="C915" t="s">
        <v>197</v>
      </c>
      <c r="D915" t="s">
        <v>197</v>
      </c>
      <c r="E915" t="s">
        <v>197</v>
      </c>
      <c r="F915" t="s">
        <v>197</v>
      </c>
      <c r="G915" t="s">
        <v>197</v>
      </c>
      <c r="H915" t="s">
        <v>197</v>
      </c>
      <c r="I915" t="s">
        <v>993</v>
      </c>
      <c r="J915" t="s">
        <v>199</v>
      </c>
      <c r="K915" t="s">
        <v>200</v>
      </c>
    </row>
    <row r="916" spans="1:24">
      <c r="B916" t="s">
        <v>197</v>
      </c>
      <c r="C916" t="s">
        <v>197</v>
      </c>
      <c r="D916" t="s">
        <v>197</v>
      </c>
      <c r="E916" t="s">
        <v>197</v>
      </c>
      <c r="F916" t="s">
        <v>197</v>
      </c>
      <c r="G916" t="s">
        <v>197</v>
      </c>
      <c r="H916" t="s">
        <v>197</v>
      </c>
      <c r="I916" t="s">
        <v>197</v>
      </c>
      <c r="J916" t="s">
        <v>197</v>
      </c>
      <c r="K916" t="s">
        <v>691</v>
      </c>
    </row>
    <row r="917" spans="1:24">
      <c r="B917" t="s">
        <v>197</v>
      </c>
      <c r="C917" t="s">
        <v>197</v>
      </c>
      <c r="D917" t="s">
        <v>197</v>
      </c>
      <c r="E917" t="s">
        <v>197</v>
      </c>
      <c r="F917" t="s">
        <v>197</v>
      </c>
      <c r="G917" t="s">
        <v>197</v>
      </c>
      <c r="H917" t="s">
        <v>197</v>
      </c>
      <c r="I917" t="s">
        <v>197</v>
      </c>
      <c r="J917" t="s">
        <v>197</v>
      </c>
      <c r="K917" t="s">
        <v>692</v>
      </c>
    </row>
    <row r="918" spans="1:24">
      <c r="B918" t="s">
        <v>197</v>
      </c>
      <c r="C918" t="s">
        <v>197</v>
      </c>
      <c r="D918" t="s">
        <v>197</v>
      </c>
      <c r="E918" t="s">
        <v>197</v>
      </c>
      <c r="F918" t="s">
        <v>197</v>
      </c>
      <c r="G918" t="s">
        <v>197</v>
      </c>
      <c r="H918" t="s">
        <v>197</v>
      </c>
      <c r="I918" t="s">
        <v>197</v>
      </c>
      <c r="J918" t="s">
        <v>197</v>
      </c>
      <c r="K918" t="s">
        <v>693</v>
      </c>
    </row>
    <row r="919" spans="1:24">
      <c r="A919" t="s">
        <v>994</v>
      </c>
      <c r="K919" t="s">
        <v>995</v>
      </c>
      <c r="W919" t="s">
        <v>171</v>
      </c>
      <c r="X919" t="str">
        <f>A919</f>
        <v>info_varchar_dml_batch1_pk_irp2</v>
      </c>
    </row>
    <row r="920" spans="1:24">
      <c r="B920" t="s">
        <v>196</v>
      </c>
      <c r="C920" t="s">
        <v>197</v>
      </c>
      <c r="D920" t="s">
        <v>197</v>
      </c>
      <c r="E920" t="s">
        <v>197</v>
      </c>
      <c r="F920" t="s">
        <v>197</v>
      </c>
      <c r="G920" t="s">
        <v>197</v>
      </c>
      <c r="H920" t="s">
        <v>197</v>
      </c>
      <c r="I920" t="s">
        <v>996</v>
      </c>
      <c r="J920" t="s">
        <v>199</v>
      </c>
      <c r="K920" t="s">
        <v>200</v>
      </c>
    </row>
    <row r="921" spans="1:24">
      <c r="B921" t="s">
        <v>197</v>
      </c>
      <c r="C921" t="s">
        <v>197</v>
      </c>
      <c r="D921" t="s">
        <v>197</v>
      </c>
      <c r="E921" t="s">
        <v>197</v>
      </c>
      <c r="F921" t="s">
        <v>197</v>
      </c>
      <c r="G921" t="s">
        <v>197</v>
      </c>
      <c r="H921" t="s">
        <v>197</v>
      </c>
      <c r="I921" t="s">
        <v>197</v>
      </c>
      <c r="J921" t="s">
        <v>197</v>
      </c>
      <c r="K921" t="s">
        <v>431</v>
      </c>
    </row>
    <row r="922" spans="1:24">
      <c r="B922" t="s">
        <v>197</v>
      </c>
      <c r="C922" t="s">
        <v>197</v>
      </c>
      <c r="D922" t="s">
        <v>197</v>
      </c>
      <c r="E922" t="s">
        <v>197</v>
      </c>
      <c r="F922" t="s">
        <v>197</v>
      </c>
      <c r="G922" t="s">
        <v>197</v>
      </c>
      <c r="H922" t="s">
        <v>197</v>
      </c>
      <c r="I922" t="s">
        <v>197</v>
      </c>
      <c r="J922" t="s">
        <v>197</v>
      </c>
      <c r="K922" t="s">
        <v>434</v>
      </c>
    </row>
    <row r="923" spans="1:24">
      <c r="B923" t="s">
        <v>197</v>
      </c>
      <c r="C923" t="s">
        <v>197</v>
      </c>
      <c r="D923" t="s">
        <v>197</v>
      </c>
      <c r="E923" t="s">
        <v>197</v>
      </c>
      <c r="F923" t="s">
        <v>197</v>
      </c>
      <c r="G923" t="s">
        <v>197</v>
      </c>
      <c r="H923" t="s">
        <v>197</v>
      </c>
      <c r="I923" t="s">
        <v>197</v>
      </c>
      <c r="J923" t="s">
        <v>197</v>
      </c>
      <c r="K923" t="s">
        <v>963</v>
      </c>
    </row>
    <row r="924" spans="1:24">
      <c r="K924" t="s">
        <v>443</v>
      </c>
    </row>
    <row r="925" spans="1:24">
      <c r="A925" t="s">
        <v>997</v>
      </c>
      <c r="K925" t="s">
        <v>998</v>
      </c>
      <c r="W925" t="s">
        <v>171</v>
      </c>
      <c r="X925" t="str">
        <f>A925</f>
        <v>info_time_dml_batch1_pk_irp2</v>
      </c>
    </row>
    <row r="926" spans="1:24">
      <c r="B926" t="s">
        <v>196</v>
      </c>
      <c r="C926" t="s">
        <v>197</v>
      </c>
      <c r="D926" t="s">
        <v>197</v>
      </c>
      <c r="E926" t="s">
        <v>197</v>
      </c>
      <c r="F926" t="s">
        <v>197</v>
      </c>
      <c r="G926" t="s">
        <v>197</v>
      </c>
      <c r="H926" t="s">
        <v>197</v>
      </c>
      <c r="I926" t="s">
        <v>999</v>
      </c>
      <c r="J926" t="s">
        <v>199</v>
      </c>
      <c r="K926" t="s">
        <v>200</v>
      </c>
    </row>
    <row r="927" spans="1:24">
      <c r="B927" t="s">
        <v>197</v>
      </c>
      <c r="C927" t="s">
        <v>197</v>
      </c>
      <c r="D927" t="s">
        <v>197</v>
      </c>
      <c r="E927" t="s">
        <v>197</v>
      </c>
      <c r="F927" t="s">
        <v>197</v>
      </c>
      <c r="G927" t="s">
        <v>197</v>
      </c>
      <c r="H927" t="s">
        <v>197</v>
      </c>
      <c r="I927" t="s">
        <v>197</v>
      </c>
      <c r="J927" t="s">
        <v>197</v>
      </c>
      <c r="K927" t="s">
        <v>800</v>
      </c>
    </row>
    <row r="928" spans="1:24">
      <c r="B928" t="s">
        <v>197</v>
      </c>
      <c r="C928" t="s">
        <v>197</v>
      </c>
      <c r="D928" t="s">
        <v>197</v>
      </c>
      <c r="E928" t="s">
        <v>197</v>
      </c>
      <c r="F928" t="s">
        <v>197</v>
      </c>
      <c r="G928" t="s">
        <v>197</v>
      </c>
      <c r="H928" t="s">
        <v>197</v>
      </c>
      <c r="I928" t="s">
        <v>197</v>
      </c>
      <c r="J928" t="s">
        <v>197</v>
      </c>
      <c r="K928" t="s">
        <v>801</v>
      </c>
    </row>
    <row r="929" spans="1:24">
      <c r="B929" t="s">
        <v>197</v>
      </c>
      <c r="C929" t="s">
        <v>197</v>
      </c>
      <c r="D929" t="s">
        <v>197</v>
      </c>
      <c r="E929" t="s">
        <v>197</v>
      </c>
      <c r="F929" t="s">
        <v>197</v>
      </c>
      <c r="G929" t="s">
        <v>197</v>
      </c>
      <c r="H929" t="s">
        <v>197</v>
      </c>
      <c r="I929" t="s">
        <v>197</v>
      </c>
      <c r="J929" t="s">
        <v>197</v>
      </c>
      <c r="K929" t="s">
        <v>802</v>
      </c>
    </row>
    <row r="930" spans="1:24">
      <c r="B930" t="s">
        <v>197</v>
      </c>
      <c r="C930" t="s">
        <v>197</v>
      </c>
      <c r="D930" t="s">
        <v>197</v>
      </c>
      <c r="E930" t="s">
        <v>197</v>
      </c>
      <c r="F930" t="s">
        <v>197</v>
      </c>
      <c r="G930" t="s">
        <v>197</v>
      </c>
      <c r="H930" t="s">
        <v>197</v>
      </c>
      <c r="I930" t="s">
        <v>197</v>
      </c>
      <c r="J930" t="s">
        <v>197</v>
      </c>
      <c r="K930" t="s">
        <v>803</v>
      </c>
    </row>
    <row r="931" spans="1:24">
      <c r="B931" t="s">
        <v>197</v>
      </c>
      <c r="C931" t="s">
        <v>197</v>
      </c>
      <c r="D931" t="s">
        <v>197</v>
      </c>
      <c r="E931" t="s">
        <v>197</v>
      </c>
      <c r="F931" t="s">
        <v>197</v>
      </c>
      <c r="G931" t="s">
        <v>197</v>
      </c>
      <c r="H931" t="s">
        <v>197</v>
      </c>
      <c r="I931" t="s">
        <v>197</v>
      </c>
      <c r="J931" t="s">
        <v>197</v>
      </c>
      <c r="K931" t="s">
        <v>804</v>
      </c>
    </row>
    <row r="932" spans="1:24">
      <c r="B932" t="s">
        <v>197</v>
      </c>
      <c r="C932" t="s">
        <v>197</v>
      </c>
      <c r="D932" t="s">
        <v>197</v>
      </c>
      <c r="E932" t="s">
        <v>197</v>
      </c>
      <c r="F932" t="s">
        <v>197</v>
      </c>
      <c r="G932" t="s">
        <v>197</v>
      </c>
      <c r="H932" t="s">
        <v>197</v>
      </c>
      <c r="I932" t="s">
        <v>197</v>
      </c>
      <c r="J932" t="s">
        <v>197</v>
      </c>
      <c r="K932" t="s">
        <v>805</v>
      </c>
    </row>
    <row r="933" spans="1:24">
      <c r="B933" t="s">
        <v>197</v>
      </c>
      <c r="C933" t="s">
        <v>197</v>
      </c>
      <c r="D933" t="s">
        <v>197</v>
      </c>
      <c r="E933" t="s">
        <v>197</v>
      </c>
      <c r="F933" t="s">
        <v>197</v>
      </c>
      <c r="G933" t="s">
        <v>197</v>
      </c>
      <c r="H933" t="s">
        <v>197</v>
      </c>
      <c r="I933" t="s">
        <v>197</v>
      </c>
      <c r="J933" t="s">
        <v>197</v>
      </c>
      <c r="K933" t="s">
        <v>806</v>
      </c>
    </row>
    <row r="934" spans="1:24">
      <c r="B934" t="s">
        <v>197</v>
      </c>
      <c r="C934" t="s">
        <v>197</v>
      </c>
      <c r="D934" t="s">
        <v>197</v>
      </c>
      <c r="E934" t="s">
        <v>197</v>
      </c>
      <c r="F934" t="s">
        <v>197</v>
      </c>
      <c r="G934" t="s">
        <v>197</v>
      </c>
      <c r="H934" t="s">
        <v>197</v>
      </c>
      <c r="I934" t="s">
        <v>197</v>
      </c>
      <c r="J934" t="s">
        <v>197</v>
      </c>
      <c r="K934" t="s">
        <v>807</v>
      </c>
    </row>
    <row r="935" spans="1:24">
      <c r="A935" t="s">
        <v>1000</v>
      </c>
      <c r="K935" t="s">
        <v>1001</v>
      </c>
      <c r="W935" t="s">
        <v>171</v>
      </c>
      <c r="X935" t="str">
        <f>A935</f>
        <v>info_datetime_dml_single_pk</v>
      </c>
    </row>
    <row r="936" spans="1:24">
      <c r="B936" t="s">
        <v>196</v>
      </c>
      <c r="C936" t="s">
        <v>197</v>
      </c>
      <c r="D936" t="s">
        <v>197</v>
      </c>
      <c r="E936" t="s">
        <v>197</v>
      </c>
      <c r="F936" t="s">
        <v>197</v>
      </c>
      <c r="G936" t="s">
        <v>197</v>
      </c>
      <c r="H936" t="s">
        <v>197</v>
      </c>
      <c r="I936" t="s">
        <v>1002</v>
      </c>
      <c r="J936" t="s">
        <v>199</v>
      </c>
      <c r="K936" t="s">
        <v>200</v>
      </c>
    </row>
    <row r="937" spans="1:24">
      <c r="B937" t="s">
        <v>197</v>
      </c>
      <c r="C937" t="s">
        <v>197</v>
      </c>
      <c r="D937" t="s">
        <v>197</v>
      </c>
      <c r="E937" t="s">
        <v>197</v>
      </c>
      <c r="F937" t="s">
        <v>197</v>
      </c>
      <c r="G937" t="s">
        <v>197</v>
      </c>
      <c r="H937" t="s">
        <v>197</v>
      </c>
      <c r="I937" t="s">
        <v>197</v>
      </c>
      <c r="J937" t="s">
        <v>197</v>
      </c>
      <c r="K937" t="s">
        <v>574</v>
      </c>
    </row>
    <row r="938" spans="1:24">
      <c r="A938" t="s">
        <v>1003</v>
      </c>
      <c r="K938" t="s">
        <v>1004</v>
      </c>
      <c r="W938" s="1" t="str">
        <f>HYPERLINK("#2026042016hbase0!AK2","NO 源备存在差异，共2个")</f>
        <v>NO 源备存在差异，共2个</v>
      </c>
      <c r="X938" t="str">
        <f>A938</f>
        <v>info_sql_variant_dml_single_pk_irp</v>
      </c>
    </row>
    <row r="939" spans="1:24">
      <c r="B939" t="s">
        <v>196</v>
      </c>
      <c r="C939" t="s">
        <v>197</v>
      </c>
      <c r="D939" t="s">
        <v>197</v>
      </c>
      <c r="E939" t="s">
        <v>197</v>
      </c>
      <c r="F939" t="s">
        <v>197</v>
      </c>
      <c r="G939" t="s">
        <v>197</v>
      </c>
      <c r="H939" t="s">
        <v>197</v>
      </c>
      <c r="I939" t="s">
        <v>1005</v>
      </c>
      <c r="J939" t="s">
        <v>199</v>
      </c>
      <c r="K939" t="s">
        <v>200</v>
      </c>
    </row>
    <row r="940" spans="1:24">
      <c r="B940" t="s">
        <v>197</v>
      </c>
      <c r="C940" t="s">
        <v>197</v>
      </c>
      <c r="D940" t="s">
        <v>197</v>
      </c>
      <c r="E940" t="s">
        <v>197</v>
      </c>
      <c r="F940" t="s">
        <v>197</v>
      </c>
      <c r="G940" t="s">
        <v>197</v>
      </c>
      <c r="H940" t="s">
        <v>197</v>
      </c>
      <c r="I940" t="s">
        <v>197</v>
      </c>
      <c r="J940" t="s">
        <v>197</v>
      </c>
      <c r="K940" t="s">
        <v>1006</v>
      </c>
    </row>
    <row r="941" spans="1:24">
      <c r="B941" t="s">
        <v>197</v>
      </c>
      <c r="C941" t="s">
        <v>197</v>
      </c>
      <c r="D941" t="s">
        <v>197</v>
      </c>
      <c r="E941" t="s">
        <v>197</v>
      </c>
      <c r="F941" t="s">
        <v>197</v>
      </c>
      <c r="G941" t="s">
        <v>197</v>
      </c>
      <c r="H941" t="s">
        <v>197</v>
      </c>
      <c r="I941" t="s">
        <v>197</v>
      </c>
      <c r="J941" t="s">
        <v>197</v>
      </c>
      <c r="K941" t="s">
        <v>1007</v>
      </c>
    </row>
    <row r="942" spans="1:24">
      <c r="B942" t="s">
        <v>197</v>
      </c>
      <c r="C942" t="s">
        <v>197</v>
      </c>
      <c r="D942" t="s">
        <v>197</v>
      </c>
      <c r="E942" t="s">
        <v>197</v>
      </c>
      <c r="F942" t="s">
        <v>197</v>
      </c>
      <c r="G942" t="s">
        <v>197</v>
      </c>
      <c r="H942" t="s">
        <v>197</v>
      </c>
      <c r="I942" t="s">
        <v>197</v>
      </c>
      <c r="J942" t="s">
        <v>197</v>
      </c>
      <c r="K942" t="s">
        <v>1008</v>
      </c>
    </row>
    <row r="943" spans="1:24">
      <c r="B943" t="s">
        <v>197</v>
      </c>
      <c r="C943" t="s">
        <v>197</v>
      </c>
      <c r="D943" t="s">
        <v>197</v>
      </c>
      <c r="E943" t="s">
        <v>197</v>
      </c>
      <c r="F943" t="s">
        <v>197</v>
      </c>
      <c r="G943" t="s">
        <v>197</v>
      </c>
      <c r="H943" t="s">
        <v>197</v>
      </c>
      <c r="I943" t="s">
        <v>197</v>
      </c>
      <c r="J943" t="s">
        <v>197</v>
      </c>
      <c r="K943" t="s">
        <v>1009</v>
      </c>
    </row>
    <row r="944" spans="1:24">
      <c r="B944" t="s">
        <v>197</v>
      </c>
      <c r="C944" t="s">
        <v>197</v>
      </c>
      <c r="D944" t="s">
        <v>197</v>
      </c>
      <c r="E944" t="s">
        <v>197</v>
      </c>
      <c r="F944" t="s">
        <v>197</v>
      </c>
      <c r="G944" t="s">
        <v>197</v>
      </c>
      <c r="H944" t="s">
        <v>197</v>
      </c>
      <c r="I944" t="s">
        <v>197</v>
      </c>
      <c r="J944" t="s">
        <v>197</v>
      </c>
      <c r="K944" t="s">
        <v>1010</v>
      </c>
    </row>
    <row r="945" spans="2:11">
      <c r="B945" t="s">
        <v>197</v>
      </c>
      <c r="C945" t="s">
        <v>197</v>
      </c>
      <c r="D945" t="s">
        <v>197</v>
      </c>
      <c r="E945" t="s">
        <v>197</v>
      </c>
      <c r="F945" t="s">
        <v>197</v>
      </c>
      <c r="G945" t="s">
        <v>197</v>
      </c>
      <c r="H945" t="s">
        <v>197</v>
      </c>
      <c r="I945" t="s">
        <v>197</v>
      </c>
      <c r="J945" t="s">
        <v>197</v>
      </c>
      <c r="K945" t="s">
        <v>1011</v>
      </c>
    </row>
    <row r="946" spans="2:11">
      <c r="B946" t="s">
        <v>197</v>
      </c>
      <c r="C946" t="s">
        <v>197</v>
      </c>
      <c r="D946" t="s">
        <v>197</v>
      </c>
      <c r="E946" t="s">
        <v>197</v>
      </c>
      <c r="F946" t="s">
        <v>197</v>
      </c>
      <c r="G946" t="s">
        <v>197</v>
      </c>
      <c r="H946" t="s">
        <v>197</v>
      </c>
      <c r="I946" t="s">
        <v>197</v>
      </c>
      <c r="J946" t="s">
        <v>197</v>
      </c>
      <c r="K946" t="s">
        <v>1012</v>
      </c>
    </row>
    <row r="947" spans="2:11">
      <c r="B947" t="s">
        <v>197</v>
      </c>
      <c r="C947" t="s">
        <v>197</v>
      </c>
      <c r="D947" t="s">
        <v>197</v>
      </c>
      <c r="E947" t="s">
        <v>197</v>
      </c>
      <c r="F947" t="s">
        <v>197</v>
      </c>
      <c r="G947" t="s">
        <v>197</v>
      </c>
      <c r="H947" t="s">
        <v>197</v>
      </c>
      <c r="I947" t="s">
        <v>197</v>
      </c>
      <c r="J947" t="s">
        <v>197</v>
      </c>
      <c r="K947" t="s">
        <v>1013</v>
      </c>
    </row>
    <row r="948" spans="2:11">
      <c r="B948" t="s">
        <v>197</v>
      </c>
      <c r="C948" t="s">
        <v>197</v>
      </c>
      <c r="D948" t="s">
        <v>197</v>
      </c>
      <c r="E948" t="s">
        <v>197</v>
      </c>
      <c r="F948" t="s">
        <v>197</v>
      </c>
      <c r="G948" t="s">
        <v>197</v>
      </c>
      <c r="H948" t="s">
        <v>197</v>
      </c>
      <c r="I948" t="s">
        <v>197</v>
      </c>
      <c r="J948" t="s">
        <v>197</v>
      </c>
      <c r="K948" t="s">
        <v>1014</v>
      </c>
    </row>
    <row r="949" spans="2:11">
      <c r="B949" t="s">
        <v>197</v>
      </c>
      <c r="C949" t="s">
        <v>197</v>
      </c>
      <c r="D949" t="s">
        <v>197</v>
      </c>
      <c r="E949" t="s">
        <v>197</v>
      </c>
      <c r="F949" t="s">
        <v>197</v>
      </c>
      <c r="G949" t="s">
        <v>197</v>
      </c>
      <c r="H949" t="s">
        <v>197</v>
      </c>
      <c r="I949" t="s">
        <v>197</v>
      </c>
      <c r="J949" t="s">
        <v>197</v>
      </c>
      <c r="K949" t="s">
        <v>1015</v>
      </c>
    </row>
    <row r="950" spans="2:11">
      <c r="B950" t="s">
        <v>197</v>
      </c>
      <c r="C950" t="s">
        <v>197</v>
      </c>
      <c r="D950" t="s">
        <v>197</v>
      </c>
      <c r="E950" t="s">
        <v>197</v>
      </c>
      <c r="F950" t="s">
        <v>197</v>
      </c>
      <c r="G950" t="s">
        <v>197</v>
      </c>
      <c r="H950" t="s">
        <v>197</v>
      </c>
      <c r="I950" t="s">
        <v>197</v>
      </c>
      <c r="J950" t="s">
        <v>197</v>
      </c>
      <c r="K950" t="s">
        <v>1016</v>
      </c>
    </row>
    <row r="951" spans="2:11">
      <c r="B951" t="s">
        <v>197</v>
      </c>
      <c r="C951" t="s">
        <v>197</v>
      </c>
      <c r="D951" t="s">
        <v>197</v>
      </c>
      <c r="E951" t="s">
        <v>197</v>
      </c>
      <c r="F951" t="s">
        <v>197</v>
      </c>
      <c r="G951" t="s">
        <v>197</v>
      </c>
      <c r="H951" t="s">
        <v>197</v>
      </c>
      <c r="I951" t="s">
        <v>197</v>
      </c>
      <c r="J951" t="s">
        <v>197</v>
      </c>
      <c r="K951" t="s">
        <v>1017</v>
      </c>
    </row>
    <row r="952" spans="2:11">
      <c r="B952" t="s">
        <v>197</v>
      </c>
      <c r="C952" t="s">
        <v>197</v>
      </c>
      <c r="D952" t="s">
        <v>197</v>
      </c>
      <c r="E952" t="s">
        <v>197</v>
      </c>
      <c r="F952" t="s">
        <v>197</v>
      </c>
      <c r="G952" t="s">
        <v>197</v>
      </c>
      <c r="H952" t="s">
        <v>197</v>
      </c>
      <c r="I952" t="s">
        <v>197</v>
      </c>
      <c r="J952" t="s">
        <v>197</v>
      </c>
      <c r="K952" t="s">
        <v>1018</v>
      </c>
    </row>
    <row r="953" spans="2:11">
      <c r="B953" t="s">
        <v>197</v>
      </c>
      <c r="C953" t="s">
        <v>197</v>
      </c>
      <c r="D953" t="s">
        <v>197</v>
      </c>
      <c r="E953" t="s">
        <v>197</v>
      </c>
      <c r="F953" t="s">
        <v>197</v>
      </c>
      <c r="G953" t="s">
        <v>197</v>
      </c>
      <c r="H953" t="s">
        <v>197</v>
      </c>
      <c r="I953" t="s">
        <v>197</v>
      </c>
      <c r="J953" t="s">
        <v>197</v>
      </c>
      <c r="K953" t="s">
        <v>1019</v>
      </c>
    </row>
    <row r="954" spans="2:11">
      <c r="B954" t="s">
        <v>197</v>
      </c>
      <c r="C954" t="s">
        <v>197</v>
      </c>
      <c r="D954" t="s">
        <v>197</v>
      </c>
      <c r="E954" t="s">
        <v>197</v>
      </c>
      <c r="F954" t="s">
        <v>197</v>
      </c>
      <c r="G954" t="s">
        <v>197</v>
      </c>
      <c r="H954" t="s">
        <v>197</v>
      </c>
      <c r="I954" t="s">
        <v>197</v>
      </c>
      <c r="J954" t="s">
        <v>197</v>
      </c>
      <c r="K954" t="s">
        <v>1020</v>
      </c>
    </row>
    <row r="955" spans="2:11">
      <c r="B955" t="s">
        <v>197</v>
      </c>
      <c r="C955" t="s">
        <v>197</v>
      </c>
      <c r="D955" t="s">
        <v>197</v>
      </c>
      <c r="E955" t="s">
        <v>197</v>
      </c>
      <c r="F955" t="s">
        <v>197</v>
      </c>
      <c r="G955" t="s">
        <v>197</v>
      </c>
      <c r="H955" t="s">
        <v>197</v>
      </c>
      <c r="I955" t="s">
        <v>197</v>
      </c>
      <c r="J955" t="s">
        <v>197</v>
      </c>
      <c r="K955" t="s">
        <v>1021</v>
      </c>
    </row>
    <row r="956" spans="2:11">
      <c r="B956" t="s">
        <v>197</v>
      </c>
      <c r="C956" t="s">
        <v>197</v>
      </c>
      <c r="D956" t="s">
        <v>197</v>
      </c>
      <c r="E956" t="s">
        <v>197</v>
      </c>
      <c r="F956" t="s">
        <v>197</v>
      </c>
      <c r="G956" t="s">
        <v>197</v>
      </c>
      <c r="H956" t="s">
        <v>197</v>
      </c>
      <c r="I956" t="s">
        <v>197</v>
      </c>
      <c r="J956" t="s">
        <v>197</v>
      </c>
      <c r="K956" t="s">
        <v>1022</v>
      </c>
    </row>
    <row r="957" spans="2:11">
      <c r="B957" t="s">
        <v>197</v>
      </c>
      <c r="C957" t="s">
        <v>197</v>
      </c>
      <c r="D957" t="s">
        <v>197</v>
      </c>
      <c r="E957" t="s">
        <v>197</v>
      </c>
      <c r="F957" t="s">
        <v>197</v>
      </c>
      <c r="G957" t="s">
        <v>197</v>
      </c>
      <c r="H957" t="s">
        <v>197</v>
      </c>
      <c r="I957" t="s">
        <v>197</v>
      </c>
      <c r="J957" t="s">
        <v>197</v>
      </c>
      <c r="K957" t="s">
        <v>1023</v>
      </c>
    </row>
    <row r="958" spans="2:11">
      <c r="B958" t="s">
        <v>197</v>
      </c>
      <c r="C958" t="s">
        <v>197</v>
      </c>
      <c r="D958" t="s">
        <v>197</v>
      </c>
      <c r="E958" t="s">
        <v>197</v>
      </c>
      <c r="F958" t="s">
        <v>197</v>
      </c>
      <c r="G958" t="s">
        <v>197</v>
      </c>
      <c r="H958" t="s">
        <v>197</v>
      </c>
      <c r="I958" t="s">
        <v>197</v>
      </c>
      <c r="J958" t="s">
        <v>197</v>
      </c>
      <c r="K958" t="s">
        <v>1024</v>
      </c>
    </row>
    <row r="959" spans="2:11">
      <c r="B959" t="s">
        <v>197</v>
      </c>
      <c r="C959" t="s">
        <v>197</v>
      </c>
      <c r="D959" t="s">
        <v>197</v>
      </c>
      <c r="E959" t="s">
        <v>197</v>
      </c>
      <c r="F959" t="s">
        <v>197</v>
      </c>
      <c r="G959" t="s">
        <v>197</v>
      </c>
      <c r="H959" t="s">
        <v>197</v>
      </c>
      <c r="I959" t="s">
        <v>197</v>
      </c>
      <c r="J959" t="s">
        <v>197</v>
      </c>
      <c r="K959" t="s">
        <v>1025</v>
      </c>
    </row>
    <row r="960" spans="2:11">
      <c r="B960" t="s">
        <v>197</v>
      </c>
      <c r="C960" t="s">
        <v>197</v>
      </c>
      <c r="D960" t="s">
        <v>197</v>
      </c>
      <c r="E960" t="s">
        <v>197</v>
      </c>
      <c r="F960" t="s">
        <v>197</v>
      </c>
      <c r="G960" t="s">
        <v>197</v>
      </c>
      <c r="H960" t="s">
        <v>197</v>
      </c>
      <c r="I960" t="s">
        <v>197</v>
      </c>
      <c r="J960" t="s">
        <v>197</v>
      </c>
      <c r="K960" t="s">
        <v>1026</v>
      </c>
    </row>
    <row r="961" spans="1:24">
      <c r="B961" t="s">
        <v>197</v>
      </c>
      <c r="C961" t="s">
        <v>197</v>
      </c>
      <c r="D961" t="s">
        <v>197</v>
      </c>
      <c r="E961" t="s">
        <v>197</v>
      </c>
      <c r="F961" t="s">
        <v>197</v>
      </c>
      <c r="G961" t="s">
        <v>197</v>
      </c>
      <c r="H961" t="s">
        <v>197</v>
      </c>
      <c r="I961" t="s">
        <v>197</v>
      </c>
      <c r="J961" t="s">
        <v>197</v>
      </c>
      <c r="K961" t="s">
        <v>1027</v>
      </c>
    </row>
    <row r="962" spans="1:24">
      <c r="B962" t="s">
        <v>197</v>
      </c>
      <c r="C962" t="s">
        <v>197</v>
      </c>
      <c r="D962" t="s">
        <v>197</v>
      </c>
      <c r="E962" t="s">
        <v>197</v>
      </c>
      <c r="F962" t="s">
        <v>197</v>
      </c>
      <c r="G962" t="s">
        <v>197</v>
      </c>
      <c r="H962" t="s">
        <v>197</v>
      </c>
      <c r="I962" t="s">
        <v>197</v>
      </c>
      <c r="J962" t="s">
        <v>197</v>
      </c>
      <c r="K962" t="s">
        <v>1028</v>
      </c>
    </row>
    <row r="963" spans="1:24">
      <c r="B963" t="s">
        <v>197</v>
      </c>
      <c r="C963" t="s">
        <v>197</v>
      </c>
      <c r="D963" t="s">
        <v>197</v>
      </c>
      <c r="E963" t="s">
        <v>197</v>
      </c>
      <c r="F963" t="s">
        <v>197</v>
      </c>
      <c r="G963" t="s">
        <v>197</v>
      </c>
      <c r="H963" t="s">
        <v>197</v>
      </c>
      <c r="I963" t="s">
        <v>197</v>
      </c>
      <c r="J963" t="s">
        <v>197</v>
      </c>
      <c r="K963" t="s">
        <v>1029</v>
      </c>
    </row>
    <row r="964" spans="1:24">
      <c r="A964" t="s">
        <v>1030</v>
      </c>
      <c r="K964" t="s">
        <v>1031</v>
      </c>
      <c r="W964" t="s">
        <v>171</v>
      </c>
      <c r="X964" t="str">
        <f>A964</f>
        <v>info_varcharmax_dml_batch1_pk</v>
      </c>
    </row>
    <row r="965" spans="1:24">
      <c r="B965" t="s">
        <v>196</v>
      </c>
      <c r="C965" t="s">
        <v>197</v>
      </c>
      <c r="D965" t="s">
        <v>197</v>
      </c>
      <c r="E965" t="s">
        <v>197</v>
      </c>
      <c r="F965" t="s">
        <v>197</v>
      </c>
      <c r="G965" t="s">
        <v>197</v>
      </c>
      <c r="H965" t="s">
        <v>197</v>
      </c>
      <c r="I965" t="s">
        <v>1032</v>
      </c>
      <c r="J965" t="s">
        <v>199</v>
      </c>
      <c r="K965" t="s">
        <v>200</v>
      </c>
    </row>
    <row r="966" spans="1:24">
      <c r="B966" t="s">
        <v>197</v>
      </c>
      <c r="C966" t="s">
        <v>197</v>
      </c>
      <c r="D966" t="s">
        <v>197</v>
      </c>
      <c r="E966" t="s">
        <v>197</v>
      </c>
      <c r="F966" t="s">
        <v>197</v>
      </c>
      <c r="G966" t="s">
        <v>197</v>
      </c>
      <c r="H966" t="s">
        <v>197</v>
      </c>
      <c r="I966" t="s">
        <v>197</v>
      </c>
      <c r="J966" t="s">
        <v>197</v>
      </c>
      <c r="K966" t="s">
        <v>725</v>
      </c>
    </row>
    <row r="967" spans="1:24">
      <c r="B967" t="s">
        <v>197</v>
      </c>
      <c r="C967" t="s">
        <v>197</v>
      </c>
      <c r="D967" t="s">
        <v>197</v>
      </c>
      <c r="E967" t="s">
        <v>197</v>
      </c>
      <c r="F967" t="s">
        <v>197</v>
      </c>
      <c r="G967" t="s">
        <v>197</v>
      </c>
      <c r="H967" t="s">
        <v>197</v>
      </c>
      <c r="I967" t="s">
        <v>197</v>
      </c>
      <c r="J967" t="s">
        <v>197</v>
      </c>
      <c r="K967" t="s">
        <v>726</v>
      </c>
    </row>
    <row r="968" spans="1:24">
      <c r="K968" t="s">
        <v>443</v>
      </c>
    </row>
    <row r="969" spans="1:24">
      <c r="A969" t="s">
        <v>1036</v>
      </c>
      <c r="K969" t="s">
        <v>1037</v>
      </c>
      <c r="W969" t="s">
        <v>171</v>
      </c>
      <c r="X969" t="str">
        <f>A969</f>
        <v>info_uniqueidentifier_dml_single_pk_irp</v>
      </c>
    </row>
    <row r="970" spans="1:24">
      <c r="B970" t="s">
        <v>196</v>
      </c>
      <c r="C970" t="s">
        <v>197</v>
      </c>
      <c r="D970" t="s">
        <v>197</v>
      </c>
      <c r="E970" t="s">
        <v>197</v>
      </c>
      <c r="F970" t="s">
        <v>197</v>
      </c>
      <c r="G970" t="s">
        <v>197</v>
      </c>
      <c r="H970" t="s">
        <v>197</v>
      </c>
      <c r="I970" t="s">
        <v>1038</v>
      </c>
      <c r="J970" t="s">
        <v>199</v>
      </c>
      <c r="K970" t="s">
        <v>200</v>
      </c>
    </row>
    <row r="971" spans="1:24">
      <c r="B971" t="s">
        <v>197</v>
      </c>
      <c r="C971" t="s">
        <v>197</v>
      </c>
      <c r="D971" t="s">
        <v>197</v>
      </c>
      <c r="E971" t="s">
        <v>197</v>
      </c>
      <c r="F971" t="s">
        <v>197</v>
      </c>
      <c r="G971" t="s">
        <v>197</v>
      </c>
      <c r="H971" t="s">
        <v>197</v>
      </c>
      <c r="I971" t="s">
        <v>197</v>
      </c>
      <c r="J971" t="s">
        <v>197</v>
      </c>
      <c r="K971" t="s">
        <v>1039</v>
      </c>
    </row>
    <row r="972" spans="1:24">
      <c r="A972" t="s">
        <v>1040</v>
      </c>
      <c r="K972" t="s">
        <v>1041</v>
      </c>
      <c r="W972" t="s">
        <v>171</v>
      </c>
      <c r="X972" t="str">
        <f>A972</f>
        <v>info_datetime2_dml_single_pk_irp</v>
      </c>
    </row>
    <row r="973" spans="1:24">
      <c r="B973" t="s">
        <v>196</v>
      </c>
      <c r="C973" t="s">
        <v>197</v>
      </c>
      <c r="D973" t="s">
        <v>197</v>
      </c>
      <c r="E973" t="s">
        <v>197</v>
      </c>
      <c r="F973" t="s">
        <v>197</v>
      </c>
      <c r="G973" t="s">
        <v>197</v>
      </c>
      <c r="H973" t="s">
        <v>197</v>
      </c>
      <c r="I973" t="s">
        <v>1042</v>
      </c>
      <c r="J973" t="s">
        <v>199</v>
      </c>
      <c r="K973" t="s">
        <v>200</v>
      </c>
    </row>
    <row r="974" spans="1:24">
      <c r="B974" t="s">
        <v>197</v>
      </c>
      <c r="C974" t="s">
        <v>197</v>
      </c>
      <c r="D974" t="s">
        <v>197</v>
      </c>
      <c r="E974" t="s">
        <v>197</v>
      </c>
      <c r="F974" t="s">
        <v>197</v>
      </c>
      <c r="G974" t="s">
        <v>197</v>
      </c>
      <c r="H974" t="s">
        <v>197</v>
      </c>
      <c r="I974" t="s">
        <v>197</v>
      </c>
      <c r="J974" t="s">
        <v>197</v>
      </c>
      <c r="K974" t="s">
        <v>667</v>
      </c>
    </row>
    <row r="975" spans="1:24">
      <c r="B975" t="s">
        <v>197</v>
      </c>
      <c r="C975" t="s">
        <v>197</v>
      </c>
      <c r="D975" t="s">
        <v>197</v>
      </c>
      <c r="E975" t="s">
        <v>197</v>
      </c>
      <c r="F975" t="s">
        <v>197</v>
      </c>
      <c r="G975" t="s">
        <v>197</v>
      </c>
      <c r="H975" t="s">
        <v>197</v>
      </c>
      <c r="I975" t="s">
        <v>197</v>
      </c>
      <c r="J975" t="s">
        <v>197</v>
      </c>
      <c r="K975" t="s">
        <v>668</v>
      </c>
    </row>
    <row r="976" spans="1:24">
      <c r="B976" t="s">
        <v>197</v>
      </c>
      <c r="C976" t="s">
        <v>197</v>
      </c>
      <c r="D976" t="s">
        <v>197</v>
      </c>
      <c r="E976" t="s">
        <v>197</v>
      </c>
      <c r="F976" t="s">
        <v>197</v>
      </c>
      <c r="G976" t="s">
        <v>197</v>
      </c>
      <c r="H976" t="s">
        <v>197</v>
      </c>
      <c r="I976" t="s">
        <v>197</v>
      </c>
      <c r="J976" t="s">
        <v>197</v>
      </c>
      <c r="K976" t="s">
        <v>669</v>
      </c>
    </row>
    <row r="977" spans="1:24">
      <c r="B977" t="s">
        <v>197</v>
      </c>
      <c r="C977" t="s">
        <v>197</v>
      </c>
      <c r="D977" t="s">
        <v>197</v>
      </c>
      <c r="E977" t="s">
        <v>197</v>
      </c>
      <c r="F977" t="s">
        <v>197</v>
      </c>
      <c r="G977" t="s">
        <v>197</v>
      </c>
      <c r="H977" t="s">
        <v>197</v>
      </c>
      <c r="I977" t="s">
        <v>197</v>
      </c>
      <c r="J977" t="s">
        <v>197</v>
      </c>
      <c r="K977" t="s">
        <v>670</v>
      </c>
    </row>
    <row r="978" spans="1:24">
      <c r="B978" t="s">
        <v>197</v>
      </c>
      <c r="C978" t="s">
        <v>197</v>
      </c>
      <c r="D978" t="s">
        <v>197</v>
      </c>
      <c r="E978" t="s">
        <v>197</v>
      </c>
      <c r="F978" t="s">
        <v>197</v>
      </c>
      <c r="G978" t="s">
        <v>197</v>
      </c>
      <c r="H978" t="s">
        <v>197</v>
      </c>
      <c r="I978" t="s">
        <v>197</v>
      </c>
      <c r="J978" t="s">
        <v>197</v>
      </c>
      <c r="K978" t="s">
        <v>671</v>
      </c>
    </row>
    <row r="979" spans="1:24">
      <c r="B979" t="s">
        <v>197</v>
      </c>
      <c r="C979" t="s">
        <v>197</v>
      </c>
      <c r="D979" t="s">
        <v>197</v>
      </c>
      <c r="E979" t="s">
        <v>197</v>
      </c>
      <c r="F979" t="s">
        <v>197</v>
      </c>
      <c r="G979" t="s">
        <v>197</v>
      </c>
      <c r="H979" t="s">
        <v>197</v>
      </c>
      <c r="I979" t="s">
        <v>197</v>
      </c>
      <c r="J979" t="s">
        <v>197</v>
      </c>
      <c r="K979" t="s">
        <v>672</v>
      </c>
    </row>
    <row r="980" spans="1:24">
      <c r="B980" t="s">
        <v>197</v>
      </c>
      <c r="C980" t="s">
        <v>197</v>
      </c>
      <c r="D980" t="s">
        <v>197</v>
      </c>
      <c r="E980" t="s">
        <v>197</v>
      </c>
      <c r="F980" t="s">
        <v>197</v>
      </c>
      <c r="G980" t="s">
        <v>197</v>
      </c>
      <c r="H980" t="s">
        <v>197</v>
      </c>
      <c r="I980" t="s">
        <v>197</v>
      </c>
      <c r="J980" t="s">
        <v>197</v>
      </c>
      <c r="K980" t="s">
        <v>673</v>
      </c>
    </row>
    <row r="981" spans="1:24">
      <c r="B981" t="s">
        <v>197</v>
      </c>
      <c r="C981" t="s">
        <v>197</v>
      </c>
      <c r="D981" t="s">
        <v>197</v>
      </c>
      <c r="E981" t="s">
        <v>197</v>
      </c>
      <c r="F981" t="s">
        <v>197</v>
      </c>
      <c r="G981" t="s">
        <v>197</v>
      </c>
      <c r="H981" t="s">
        <v>197</v>
      </c>
      <c r="I981" t="s">
        <v>197</v>
      </c>
      <c r="J981" t="s">
        <v>197</v>
      </c>
      <c r="K981" t="s">
        <v>674</v>
      </c>
    </row>
    <row r="982" spans="1:24">
      <c r="A982" t="s">
        <v>1033</v>
      </c>
      <c r="K982" t="s">
        <v>1034</v>
      </c>
      <c r="W982" t="s">
        <v>171</v>
      </c>
      <c r="X982" t="str">
        <f>A982</f>
        <v>info_nvarchar_dml_batch1_pk_irp2</v>
      </c>
    </row>
    <row r="983" spans="1:24">
      <c r="B983" t="s">
        <v>196</v>
      </c>
      <c r="C983" t="s">
        <v>197</v>
      </c>
      <c r="D983" t="s">
        <v>197</v>
      </c>
      <c r="E983" t="s">
        <v>197</v>
      </c>
      <c r="F983" t="s">
        <v>197</v>
      </c>
      <c r="G983" t="s">
        <v>197</v>
      </c>
      <c r="H983" t="s">
        <v>197</v>
      </c>
      <c r="I983" t="s">
        <v>1035</v>
      </c>
      <c r="J983" t="s">
        <v>199</v>
      </c>
      <c r="K983" t="s">
        <v>200</v>
      </c>
    </row>
    <row r="984" spans="1:24">
      <c r="B984" t="s">
        <v>197</v>
      </c>
      <c r="C984" t="s">
        <v>197</v>
      </c>
      <c r="D984" t="s">
        <v>197</v>
      </c>
      <c r="E984" t="s">
        <v>197</v>
      </c>
      <c r="F984" t="s">
        <v>197</v>
      </c>
      <c r="G984" t="s">
        <v>197</v>
      </c>
      <c r="H984" t="s">
        <v>197</v>
      </c>
      <c r="I984" t="s">
        <v>197</v>
      </c>
      <c r="J984" t="s">
        <v>197</v>
      </c>
      <c r="K984" t="s">
        <v>408</v>
      </c>
    </row>
    <row r="985" spans="1:24">
      <c r="B985" t="s">
        <v>197</v>
      </c>
      <c r="C985" t="s">
        <v>197</v>
      </c>
      <c r="D985" t="s">
        <v>197</v>
      </c>
      <c r="E985" t="s">
        <v>197</v>
      </c>
      <c r="F985" t="s">
        <v>197</v>
      </c>
      <c r="G985" t="s">
        <v>197</v>
      </c>
      <c r="H985" t="s">
        <v>197</v>
      </c>
      <c r="I985" t="s">
        <v>197</v>
      </c>
      <c r="J985" t="s">
        <v>197</v>
      </c>
      <c r="K985" t="s">
        <v>412</v>
      </c>
    </row>
    <row r="986" spans="1:24">
      <c r="B986" t="s">
        <v>197</v>
      </c>
      <c r="C986" t="s">
        <v>197</v>
      </c>
      <c r="D986" t="s">
        <v>197</v>
      </c>
      <c r="E986" t="s">
        <v>197</v>
      </c>
      <c r="F986" t="s">
        <v>197</v>
      </c>
      <c r="G986" t="s">
        <v>197</v>
      </c>
      <c r="H986" t="s">
        <v>197</v>
      </c>
      <c r="I986" t="s">
        <v>197</v>
      </c>
      <c r="J986" t="s">
        <v>197</v>
      </c>
      <c r="K986" t="s">
        <v>416</v>
      </c>
    </row>
    <row r="987" spans="1:24">
      <c r="A987" t="s">
        <v>1043</v>
      </c>
      <c r="K987" t="s">
        <v>1044</v>
      </c>
      <c r="W987" t="s">
        <v>171</v>
      </c>
      <c r="X987" t="str">
        <f>A987</f>
        <v>info_char_dml_single_pk</v>
      </c>
    </row>
    <row r="988" spans="1:24">
      <c r="B988" t="s">
        <v>196</v>
      </c>
      <c r="C988" t="s">
        <v>197</v>
      </c>
      <c r="D988" t="s">
        <v>197</v>
      </c>
      <c r="E988" t="s">
        <v>197</v>
      </c>
      <c r="F988" t="s">
        <v>197</v>
      </c>
      <c r="G988" t="s">
        <v>197</v>
      </c>
      <c r="H988" t="s">
        <v>197</v>
      </c>
      <c r="I988" t="s">
        <v>1045</v>
      </c>
      <c r="J988" t="s">
        <v>199</v>
      </c>
      <c r="K988" t="s">
        <v>200</v>
      </c>
    </row>
    <row r="989" spans="1:24">
      <c r="B989" t="s">
        <v>197</v>
      </c>
      <c r="C989" t="s">
        <v>197</v>
      </c>
      <c r="D989" t="s">
        <v>197</v>
      </c>
      <c r="E989" t="s">
        <v>197</v>
      </c>
      <c r="F989" t="s">
        <v>197</v>
      </c>
      <c r="G989" t="s">
        <v>197</v>
      </c>
      <c r="H989" t="s">
        <v>197</v>
      </c>
      <c r="I989" t="s">
        <v>197</v>
      </c>
      <c r="J989" t="s">
        <v>197</v>
      </c>
      <c r="K989" t="s">
        <v>622</v>
      </c>
    </row>
    <row r="990" spans="1:24">
      <c r="B990" t="s">
        <v>197</v>
      </c>
      <c r="C990" t="s">
        <v>197</v>
      </c>
      <c r="D990" t="s">
        <v>197</v>
      </c>
      <c r="E990" t="s">
        <v>197</v>
      </c>
      <c r="F990" t="s">
        <v>197</v>
      </c>
      <c r="G990" t="s">
        <v>197</v>
      </c>
      <c r="H990" t="s">
        <v>197</v>
      </c>
      <c r="I990" t="s">
        <v>197</v>
      </c>
      <c r="J990" t="s">
        <v>197</v>
      </c>
      <c r="K990" t="s">
        <v>623</v>
      </c>
    </row>
    <row r="991" spans="1:24">
      <c r="B991" t="s">
        <v>197</v>
      </c>
      <c r="C991" t="s">
        <v>197</v>
      </c>
      <c r="D991" t="s">
        <v>197</v>
      </c>
      <c r="E991" t="s">
        <v>197</v>
      </c>
      <c r="F991" t="s">
        <v>197</v>
      </c>
      <c r="G991" t="s">
        <v>197</v>
      </c>
      <c r="H991" t="s">
        <v>197</v>
      </c>
      <c r="I991" t="s">
        <v>197</v>
      </c>
      <c r="J991" t="s">
        <v>197</v>
      </c>
      <c r="K991" t="s">
        <v>832</v>
      </c>
    </row>
    <row r="992" spans="1:24">
      <c r="A992" t="s">
        <v>1046</v>
      </c>
      <c r="K992" t="s">
        <v>1047</v>
      </c>
      <c r="W992" t="s">
        <v>171</v>
      </c>
      <c r="X992" t="str">
        <f>A992</f>
        <v>info_varbinary_dml_batch1_pk_irp1</v>
      </c>
    </row>
    <row r="993" spans="1:24">
      <c r="B993" t="s">
        <v>196</v>
      </c>
      <c r="C993" t="s">
        <v>197</v>
      </c>
      <c r="D993" t="s">
        <v>197</v>
      </c>
      <c r="E993" t="s">
        <v>197</v>
      </c>
      <c r="F993" t="s">
        <v>197</v>
      </c>
      <c r="G993" t="s">
        <v>197</v>
      </c>
      <c r="H993" t="s">
        <v>197</v>
      </c>
      <c r="I993" t="s">
        <v>1048</v>
      </c>
      <c r="J993" t="s">
        <v>199</v>
      </c>
      <c r="K993" t="s">
        <v>200</v>
      </c>
    </row>
    <row r="994" spans="1:24">
      <c r="B994" t="s">
        <v>197</v>
      </c>
      <c r="C994" t="s">
        <v>197</v>
      </c>
      <c r="D994" t="s">
        <v>197</v>
      </c>
      <c r="E994" t="s">
        <v>197</v>
      </c>
      <c r="F994" t="s">
        <v>197</v>
      </c>
      <c r="G994" t="s">
        <v>197</v>
      </c>
      <c r="H994" t="s">
        <v>197</v>
      </c>
      <c r="I994" t="s">
        <v>197</v>
      </c>
      <c r="J994" t="s">
        <v>197</v>
      </c>
      <c r="K994" t="s">
        <v>495</v>
      </c>
    </row>
    <row r="995" spans="1:24">
      <c r="B995" t="s">
        <v>197</v>
      </c>
      <c r="C995" t="s">
        <v>197</v>
      </c>
      <c r="D995" t="s">
        <v>197</v>
      </c>
      <c r="E995" t="s">
        <v>197</v>
      </c>
      <c r="F995" t="s">
        <v>197</v>
      </c>
      <c r="G995" t="s">
        <v>197</v>
      </c>
      <c r="H995" t="s">
        <v>197</v>
      </c>
      <c r="I995" t="s">
        <v>197</v>
      </c>
      <c r="J995" t="s">
        <v>197</v>
      </c>
      <c r="K995" t="s">
        <v>499</v>
      </c>
    </row>
    <row r="996" spans="1:24">
      <c r="B996" t="s">
        <v>197</v>
      </c>
      <c r="C996" t="s">
        <v>197</v>
      </c>
      <c r="D996" t="s">
        <v>197</v>
      </c>
      <c r="E996" t="s">
        <v>197</v>
      </c>
      <c r="F996" t="s">
        <v>197</v>
      </c>
      <c r="G996" t="s">
        <v>197</v>
      </c>
      <c r="H996" t="s">
        <v>197</v>
      </c>
      <c r="I996" t="s">
        <v>197</v>
      </c>
      <c r="J996" t="s">
        <v>197</v>
      </c>
      <c r="K996" t="s">
        <v>503</v>
      </c>
    </row>
    <row r="997" spans="1:24">
      <c r="A997" t="s">
        <v>1049</v>
      </c>
      <c r="K997" t="s">
        <v>1050</v>
      </c>
      <c r="W997" s="1" t="str">
        <f>HYPERLINK("#2026042016hbase0!AL2","NO 源备存在差异，共8个")</f>
        <v>NO 源备存在差异，共8个</v>
      </c>
      <c r="X997" t="str">
        <f>A997</f>
        <v>info_geography_dml_single_pk_irp</v>
      </c>
    </row>
    <row r="998" spans="1:24">
      <c r="B998" t="s">
        <v>196</v>
      </c>
      <c r="C998" t="s">
        <v>197</v>
      </c>
      <c r="D998" t="s">
        <v>197</v>
      </c>
      <c r="E998" t="s">
        <v>197</v>
      </c>
      <c r="F998" t="s">
        <v>197</v>
      </c>
      <c r="G998" t="s">
        <v>197</v>
      </c>
      <c r="H998" t="s">
        <v>197</v>
      </c>
      <c r="I998" t="s">
        <v>1051</v>
      </c>
      <c r="J998" t="s">
        <v>199</v>
      </c>
      <c r="K998" t="s">
        <v>200</v>
      </c>
    </row>
    <row r="999" spans="1:24">
      <c r="B999" t="s">
        <v>197</v>
      </c>
      <c r="C999" t="s">
        <v>197</v>
      </c>
      <c r="D999" t="s">
        <v>197</v>
      </c>
      <c r="E999" t="s">
        <v>197</v>
      </c>
      <c r="F999" t="s">
        <v>197</v>
      </c>
      <c r="G999" t="s">
        <v>197</v>
      </c>
      <c r="H999" t="s">
        <v>197</v>
      </c>
      <c r="I999" t="s">
        <v>197</v>
      </c>
      <c r="J999" t="s">
        <v>197</v>
      </c>
      <c r="K999" t="s">
        <v>1052</v>
      </c>
    </row>
    <row r="1000" spans="1:24">
      <c r="A1000" t="s">
        <v>1053</v>
      </c>
      <c r="K1000" t="s">
        <v>1054</v>
      </c>
      <c r="W1000" t="s">
        <v>171</v>
      </c>
      <c r="X1000" t="str">
        <f>A1000</f>
        <v>info_varchar_dml_single_pk_irp</v>
      </c>
    </row>
    <row r="1001" spans="1:24">
      <c r="B1001" t="s">
        <v>196</v>
      </c>
      <c r="C1001" t="s">
        <v>197</v>
      </c>
      <c r="D1001" t="s">
        <v>197</v>
      </c>
      <c r="E1001" t="s">
        <v>197</v>
      </c>
      <c r="F1001" t="s">
        <v>197</v>
      </c>
      <c r="G1001" t="s">
        <v>197</v>
      </c>
      <c r="H1001" t="s">
        <v>197</v>
      </c>
      <c r="I1001" t="s">
        <v>1055</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1056</v>
      </c>
    </row>
    <row r="1004" spans="1:24">
      <c r="B1004" t="s">
        <v>197</v>
      </c>
      <c r="C1004" t="s">
        <v>197</v>
      </c>
      <c r="D1004" t="s">
        <v>197</v>
      </c>
      <c r="E1004" t="s">
        <v>197</v>
      </c>
      <c r="F1004" t="s">
        <v>197</v>
      </c>
      <c r="G1004" t="s">
        <v>197</v>
      </c>
      <c r="H1004" t="s">
        <v>197</v>
      </c>
      <c r="I1004" t="s">
        <v>197</v>
      </c>
      <c r="J1004" t="s">
        <v>197</v>
      </c>
      <c r="K1004" t="s">
        <v>963</v>
      </c>
    </row>
    <row r="1005" spans="1:24">
      <c r="A1005" t="s">
        <v>1057</v>
      </c>
      <c r="K1005" t="s">
        <v>1058</v>
      </c>
      <c r="W1005" t="s">
        <v>171</v>
      </c>
      <c r="X1005" t="str">
        <f>A1005</f>
        <v>info_time_dml_batch2_pk_irp1</v>
      </c>
    </row>
    <row r="1006" spans="1:24">
      <c r="B1006" t="s">
        <v>196</v>
      </c>
      <c r="C1006" t="s">
        <v>197</v>
      </c>
      <c r="D1006" t="s">
        <v>197</v>
      </c>
      <c r="E1006" t="s">
        <v>197</v>
      </c>
      <c r="F1006" t="s">
        <v>197</v>
      </c>
      <c r="G1006" t="s">
        <v>197</v>
      </c>
      <c r="H1006" t="s">
        <v>197</v>
      </c>
      <c r="I1006" t="s">
        <v>1059</v>
      </c>
      <c r="J1006" t="s">
        <v>199</v>
      </c>
      <c r="K1006" t="s">
        <v>200</v>
      </c>
    </row>
    <row r="1007" spans="1:24">
      <c r="B1007" t="s">
        <v>197</v>
      </c>
      <c r="C1007" t="s">
        <v>197</v>
      </c>
      <c r="D1007" t="s">
        <v>197</v>
      </c>
      <c r="E1007" t="s">
        <v>197</v>
      </c>
      <c r="F1007" t="s">
        <v>197</v>
      </c>
      <c r="G1007" t="s">
        <v>197</v>
      </c>
      <c r="H1007" t="s">
        <v>197</v>
      </c>
      <c r="I1007" t="s">
        <v>197</v>
      </c>
      <c r="J1007" t="s">
        <v>197</v>
      </c>
      <c r="K1007" t="s">
        <v>800</v>
      </c>
    </row>
    <row r="1008" spans="1:24">
      <c r="B1008" t="s">
        <v>197</v>
      </c>
      <c r="C1008" t="s">
        <v>197</v>
      </c>
      <c r="D1008" t="s">
        <v>197</v>
      </c>
      <c r="E1008" t="s">
        <v>197</v>
      </c>
      <c r="F1008" t="s">
        <v>197</v>
      </c>
      <c r="G1008" t="s">
        <v>197</v>
      </c>
      <c r="H1008" t="s">
        <v>197</v>
      </c>
      <c r="I1008" t="s">
        <v>197</v>
      </c>
      <c r="J1008" t="s">
        <v>197</v>
      </c>
      <c r="K1008" t="s">
        <v>801</v>
      </c>
    </row>
    <row r="1009" spans="1:24">
      <c r="B1009" t="s">
        <v>197</v>
      </c>
      <c r="C1009" t="s">
        <v>197</v>
      </c>
      <c r="D1009" t="s">
        <v>197</v>
      </c>
      <c r="E1009" t="s">
        <v>197</v>
      </c>
      <c r="F1009" t="s">
        <v>197</v>
      </c>
      <c r="G1009" t="s">
        <v>197</v>
      </c>
      <c r="H1009" t="s">
        <v>197</v>
      </c>
      <c r="I1009" t="s">
        <v>197</v>
      </c>
      <c r="J1009" t="s">
        <v>197</v>
      </c>
      <c r="K1009" t="s">
        <v>802</v>
      </c>
    </row>
    <row r="1010" spans="1:24">
      <c r="B1010" t="s">
        <v>197</v>
      </c>
      <c r="C1010" t="s">
        <v>197</v>
      </c>
      <c r="D1010" t="s">
        <v>197</v>
      </c>
      <c r="E1010" t="s">
        <v>197</v>
      </c>
      <c r="F1010" t="s">
        <v>197</v>
      </c>
      <c r="G1010" t="s">
        <v>197</v>
      </c>
      <c r="H1010" t="s">
        <v>197</v>
      </c>
      <c r="I1010" t="s">
        <v>197</v>
      </c>
      <c r="J1010" t="s">
        <v>197</v>
      </c>
      <c r="K1010" t="s">
        <v>803</v>
      </c>
    </row>
    <row r="1011" spans="1:24">
      <c r="B1011" t="s">
        <v>197</v>
      </c>
      <c r="C1011" t="s">
        <v>197</v>
      </c>
      <c r="D1011" t="s">
        <v>197</v>
      </c>
      <c r="E1011" t="s">
        <v>197</v>
      </c>
      <c r="F1011" t="s">
        <v>197</v>
      </c>
      <c r="G1011" t="s">
        <v>197</v>
      </c>
      <c r="H1011" t="s">
        <v>197</v>
      </c>
      <c r="I1011" t="s">
        <v>197</v>
      </c>
      <c r="J1011" t="s">
        <v>197</v>
      </c>
      <c r="K1011" t="s">
        <v>804</v>
      </c>
    </row>
    <row r="1012" spans="1:24">
      <c r="B1012" t="s">
        <v>197</v>
      </c>
      <c r="C1012" t="s">
        <v>197</v>
      </c>
      <c r="D1012" t="s">
        <v>197</v>
      </c>
      <c r="E1012" t="s">
        <v>197</v>
      </c>
      <c r="F1012" t="s">
        <v>197</v>
      </c>
      <c r="G1012" t="s">
        <v>197</v>
      </c>
      <c r="H1012" t="s">
        <v>197</v>
      </c>
      <c r="I1012" t="s">
        <v>197</v>
      </c>
      <c r="J1012" t="s">
        <v>197</v>
      </c>
      <c r="K1012" t="s">
        <v>805</v>
      </c>
    </row>
    <row r="1013" spans="1:24">
      <c r="B1013" t="s">
        <v>197</v>
      </c>
      <c r="C1013" t="s">
        <v>197</v>
      </c>
      <c r="D1013" t="s">
        <v>197</v>
      </c>
      <c r="E1013" t="s">
        <v>197</v>
      </c>
      <c r="F1013" t="s">
        <v>197</v>
      </c>
      <c r="G1013" t="s">
        <v>197</v>
      </c>
      <c r="H1013" t="s">
        <v>197</v>
      </c>
      <c r="I1013" t="s">
        <v>197</v>
      </c>
      <c r="J1013" t="s">
        <v>197</v>
      </c>
      <c r="K1013" t="s">
        <v>806</v>
      </c>
    </row>
    <row r="1014" spans="1:24">
      <c r="B1014" t="s">
        <v>197</v>
      </c>
      <c r="C1014" t="s">
        <v>197</v>
      </c>
      <c r="D1014" t="s">
        <v>197</v>
      </c>
      <c r="E1014" t="s">
        <v>197</v>
      </c>
      <c r="F1014" t="s">
        <v>197</v>
      </c>
      <c r="G1014" t="s">
        <v>197</v>
      </c>
      <c r="H1014" t="s">
        <v>197</v>
      </c>
      <c r="I1014" t="s">
        <v>197</v>
      </c>
      <c r="J1014" t="s">
        <v>197</v>
      </c>
      <c r="K1014" t="s">
        <v>807</v>
      </c>
    </row>
    <row r="1015" spans="1:24">
      <c r="A1015" t="s">
        <v>1060</v>
      </c>
      <c r="K1015" t="s">
        <v>1061</v>
      </c>
      <c r="W1015" t="s">
        <v>171</v>
      </c>
      <c r="X1015" t="str">
        <f>A1015</f>
        <v>info_varchar_dml_batch2_pk_irp1</v>
      </c>
    </row>
    <row r="1016" spans="1:24">
      <c r="B1016" t="s">
        <v>196</v>
      </c>
      <c r="C1016" t="s">
        <v>197</v>
      </c>
      <c r="D1016" t="s">
        <v>197</v>
      </c>
      <c r="E1016" t="s">
        <v>197</v>
      </c>
      <c r="F1016" t="s">
        <v>197</v>
      </c>
      <c r="G1016" t="s">
        <v>197</v>
      </c>
      <c r="H1016" t="s">
        <v>197</v>
      </c>
      <c r="I1016" t="s">
        <v>1062</v>
      </c>
      <c r="J1016" t="s">
        <v>199</v>
      </c>
      <c r="K1016" t="s">
        <v>200</v>
      </c>
    </row>
    <row r="1017" spans="1:24">
      <c r="B1017" t="s">
        <v>197</v>
      </c>
      <c r="C1017" t="s">
        <v>197</v>
      </c>
      <c r="D1017" t="s">
        <v>197</v>
      </c>
      <c r="E1017" t="s">
        <v>197</v>
      </c>
      <c r="F1017" t="s">
        <v>197</v>
      </c>
      <c r="G1017" t="s">
        <v>197</v>
      </c>
      <c r="H1017" t="s">
        <v>197</v>
      </c>
      <c r="I1017" t="s">
        <v>197</v>
      </c>
      <c r="J1017" t="s">
        <v>197</v>
      </c>
      <c r="K1017" t="s">
        <v>431</v>
      </c>
    </row>
    <row r="1018" spans="1:24">
      <c r="B1018" t="s">
        <v>197</v>
      </c>
      <c r="C1018" t="s">
        <v>197</v>
      </c>
      <c r="D1018" t="s">
        <v>197</v>
      </c>
      <c r="E1018" t="s">
        <v>197</v>
      </c>
      <c r="F1018" t="s">
        <v>197</v>
      </c>
      <c r="G1018" t="s">
        <v>197</v>
      </c>
      <c r="H1018" t="s">
        <v>197</v>
      </c>
      <c r="I1018" t="s">
        <v>197</v>
      </c>
      <c r="J1018" t="s">
        <v>197</v>
      </c>
      <c r="K1018" t="s">
        <v>434</v>
      </c>
    </row>
    <row r="1019" spans="1:24">
      <c r="B1019" t="s">
        <v>197</v>
      </c>
      <c r="C1019" t="s">
        <v>197</v>
      </c>
      <c r="D1019" t="s">
        <v>197</v>
      </c>
      <c r="E1019" t="s">
        <v>197</v>
      </c>
      <c r="F1019" t="s">
        <v>197</v>
      </c>
      <c r="G1019" t="s">
        <v>197</v>
      </c>
      <c r="H1019" t="s">
        <v>197</v>
      </c>
      <c r="I1019" t="s">
        <v>197</v>
      </c>
      <c r="J1019" t="s">
        <v>197</v>
      </c>
      <c r="K1019" t="s">
        <v>963</v>
      </c>
    </row>
    <row r="1020" spans="1:24">
      <c r="K1020" t="s">
        <v>443</v>
      </c>
    </row>
    <row r="1021" spans="1:24">
      <c r="A1021" t="s">
        <v>1063</v>
      </c>
      <c r="K1021" t="s">
        <v>1064</v>
      </c>
      <c r="W1021" t="s">
        <v>171</v>
      </c>
      <c r="X1021" t="str">
        <f>A1021</f>
        <v>info_varbinary_dml_batch1_pk_irp2</v>
      </c>
    </row>
    <row r="1022" spans="1:24">
      <c r="B1022" t="s">
        <v>196</v>
      </c>
      <c r="C1022" t="s">
        <v>197</v>
      </c>
      <c r="D1022" t="s">
        <v>197</v>
      </c>
      <c r="E1022" t="s">
        <v>197</v>
      </c>
      <c r="F1022" t="s">
        <v>197</v>
      </c>
      <c r="G1022" t="s">
        <v>197</v>
      </c>
      <c r="H1022" t="s">
        <v>197</v>
      </c>
      <c r="I1022" t="s">
        <v>1065</v>
      </c>
      <c r="J1022" t="s">
        <v>199</v>
      </c>
      <c r="K1022" t="s">
        <v>200</v>
      </c>
    </row>
    <row r="1023" spans="1:24">
      <c r="B1023" t="s">
        <v>197</v>
      </c>
      <c r="C1023" t="s">
        <v>197</v>
      </c>
      <c r="D1023" t="s">
        <v>197</v>
      </c>
      <c r="E1023" t="s">
        <v>197</v>
      </c>
      <c r="F1023" t="s">
        <v>197</v>
      </c>
      <c r="G1023" t="s">
        <v>197</v>
      </c>
      <c r="H1023" t="s">
        <v>197</v>
      </c>
      <c r="I1023" t="s">
        <v>197</v>
      </c>
      <c r="J1023" t="s">
        <v>197</v>
      </c>
      <c r="K1023" t="s">
        <v>495</v>
      </c>
    </row>
    <row r="1024" spans="1:24">
      <c r="B1024" t="s">
        <v>197</v>
      </c>
      <c r="C1024" t="s">
        <v>197</v>
      </c>
      <c r="D1024" t="s">
        <v>197</v>
      </c>
      <c r="E1024" t="s">
        <v>197</v>
      </c>
      <c r="F1024" t="s">
        <v>197</v>
      </c>
      <c r="G1024" t="s">
        <v>197</v>
      </c>
      <c r="H1024" t="s">
        <v>197</v>
      </c>
      <c r="I1024" t="s">
        <v>197</v>
      </c>
      <c r="J1024" t="s">
        <v>197</v>
      </c>
      <c r="K1024" t="s">
        <v>499</v>
      </c>
    </row>
    <row r="1025" spans="1:24">
      <c r="B1025" t="s">
        <v>197</v>
      </c>
      <c r="C1025" t="s">
        <v>197</v>
      </c>
      <c r="D1025" t="s">
        <v>197</v>
      </c>
      <c r="E1025" t="s">
        <v>197</v>
      </c>
      <c r="F1025" t="s">
        <v>197</v>
      </c>
      <c r="G1025" t="s">
        <v>197</v>
      </c>
      <c r="H1025" t="s">
        <v>197</v>
      </c>
      <c r="I1025" t="s">
        <v>197</v>
      </c>
      <c r="J1025" t="s">
        <v>197</v>
      </c>
      <c r="K1025" t="s">
        <v>503</v>
      </c>
    </row>
    <row r="1026" spans="1:24">
      <c r="A1026" t="s">
        <v>1066</v>
      </c>
      <c r="K1026" t="s">
        <v>1067</v>
      </c>
      <c r="W1026" s="1" t="str">
        <f>HYPERLINK("#2026042016hbase0!AM2","NO 源备存在差异，共2个")</f>
        <v>NO 源备存在差异，共2个</v>
      </c>
      <c r="X1026" t="str">
        <f>A1026</f>
        <v>info_sql_variant_dml_single_pk_urp</v>
      </c>
    </row>
    <row r="1027" spans="1:24">
      <c r="B1027" t="s">
        <v>196</v>
      </c>
      <c r="C1027" t="s">
        <v>197</v>
      </c>
      <c r="D1027" t="s">
        <v>197</v>
      </c>
      <c r="E1027" t="s">
        <v>197</v>
      </c>
      <c r="F1027" t="s">
        <v>197</v>
      </c>
      <c r="G1027" t="s">
        <v>197</v>
      </c>
      <c r="H1027" t="s">
        <v>197</v>
      </c>
      <c r="I1027" t="s">
        <v>1068</v>
      </c>
      <c r="J1027" t="s">
        <v>199</v>
      </c>
      <c r="K1027" t="s">
        <v>200</v>
      </c>
    </row>
    <row r="1028" spans="1:24">
      <c r="B1028" t="s">
        <v>197</v>
      </c>
      <c r="C1028" t="s">
        <v>197</v>
      </c>
      <c r="D1028" t="s">
        <v>197</v>
      </c>
      <c r="E1028" t="s">
        <v>197</v>
      </c>
      <c r="F1028" t="s">
        <v>197</v>
      </c>
      <c r="G1028" t="s">
        <v>197</v>
      </c>
      <c r="H1028" t="s">
        <v>197</v>
      </c>
      <c r="I1028" t="s">
        <v>197</v>
      </c>
      <c r="J1028" t="s">
        <v>197</v>
      </c>
      <c r="K1028" t="s">
        <v>1006</v>
      </c>
    </row>
    <row r="1029" spans="1:24">
      <c r="B1029" t="s">
        <v>197</v>
      </c>
      <c r="C1029" t="s">
        <v>197</v>
      </c>
      <c r="D1029" t="s">
        <v>197</v>
      </c>
      <c r="E1029" t="s">
        <v>197</v>
      </c>
      <c r="F1029" t="s">
        <v>197</v>
      </c>
      <c r="G1029" t="s">
        <v>197</v>
      </c>
      <c r="H1029" t="s">
        <v>197</v>
      </c>
      <c r="I1029" t="s">
        <v>197</v>
      </c>
      <c r="J1029" t="s">
        <v>197</v>
      </c>
      <c r="K1029" t="s">
        <v>1007</v>
      </c>
    </row>
    <row r="1030" spans="1:24">
      <c r="B1030" t="s">
        <v>197</v>
      </c>
      <c r="C1030" t="s">
        <v>197</v>
      </c>
      <c r="D1030" t="s">
        <v>197</v>
      </c>
      <c r="E1030" t="s">
        <v>197</v>
      </c>
      <c r="F1030" t="s">
        <v>197</v>
      </c>
      <c r="G1030" t="s">
        <v>197</v>
      </c>
      <c r="H1030" t="s">
        <v>197</v>
      </c>
      <c r="I1030" t="s">
        <v>197</v>
      </c>
      <c r="J1030" t="s">
        <v>197</v>
      </c>
      <c r="K1030" t="s">
        <v>1008</v>
      </c>
    </row>
    <row r="1031" spans="1:24">
      <c r="B1031" t="s">
        <v>197</v>
      </c>
      <c r="C1031" t="s">
        <v>197</v>
      </c>
      <c r="D1031" t="s">
        <v>197</v>
      </c>
      <c r="E1031" t="s">
        <v>197</v>
      </c>
      <c r="F1031" t="s">
        <v>197</v>
      </c>
      <c r="G1031" t="s">
        <v>197</v>
      </c>
      <c r="H1031" t="s">
        <v>197</v>
      </c>
      <c r="I1031" t="s">
        <v>197</v>
      </c>
      <c r="J1031" t="s">
        <v>197</v>
      </c>
      <c r="K1031" t="s">
        <v>1009</v>
      </c>
    </row>
    <row r="1032" spans="1:24">
      <c r="B1032" t="s">
        <v>197</v>
      </c>
      <c r="C1032" t="s">
        <v>197</v>
      </c>
      <c r="D1032" t="s">
        <v>197</v>
      </c>
      <c r="E1032" t="s">
        <v>197</v>
      </c>
      <c r="F1032" t="s">
        <v>197</v>
      </c>
      <c r="G1032" t="s">
        <v>197</v>
      </c>
      <c r="H1032" t="s">
        <v>197</v>
      </c>
      <c r="I1032" t="s">
        <v>197</v>
      </c>
      <c r="J1032" t="s">
        <v>197</v>
      </c>
      <c r="K1032" t="s">
        <v>1010</v>
      </c>
    </row>
    <row r="1033" spans="1:24">
      <c r="B1033" t="s">
        <v>197</v>
      </c>
      <c r="C1033" t="s">
        <v>197</v>
      </c>
      <c r="D1033" t="s">
        <v>197</v>
      </c>
      <c r="E1033" t="s">
        <v>197</v>
      </c>
      <c r="F1033" t="s">
        <v>197</v>
      </c>
      <c r="G1033" t="s">
        <v>197</v>
      </c>
      <c r="H1033" t="s">
        <v>197</v>
      </c>
      <c r="I1033" t="s">
        <v>197</v>
      </c>
      <c r="J1033" t="s">
        <v>197</v>
      </c>
      <c r="K1033" t="s">
        <v>1011</v>
      </c>
    </row>
    <row r="1034" spans="1:24">
      <c r="B1034" t="s">
        <v>197</v>
      </c>
      <c r="C1034" t="s">
        <v>197</v>
      </c>
      <c r="D1034" t="s">
        <v>197</v>
      </c>
      <c r="E1034" t="s">
        <v>197</v>
      </c>
      <c r="F1034" t="s">
        <v>197</v>
      </c>
      <c r="G1034" t="s">
        <v>197</v>
      </c>
      <c r="H1034" t="s">
        <v>197</v>
      </c>
      <c r="I1034" t="s">
        <v>197</v>
      </c>
      <c r="J1034" t="s">
        <v>197</v>
      </c>
      <c r="K1034" t="s">
        <v>1012</v>
      </c>
    </row>
    <row r="1035" spans="1:24">
      <c r="B1035" t="s">
        <v>197</v>
      </c>
      <c r="C1035" t="s">
        <v>197</v>
      </c>
      <c r="D1035" t="s">
        <v>197</v>
      </c>
      <c r="E1035" t="s">
        <v>197</v>
      </c>
      <c r="F1035" t="s">
        <v>197</v>
      </c>
      <c r="G1035" t="s">
        <v>197</v>
      </c>
      <c r="H1035" t="s">
        <v>197</v>
      </c>
      <c r="I1035" t="s">
        <v>197</v>
      </c>
      <c r="J1035" t="s">
        <v>197</v>
      </c>
      <c r="K1035" t="s">
        <v>1013</v>
      </c>
    </row>
    <row r="1036" spans="1:24">
      <c r="B1036" t="s">
        <v>197</v>
      </c>
      <c r="C1036" t="s">
        <v>197</v>
      </c>
      <c r="D1036" t="s">
        <v>197</v>
      </c>
      <c r="E1036" t="s">
        <v>197</v>
      </c>
      <c r="F1036" t="s">
        <v>197</v>
      </c>
      <c r="G1036" t="s">
        <v>197</v>
      </c>
      <c r="H1036" t="s">
        <v>197</v>
      </c>
      <c r="I1036" t="s">
        <v>197</v>
      </c>
      <c r="J1036" t="s">
        <v>197</v>
      </c>
      <c r="K1036" t="s">
        <v>1014</v>
      </c>
    </row>
    <row r="1037" spans="1:24">
      <c r="B1037" t="s">
        <v>197</v>
      </c>
      <c r="C1037" t="s">
        <v>197</v>
      </c>
      <c r="D1037" t="s">
        <v>197</v>
      </c>
      <c r="E1037" t="s">
        <v>197</v>
      </c>
      <c r="F1037" t="s">
        <v>197</v>
      </c>
      <c r="G1037" t="s">
        <v>197</v>
      </c>
      <c r="H1037" t="s">
        <v>197</v>
      </c>
      <c r="I1037" t="s">
        <v>197</v>
      </c>
      <c r="J1037" t="s">
        <v>197</v>
      </c>
      <c r="K1037" t="s">
        <v>1015</v>
      </c>
    </row>
    <row r="1038" spans="1:24">
      <c r="B1038" t="s">
        <v>197</v>
      </c>
      <c r="C1038" t="s">
        <v>197</v>
      </c>
      <c r="D1038" t="s">
        <v>197</v>
      </c>
      <c r="E1038" t="s">
        <v>197</v>
      </c>
      <c r="F1038" t="s">
        <v>197</v>
      </c>
      <c r="G1038" t="s">
        <v>197</v>
      </c>
      <c r="H1038" t="s">
        <v>197</v>
      </c>
      <c r="I1038" t="s">
        <v>197</v>
      </c>
      <c r="J1038" t="s">
        <v>197</v>
      </c>
      <c r="K1038" t="s">
        <v>1016</v>
      </c>
    </row>
    <row r="1039" spans="1:24">
      <c r="B1039" t="s">
        <v>197</v>
      </c>
      <c r="C1039" t="s">
        <v>197</v>
      </c>
      <c r="D1039" t="s">
        <v>197</v>
      </c>
      <c r="E1039" t="s">
        <v>197</v>
      </c>
      <c r="F1039" t="s">
        <v>197</v>
      </c>
      <c r="G1039" t="s">
        <v>197</v>
      </c>
      <c r="H1039" t="s">
        <v>197</v>
      </c>
      <c r="I1039" t="s">
        <v>197</v>
      </c>
      <c r="J1039" t="s">
        <v>197</v>
      </c>
      <c r="K1039" t="s">
        <v>1017</v>
      </c>
    </row>
    <row r="1040" spans="1:24">
      <c r="B1040" t="s">
        <v>197</v>
      </c>
      <c r="C1040" t="s">
        <v>197</v>
      </c>
      <c r="D1040" t="s">
        <v>197</v>
      </c>
      <c r="E1040" t="s">
        <v>197</v>
      </c>
      <c r="F1040" t="s">
        <v>197</v>
      </c>
      <c r="G1040" t="s">
        <v>197</v>
      </c>
      <c r="H1040" t="s">
        <v>197</v>
      </c>
      <c r="I1040" t="s">
        <v>197</v>
      </c>
      <c r="J1040" t="s">
        <v>197</v>
      </c>
      <c r="K1040" t="s">
        <v>1018</v>
      </c>
    </row>
    <row r="1041" spans="1:24">
      <c r="B1041" t="s">
        <v>197</v>
      </c>
      <c r="C1041" t="s">
        <v>197</v>
      </c>
      <c r="D1041" t="s">
        <v>197</v>
      </c>
      <c r="E1041" t="s">
        <v>197</v>
      </c>
      <c r="F1041" t="s">
        <v>197</v>
      </c>
      <c r="G1041" t="s">
        <v>197</v>
      </c>
      <c r="H1041" t="s">
        <v>197</v>
      </c>
      <c r="I1041" t="s">
        <v>197</v>
      </c>
      <c r="J1041" t="s">
        <v>197</v>
      </c>
      <c r="K1041" t="s">
        <v>1019</v>
      </c>
    </row>
    <row r="1042" spans="1:24">
      <c r="B1042" t="s">
        <v>197</v>
      </c>
      <c r="C1042" t="s">
        <v>197</v>
      </c>
      <c r="D1042" t="s">
        <v>197</v>
      </c>
      <c r="E1042" t="s">
        <v>197</v>
      </c>
      <c r="F1042" t="s">
        <v>197</v>
      </c>
      <c r="G1042" t="s">
        <v>197</v>
      </c>
      <c r="H1042" t="s">
        <v>197</v>
      </c>
      <c r="I1042" t="s">
        <v>197</v>
      </c>
      <c r="J1042" t="s">
        <v>197</v>
      </c>
      <c r="K1042" t="s">
        <v>1020</v>
      </c>
    </row>
    <row r="1043" spans="1:24">
      <c r="B1043" t="s">
        <v>197</v>
      </c>
      <c r="C1043" t="s">
        <v>197</v>
      </c>
      <c r="D1043" t="s">
        <v>197</v>
      </c>
      <c r="E1043" t="s">
        <v>197</v>
      </c>
      <c r="F1043" t="s">
        <v>197</v>
      </c>
      <c r="G1043" t="s">
        <v>197</v>
      </c>
      <c r="H1043" t="s">
        <v>197</v>
      </c>
      <c r="I1043" t="s">
        <v>197</v>
      </c>
      <c r="J1043" t="s">
        <v>197</v>
      </c>
      <c r="K1043" t="s">
        <v>1021</v>
      </c>
    </row>
    <row r="1044" spans="1:24">
      <c r="B1044" t="s">
        <v>197</v>
      </c>
      <c r="C1044" t="s">
        <v>197</v>
      </c>
      <c r="D1044" t="s">
        <v>197</v>
      </c>
      <c r="E1044" t="s">
        <v>197</v>
      </c>
      <c r="F1044" t="s">
        <v>197</v>
      </c>
      <c r="G1044" t="s">
        <v>197</v>
      </c>
      <c r="H1044" t="s">
        <v>197</v>
      </c>
      <c r="I1044" t="s">
        <v>197</v>
      </c>
      <c r="J1044" t="s">
        <v>197</v>
      </c>
      <c r="K1044" t="s">
        <v>1022</v>
      </c>
    </row>
    <row r="1045" spans="1:24">
      <c r="B1045" t="s">
        <v>197</v>
      </c>
      <c r="C1045" t="s">
        <v>197</v>
      </c>
      <c r="D1045" t="s">
        <v>197</v>
      </c>
      <c r="E1045" t="s">
        <v>197</v>
      </c>
      <c r="F1045" t="s">
        <v>197</v>
      </c>
      <c r="G1045" t="s">
        <v>197</v>
      </c>
      <c r="H1045" t="s">
        <v>197</v>
      </c>
      <c r="I1045" t="s">
        <v>197</v>
      </c>
      <c r="J1045" t="s">
        <v>197</v>
      </c>
      <c r="K1045" t="s">
        <v>1023</v>
      </c>
    </row>
    <row r="1046" spans="1:24">
      <c r="B1046" t="s">
        <v>197</v>
      </c>
      <c r="C1046" t="s">
        <v>197</v>
      </c>
      <c r="D1046" t="s">
        <v>197</v>
      </c>
      <c r="E1046" t="s">
        <v>197</v>
      </c>
      <c r="F1046" t="s">
        <v>197</v>
      </c>
      <c r="G1046" t="s">
        <v>197</v>
      </c>
      <c r="H1046" t="s">
        <v>197</v>
      </c>
      <c r="I1046" t="s">
        <v>197</v>
      </c>
      <c r="J1046" t="s">
        <v>197</v>
      </c>
      <c r="K1046" t="s">
        <v>1024</v>
      </c>
    </row>
    <row r="1047" spans="1:24">
      <c r="B1047" t="s">
        <v>197</v>
      </c>
      <c r="C1047" t="s">
        <v>197</v>
      </c>
      <c r="D1047" t="s">
        <v>197</v>
      </c>
      <c r="E1047" t="s">
        <v>197</v>
      </c>
      <c r="F1047" t="s">
        <v>197</v>
      </c>
      <c r="G1047" t="s">
        <v>197</v>
      </c>
      <c r="H1047" t="s">
        <v>197</v>
      </c>
      <c r="I1047" t="s">
        <v>197</v>
      </c>
      <c r="J1047" t="s">
        <v>197</v>
      </c>
      <c r="K1047" t="s">
        <v>1025</v>
      </c>
    </row>
    <row r="1048" spans="1:24">
      <c r="B1048" t="s">
        <v>197</v>
      </c>
      <c r="C1048" t="s">
        <v>197</v>
      </c>
      <c r="D1048" t="s">
        <v>197</v>
      </c>
      <c r="E1048" t="s">
        <v>197</v>
      </c>
      <c r="F1048" t="s">
        <v>197</v>
      </c>
      <c r="G1048" t="s">
        <v>197</v>
      </c>
      <c r="H1048" t="s">
        <v>197</v>
      </c>
      <c r="I1048" t="s">
        <v>197</v>
      </c>
      <c r="J1048" t="s">
        <v>197</v>
      </c>
      <c r="K1048" t="s">
        <v>1026</v>
      </c>
    </row>
    <row r="1049" spans="1:24">
      <c r="B1049" t="s">
        <v>197</v>
      </c>
      <c r="C1049" t="s">
        <v>197</v>
      </c>
      <c r="D1049" t="s">
        <v>197</v>
      </c>
      <c r="E1049" t="s">
        <v>197</v>
      </c>
      <c r="F1049" t="s">
        <v>197</v>
      </c>
      <c r="G1049" t="s">
        <v>197</v>
      </c>
      <c r="H1049" t="s">
        <v>197</v>
      </c>
      <c r="I1049" t="s">
        <v>197</v>
      </c>
      <c r="J1049" t="s">
        <v>197</v>
      </c>
      <c r="K1049" t="s">
        <v>1027</v>
      </c>
    </row>
    <row r="1050" spans="1:24">
      <c r="B1050" t="s">
        <v>197</v>
      </c>
      <c r="C1050" t="s">
        <v>197</v>
      </c>
      <c r="D1050" t="s">
        <v>197</v>
      </c>
      <c r="E1050" t="s">
        <v>197</v>
      </c>
      <c r="F1050" t="s">
        <v>197</v>
      </c>
      <c r="G1050" t="s">
        <v>197</v>
      </c>
      <c r="H1050" t="s">
        <v>197</v>
      </c>
      <c r="I1050" t="s">
        <v>197</v>
      </c>
      <c r="J1050" t="s">
        <v>197</v>
      </c>
      <c r="K1050" t="s">
        <v>1028</v>
      </c>
    </row>
    <row r="1051" spans="1:24">
      <c r="B1051" t="s">
        <v>197</v>
      </c>
      <c r="C1051" t="s">
        <v>197</v>
      </c>
      <c r="D1051" t="s">
        <v>197</v>
      </c>
      <c r="E1051" t="s">
        <v>197</v>
      </c>
      <c r="F1051" t="s">
        <v>197</v>
      </c>
      <c r="G1051" t="s">
        <v>197</v>
      </c>
      <c r="H1051" t="s">
        <v>197</v>
      </c>
      <c r="I1051" t="s">
        <v>197</v>
      </c>
      <c r="J1051" t="s">
        <v>197</v>
      </c>
      <c r="K1051" t="s">
        <v>1029</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1072</v>
      </c>
      <c r="K1058" t="s">
        <v>1073</v>
      </c>
      <c r="W1058" s="1" t="str">
        <f>HYPERLINK("#2026042016hbase0!AN2","NO 源备存在差异，共2个")</f>
        <v>NO 源备存在差异，共2个</v>
      </c>
      <c r="X1058" t="str">
        <f>A1058</f>
        <v>info_sql_variant_dml_single_pk_drp</v>
      </c>
    </row>
    <row r="1059" spans="1:24">
      <c r="B1059" t="s">
        <v>196</v>
      </c>
      <c r="C1059" t="s">
        <v>197</v>
      </c>
      <c r="D1059" t="s">
        <v>197</v>
      </c>
      <c r="E1059" t="s">
        <v>197</v>
      </c>
      <c r="F1059" t="s">
        <v>197</v>
      </c>
      <c r="G1059" t="s">
        <v>197</v>
      </c>
      <c r="H1059" t="s">
        <v>197</v>
      </c>
      <c r="I1059" t="s">
        <v>1074</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1075</v>
      </c>
      <c r="K1084" t="s">
        <v>1076</v>
      </c>
      <c r="W1084" s="1" t="str">
        <f>HYPERLINK("#2026042016hbase0!AO2","NO 源备存在差异，共8个")</f>
        <v>NO 源备存在差异，共8个</v>
      </c>
      <c r="X1084" t="str">
        <f>A1084</f>
        <v>info_int_dml_batch1_pk_irp1</v>
      </c>
    </row>
    <row r="1085" spans="1:24">
      <c r="B1085" t="s">
        <v>196</v>
      </c>
      <c r="C1085" t="s">
        <v>197</v>
      </c>
      <c r="D1085" t="s">
        <v>197</v>
      </c>
      <c r="E1085" t="s">
        <v>197</v>
      </c>
      <c r="F1085" t="s">
        <v>197</v>
      </c>
      <c r="G1085" t="s">
        <v>197</v>
      </c>
      <c r="H1085" t="s">
        <v>197</v>
      </c>
      <c r="I1085" t="s">
        <v>1077</v>
      </c>
      <c r="J1085" t="s">
        <v>199</v>
      </c>
      <c r="K1085" t="s">
        <v>200</v>
      </c>
    </row>
    <row r="1086" spans="1:24">
      <c r="B1086" t="s">
        <v>197</v>
      </c>
      <c r="C1086" t="s">
        <v>197</v>
      </c>
      <c r="D1086" t="s">
        <v>197</v>
      </c>
      <c r="E1086" t="s">
        <v>197</v>
      </c>
      <c r="F1086" t="s">
        <v>197</v>
      </c>
      <c r="G1086" t="s">
        <v>197</v>
      </c>
      <c r="H1086" t="s">
        <v>197</v>
      </c>
      <c r="I1086" t="s">
        <v>197</v>
      </c>
      <c r="J1086" t="s">
        <v>197</v>
      </c>
      <c r="K1086" t="s">
        <v>549</v>
      </c>
    </row>
    <row r="1087" spans="1:24">
      <c r="B1087" t="s">
        <v>197</v>
      </c>
      <c r="C1087" t="s">
        <v>197</v>
      </c>
      <c r="D1087" t="s">
        <v>197</v>
      </c>
      <c r="E1087" t="s">
        <v>197</v>
      </c>
      <c r="F1087" t="s">
        <v>197</v>
      </c>
      <c r="G1087" t="s">
        <v>197</v>
      </c>
      <c r="H1087" t="s">
        <v>197</v>
      </c>
      <c r="I1087" t="s">
        <v>197</v>
      </c>
      <c r="J1087" t="s">
        <v>197</v>
      </c>
      <c r="K1087" t="s">
        <v>550</v>
      </c>
    </row>
    <row r="1088" spans="1:24">
      <c r="B1088" t="s">
        <v>197</v>
      </c>
      <c r="C1088" t="s">
        <v>197</v>
      </c>
      <c r="D1088" t="s">
        <v>197</v>
      </c>
      <c r="E1088" t="s">
        <v>197</v>
      </c>
      <c r="F1088" t="s">
        <v>197</v>
      </c>
      <c r="G1088" t="s">
        <v>197</v>
      </c>
      <c r="H1088" t="s">
        <v>197</v>
      </c>
      <c r="I1088" t="s">
        <v>197</v>
      </c>
      <c r="J1088" t="s">
        <v>197</v>
      </c>
      <c r="K1088" t="s">
        <v>551</v>
      </c>
    </row>
    <row r="1089" spans="2:11">
      <c r="B1089" t="s">
        <v>197</v>
      </c>
      <c r="C1089" t="s">
        <v>197</v>
      </c>
      <c r="D1089" t="s">
        <v>197</v>
      </c>
      <c r="E1089" t="s">
        <v>197</v>
      </c>
      <c r="F1089" t="s">
        <v>197</v>
      </c>
      <c r="G1089" t="s">
        <v>197</v>
      </c>
      <c r="H1089" t="s">
        <v>197</v>
      </c>
      <c r="I1089" t="s">
        <v>197</v>
      </c>
      <c r="J1089" t="s">
        <v>197</v>
      </c>
      <c r="K1089" t="s">
        <v>552</v>
      </c>
    </row>
    <row r="1090" spans="2:11">
      <c r="B1090" t="s">
        <v>197</v>
      </c>
      <c r="C1090" t="s">
        <v>197</v>
      </c>
      <c r="D1090" t="s">
        <v>197</v>
      </c>
      <c r="E1090" t="s">
        <v>197</v>
      </c>
      <c r="F1090" t="s">
        <v>197</v>
      </c>
      <c r="G1090" t="s">
        <v>197</v>
      </c>
      <c r="H1090" t="s">
        <v>197</v>
      </c>
      <c r="I1090" t="s">
        <v>197</v>
      </c>
      <c r="J1090" t="s">
        <v>197</v>
      </c>
      <c r="K1090" t="s">
        <v>553</v>
      </c>
    </row>
    <row r="1091" spans="2:11">
      <c r="B1091" t="s">
        <v>197</v>
      </c>
      <c r="C1091" t="s">
        <v>197</v>
      </c>
      <c r="D1091" t="s">
        <v>197</v>
      </c>
      <c r="E1091" t="s">
        <v>197</v>
      </c>
      <c r="F1091" t="s">
        <v>197</v>
      </c>
      <c r="G1091" t="s">
        <v>197</v>
      </c>
      <c r="H1091" t="s">
        <v>197</v>
      </c>
      <c r="I1091" t="s">
        <v>197</v>
      </c>
      <c r="J1091" t="s">
        <v>197</v>
      </c>
      <c r="K1091" t="s">
        <v>554</v>
      </c>
    </row>
    <row r="1092" spans="2:11">
      <c r="B1092" t="s">
        <v>197</v>
      </c>
      <c r="C1092" t="s">
        <v>197</v>
      </c>
      <c r="D1092" t="s">
        <v>197</v>
      </c>
      <c r="E1092" t="s">
        <v>197</v>
      </c>
      <c r="F1092" t="s">
        <v>197</v>
      </c>
      <c r="G1092" t="s">
        <v>197</v>
      </c>
      <c r="H1092" t="s">
        <v>197</v>
      </c>
      <c r="I1092" t="s">
        <v>197</v>
      </c>
      <c r="J1092" t="s">
        <v>197</v>
      </c>
      <c r="K1092" t="s">
        <v>555</v>
      </c>
    </row>
    <row r="1093" spans="2:11">
      <c r="B1093" t="s">
        <v>197</v>
      </c>
      <c r="C1093" t="s">
        <v>197</v>
      </c>
      <c r="D1093" t="s">
        <v>197</v>
      </c>
      <c r="E1093" t="s">
        <v>197</v>
      </c>
      <c r="F1093" t="s">
        <v>197</v>
      </c>
      <c r="G1093" t="s">
        <v>197</v>
      </c>
      <c r="H1093" t="s">
        <v>197</v>
      </c>
      <c r="I1093" t="s">
        <v>197</v>
      </c>
      <c r="J1093" t="s">
        <v>197</v>
      </c>
      <c r="K1093" t="s">
        <v>556</v>
      </c>
    </row>
    <row r="1094" spans="2:11">
      <c r="B1094" t="s">
        <v>197</v>
      </c>
      <c r="C1094" t="s">
        <v>197</v>
      </c>
      <c r="D1094" t="s">
        <v>197</v>
      </c>
      <c r="E1094" t="s">
        <v>197</v>
      </c>
      <c r="F1094" t="s">
        <v>197</v>
      </c>
      <c r="G1094" t="s">
        <v>197</v>
      </c>
      <c r="H1094" t="s">
        <v>197</v>
      </c>
      <c r="I1094" t="s">
        <v>197</v>
      </c>
      <c r="J1094" t="s">
        <v>197</v>
      </c>
      <c r="K1094" t="s">
        <v>557</v>
      </c>
    </row>
    <row r="1095" spans="2:11">
      <c r="B1095" t="s">
        <v>197</v>
      </c>
      <c r="C1095" t="s">
        <v>197</v>
      </c>
      <c r="D1095" t="s">
        <v>197</v>
      </c>
      <c r="E1095" t="s">
        <v>197</v>
      </c>
      <c r="F1095" t="s">
        <v>197</v>
      </c>
      <c r="G1095" t="s">
        <v>197</v>
      </c>
      <c r="H1095" t="s">
        <v>197</v>
      </c>
      <c r="I1095" t="s">
        <v>197</v>
      </c>
      <c r="J1095" t="s">
        <v>197</v>
      </c>
      <c r="K1095" t="s">
        <v>558</v>
      </c>
    </row>
    <row r="1096" spans="2:11">
      <c r="B1096" t="s">
        <v>197</v>
      </c>
      <c r="C1096" t="s">
        <v>197</v>
      </c>
      <c r="D1096" t="s">
        <v>197</v>
      </c>
      <c r="E1096" t="s">
        <v>197</v>
      </c>
      <c r="F1096" t="s">
        <v>197</v>
      </c>
      <c r="G1096" t="s">
        <v>197</v>
      </c>
      <c r="H1096" t="s">
        <v>197</v>
      </c>
      <c r="I1096" t="s">
        <v>197</v>
      </c>
      <c r="J1096" t="s">
        <v>197</v>
      </c>
      <c r="K1096" t="s">
        <v>559</v>
      </c>
    </row>
    <row r="1097" spans="2:11">
      <c r="B1097" t="s">
        <v>197</v>
      </c>
      <c r="C1097" t="s">
        <v>197</v>
      </c>
      <c r="D1097" t="s">
        <v>197</v>
      </c>
      <c r="E1097" t="s">
        <v>197</v>
      </c>
      <c r="F1097" t="s">
        <v>197</v>
      </c>
      <c r="G1097" t="s">
        <v>197</v>
      </c>
      <c r="H1097" t="s">
        <v>197</v>
      </c>
      <c r="I1097" t="s">
        <v>197</v>
      </c>
      <c r="J1097" t="s">
        <v>197</v>
      </c>
      <c r="K1097" t="s">
        <v>560</v>
      </c>
    </row>
    <row r="1098" spans="2:11">
      <c r="B1098" t="s">
        <v>197</v>
      </c>
      <c r="C1098" t="s">
        <v>197</v>
      </c>
      <c r="D1098" t="s">
        <v>197</v>
      </c>
      <c r="E1098" t="s">
        <v>197</v>
      </c>
      <c r="F1098" t="s">
        <v>197</v>
      </c>
      <c r="G1098" t="s">
        <v>197</v>
      </c>
      <c r="H1098" t="s">
        <v>197</v>
      </c>
      <c r="I1098" t="s">
        <v>197</v>
      </c>
      <c r="J1098" t="s">
        <v>197</v>
      </c>
      <c r="K1098" t="s">
        <v>561</v>
      </c>
    </row>
    <row r="1099" spans="2:11">
      <c r="B1099" t="s">
        <v>197</v>
      </c>
      <c r="C1099" t="s">
        <v>197</v>
      </c>
      <c r="D1099" t="s">
        <v>197</v>
      </c>
      <c r="E1099" t="s">
        <v>197</v>
      </c>
      <c r="F1099" t="s">
        <v>197</v>
      </c>
      <c r="G1099" t="s">
        <v>197</v>
      </c>
      <c r="H1099" t="s">
        <v>197</v>
      </c>
      <c r="I1099" t="s">
        <v>197</v>
      </c>
      <c r="J1099" t="s">
        <v>197</v>
      </c>
      <c r="K1099" t="s">
        <v>562</v>
      </c>
    </row>
    <row r="1100" spans="2:11">
      <c r="B1100" t="s">
        <v>197</v>
      </c>
      <c r="C1100" t="s">
        <v>197</v>
      </c>
      <c r="D1100" t="s">
        <v>197</v>
      </c>
      <c r="E1100" t="s">
        <v>197</v>
      </c>
      <c r="F1100" t="s">
        <v>197</v>
      </c>
      <c r="G1100" t="s">
        <v>197</v>
      </c>
      <c r="H1100" t="s">
        <v>197</v>
      </c>
      <c r="I1100" t="s">
        <v>197</v>
      </c>
      <c r="J1100" t="s">
        <v>197</v>
      </c>
      <c r="K1100" t="s">
        <v>563</v>
      </c>
    </row>
    <row r="1101" spans="2:11">
      <c r="B1101" t="s">
        <v>197</v>
      </c>
      <c r="C1101" t="s">
        <v>197</v>
      </c>
      <c r="D1101" t="s">
        <v>197</v>
      </c>
      <c r="E1101" t="s">
        <v>197</v>
      </c>
      <c r="F1101" t="s">
        <v>197</v>
      </c>
      <c r="G1101" t="s">
        <v>197</v>
      </c>
      <c r="H1101" t="s">
        <v>197</v>
      </c>
      <c r="I1101" t="s">
        <v>197</v>
      </c>
      <c r="J1101" t="s">
        <v>197</v>
      </c>
      <c r="K1101" t="s">
        <v>564</v>
      </c>
    </row>
    <row r="1102" spans="2:11">
      <c r="B1102" t="s">
        <v>197</v>
      </c>
      <c r="C1102" t="s">
        <v>197</v>
      </c>
      <c r="D1102" t="s">
        <v>197</v>
      </c>
      <c r="E1102" t="s">
        <v>197</v>
      </c>
      <c r="F1102" t="s">
        <v>197</v>
      </c>
      <c r="G1102" t="s">
        <v>197</v>
      </c>
      <c r="H1102" t="s">
        <v>197</v>
      </c>
      <c r="I1102" t="s">
        <v>197</v>
      </c>
      <c r="J1102" t="s">
        <v>197</v>
      </c>
      <c r="K1102" t="s">
        <v>565</v>
      </c>
    </row>
    <row r="1103" spans="2:11">
      <c r="B1103" t="s">
        <v>197</v>
      </c>
      <c r="C1103" t="s">
        <v>197</v>
      </c>
      <c r="D1103" t="s">
        <v>197</v>
      </c>
      <c r="E1103" t="s">
        <v>197</v>
      </c>
      <c r="F1103" t="s">
        <v>197</v>
      </c>
      <c r="G1103" t="s">
        <v>197</v>
      </c>
      <c r="H1103" t="s">
        <v>197</v>
      </c>
      <c r="I1103" t="s">
        <v>197</v>
      </c>
      <c r="J1103" t="s">
        <v>197</v>
      </c>
      <c r="K1103" t="s">
        <v>566</v>
      </c>
    </row>
    <row r="1104" spans="2:11">
      <c r="B1104" t="s">
        <v>197</v>
      </c>
      <c r="C1104" t="s">
        <v>197</v>
      </c>
      <c r="D1104" t="s">
        <v>197</v>
      </c>
      <c r="E1104" t="s">
        <v>197</v>
      </c>
      <c r="F1104" t="s">
        <v>197</v>
      </c>
      <c r="G1104" t="s">
        <v>197</v>
      </c>
      <c r="H1104" t="s">
        <v>197</v>
      </c>
      <c r="I1104" t="s">
        <v>197</v>
      </c>
      <c r="J1104" t="s">
        <v>197</v>
      </c>
      <c r="K1104" t="s">
        <v>567</v>
      </c>
    </row>
    <row r="1105" spans="1:24">
      <c r="A1105" t="s">
        <v>1078</v>
      </c>
      <c r="K1105" t="s">
        <v>1079</v>
      </c>
      <c r="W1105" t="s">
        <v>171</v>
      </c>
      <c r="X1105" t="str">
        <f>A1105</f>
        <v>info_uniqueidentifier_dml_single_pk_urp</v>
      </c>
    </row>
    <row r="1106" spans="1:24">
      <c r="B1106" t="s">
        <v>196</v>
      </c>
      <c r="C1106" t="s">
        <v>197</v>
      </c>
      <c r="D1106" t="s">
        <v>197</v>
      </c>
      <c r="E1106" t="s">
        <v>197</v>
      </c>
      <c r="F1106" t="s">
        <v>197</v>
      </c>
      <c r="G1106" t="s">
        <v>197</v>
      </c>
      <c r="H1106" t="s">
        <v>197</v>
      </c>
      <c r="I1106" t="s">
        <v>1080</v>
      </c>
      <c r="J1106" t="s">
        <v>199</v>
      </c>
      <c r="K1106" t="s">
        <v>200</v>
      </c>
    </row>
    <row r="1107" spans="1:24">
      <c r="B1107" t="s">
        <v>197</v>
      </c>
      <c r="C1107" t="s">
        <v>197</v>
      </c>
      <c r="D1107" t="s">
        <v>197</v>
      </c>
      <c r="E1107" t="s">
        <v>197</v>
      </c>
      <c r="F1107" t="s">
        <v>197</v>
      </c>
      <c r="G1107" t="s">
        <v>197</v>
      </c>
      <c r="H1107" t="s">
        <v>197</v>
      </c>
      <c r="I1107" t="s">
        <v>197</v>
      </c>
      <c r="J1107" t="s">
        <v>197</v>
      </c>
      <c r="K1107" t="s">
        <v>1039</v>
      </c>
    </row>
    <row r="1108" spans="1:24">
      <c r="A1108" t="s">
        <v>1081</v>
      </c>
      <c r="K1108" t="s">
        <v>1082</v>
      </c>
      <c r="W1108" t="s">
        <v>171</v>
      </c>
      <c r="X1108" t="str">
        <f>A1108</f>
        <v>info_nvarchar_dml_batch2_pk_irp1</v>
      </c>
    </row>
    <row r="1109" spans="1:24">
      <c r="B1109" t="s">
        <v>196</v>
      </c>
      <c r="C1109" t="s">
        <v>197</v>
      </c>
      <c r="D1109" t="s">
        <v>197</v>
      </c>
      <c r="E1109" t="s">
        <v>197</v>
      </c>
      <c r="F1109" t="s">
        <v>197</v>
      </c>
      <c r="G1109" t="s">
        <v>197</v>
      </c>
      <c r="H1109" t="s">
        <v>197</v>
      </c>
      <c r="I1109" t="s">
        <v>1083</v>
      </c>
      <c r="J1109" t="s">
        <v>199</v>
      </c>
      <c r="K1109" t="s">
        <v>200</v>
      </c>
    </row>
    <row r="1110" spans="1:24">
      <c r="B1110" t="s">
        <v>197</v>
      </c>
      <c r="C1110" t="s">
        <v>197</v>
      </c>
      <c r="D1110" t="s">
        <v>197</v>
      </c>
      <c r="E1110" t="s">
        <v>197</v>
      </c>
      <c r="F1110" t="s">
        <v>197</v>
      </c>
      <c r="G1110" t="s">
        <v>197</v>
      </c>
      <c r="H1110" t="s">
        <v>197</v>
      </c>
      <c r="I1110" t="s">
        <v>197</v>
      </c>
      <c r="J1110" t="s">
        <v>197</v>
      </c>
      <c r="K1110" t="s">
        <v>408</v>
      </c>
    </row>
    <row r="1111" spans="1:24">
      <c r="B1111" t="s">
        <v>197</v>
      </c>
      <c r="C1111" t="s">
        <v>197</v>
      </c>
      <c r="D1111" t="s">
        <v>197</v>
      </c>
      <c r="E1111" t="s">
        <v>197</v>
      </c>
      <c r="F1111" t="s">
        <v>197</v>
      </c>
      <c r="G1111" t="s">
        <v>197</v>
      </c>
      <c r="H1111" t="s">
        <v>197</v>
      </c>
      <c r="I1111" t="s">
        <v>197</v>
      </c>
      <c r="J1111" t="s">
        <v>197</v>
      </c>
      <c r="K1111" t="s">
        <v>412</v>
      </c>
    </row>
    <row r="1112" spans="1:24">
      <c r="B1112" t="s">
        <v>197</v>
      </c>
      <c r="C1112" t="s">
        <v>197</v>
      </c>
      <c r="D1112" t="s">
        <v>197</v>
      </c>
      <c r="E1112" t="s">
        <v>197</v>
      </c>
      <c r="F1112" t="s">
        <v>197</v>
      </c>
      <c r="G1112" t="s">
        <v>197</v>
      </c>
      <c r="H1112" t="s">
        <v>197</v>
      </c>
      <c r="I1112" t="s">
        <v>197</v>
      </c>
      <c r="J1112" t="s">
        <v>197</v>
      </c>
      <c r="K1112" t="s">
        <v>416</v>
      </c>
    </row>
    <row r="1113" spans="1:24">
      <c r="A1113" t="s">
        <v>1084</v>
      </c>
      <c r="K1113" t="s">
        <v>1085</v>
      </c>
      <c r="W1113" t="s">
        <v>171</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1087</v>
      </c>
      <c r="K1123" t="s">
        <v>1088</v>
      </c>
      <c r="W1123" s="1" t="str">
        <f>HYPERLINK("#2026042016hbase0!AP2","NO 源备存在差异，共4个")</f>
        <v>NO 源备存在差异，共4个</v>
      </c>
      <c r="X1123" t="str">
        <f>A1123</f>
        <v>info_geography_dml_single_pk_urp</v>
      </c>
    </row>
    <row r="1124" spans="1:24">
      <c r="B1124" t="s">
        <v>196</v>
      </c>
      <c r="C1124" t="s">
        <v>197</v>
      </c>
      <c r="D1124" t="s">
        <v>197</v>
      </c>
      <c r="E1124" t="s">
        <v>197</v>
      </c>
      <c r="F1124" t="s">
        <v>197</v>
      </c>
      <c r="G1124" t="s">
        <v>197</v>
      </c>
      <c r="H1124" t="s">
        <v>197</v>
      </c>
      <c r="I1124" t="s">
        <v>1089</v>
      </c>
      <c r="J1124" t="s">
        <v>199</v>
      </c>
      <c r="K1124" t="s">
        <v>200</v>
      </c>
    </row>
    <row r="1125" spans="1:24">
      <c r="B1125" t="s">
        <v>197</v>
      </c>
      <c r="C1125" t="s">
        <v>197</v>
      </c>
      <c r="D1125" t="s">
        <v>197</v>
      </c>
      <c r="E1125" t="s">
        <v>197</v>
      </c>
      <c r="F1125" t="s">
        <v>197</v>
      </c>
      <c r="G1125" t="s">
        <v>197</v>
      </c>
      <c r="H1125" t="s">
        <v>197</v>
      </c>
      <c r="I1125" t="s">
        <v>197</v>
      </c>
      <c r="J1125" t="s">
        <v>197</v>
      </c>
      <c r="K1125" t="s">
        <v>1052</v>
      </c>
    </row>
    <row r="1126" spans="1:24">
      <c r="A1126" t="s">
        <v>1093</v>
      </c>
      <c r="K1126" t="s">
        <v>1094</v>
      </c>
      <c r="W1126" t="s">
        <v>171</v>
      </c>
      <c r="X1126" t="str">
        <f>A1126</f>
        <v>info_varbinary_dml_batch2_pk_irp1</v>
      </c>
    </row>
    <row r="1127" spans="1:24">
      <c r="B1127" t="s">
        <v>196</v>
      </c>
      <c r="C1127" t="s">
        <v>197</v>
      </c>
      <c r="D1127" t="s">
        <v>197</v>
      </c>
      <c r="E1127" t="s">
        <v>197</v>
      </c>
      <c r="F1127" t="s">
        <v>197</v>
      </c>
      <c r="G1127" t="s">
        <v>197</v>
      </c>
      <c r="H1127" t="s">
        <v>197</v>
      </c>
      <c r="I1127" t="s">
        <v>1095</v>
      </c>
      <c r="J1127" t="s">
        <v>199</v>
      </c>
      <c r="K1127" t="s">
        <v>200</v>
      </c>
    </row>
    <row r="1128" spans="1:24">
      <c r="B1128" t="s">
        <v>197</v>
      </c>
      <c r="C1128" t="s">
        <v>197</v>
      </c>
      <c r="D1128" t="s">
        <v>197</v>
      </c>
      <c r="E1128" t="s">
        <v>197</v>
      </c>
      <c r="F1128" t="s">
        <v>197</v>
      </c>
      <c r="G1128" t="s">
        <v>197</v>
      </c>
      <c r="H1128" t="s">
        <v>197</v>
      </c>
      <c r="I1128" t="s">
        <v>197</v>
      </c>
      <c r="J1128" t="s">
        <v>197</v>
      </c>
      <c r="K1128" t="s">
        <v>495</v>
      </c>
    </row>
    <row r="1129" spans="1:24">
      <c r="B1129" t="s">
        <v>197</v>
      </c>
      <c r="C1129" t="s">
        <v>197</v>
      </c>
      <c r="D1129" t="s">
        <v>197</v>
      </c>
      <c r="E1129" t="s">
        <v>197</v>
      </c>
      <c r="F1129" t="s">
        <v>197</v>
      </c>
      <c r="G1129" t="s">
        <v>197</v>
      </c>
      <c r="H1129" t="s">
        <v>197</v>
      </c>
      <c r="I1129" t="s">
        <v>197</v>
      </c>
      <c r="J1129" t="s">
        <v>197</v>
      </c>
      <c r="K1129" t="s">
        <v>499</v>
      </c>
    </row>
    <row r="1130" spans="1:24">
      <c r="B1130" t="s">
        <v>197</v>
      </c>
      <c r="C1130" t="s">
        <v>197</v>
      </c>
      <c r="D1130" t="s">
        <v>197</v>
      </c>
      <c r="E1130" t="s">
        <v>197</v>
      </c>
      <c r="F1130" t="s">
        <v>197</v>
      </c>
      <c r="G1130" t="s">
        <v>197</v>
      </c>
      <c r="H1130" t="s">
        <v>197</v>
      </c>
      <c r="I1130" t="s">
        <v>197</v>
      </c>
      <c r="J1130" t="s">
        <v>197</v>
      </c>
      <c r="K1130" t="s">
        <v>503</v>
      </c>
    </row>
    <row r="1131" spans="1:24">
      <c r="A1131" t="s">
        <v>1096</v>
      </c>
      <c r="K1131" t="s">
        <v>1097</v>
      </c>
      <c r="W1131" t="s">
        <v>171</v>
      </c>
      <c r="X1131" t="str">
        <f>A1131</f>
        <v>info_time_dml_batch1_pk_urp1</v>
      </c>
    </row>
    <row r="1132" spans="1:24">
      <c r="B1132" t="s">
        <v>196</v>
      </c>
      <c r="C1132" t="s">
        <v>197</v>
      </c>
      <c r="D1132" t="s">
        <v>197</v>
      </c>
      <c r="E1132" t="s">
        <v>197</v>
      </c>
      <c r="F1132" t="s">
        <v>197</v>
      </c>
      <c r="G1132" t="s">
        <v>197</v>
      </c>
      <c r="H1132" t="s">
        <v>197</v>
      </c>
      <c r="I1132" t="s">
        <v>1098</v>
      </c>
      <c r="J1132" t="s">
        <v>199</v>
      </c>
      <c r="K1132" t="s">
        <v>200</v>
      </c>
    </row>
    <row r="1133" spans="1:24">
      <c r="B1133" t="s">
        <v>197</v>
      </c>
      <c r="C1133" t="s">
        <v>197</v>
      </c>
      <c r="D1133" t="s">
        <v>197</v>
      </c>
      <c r="E1133" t="s">
        <v>197</v>
      </c>
      <c r="F1133" t="s">
        <v>197</v>
      </c>
      <c r="G1133" t="s">
        <v>197</v>
      </c>
      <c r="H1133" t="s">
        <v>197</v>
      </c>
      <c r="I1133" t="s">
        <v>197</v>
      </c>
      <c r="J1133" t="s">
        <v>197</v>
      </c>
      <c r="K1133" t="s">
        <v>800</v>
      </c>
    </row>
    <row r="1134" spans="1:24">
      <c r="B1134" t="s">
        <v>197</v>
      </c>
      <c r="C1134" t="s">
        <v>197</v>
      </c>
      <c r="D1134" t="s">
        <v>197</v>
      </c>
      <c r="E1134" t="s">
        <v>197</v>
      </c>
      <c r="F1134" t="s">
        <v>197</v>
      </c>
      <c r="G1134" t="s">
        <v>197</v>
      </c>
      <c r="H1134" t="s">
        <v>197</v>
      </c>
      <c r="I1134" t="s">
        <v>197</v>
      </c>
      <c r="J1134" t="s">
        <v>197</v>
      </c>
      <c r="K1134" t="s">
        <v>801</v>
      </c>
    </row>
    <row r="1135" spans="1:24">
      <c r="B1135" t="s">
        <v>197</v>
      </c>
      <c r="C1135" t="s">
        <v>197</v>
      </c>
      <c r="D1135" t="s">
        <v>197</v>
      </c>
      <c r="E1135" t="s">
        <v>197</v>
      </c>
      <c r="F1135" t="s">
        <v>197</v>
      </c>
      <c r="G1135" t="s">
        <v>197</v>
      </c>
      <c r="H1135" t="s">
        <v>197</v>
      </c>
      <c r="I1135" t="s">
        <v>197</v>
      </c>
      <c r="J1135" t="s">
        <v>197</v>
      </c>
      <c r="K1135" t="s">
        <v>802</v>
      </c>
    </row>
    <row r="1136" spans="1:24">
      <c r="B1136" t="s">
        <v>197</v>
      </c>
      <c r="C1136" t="s">
        <v>197</v>
      </c>
      <c r="D1136" t="s">
        <v>197</v>
      </c>
      <c r="E1136" t="s">
        <v>197</v>
      </c>
      <c r="F1136" t="s">
        <v>197</v>
      </c>
      <c r="G1136" t="s">
        <v>197</v>
      </c>
      <c r="H1136" t="s">
        <v>197</v>
      </c>
      <c r="I1136" t="s">
        <v>197</v>
      </c>
      <c r="J1136" t="s">
        <v>197</v>
      </c>
      <c r="K1136" t="s">
        <v>803</v>
      </c>
    </row>
    <row r="1137" spans="1:24">
      <c r="B1137" t="s">
        <v>197</v>
      </c>
      <c r="C1137" t="s">
        <v>197</v>
      </c>
      <c r="D1137" t="s">
        <v>197</v>
      </c>
      <c r="E1137" t="s">
        <v>197</v>
      </c>
      <c r="F1137" t="s">
        <v>197</v>
      </c>
      <c r="G1137" t="s">
        <v>197</v>
      </c>
      <c r="H1137" t="s">
        <v>197</v>
      </c>
      <c r="I1137" t="s">
        <v>197</v>
      </c>
      <c r="J1137" t="s">
        <v>197</v>
      </c>
      <c r="K1137" t="s">
        <v>804</v>
      </c>
    </row>
    <row r="1138" spans="1:24">
      <c r="B1138" t="s">
        <v>197</v>
      </c>
      <c r="C1138" t="s">
        <v>197</v>
      </c>
      <c r="D1138" t="s">
        <v>197</v>
      </c>
      <c r="E1138" t="s">
        <v>197</v>
      </c>
      <c r="F1138" t="s">
        <v>197</v>
      </c>
      <c r="G1138" t="s">
        <v>197</v>
      </c>
      <c r="H1138" t="s">
        <v>197</v>
      </c>
      <c r="I1138" t="s">
        <v>197</v>
      </c>
      <c r="J1138" t="s">
        <v>197</v>
      </c>
      <c r="K1138" t="s">
        <v>805</v>
      </c>
    </row>
    <row r="1139" spans="1:24">
      <c r="B1139" t="s">
        <v>197</v>
      </c>
      <c r="C1139" t="s">
        <v>197</v>
      </c>
      <c r="D1139" t="s">
        <v>197</v>
      </c>
      <c r="E1139" t="s">
        <v>197</v>
      </c>
      <c r="F1139" t="s">
        <v>197</v>
      </c>
      <c r="G1139" t="s">
        <v>197</v>
      </c>
      <c r="H1139" t="s">
        <v>197</v>
      </c>
      <c r="I1139" t="s">
        <v>197</v>
      </c>
      <c r="J1139" t="s">
        <v>197</v>
      </c>
      <c r="K1139" t="s">
        <v>806</v>
      </c>
    </row>
    <row r="1140" spans="1:24">
      <c r="B1140" t="s">
        <v>197</v>
      </c>
      <c r="C1140" t="s">
        <v>197</v>
      </c>
      <c r="D1140" t="s">
        <v>197</v>
      </c>
      <c r="E1140" t="s">
        <v>197</v>
      </c>
      <c r="F1140" t="s">
        <v>197</v>
      </c>
      <c r="G1140" t="s">
        <v>197</v>
      </c>
      <c r="H1140" t="s">
        <v>197</v>
      </c>
      <c r="I1140" t="s">
        <v>197</v>
      </c>
      <c r="J1140" t="s">
        <v>197</v>
      </c>
      <c r="K1140" t="s">
        <v>807</v>
      </c>
    </row>
    <row r="1141" spans="1:24">
      <c r="A1141" t="s">
        <v>1090</v>
      </c>
      <c r="K1141" t="s">
        <v>1091</v>
      </c>
      <c r="W1141" t="s">
        <v>171</v>
      </c>
      <c r="X1141" t="str">
        <f>A1141</f>
        <v>info_time_dml_batch2_pk_irp2</v>
      </c>
    </row>
    <row r="1142" spans="1:24">
      <c r="B1142" t="s">
        <v>196</v>
      </c>
      <c r="C1142" t="s">
        <v>197</v>
      </c>
      <c r="D1142" t="s">
        <v>197</v>
      </c>
      <c r="E1142" t="s">
        <v>197</v>
      </c>
      <c r="F1142" t="s">
        <v>197</v>
      </c>
      <c r="G1142" t="s">
        <v>197</v>
      </c>
      <c r="H1142" t="s">
        <v>197</v>
      </c>
      <c r="I1142" t="s">
        <v>1092</v>
      </c>
      <c r="J1142" t="s">
        <v>199</v>
      </c>
      <c r="K1142" t="s">
        <v>200</v>
      </c>
    </row>
    <row r="1143" spans="1:24">
      <c r="B1143" t="s">
        <v>197</v>
      </c>
      <c r="C1143" t="s">
        <v>197</v>
      </c>
      <c r="D1143" t="s">
        <v>197</v>
      </c>
      <c r="E1143" t="s">
        <v>197</v>
      </c>
      <c r="F1143" t="s">
        <v>197</v>
      </c>
      <c r="G1143" t="s">
        <v>197</v>
      </c>
      <c r="H1143" t="s">
        <v>197</v>
      </c>
      <c r="I1143" t="s">
        <v>197</v>
      </c>
      <c r="J1143" t="s">
        <v>197</v>
      </c>
      <c r="K1143" t="s">
        <v>800</v>
      </c>
    </row>
    <row r="1144" spans="1:24">
      <c r="B1144" t="s">
        <v>197</v>
      </c>
      <c r="C1144" t="s">
        <v>197</v>
      </c>
      <c r="D1144" t="s">
        <v>197</v>
      </c>
      <c r="E1144" t="s">
        <v>197</v>
      </c>
      <c r="F1144" t="s">
        <v>197</v>
      </c>
      <c r="G1144" t="s">
        <v>197</v>
      </c>
      <c r="H1144" t="s">
        <v>197</v>
      </c>
      <c r="I1144" t="s">
        <v>197</v>
      </c>
      <c r="J1144" t="s">
        <v>197</v>
      </c>
      <c r="K1144" t="s">
        <v>801</v>
      </c>
    </row>
    <row r="1145" spans="1:24">
      <c r="B1145" t="s">
        <v>197</v>
      </c>
      <c r="C1145" t="s">
        <v>197</v>
      </c>
      <c r="D1145" t="s">
        <v>197</v>
      </c>
      <c r="E1145" t="s">
        <v>197</v>
      </c>
      <c r="F1145" t="s">
        <v>197</v>
      </c>
      <c r="G1145" t="s">
        <v>197</v>
      </c>
      <c r="H1145" t="s">
        <v>197</v>
      </c>
      <c r="I1145" t="s">
        <v>197</v>
      </c>
      <c r="J1145" t="s">
        <v>197</v>
      </c>
      <c r="K1145" t="s">
        <v>802</v>
      </c>
    </row>
    <row r="1146" spans="1:24">
      <c r="B1146" t="s">
        <v>197</v>
      </c>
      <c r="C1146" t="s">
        <v>197</v>
      </c>
      <c r="D1146" t="s">
        <v>197</v>
      </c>
      <c r="E1146" t="s">
        <v>197</v>
      </c>
      <c r="F1146" t="s">
        <v>197</v>
      </c>
      <c r="G1146" t="s">
        <v>197</v>
      </c>
      <c r="H1146" t="s">
        <v>197</v>
      </c>
      <c r="I1146" t="s">
        <v>197</v>
      </c>
      <c r="J1146" t="s">
        <v>197</v>
      </c>
      <c r="K1146" t="s">
        <v>803</v>
      </c>
    </row>
    <row r="1147" spans="1:24">
      <c r="B1147" t="s">
        <v>197</v>
      </c>
      <c r="C1147" t="s">
        <v>197</v>
      </c>
      <c r="D1147" t="s">
        <v>197</v>
      </c>
      <c r="E1147" t="s">
        <v>197</v>
      </c>
      <c r="F1147" t="s">
        <v>197</v>
      </c>
      <c r="G1147" t="s">
        <v>197</v>
      </c>
      <c r="H1147" t="s">
        <v>197</v>
      </c>
      <c r="I1147" t="s">
        <v>197</v>
      </c>
      <c r="J1147" t="s">
        <v>197</v>
      </c>
      <c r="K1147" t="s">
        <v>804</v>
      </c>
    </row>
    <row r="1148" spans="1:24">
      <c r="B1148" t="s">
        <v>197</v>
      </c>
      <c r="C1148" t="s">
        <v>197</v>
      </c>
      <c r="D1148" t="s">
        <v>197</v>
      </c>
      <c r="E1148" t="s">
        <v>197</v>
      </c>
      <c r="F1148" t="s">
        <v>197</v>
      </c>
      <c r="G1148" t="s">
        <v>197</v>
      </c>
      <c r="H1148" t="s">
        <v>197</v>
      </c>
      <c r="I1148" t="s">
        <v>197</v>
      </c>
      <c r="J1148" t="s">
        <v>197</v>
      </c>
      <c r="K1148" t="s">
        <v>805</v>
      </c>
    </row>
    <row r="1149" spans="1:24">
      <c r="B1149" t="s">
        <v>197</v>
      </c>
      <c r="C1149" t="s">
        <v>197</v>
      </c>
      <c r="D1149" t="s">
        <v>197</v>
      </c>
      <c r="E1149" t="s">
        <v>197</v>
      </c>
      <c r="F1149" t="s">
        <v>197</v>
      </c>
      <c r="G1149" t="s">
        <v>197</v>
      </c>
      <c r="H1149" t="s">
        <v>197</v>
      </c>
      <c r="I1149" t="s">
        <v>197</v>
      </c>
      <c r="J1149" t="s">
        <v>197</v>
      </c>
      <c r="K1149" t="s">
        <v>806</v>
      </c>
    </row>
    <row r="1150" spans="1:24">
      <c r="B1150" t="s">
        <v>197</v>
      </c>
      <c r="C1150" t="s">
        <v>197</v>
      </c>
      <c r="D1150" t="s">
        <v>197</v>
      </c>
      <c r="E1150" t="s">
        <v>197</v>
      </c>
      <c r="F1150" t="s">
        <v>197</v>
      </c>
      <c r="G1150" t="s">
        <v>197</v>
      </c>
      <c r="H1150" t="s">
        <v>197</v>
      </c>
      <c r="I1150" t="s">
        <v>197</v>
      </c>
      <c r="J1150" t="s">
        <v>197</v>
      </c>
      <c r="K1150" t="s">
        <v>807</v>
      </c>
    </row>
    <row r="1151" spans="1:24">
      <c r="A1151" t="s">
        <v>1099</v>
      </c>
      <c r="K1151" t="s">
        <v>1100</v>
      </c>
      <c r="W1151" s="1" t="str">
        <f>HYPERLINK("#2026042016hbase0!AQ2","NO 源备存在差异，共2个")</f>
        <v>NO 源备存在差异，共2个</v>
      </c>
      <c r="X1151" t="str">
        <f>A1151</f>
        <v>info_sql_variant_dml_single_pk</v>
      </c>
    </row>
    <row r="1152" spans="1:24">
      <c r="B1152" t="s">
        <v>196</v>
      </c>
      <c r="C1152" t="s">
        <v>197</v>
      </c>
      <c r="D1152" t="s">
        <v>197</v>
      </c>
      <c r="E1152" t="s">
        <v>197</v>
      </c>
      <c r="F1152" t="s">
        <v>197</v>
      </c>
      <c r="G1152" t="s">
        <v>197</v>
      </c>
      <c r="H1152" t="s">
        <v>197</v>
      </c>
      <c r="I1152" t="s">
        <v>1101</v>
      </c>
      <c r="J1152" t="s">
        <v>199</v>
      </c>
      <c r="K1152" t="s">
        <v>200</v>
      </c>
    </row>
    <row r="1153" spans="2:11">
      <c r="B1153" t="s">
        <v>197</v>
      </c>
      <c r="C1153" t="s">
        <v>197</v>
      </c>
      <c r="D1153" t="s">
        <v>197</v>
      </c>
      <c r="E1153" t="s">
        <v>197</v>
      </c>
      <c r="F1153" t="s">
        <v>197</v>
      </c>
      <c r="G1153" t="s">
        <v>197</v>
      </c>
      <c r="H1153" t="s">
        <v>197</v>
      </c>
      <c r="I1153" t="s">
        <v>197</v>
      </c>
      <c r="J1153" t="s">
        <v>197</v>
      </c>
      <c r="K1153" t="s">
        <v>1006</v>
      </c>
    </row>
    <row r="1154" spans="2:11">
      <c r="B1154" t="s">
        <v>197</v>
      </c>
      <c r="C1154" t="s">
        <v>197</v>
      </c>
      <c r="D1154" t="s">
        <v>197</v>
      </c>
      <c r="E1154" t="s">
        <v>197</v>
      </c>
      <c r="F1154" t="s">
        <v>197</v>
      </c>
      <c r="G1154" t="s">
        <v>197</v>
      </c>
      <c r="H1154" t="s">
        <v>197</v>
      </c>
      <c r="I1154" t="s">
        <v>197</v>
      </c>
      <c r="J1154" t="s">
        <v>197</v>
      </c>
      <c r="K1154" t="s">
        <v>1007</v>
      </c>
    </row>
    <row r="1155" spans="2:11">
      <c r="B1155" t="s">
        <v>197</v>
      </c>
      <c r="C1155" t="s">
        <v>197</v>
      </c>
      <c r="D1155" t="s">
        <v>197</v>
      </c>
      <c r="E1155" t="s">
        <v>197</v>
      </c>
      <c r="F1155" t="s">
        <v>197</v>
      </c>
      <c r="G1155" t="s">
        <v>197</v>
      </c>
      <c r="H1155" t="s">
        <v>197</v>
      </c>
      <c r="I1155" t="s">
        <v>197</v>
      </c>
      <c r="J1155" t="s">
        <v>197</v>
      </c>
      <c r="K1155" t="s">
        <v>1008</v>
      </c>
    </row>
    <row r="1156" spans="2:11">
      <c r="B1156" t="s">
        <v>197</v>
      </c>
      <c r="C1156" t="s">
        <v>197</v>
      </c>
      <c r="D1156" t="s">
        <v>197</v>
      </c>
      <c r="E1156" t="s">
        <v>197</v>
      </c>
      <c r="F1156" t="s">
        <v>197</v>
      </c>
      <c r="G1156" t="s">
        <v>197</v>
      </c>
      <c r="H1156" t="s">
        <v>197</v>
      </c>
      <c r="I1156" t="s">
        <v>197</v>
      </c>
      <c r="J1156" t="s">
        <v>197</v>
      </c>
      <c r="K1156" t="s">
        <v>1009</v>
      </c>
    </row>
    <row r="1157" spans="2:11">
      <c r="B1157" t="s">
        <v>197</v>
      </c>
      <c r="C1157" t="s">
        <v>197</v>
      </c>
      <c r="D1157" t="s">
        <v>197</v>
      </c>
      <c r="E1157" t="s">
        <v>197</v>
      </c>
      <c r="F1157" t="s">
        <v>197</v>
      </c>
      <c r="G1157" t="s">
        <v>197</v>
      </c>
      <c r="H1157" t="s">
        <v>197</v>
      </c>
      <c r="I1157" t="s">
        <v>197</v>
      </c>
      <c r="J1157" t="s">
        <v>197</v>
      </c>
      <c r="K1157" t="s">
        <v>1010</v>
      </c>
    </row>
    <row r="1158" spans="2:11">
      <c r="B1158" t="s">
        <v>197</v>
      </c>
      <c r="C1158" t="s">
        <v>197</v>
      </c>
      <c r="D1158" t="s">
        <v>197</v>
      </c>
      <c r="E1158" t="s">
        <v>197</v>
      </c>
      <c r="F1158" t="s">
        <v>197</v>
      </c>
      <c r="G1158" t="s">
        <v>197</v>
      </c>
      <c r="H1158" t="s">
        <v>197</v>
      </c>
      <c r="I1158" t="s">
        <v>197</v>
      </c>
      <c r="J1158" t="s">
        <v>197</v>
      </c>
      <c r="K1158" t="s">
        <v>1011</v>
      </c>
    </row>
    <row r="1159" spans="2:11">
      <c r="B1159" t="s">
        <v>197</v>
      </c>
      <c r="C1159" t="s">
        <v>197</v>
      </c>
      <c r="D1159" t="s">
        <v>197</v>
      </c>
      <c r="E1159" t="s">
        <v>197</v>
      </c>
      <c r="F1159" t="s">
        <v>197</v>
      </c>
      <c r="G1159" t="s">
        <v>197</v>
      </c>
      <c r="H1159" t="s">
        <v>197</v>
      </c>
      <c r="I1159" t="s">
        <v>197</v>
      </c>
      <c r="J1159" t="s">
        <v>197</v>
      </c>
      <c r="K1159" t="s">
        <v>1012</v>
      </c>
    </row>
    <row r="1160" spans="2:11">
      <c r="B1160" t="s">
        <v>197</v>
      </c>
      <c r="C1160" t="s">
        <v>197</v>
      </c>
      <c r="D1160" t="s">
        <v>197</v>
      </c>
      <c r="E1160" t="s">
        <v>197</v>
      </c>
      <c r="F1160" t="s">
        <v>197</v>
      </c>
      <c r="G1160" t="s">
        <v>197</v>
      </c>
      <c r="H1160" t="s">
        <v>197</v>
      </c>
      <c r="I1160" t="s">
        <v>197</v>
      </c>
      <c r="J1160" t="s">
        <v>197</v>
      </c>
      <c r="K1160" t="s">
        <v>1013</v>
      </c>
    </row>
    <row r="1161" spans="2:11">
      <c r="B1161" t="s">
        <v>197</v>
      </c>
      <c r="C1161" t="s">
        <v>197</v>
      </c>
      <c r="D1161" t="s">
        <v>197</v>
      </c>
      <c r="E1161" t="s">
        <v>197</v>
      </c>
      <c r="F1161" t="s">
        <v>197</v>
      </c>
      <c r="G1161" t="s">
        <v>197</v>
      </c>
      <c r="H1161" t="s">
        <v>197</v>
      </c>
      <c r="I1161" t="s">
        <v>197</v>
      </c>
      <c r="J1161" t="s">
        <v>197</v>
      </c>
      <c r="K1161" t="s">
        <v>1014</v>
      </c>
    </row>
    <row r="1162" spans="2:11">
      <c r="B1162" t="s">
        <v>197</v>
      </c>
      <c r="C1162" t="s">
        <v>197</v>
      </c>
      <c r="D1162" t="s">
        <v>197</v>
      </c>
      <c r="E1162" t="s">
        <v>197</v>
      </c>
      <c r="F1162" t="s">
        <v>197</v>
      </c>
      <c r="G1162" t="s">
        <v>197</v>
      </c>
      <c r="H1162" t="s">
        <v>197</v>
      </c>
      <c r="I1162" t="s">
        <v>197</v>
      </c>
      <c r="J1162" t="s">
        <v>197</v>
      </c>
      <c r="K1162" t="s">
        <v>1015</v>
      </c>
    </row>
    <row r="1163" spans="2:11">
      <c r="B1163" t="s">
        <v>197</v>
      </c>
      <c r="C1163" t="s">
        <v>197</v>
      </c>
      <c r="D1163" t="s">
        <v>197</v>
      </c>
      <c r="E1163" t="s">
        <v>197</v>
      </c>
      <c r="F1163" t="s">
        <v>197</v>
      </c>
      <c r="G1163" t="s">
        <v>197</v>
      </c>
      <c r="H1163" t="s">
        <v>197</v>
      </c>
      <c r="I1163" t="s">
        <v>197</v>
      </c>
      <c r="J1163" t="s">
        <v>197</v>
      </c>
      <c r="K1163" t="s">
        <v>1016</v>
      </c>
    </row>
    <row r="1164" spans="2:11">
      <c r="B1164" t="s">
        <v>197</v>
      </c>
      <c r="C1164" t="s">
        <v>197</v>
      </c>
      <c r="D1164" t="s">
        <v>197</v>
      </c>
      <c r="E1164" t="s">
        <v>197</v>
      </c>
      <c r="F1164" t="s">
        <v>197</v>
      </c>
      <c r="G1164" t="s">
        <v>197</v>
      </c>
      <c r="H1164" t="s">
        <v>197</v>
      </c>
      <c r="I1164" t="s">
        <v>197</v>
      </c>
      <c r="J1164" t="s">
        <v>197</v>
      </c>
      <c r="K1164" t="s">
        <v>1017</v>
      </c>
    </row>
    <row r="1165" spans="2:11">
      <c r="B1165" t="s">
        <v>197</v>
      </c>
      <c r="C1165" t="s">
        <v>197</v>
      </c>
      <c r="D1165" t="s">
        <v>197</v>
      </c>
      <c r="E1165" t="s">
        <v>197</v>
      </c>
      <c r="F1165" t="s">
        <v>197</v>
      </c>
      <c r="G1165" t="s">
        <v>197</v>
      </c>
      <c r="H1165" t="s">
        <v>197</v>
      </c>
      <c r="I1165" t="s">
        <v>197</v>
      </c>
      <c r="J1165" t="s">
        <v>197</v>
      </c>
      <c r="K1165" t="s">
        <v>1018</v>
      </c>
    </row>
    <row r="1166" spans="2:11">
      <c r="B1166" t="s">
        <v>197</v>
      </c>
      <c r="C1166" t="s">
        <v>197</v>
      </c>
      <c r="D1166" t="s">
        <v>197</v>
      </c>
      <c r="E1166" t="s">
        <v>197</v>
      </c>
      <c r="F1166" t="s">
        <v>197</v>
      </c>
      <c r="G1166" t="s">
        <v>197</v>
      </c>
      <c r="H1166" t="s">
        <v>197</v>
      </c>
      <c r="I1166" t="s">
        <v>197</v>
      </c>
      <c r="J1166" t="s">
        <v>197</v>
      </c>
      <c r="K1166" t="s">
        <v>1019</v>
      </c>
    </row>
    <row r="1167" spans="2:11">
      <c r="B1167" t="s">
        <v>197</v>
      </c>
      <c r="C1167" t="s">
        <v>197</v>
      </c>
      <c r="D1167" t="s">
        <v>197</v>
      </c>
      <c r="E1167" t="s">
        <v>197</v>
      </c>
      <c r="F1167" t="s">
        <v>197</v>
      </c>
      <c r="G1167" t="s">
        <v>197</v>
      </c>
      <c r="H1167" t="s">
        <v>197</v>
      </c>
      <c r="I1167" t="s">
        <v>197</v>
      </c>
      <c r="J1167" t="s">
        <v>197</v>
      </c>
      <c r="K1167" t="s">
        <v>1020</v>
      </c>
    </row>
    <row r="1168" spans="2:11">
      <c r="B1168" t="s">
        <v>197</v>
      </c>
      <c r="C1168" t="s">
        <v>197</v>
      </c>
      <c r="D1168" t="s">
        <v>197</v>
      </c>
      <c r="E1168" t="s">
        <v>197</v>
      </c>
      <c r="F1168" t="s">
        <v>197</v>
      </c>
      <c r="G1168" t="s">
        <v>197</v>
      </c>
      <c r="H1168" t="s">
        <v>197</v>
      </c>
      <c r="I1168" t="s">
        <v>197</v>
      </c>
      <c r="J1168" t="s">
        <v>197</v>
      </c>
      <c r="K1168" t="s">
        <v>1021</v>
      </c>
    </row>
    <row r="1169" spans="1:24">
      <c r="B1169" t="s">
        <v>197</v>
      </c>
      <c r="C1169" t="s">
        <v>197</v>
      </c>
      <c r="D1169" t="s">
        <v>197</v>
      </c>
      <c r="E1169" t="s">
        <v>197</v>
      </c>
      <c r="F1169" t="s">
        <v>197</v>
      </c>
      <c r="G1169" t="s">
        <v>197</v>
      </c>
      <c r="H1169" t="s">
        <v>197</v>
      </c>
      <c r="I1169" t="s">
        <v>197</v>
      </c>
      <c r="J1169" t="s">
        <v>197</v>
      </c>
      <c r="K1169" t="s">
        <v>1022</v>
      </c>
    </row>
    <row r="1170" spans="1:24">
      <c r="B1170" t="s">
        <v>197</v>
      </c>
      <c r="C1170" t="s">
        <v>197</v>
      </c>
      <c r="D1170" t="s">
        <v>197</v>
      </c>
      <c r="E1170" t="s">
        <v>197</v>
      </c>
      <c r="F1170" t="s">
        <v>197</v>
      </c>
      <c r="G1170" t="s">
        <v>197</v>
      </c>
      <c r="H1170" t="s">
        <v>197</v>
      </c>
      <c r="I1170" t="s">
        <v>197</v>
      </c>
      <c r="J1170" t="s">
        <v>197</v>
      </c>
      <c r="K1170" t="s">
        <v>1023</v>
      </c>
    </row>
    <row r="1171" spans="1:24">
      <c r="B1171" t="s">
        <v>197</v>
      </c>
      <c r="C1171" t="s">
        <v>197</v>
      </c>
      <c r="D1171" t="s">
        <v>197</v>
      </c>
      <c r="E1171" t="s">
        <v>197</v>
      </c>
      <c r="F1171" t="s">
        <v>197</v>
      </c>
      <c r="G1171" t="s">
        <v>197</v>
      </c>
      <c r="H1171" t="s">
        <v>197</v>
      </c>
      <c r="I1171" t="s">
        <v>197</v>
      </c>
      <c r="J1171" t="s">
        <v>197</v>
      </c>
      <c r="K1171" t="s">
        <v>1024</v>
      </c>
    </row>
    <row r="1172" spans="1:24">
      <c r="B1172" t="s">
        <v>197</v>
      </c>
      <c r="C1172" t="s">
        <v>197</v>
      </c>
      <c r="D1172" t="s">
        <v>197</v>
      </c>
      <c r="E1172" t="s">
        <v>197</v>
      </c>
      <c r="F1172" t="s">
        <v>197</v>
      </c>
      <c r="G1172" t="s">
        <v>197</v>
      </c>
      <c r="H1172" t="s">
        <v>197</v>
      </c>
      <c r="I1172" t="s">
        <v>197</v>
      </c>
      <c r="J1172" t="s">
        <v>197</v>
      </c>
      <c r="K1172" t="s">
        <v>1025</v>
      </c>
    </row>
    <row r="1173" spans="1:24">
      <c r="B1173" t="s">
        <v>197</v>
      </c>
      <c r="C1173" t="s">
        <v>197</v>
      </c>
      <c r="D1173" t="s">
        <v>197</v>
      </c>
      <c r="E1173" t="s">
        <v>197</v>
      </c>
      <c r="F1173" t="s">
        <v>197</v>
      </c>
      <c r="G1173" t="s">
        <v>197</v>
      </c>
      <c r="H1173" t="s">
        <v>197</v>
      </c>
      <c r="I1173" t="s">
        <v>197</v>
      </c>
      <c r="J1173" t="s">
        <v>197</v>
      </c>
      <c r="K1173" t="s">
        <v>1026</v>
      </c>
    </row>
    <row r="1174" spans="1:24">
      <c r="B1174" t="s">
        <v>197</v>
      </c>
      <c r="C1174" t="s">
        <v>197</v>
      </c>
      <c r="D1174" t="s">
        <v>197</v>
      </c>
      <c r="E1174" t="s">
        <v>197</v>
      </c>
      <c r="F1174" t="s">
        <v>197</v>
      </c>
      <c r="G1174" t="s">
        <v>197</v>
      </c>
      <c r="H1174" t="s">
        <v>197</v>
      </c>
      <c r="I1174" t="s">
        <v>197</v>
      </c>
      <c r="J1174" t="s">
        <v>197</v>
      </c>
      <c r="K1174" t="s">
        <v>1027</v>
      </c>
    </row>
    <row r="1175" spans="1:24">
      <c r="B1175" t="s">
        <v>197</v>
      </c>
      <c r="C1175" t="s">
        <v>197</v>
      </c>
      <c r="D1175" t="s">
        <v>197</v>
      </c>
      <c r="E1175" t="s">
        <v>197</v>
      </c>
      <c r="F1175" t="s">
        <v>197</v>
      </c>
      <c r="G1175" t="s">
        <v>197</v>
      </c>
      <c r="H1175" t="s">
        <v>197</v>
      </c>
      <c r="I1175" t="s">
        <v>197</v>
      </c>
      <c r="J1175" t="s">
        <v>197</v>
      </c>
      <c r="K1175" t="s">
        <v>1028</v>
      </c>
    </row>
    <row r="1176" spans="1:24">
      <c r="B1176" t="s">
        <v>197</v>
      </c>
      <c r="C1176" t="s">
        <v>197</v>
      </c>
      <c r="D1176" t="s">
        <v>197</v>
      </c>
      <c r="E1176" t="s">
        <v>197</v>
      </c>
      <c r="F1176" t="s">
        <v>197</v>
      </c>
      <c r="G1176" t="s">
        <v>197</v>
      </c>
      <c r="H1176" t="s">
        <v>197</v>
      </c>
      <c r="I1176" t="s">
        <v>197</v>
      </c>
      <c r="J1176" t="s">
        <v>197</v>
      </c>
      <c r="K1176" t="s">
        <v>1029</v>
      </c>
    </row>
    <row r="1177" spans="1:24">
      <c r="A1177" t="s">
        <v>1105</v>
      </c>
      <c r="K1177" t="s">
        <v>1106</v>
      </c>
      <c r="W1177" t="s">
        <v>171</v>
      </c>
      <c r="X1177" t="str">
        <f>A1177</f>
        <v>info_time_dml_batch1_pk_urp2</v>
      </c>
    </row>
    <row r="1178" spans="1:24">
      <c r="B1178" t="s">
        <v>196</v>
      </c>
      <c r="C1178" t="s">
        <v>197</v>
      </c>
      <c r="D1178" t="s">
        <v>197</v>
      </c>
      <c r="E1178" t="s">
        <v>197</v>
      </c>
      <c r="F1178" t="s">
        <v>197</v>
      </c>
      <c r="G1178" t="s">
        <v>197</v>
      </c>
      <c r="H1178" t="s">
        <v>197</v>
      </c>
      <c r="I1178" t="s">
        <v>1107</v>
      </c>
      <c r="J1178" t="s">
        <v>199</v>
      </c>
      <c r="K1178" t="s">
        <v>200</v>
      </c>
    </row>
    <row r="1179" spans="1:24">
      <c r="B1179" t="s">
        <v>197</v>
      </c>
      <c r="C1179" t="s">
        <v>197</v>
      </c>
      <c r="D1179" t="s">
        <v>197</v>
      </c>
      <c r="E1179" t="s">
        <v>197</v>
      </c>
      <c r="F1179" t="s">
        <v>197</v>
      </c>
      <c r="G1179" t="s">
        <v>197</v>
      </c>
      <c r="H1179" t="s">
        <v>197</v>
      </c>
      <c r="I1179" t="s">
        <v>197</v>
      </c>
      <c r="J1179" t="s">
        <v>197</v>
      </c>
      <c r="K1179" t="s">
        <v>800</v>
      </c>
    </row>
    <row r="1180" spans="1:24">
      <c r="B1180" t="s">
        <v>197</v>
      </c>
      <c r="C1180" t="s">
        <v>197</v>
      </c>
      <c r="D1180" t="s">
        <v>197</v>
      </c>
      <c r="E1180" t="s">
        <v>197</v>
      </c>
      <c r="F1180" t="s">
        <v>197</v>
      </c>
      <c r="G1180" t="s">
        <v>197</v>
      </c>
      <c r="H1180" t="s">
        <v>197</v>
      </c>
      <c r="I1180" t="s">
        <v>197</v>
      </c>
      <c r="J1180" t="s">
        <v>197</v>
      </c>
      <c r="K1180" t="s">
        <v>801</v>
      </c>
    </row>
    <row r="1181" spans="1:24">
      <c r="B1181" t="s">
        <v>197</v>
      </c>
      <c r="C1181" t="s">
        <v>197</v>
      </c>
      <c r="D1181" t="s">
        <v>197</v>
      </c>
      <c r="E1181" t="s">
        <v>197</v>
      </c>
      <c r="F1181" t="s">
        <v>197</v>
      </c>
      <c r="G1181" t="s">
        <v>197</v>
      </c>
      <c r="H1181" t="s">
        <v>197</v>
      </c>
      <c r="I1181" t="s">
        <v>197</v>
      </c>
      <c r="J1181" t="s">
        <v>197</v>
      </c>
      <c r="K1181" t="s">
        <v>802</v>
      </c>
    </row>
    <row r="1182" spans="1:24">
      <c r="B1182" t="s">
        <v>197</v>
      </c>
      <c r="C1182" t="s">
        <v>197</v>
      </c>
      <c r="D1182" t="s">
        <v>197</v>
      </c>
      <c r="E1182" t="s">
        <v>197</v>
      </c>
      <c r="F1182" t="s">
        <v>197</v>
      </c>
      <c r="G1182" t="s">
        <v>197</v>
      </c>
      <c r="H1182" t="s">
        <v>197</v>
      </c>
      <c r="I1182" t="s">
        <v>197</v>
      </c>
      <c r="J1182" t="s">
        <v>197</v>
      </c>
      <c r="K1182" t="s">
        <v>803</v>
      </c>
    </row>
    <row r="1183" spans="1:24">
      <c r="B1183" t="s">
        <v>197</v>
      </c>
      <c r="C1183" t="s">
        <v>197</v>
      </c>
      <c r="D1183" t="s">
        <v>197</v>
      </c>
      <c r="E1183" t="s">
        <v>197</v>
      </c>
      <c r="F1183" t="s">
        <v>197</v>
      </c>
      <c r="G1183" t="s">
        <v>197</v>
      </c>
      <c r="H1183" t="s">
        <v>197</v>
      </c>
      <c r="I1183" t="s">
        <v>197</v>
      </c>
      <c r="J1183" t="s">
        <v>197</v>
      </c>
      <c r="K1183" t="s">
        <v>804</v>
      </c>
    </row>
    <row r="1184" spans="1:24">
      <c r="B1184" t="s">
        <v>197</v>
      </c>
      <c r="C1184" t="s">
        <v>197</v>
      </c>
      <c r="D1184" t="s">
        <v>197</v>
      </c>
      <c r="E1184" t="s">
        <v>197</v>
      </c>
      <c r="F1184" t="s">
        <v>197</v>
      </c>
      <c r="G1184" t="s">
        <v>197</v>
      </c>
      <c r="H1184" t="s">
        <v>197</v>
      </c>
      <c r="I1184" t="s">
        <v>197</v>
      </c>
      <c r="J1184" t="s">
        <v>197</v>
      </c>
      <c r="K1184" t="s">
        <v>805</v>
      </c>
    </row>
    <row r="1185" spans="1:24">
      <c r="B1185" t="s">
        <v>197</v>
      </c>
      <c r="C1185" t="s">
        <v>197</v>
      </c>
      <c r="D1185" t="s">
        <v>197</v>
      </c>
      <c r="E1185" t="s">
        <v>197</v>
      </c>
      <c r="F1185" t="s">
        <v>197</v>
      </c>
      <c r="G1185" t="s">
        <v>197</v>
      </c>
      <c r="H1185" t="s">
        <v>197</v>
      </c>
      <c r="I1185" t="s">
        <v>197</v>
      </c>
      <c r="J1185" t="s">
        <v>197</v>
      </c>
      <c r="K1185" t="s">
        <v>806</v>
      </c>
    </row>
    <row r="1186" spans="1:24">
      <c r="B1186" t="s">
        <v>197</v>
      </c>
      <c r="C1186" t="s">
        <v>197</v>
      </c>
      <c r="D1186" t="s">
        <v>197</v>
      </c>
      <c r="E1186" t="s">
        <v>197</v>
      </c>
      <c r="F1186" t="s">
        <v>197</v>
      </c>
      <c r="G1186" t="s">
        <v>197</v>
      </c>
      <c r="H1186" t="s">
        <v>197</v>
      </c>
      <c r="I1186" t="s">
        <v>197</v>
      </c>
      <c r="J1186" t="s">
        <v>197</v>
      </c>
      <c r="K1186" t="s">
        <v>807</v>
      </c>
    </row>
    <row r="1187" spans="1:24">
      <c r="A1187" t="s">
        <v>1102</v>
      </c>
      <c r="K1187" t="s">
        <v>1103</v>
      </c>
      <c r="W1187" t="s">
        <v>171</v>
      </c>
      <c r="X1187" t="str">
        <f>A1187</f>
        <v>info_uniqueidentifier_dml_single_pk_drp</v>
      </c>
    </row>
    <row r="1188" spans="1:24">
      <c r="B1188" t="s">
        <v>196</v>
      </c>
      <c r="C1188" t="s">
        <v>197</v>
      </c>
      <c r="D1188" t="s">
        <v>197</v>
      </c>
      <c r="E1188" t="s">
        <v>197</v>
      </c>
      <c r="F1188" t="s">
        <v>197</v>
      </c>
      <c r="G1188" t="s">
        <v>197</v>
      </c>
      <c r="H1188" t="s">
        <v>197</v>
      </c>
      <c r="I1188" t="s">
        <v>1104</v>
      </c>
      <c r="J1188" t="s">
        <v>199</v>
      </c>
      <c r="K1188" t="s">
        <v>200</v>
      </c>
    </row>
    <row r="1189" spans="1:24">
      <c r="B1189" t="s">
        <v>197</v>
      </c>
      <c r="C1189" t="s">
        <v>197</v>
      </c>
      <c r="D1189" t="s">
        <v>197</v>
      </c>
      <c r="E1189" t="s">
        <v>197</v>
      </c>
      <c r="F1189" t="s">
        <v>197</v>
      </c>
      <c r="G1189" t="s">
        <v>197</v>
      </c>
      <c r="H1189" t="s">
        <v>197</v>
      </c>
      <c r="I1189" t="s">
        <v>197</v>
      </c>
      <c r="J1189" t="s">
        <v>197</v>
      </c>
      <c r="K1189" t="s">
        <v>1039</v>
      </c>
    </row>
    <row r="1190" spans="1:24">
      <c r="A1190" t="s">
        <v>1108</v>
      </c>
      <c r="K1190" t="s">
        <v>1109</v>
      </c>
      <c r="W1190" t="s">
        <v>171</v>
      </c>
      <c r="X1190" t="str">
        <f>A1190</f>
        <v>info_datetime2_dml_single_pk_drp</v>
      </c>
    </row>
    <row r="1191" spans="1:24">
      <c r="B1191" t="s">
        <v>196</v>
      </c>
      <c r="C1191" t="s">
        <v>197</v>
      </c>
      <c r="D1191" t="s">
        <v>197</v>
      </c>
      <c r="E1191" t="s">
        <v>197</v>
      </c>
      <c r="F1191" t="s">
        <v>197</v>
      </c>
      <c r="G1191" t="s">
        <v>197</v>
      </c>
      <c r="H1191" t="s">
        <v>197</v>
      </c>
      <c r="I1191" t="s">
        <v>1110</v>
      </c>
      <c r="J1191" t="s">
        <v>199</v>
      </c>
      <c r="K1191" t="s">
        <v>200</v>
      </c>
    </row>
    <row r="1192" spans="1:24">
      <c r="B1192" t="s">
        <v>197</v>
      </c>
      <c r="C1192" t="s">
        <v>197</v>
      </c>
      <c r="D1192" t="s">
        <v>197</v>
      </c>
      <c r="E1192" t="s">
        <v>197</v>
      </c>
      <c r="F1192" t="s">
        <v>197</v>
      </c>
      <c r="G1192" t="s">
        <v>197</v>
      </c>
      <c r="H1192" t="s">
        <v>197</v>
      </c>
      <c r="I1192" t="s">
        <v>197</v>
      </c>
      <c r="J1192" t="s">
        <v>197</v>
      </c>
      <c r="K1192" t="s">
        <v>667</v>
      </c>
    </row>
    <row r="1193" spans="1:24">
      <c r="B1193" t="s">
        <v>197</v>
      </c>
      <c r="C1193" t="s">
        <v>197</v>
      </c>
      <c r="D1193" t="s">
        <v>197</v>
      </c>
      <c r="E1193" t="s">
        <v>197</v>
      </c>
      <c r="F1193" t="s">
        <v>197</v>
      </c>
      <c r="G1193" t="s">
        <v>197</v>
      </c>
      <c r="H1193" t="s">
        <v>197</v>
      </c>
      <c r="I1193" t="s">
        <v>197</v>
      </c>
      <c r="J1193" t="s">
        <v>197</v>
      </c>
      <c r="K1193" t="s">
        <v>668</v>
      </c>
    </row>
    <row r="1194" spans="1:24">
      <c r="B1194" t="s">
        <v>197</v>
      </c>
      <c r="C1194" t="s">
        <v>197</v>
      </c>
      <c r="D1194" t="s">
        <v>197</v>
      </c>
      <c r="E1194" t="s">
        <v>197</v>
      </c>
      <c r="F1194" t="s">
        <v>197</v>
      </c>
      <c r="G1194" t="s">
        <v>197</v>
      </c>
      <c r="H1194" t="s">
        <v>197</v>
      </c>
      <c r="I1194" t="s">
        <v>197</v>
      </c>
      <c r="J1194" t="s">
        <v>197</v>
      </c>
      <c r="K1194" t="s">
        <v>669</v>
      </c>
    </row>
    <row r="1195" spans="1:24">
      <c r="B1195" t="s">
        <v>197</v>
      </c>
      <c r="C1195" t="s">
        <v>197</v>
      </c>
      <c r="D1195" t="s">
        <v>197</v>
      </c>
      <c r="E1195" t="s">
        <v>197</v>
      </c>
      <c r="F1195" t="s">
        <v>197</v>
      </c>
      <c r="G1195" t="s">
        <v>197</v>
      </c>
      <c r="H1195" t="s">
        <v>197</v>
      </c>
      <c r="I1195" t="s">
        <v>197</v>
      </c>
      <c r="J1195" t="s">
        <v>197</v>
      </c>
      <c r="K1195" t="s">
        <v>670</v>
      </c>
    </row>
    <row r="1196" spans="1:24">
      <c r="B1196" t="s">
        <v>197</v>
      </c>
      <c r="C1196" t="s">
        <v>197</v>
      </c>
      <c r="D1196" t="s">
        <v>197</v>
      </c>
      <c r="E1196" t="s">
        <v>197</v>
      </c>
      <c r="F1196" t="s">
        <v>197</v>
      </c>
      <c r="G1196" t="s">
        <v>197</v>
      </c>
      <c r="H1196" t="s">
        <v>197</v>
      </c>
      <c r="I1196" t="s">
        <v>197</v>
      </c>
      <c r="J1196" t="s">
        <v>197</v>
      </c>
      <c r="K1196" t="s">
        <v>671</v>
      </c>
    </row>
    <row r="1197" spans="1:24">
      <c r="B1197" t="s">
        <v>197</v>
      </c>
      <c r="C1197" t="s">
        <v>197</v>
      </c>
      <c r="D1197" t="s">
        <v>197</v>
      </c>
      <c r="E1197" t="s">
        <v>197</v>
      </c>
      <c r="F1197" t="s">
        <v>197</v>
      </c>
      <c r="G1197" t="s">
        <v>197</v>
      </c>
      <c r="H1197" t="s">
        <v>197</v>
      </c>
      <c r="I1197" t="s">
        <v>197</v>
      </c>
      <c r="J1197" t="s">
        <v>197</v>
      </c>
      <c r="K1197" t="s">
        <v>672</v>
      </c>
    </row>
    <row r="1198" spans="1:24">
      <c r="B1198" t="s">
        <v>197</v>
      </c>
      <c r="C1198" t="s">
        <v>197</v>
      </c>
      <c r="D1198" t="s">
        <v>197</v>
      </c>
      <c r="E1198" t="s">
        <v>197</v>
      </c>
      <c r="F1198" t="s">
        <v>197</v>
      </c>
      <c r="G1198" t="s">
        <v>197</v>
      </c>
      <c r="H1198" t="s">
        <v>197</v>
      </c>
      <c r="I1198" t="s">
        <v>197</v>
      </c>
      <c r="J1198" t="s">
        <v>197</v>
      </c>
      <c r="K1198" t="s">
        <v>673</v>
      </c>
    </row>
    <row r="1199" spans="1:24">
      <c r="B1199" t="s">
        <v>197</v>
      </c>
      <c r="C1199" t="s">
        <v>197</v>
      </c>
      <c r="D1199" t="s">
        <v>197</v>
      </c>
      <c r="E1199" t="s">
        <v>197</v>
      </c>
      <c r="F1199" t="s">
        <v>197</v>
      </c>
      <c r="G1199" t="s">
        <v>197</v>
      </c>
      <c r="H1199" t="s">
        <v>197</v>
      </c>
      <c r="I1199" t="s">
        <v>197</v>
      </c>
      <c r="J1199" t="s">
        <v>197</v>
      </c>
      <c r="K1199" t="s">
        <v>674</v>
      </c>
    </row>
    <row r="1200" spans="1:24">
      <c r="A1200" t="s">
        <v>1111</v>
      </c>
      <c r="K1200" t="s">
        <v>1112</v>
      </c>
      <c r="W1200" t="s">
        <v>171</v>
      </c>
      <c r="X1200" t="str">
        <f>A1200</f>
        <v>info_varchar_dml_single_pk_urp</v>
      </c>
    </row>
    <row r="1201" spans="1:24">
      <c r="B1201" t="s">
        <v>196</v>
      </c>
      <c r="C1201" t="s">
        <v>197</v>
      </c>
      <c r="D1201" t="s">
        <v>197</v>
      </c>
      <c r="E1201" t="s">
        <v>197</v>
      </c>
      <c r="F1201" t="s">
        <v>197</v>
      </c>
      <c r="G1201" t="s">
        <v>197</v>
      </c>
      <c r="H1201" t="s">
        <v>197</v>
      </c>
      <c r="I1201" t="s">
        <v>1113</v>
      </c>
      <c r="J1201" t="s">
        <v>199</v>
      </c>
      <c r="K1201" t="s">
        <v>200</v>
      </c>
    </row>
    <row r="1202" spans="1:24">
      <c r="B1202" t="s">
        <v>197</v>
      </c>
      <c r="C1202" t="s">
        <v>197</v>
      </c>
      <c r="D1202" t="s">
        <v>197</v>
      </c>
      <c r="E1202" t="s">
        <v>197</v>
      </c>
      <c r="F1202" t="s">
        <v>197</v>
      </c>
      <c r="G1202" t="s">
        <v>197</v>
      </c>
      <c r="H1202" t="s">
        <v>197</v>
      </c>
      <c r="I1202" t="s">
        <v>197</v>
      </c>
      <c r="J1202" t="s">
        <v>197</v>
      </c>
      <c r="K1202" t="s">
        <v>431</v>
      </c>
    </row>
    <row r="1203" spans="1:24">
      <c r="B1203" t="s">
        <v>197</v>
      </c>
      <c r="C1203" t="s">
        <v>197</v>
      </c>
      <c r="D1203" t="s">
        <v>197</v>
      </c>
      <c r="E1203" t="s">
        <v>197</v>
      </c>
      <c r="F1203" t="s">
        <v>197</v>
      </c>
      <c r="G1203" t="s">
        <v>197</v>
      </c>
      <c r="H1203" t="s">
        <v>197</v>
      </c>
      <c r="I1203" t="s">
        <v>197</v>
      </c>
      <c r="J1203" t="s">
        <v>197</v>
      </c>
      <c r="K1203" t="s">
        <v>1056</v>
      </c>
    </row>
    <row r="1204" spans="1:24">
      <c r="B1204" t="s">
        <v>197</v>
      </c>
      <c r="C1204" t="s">
        <v>197</v>
      </c>
      <c r="D1204" t="s">
        <v>197</v>
      </c>
      <c r="E1204" t="s">
        <v>197</v>
      </c>
      <c r="F1204" t="s">
        <v>197</v>
      </c>
      <c r="G1204" t="s">
        <v>197</v>
      </c>
      <c r="H1204" t="s">
        <v>197</v>
      </c>
      <c r="I1204" t="s">
        <v>197</v>
      </c>
      <c r="J1204" t="s">
        <v>197</v>
      </c>
      <c r="K1204" t="s">
        <v>963</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1117</v>
      </c>
      <c r="K1216" t="s">
        <v>1118</v>
      </c>
      <c r="W1216" s="1" t="str">
        <f>HYPERLINK("#2026042016hbase0!AR2","NO 源备存在差异，共16个")</f>
        <v>NO 源备存在差异，共16个</v>
      </c>
      <c r="X1216" t="str">
        <f>A1216</f>
        <v>info_int_dml_batch1_pk_irp2</v>
      </c>
    </row>
    <row r="1217" spans="2:11">
      <c r="B1217" t="s">
        <v>196</v>
      </c>
      <c r="C1217" t="s">
        <v>197</v>
      </c>
      <c r="D1217" t="s">
        <v>197</v>
      </c>
      <c r="E1217" t="s">
        <v>197</v>
      </c>
      <c r="F1217" t="s">
        <v>197</v>
      </c>
      <c r="G1217" t="s">
        <v>197</v>
      </c>
      <c r="H1217" t="s">
        <v>197</v>
      </c>
      <c r="I1217" t="s">
        <v>1119</v>
      </c>
      <c r="J1217" t="s">
        <v>199</v>
      </c>
      <c r="K1217" t="s">
        <v>200</v>
      </c>
    </row>
    <row r="1218" spans="2:11">
      <c r="B1218" t="s">
        <v>197</v>
      </c>
      <c r="C1218" t="s">
        <v>197</v>
      </c>
      <c r="D1218" t="s">
        <v>197</v>
      </c>
      <c r="E1218" t="s">
        <v>197</v>
      </c>
      <c r="F1218" t="s">
        <v>197</v>
      </c>
      <c r="G1218" t="s">
        <v>197</v>
      </c>
      <c r="H1218" t="s">
        <v>197</v>
      </c>
      <c r="I1218" t="s">
        <v>197</v>
      </c>
      <c r="J1218" t="s">
        <v>197</v>
      </c>
      <c r="K1218" t="s">
        <v>549</v>
      </c>
    </row>
    <row r="1219" spans="2:11">
      <c r="B1219" t="s">
        <v>197</v>
      </c>
      <c r="C1219" t="s">
        <v>197</v>
      </c>
      <c r="D1219" t="s">
        <v>197</v>
      </c>
      <c r="E1219" t="s">
        <v>197</v>
      </c>
      <c r="F1219" t="s">
        <v>197</v>
      </c>
      <c r="G1219" t="s">
        <v>197</v>
      </c>
      <c r="H1219" t="s">
        <v>197</v>
      </c>
      <c r="I1219" t="s">
        <v>197</v>
      </c>
      <c r="J1219" t="s">
        <v>197</v>
      </c>
      <c r="K1219" t="s">
        <v>550</v>
      </c>
    </row>
    <row r="1220" spans="2:11">
      <c r="B1220" t="s">
        <v>197</v>
      </c>
      <c r="C1220" t="s">
        <v>197</v>
      </c>
      <c r="D1220" t="s">
        <v>197</v>
      </c>
      <c r="E1220" t="s">
        <v>197</v>
      </c>
      <c r="F1220" t="s">
        <v>197</v>
      </c>
      <c r="G1220" t="s">
        <v>197</v>
      </c>
      <c r="H1220" t="s">
        <v>197</v>
      </c>
      <c r="I1220" t="s">
        <v>197</v>
      </c>
      <c r="J1220" t="s">
        <v>197</v>
      </c>
      <c r="K1220" t="s">
        <v>551</v>
      </c>
    </row>
    <row r="1221" spans="2:11">
      <c r="B1221" t="s">
        <v>197</v>
      </c>
      <c r="C1221" t="s">
        <v>197</v>
      </c>
      <c r="D1221" t="s">
        <v>197</v>
      </c>
      <c r="E1221" t="s">
        <v>197</v>
      </c>
      <c r="F1221" t="s">
        <v>197</v>
      </c>
      <c r="G1221" t="s">
        <v>197</v>
      </c>
      <c r="H1221" t="s">
        <v>197</v>
      </c>
      <c r="I1221" t="s">
        <v>197</v>
      </c>
      <c r="J1221" t="s">
        <v>197</v>
      </c>
      <c r="K1221" t="s">
        <v>552</v>
      </c>
    </row>
    <row r="1222" spans="2:11">
      <c r="B1222" t="s">
        <v>197</v>
      </c>
      <c r="C1222" t="s">
        <v>197</v>
      </c>
      <c r="D1222" t="s">
        <v>197</v>
      </c>
      <c r="E1222" t="s">
        <v>197</v>
      </c>
      <c r="F1222" t="s">
        <v>197</v>
      </c>
      <c r="G1222" t="s">
        <v>197</v>
      </c>
      <c r="H1222" t="s">
        <v>197</v>
      </c>
      <c r="I1222" t="s">
        <v>197</v>
      </c>
      <c r="J1222" t="s">
        <v>197</v>
      </c>
      <c r="K1222" t="s">
        <v>553</v>
      </c>
    </row>
    <row r="1223" spans="2:11">
      <c r="B1223" t="s">
        <v>197</v>
      </c>
      <c r="C1223" t="s">
        <v>197</v>
      </c>
      <c r="D1223" t="s">
        <v>197</v>
      </c>
      <c r="E1223" t="s">
        <v>197</v>
      </c>
      <c r="F1223" t="s">
        <v>197</v>
      </c>
      <c r="G1223" t="s">
        <v>197</v>
      </c>
      <c r="H1223" t="s">
        <v>197</v>
      </c>
      <c r="I1223" t="s">
        <v>197</v>
      </c>
      <c r="J1223" t="s">
        <v>197</v>
      </c>
      <c r="K1223" t="s">
        <v>554</v>
      </c>
    </row>
    <row r="1224" spans="2:11">
      <c r="B1224" t="s">
        <v>197</v>
      </c>
      <c r="C1224" t="s">
        <v>197</v>
      </c>
      <c r="D1224" t="s">
        <v>197</v>
      </c>
      <c r="E1224" t="s">
        <v>197</v>
      </c>
      <c r="F1224" t="s">
        <v>197</v>
      </c>
      <c r="G1224" t="s">
        <v>197</v>
      </c>
      <c r="H1224" t="s">
        <v>197</v>
      </c>
      <c r="I1224" t="s">
        <v>197</v>
      </c>
      <c r="J1224" t="s">
        <v>197</v>
      </c>
      <c r="K1224" t="s">
        <v>555</v>
      </c>
    </row>
    <row r="1225" spans="2:11">
      <c r="B1225" t="s">
        <v>197</v>
      </c>
      <c r="C1225" t="s">
        <v>197</v>
      </c>
      <c r="D1225" t="s">
        <v>197</v>
      </c>
      <c r="E1225" t="s">
        <v>197</v>
      </c>
      <c r="F1225" t="s">
        <v>197</v>
      </c>
      <c r="G1225" t="s">
        <v>197</v>
      </c>
      <c r="H1225" t="s">
        <v>197</v>
      </c>
      <c r="I1225" t="s">
        <v>197</v>
      </c>
      <c r="J1225" t="s">
        <v>197</v>
      </c>
      <c r="K1225" t="s">
        <v>556</v>
      </c>
    </row>
    <row r="1226" spans="2:11">
      <c r="B1226" t="s">
        <v>197</v>
      </c>
      <c r="C1226" t="s">
        <v>197</v>
      </c>
      <c r="D1226" t="s">
        <v>197</v>
      </c>
      <c r="E1226" t="s">
        <v>197</v>
      </c>
      <c r="F1226" t="s">
        <v>197</v>
      </c>
      <c r="G1226" t="s">
        <v>197</v>
      </c>
      <c r="H1226" t="s">
        <v>197</v>
      </c>
      <c r="I1226" t="s">
        <v>197</v>
      </c>
      <c r="J1226" t="s">
        <v>197</v>
      </c>
      <c r="K1226" t="s">
        <v>557</v>
      </c>
    </row>
    <row r="1227" spans="2:11">
      <c r="B1227" t="s">
        <v>197</v>
      </c>
      <c r="C1227" t="s">
        <v>197</v>
      </c>
      <c r="D1227" t="s">
        <v>197</v>
      </c>
      <c r="E1227" t="s">
        <v>197</v>
      </c>
      <c r="F1227" t="s">
        <v>197</v>
      </c>
      <c r="G1227" t="s">
        <v>197</v>
      </c>
      <c r="H1227" t="s">
        <v>197</v>
      </c>
      <c r="I1227" t="s">
        <v>197</v>
      </c>
      <c r="J1227" t="s">
        <v>197</v>
      </c>
      <c r="K1227" t="s">
        <v>558</v>
      </c>
    </row>
    <row r="1228" spans="2:11">
      <c r="B1228" t="s">
        <v>197</v>
      </c>
      <c r="C1228" t="s">
        <v>197</v>
      </c>
      <c r="D1228" t="s">
        <v>197</v>
      </c>
      <c r="E1228" t="s">
        <v>197</v>
      </c>
      <c r="F1228" t="s">
        <v>197</v>
      </c>
      <c r="G1228" t="s">
        <v>197</v>
      </c>
      <c r="H1228" t="s">
        <v>197</v>
      </c>
      <c r="I1228" t="s">
        <v>197</v>
      </c>
      <c r="J1228" t="s">
        <v>197</v>
      </c>
      <c r="K1228" t="s">
        <v>559</v>
      </c>
    </row>
    <row r="1229" spans="2:11">
      <c r="B1229" t="s">
        <v>197</v>
      </c>
      <c r="C1229" t="s">
        <v>197</v>
      </c>
      <c r="D1229" t="s">
        <v>197</v>
      </c>
      <c r="E1229" t="s">
        <v>197</v>
      </c>
      <c r="F1229" t="s">
        <v>197</v>
      </c>
      <c r="G1229" t="s">
        <v>197</v>
      </c>
      <c r="H1229" t="s">
        <v>197</v>
      </c>
      <c r="I1229" t="s">
        <v>197</v>
      </c>
      <c r="J1229" t="s">
        <v>197</v>
      </c>
      <c r="K1229" t="s">
        <v>560</v>
      </c>
    </row>
    <row r="1230" spans="2:11">
      <c r="B1230" t="s">
        <v>197</v>
      </c>
      <c r="C1230" t="s">
        <v>197</v>
      </c>
      <c r="D1230" t="s">
        <v>197</v>
      </c>
      <c r="E1230" t="s">
        <v>197</v>
      </c>
      <c r="F1230" t="s">
        <v>197</v>
      </c>
      <c r="G1230" t="s">
        <v>197</v>
      </c>
      <c r="H1230" t="s">
        <v>197</v>
      </c>
      <c r="I1230" t="s">
        <v>197</v>
      </c>
      <c r="J1230" t="s">
        <v>197</v>
      </c>
      <c r="K1230" t="s">
        <v>561</v>
      </c>
    </row>
    <row r="1231" spans="2:11">
      <c r="B1231" t="s">
        <v>197</v>
      </c>
      <c r="C1231" t="s">
        <v>197</v>
      </c>
      <c r="D1231" t="s">
        <v>197</v>
      </c>
      <c r="E1231" t="s">
        <v>197</v>
      </c>
      <c r="F1231" t="s">
        <v>197</v>
      </c>
      <c r="G1231" t="s">
        <v>197</v>
      </c>
      <c r="H1231" t="s">
        <v>197</v>
      </c>
      <c r="I1231" t="s">
        <v>197</v>
      </c>
      <c r="J1231" t="s">
        <v>197</v>
      </c>
      <c r="K1231" t="s">
        <v>562</v>
      </c>
    </row>
    <row r="1232" spans="2:11">
      <c r="B1232" t="s">
        <v>197</v>
      </c>
      <c r="C1232" t="s">
        <v>197</v>
      </c>
      <c r="D1232" t="s">
        <v>197</v>
      </c>
      <c r="E1232" t="s">
        <v>197</v>
      </c>
      <c r="F1232" t="s">
        <v>197</v>
      </c>
      <c r="G1232" t="s">
        <v>197</v>
      </c>
      <c r="H1232" t="s">
        <v>197</v>
      </c>
      <c r="I1232" t="s">
        <v>197</v>
      </c>
      <c r="J1232" t="s">
        <v>197</v>
      </c>
      <c r="K1232" t="s">
        <v>563</v>
      </c>
    </row>
    <row r="1233" spans="1:24">
      <c r="B1233" t="s">
        <v>197</v>
      </c>
      <c r="C1233" t="s">
        <v>197</v>
      </c>
      <c r="D1233" t="s">
        <v>197</v>
      </c>
      <c r="E1233" t="s">
        <v>197</v>
      </c>
      <c r="F1233" t="s">
        <v>197</v>
      </c>
      <c r="G1233" t="s">
        <v>197</v>
      </c>
      <c r="H1233" t="s">
        <v>197</v>
      </c>
      <c r="I1233" t="s">
        <v>197</v>
      </c>
      <c r="J1233" t="s">
        <v>197</v>
      </c>
      <c r="K1233" t="s">
        <v>564</v>
      </c>
    </row>
    <row r="1234" spans="1:24">
      <c r="B1234" t="s">
        <v>197</v>
      </c>
      <c r="C1234" t="s">
        <v>197</v>
      </c>
      <c r="D1234" t="s">
        <v>197</v>
      </c>
      <c r="E1234" t="s">
        <v>197</v>
      </c>
      <c r="F1234" t="s">
        <v>197</v>
      </c>
      <c r="G1234" t="s">
        <v>197</v>
      </c>
      <c r="H1234" t="s">
        <v>197</v>
      </c>
      <c r="I1234" t="s">
        <v>197</v>
      </c>
      <c r="J1234" t="s">
        <v>197</v>
      </c>
      <c r="K1234" t="s">
        <v>565</v>
      </c>
    </row>
    <row r="1235" spans="1:24">
      <c r="B1235" t="s">
        <v>197</v>
      </c>
      <c r="C1235" t="s">
        <v>197</v>
      </c>
      <c r="D1235" t="s">
        <v>197</v>
      </c>
      <c r="E1235" t="s">
        <v>197</v>
      </c>
      <c r="F1235" t="s">
        <v>197</v>
      </c>
      <c r="G1235" t="s">
        <v>197</v>
      </c>
      <c r="H1235" t="s">
        <v>197</v>
      </c>
      <c r="I1235" t="s">
        <v>197</v>
      </c>
      <c r="J1235" t="s">
        <v>197</v>
      </c>
      <c r="K1235" t="s">
        <v>566</v>
      </c>
    </row>
    <row r="1236" spans="1:24">
      <c r="B1236" t="s">
        <v>197</v>
      </c>
      <c r="C1236" t="s">
        <v>197</v>
      </c>
      <c r="D1236" t="s">
        <v>197</v>
      </c>
      <c r="E1236" t="s">
        <v>197</v>
      </c>
      <c r="F1236" t="s">
        <v>197</v>
      </c>
      <c r="G1236" t="s">
        <v>197</v>
      </c>
      <c r="H1236" t="s">
        <v>197</v>
      </c>
      <c r="I1236" t="s">
        <v>197</v>
      </c>
      <c r="J1236" t="s">
        <v>197</v>
      </c>
      <c r="K1236" t="s">
        <v>567</v>
      </c>
    </row>
    <row r="1237" spans="1:24">
      <c r="A1237" t="s">
        <v>1120</v>
      </c>
      <c r="K1237" t="s">
        <v>1121</v>
      </c>
      <c r="W1237" t="s">
        <v>171</v>
      </c>
      <c r="X1237" t="str">
        <f>A1237</f>
        <v>info_uniqueidentifier_dml_single_pk</v>
      </c>
    </row>
    <row r="1238" spans="1:24">
      <c r="B1238" t="s">
        <v>196</v>
      </c>
      <c r="C1238" t="s">
        <v>197</v>
      </c>
      <c r="D1238" t="s">
        <v>197</v>
      </c>
      <c r="E1238" t="s">
        <v>197</v>
      </c>
      <c r="F1238" t="s">
        <v>197</v>
      </c>
      <c r="G1238" t="s">
        <v>197</v>
      </c>
      <c r="H1238" t="s">
        <v>197</v>
      </c>
      <c r="I1238" t="s">
        <v>1122</v>
      </c>
      <c r="J1238" t="s">
        <v>199</v>
      </c>
      <c r="K1238" t="s">
        <v>200</v>
      </c>
    </row>
    <row r="1239" spans="1:24">
      <c r="B1239" t="s">
        <v>197</v>
      </c>
      <c r="C1239" t="s">
        <v>197</v>
      </c>
      <c r="D1239" t="s">
        <v>197</v>
      </c>
      <c r="E1239" t="s">
        <v>197</v>
      </c>
      <c r="F1239" t="s">
        <v>197</v>
      </c>
      <c r="G1239" t="s">
        <v>197</v>
      </c>
      <c r="H1239" t="s">
        <v>197</v>
      </c>
      <c r="I1239" t="s">
        <v>197</v>
      </c>
      <c r="J1239" t="s">
        <v>197</v>
      </c>
      <c r="K1239" t="s">
        <v>1039</v>
      </c>
    </row>
    <row r="1240" spans="1:24">
      <c r="A1240" t="s">
        <v>1123</v>
      </c>
      <c r="K1240" t="s">
        <v>1124</v>
      </c>
      <c r="W1240" t="s">
        <v>171</v>
      </c>
      <c r="X1240" t="str">
        <f>A1240</f>
        <v>info_datetime2_dml_single_pk</v>
      </c>
    </row>
    <row r="1241" spans="1:24">
      <c r="B1241" t="s">
        <v>196</v>
      </c>
      <c r="C1241" t="s">
        <v>197</v>
      </c>
      <c r="D1241" t="s">
        <v>197</v>
      </c>
      <c r="E1241" t="s">
        <v>197</v>
      </c>
      <c r="F1241" t="s">
        <v>197</v>
      </c>
      <c r="G1241" t="s">
        <v>197</v>
      </c>
      <c r="H1241" t="s">
        <v>197</v>
      </c>
      <c r="I1241" t="s">
        <v>1125</v>
      </c>
      <c r="J1241" t="s">
        <v>199</v>
      </c>
      <c r="K1241" t="s">
        <v>200</v>
      </c>
    </row>
    <row r="1242" spans="1:24">
      <c r="B1242" t="s">
        <v>197</v>
      </c>
      <c r="C1242" t="s">
        <v>197</v>
      </c>
      <c r="D1242" t="s">
        <v>197</v>
      </c>
      <c r="E1242" t="s">
        <v>197</v>
      </c>
      <c r="F1242" t="s">
        <v>197</v>
      </c>
      <c r="G1242" t="s">
        <v>197</v>
      </c>
      <c r="H1242" t="s">
        <v>197</v>
      </c>
      <c r="I1242" t="s">
        <v>197</v>
      </c>
      <c r="J1242" t="s">
        <v>197</v>
      </c>
      <c r="K1242" t="s">
        <v>667</v>
      </c>
    </row>
    <row r="1243" spans="1:24">
      <c r="B1243" t="s">
        <v>197</v>
      </c>
      <c r="C1243" t="s">
        <v>197</v>
      </c>
      <c r="D1243" t="s">
        <v>197</v>
      </c>
      <c r="E1243" t="s">
        <v>197</v>
      </c>
      <c r="F1243" t="s">
        <v>197</v>
      </c>
      <c r="G1243" t="s">
        <v>197</v>
      </c>
      <c r="H1243" t="s">
        <v>197</v>
      </c>
      <c r="I1243" t="s">
        <v>197</v>
      </c>
      <c r="J1243" t="s">
        <v>197</v>
      </c>
      <c r="K1243" t="s">
        <v>668</v>
      </c>
    </row>
    <row r="1244" spans="1:24">
      <c r="B1244" t="s">
        <v>197</v>
      </c>
      <c r="C1244" t="s">
        <v>197</v>
      </c>
      <c r="D1244" t="s">
        <v>197</v>
      </c>
      <c r="E1244" t="s">
        <v>197</v>
      </c>
      <c r="F1244" t="s">
        <v>197</v>
      </c>
      <c r="G1244" t="s">
        <v>197</v>
      </c>
      <c r="H1244" t="s">
        <v>197</v>
      </c>
      <c r="I1244" t="s">
        <v>197</v>
      </c>
      <c r="J1244" t="s">
        <v>197</v>
      </c>
      <c r="K1244" t="s">
        <v>669</v>
      </c>
    </row>
    <row r="1245" spans="1:24">
      <c r="B1245" t="s">
        <v>197</v>
      </c>
      <c r="C1245" t="s">
        <v>197</v>
      </c>
      <c r="D1245" t="s">
        <v>197</v>
      </c>
      <c r="E1245" t="s">
        <v>197</v>
      </c>
      <c r="F1245" t="s">
        <v>197</v>
      </c>
      <c r="G1245" t="s">
        <v>197</v>
      </c>
      <c r="H1245" t="s">
        <v>197</v>
      </c>
      <c r="I1245" t="s">
        <v>197</v>
      </c>
      <c r="J1245" t="s">
        <v>197</v>
      </c>
      <c r="K1245" t="s">
        <v>670</v>
      </c>
    </row>
    <row r="1246" spans="1:24">
      <c r="B1246" t="s">
        <v>197</v>
      </c>
      <c r="C1246" t="s">
        <v>197</v>
      </c>
      <c r="D1246" t="s">
        <v>197</v>
      </c>
      <c r="E1246" t="s">
        <v>197</v>
      </c>
      <c r="F1246" t="s">
        <v>197</v>
      </c>
      <c r="G1246" t="s">
        <v>197</v>
      </c>
      <c r="H1246" t="s">
        <v>197</v>
      </c>
      <c r="I1246" t="s">
        <v>197</v>
      </c>
      <c r="J1246" t="s">
        <v>197</v>
      </c>
      <c r="K1246" t="s">
        <v>671</v>
      </c>
    </row>
    <row r="1247" spans="1:24">
      <c r="B1247" t="s">
        <v>197</v>
      </c>
      <c r="C1247" t="s">
        <v>197</v>
      </c>
      <c r="D1247" t="s">
        <v>197</v>
      </c>
      <c r="E1247" t="s">
        <v>197</v>
      </c>
      <c r="F1247" t="s">
        <v>197</v>
      </c>
      <c r="G1247" t="s">
        <v>197</v>
      </c>
      <c r="H1247" t="s">
        <v>197</v>
      </c>
      <c r="I1247" t="s">
        <v>197</v>
      </c>
      <c r="J1247" t="s">
        <v>197</v>
      </c>
      <c r="K1247" t="s">
        <v>672</v>
      </c>
    </row>
    <row r="1248" spans="1:24">
      <c r="B1248" t="s">
        <v>197</v>
      </c>
      <c r="C1248" t="s">
        <v>197</v>
      </c>
      <c r="D1248" t="s">
        <v>197</v>
      </c>
      <c r="E1248" t="s">
        <v>197</v>
      </c>
      <c r="F1248" t="s">
        <v>197</v>
      </c>
      <c r="G1248" t="s">
        <v>197</v>
      </c>
      <c r="H1248" t="s">
        <v>197</v>
      </c>
      <c r="I1248" t="s">
        <v>197</v>
      </c>
      <c r="J1248" t="s">
        <v>197</v>
      </c>
      <c r="K1248" t="s">
        <v>673</v>
      </c>
    </row>
    <row r="1249" spans="1:24">
      <c r="B1249" t="s">
        <v>197</v>
      </c>
      <c r="C1249" t="s">
        <v>197</v>
      </c>
      <c r="D1249" t="s">
        <v>197</v>
      </c>
      <c r="E1249" t="s">
        <v>197</v>
      </c>
      <c r="F1249" t="s">
        <v>197</v>
      </c>
      <c r="G1249" t="s">
        <v>197</v>
      </c>
      <c r="H1249" t="s">
        <v>197</v>
      </c>
      <c r="I1249" t="s">
        <v>197</v>
      </c>
      <c r="J1249" t="s">
        <v>197</v>
      </c>
      <c r="K1249" t="s">
        <v>674</v>
      </c>
    </row>
    <row r="1250" spans="1:24">
      <c r="A1250" t="s">
        <v>1129</v>
      </c>
      <c r="K1250" t="s">
        <v>1130</v>
      </c>
      <c r="W1250" s="1" t="str">
        <f>HYPERLINK("#2026042016hbase0!AS2","NO 源备存在差异，共4个")</f>
        <v>NO 源备存在差异，共4个</v>
      </c>
      <c r="X1250" t="str">
        <f>A1250</f>
        <v>info_geography_dml_single_pk_drp</v>
      </c>
    </row>
    <row r="1251" spans="1:24">
      <c r="B1251" t="s">
        <v>196</v>
      </c>
      <c r="C1251" t="s">
        <v>197</v>
      </c>
      <c r="D1251" t="s">
        <v>197</v>
      </c>
      <c r="E1251" t="s">
        <v>197</v>
      </c>
      <c r="F1251" t="s">
        <v>197</v>
      </c>
      <c r="G1251" t="s">
        <v>197</v>
      </c>
      <c r="H1251" t="s">
        <v>197</v>
      </c>
      <c r="I1251" t="s">
        <v>1131</v>
      </c>
      <c r="J1251" t="s">
        <v>199</v>
      </c>
      <c r="K1251" t="s">
        <v>200</v>
      </c>
    </row>
    <row r="1252" spans="1:24">
      <c r="B1252" t="s">
        <v>197</v>
      </c>
      <c r="C1252" t="s">
        <v>197</v>
      </c>
      <c r="D1252" t="s">
        <v>197</v>
      </c>
      <c r="E1252" t="s">
        <v>197</v>
      </c>
      <c r="F1252" t="s">
        <v>197</v>
      </c>
      <c r="G1252" t="s">
        <v>197</v>
      </c>
      <c r="H1252" t="s">
        <v>197</v>
      </c>
      <c r="I1252" t="s">
        <v>197</v>
      </c>
      <c r="J1252" t="s">
        <v>197</v>
      </c>
      <c r="K1252" t="s">
        <v>1052</v>
      </c>
    </row>
    <row r="1253" spans="1:24">
      <c r="A1253" t="s">
        <v>1126</v>
      </c>
      <c r="K1253" t="s">
        <v>1127</v>
      </c>
      <c r="W1253" t="s">
        <v>171</v>
      </c>
      <c r="X1253" t="str">
        <f>A1253</f>
        <v>info_varchar_dml_single_pk_drp</v>
      </c>
    </row>
    <row r="1254" spans="1:24">
      <c r="B1254" t="s">
        <v>196</v>
      </c>
      <c r="C1254" t="s">
        <v>197</v>
      </c>
      <c r="D1254" t="s">
        <v>197</v>
      </c>
      <c r="E1254" t="s">
        <v>197</v>
      </c>
      <c r="F1254" t="s">
        <v>197</v>
      </c>
      <c r="G1254" t="s">
        <v>197</v>
      </c>
      <c r="H1254" t="s">
        <v>197</v>
      </c>
      <c r="I1254" t="s">
        <v>1128</v>
      </c>
      <c r="J1254" t="s">
        <v>199</v>
      </c>
      <c r="K1254" t="s">
        <v>200</v>
      </c>
    </row>
    <row r="1255" spans="1:24">
      <c r="B1255" t="s">
        <v>197</v>
      </c>
      <c r="C1255" t="s">
        <v>197</v>
      </c>
      <c r="D1255" t="s">
        <v>197</v>
      </c>
      <c r="E1255" t="s">
        <v>197</v>
      </c>
      <c r="F1255" t="s">
        <v>197</v>
      </c>
      <c r="G1255" t="s">
        <v>197</v>
      </c>
      <c r="H1255" t="s">
        <v>197</v>
      </c>
      <c r="I1255" t="s">
        <v>197</v>
      </c>
      <c r="J1255" t="s">
        <v>197</v>
      </c>
      <c r="K1255" t="s">
        <v>431</v>
      </c>
    </row>
    <row r="1256" spans="1:24">
      <c r="B1256" t="s">
        <v>197</v>
      </c>
      <c r="C1256" t="s">
        <v>197</v>
      </c>
      <c r="D1256" t="s">
        <v>197</v>
      </c>
      <c r="E1256" t="s">
        <v>197</v>
      </c>
      <c r="F1256" t="s">
        <v>197</v>
      </c>
      <c r="G1256" t="s">
        <v>197</v>
      </c>
      <c r="H1256" t="s">
        <v>197</v>
      </c>
      <c r="I1256" t="s">
        <v>197</v>
      </c>
      <c r="J1256" t="s">
        <v>197</v>
      </c>
      <c r="K1256" t="s">
        <v>1056</v>
      </c>
    </row>
    <row r="1257" spans="1:24">
      <c r="B1257" t="s">
        <v>197</v>
      </c>
      <c r="C1257" t="s">
        <v>197</v>
      </c>
      <c r="D1257" t="s">
        <v>197</v>
      </c>
      <c r="E1257" t="s">
        <v>197</v>
      </c>
      <c r="F1257" t="s">
        <v>197</v>
      </c>
      <c r="G1257" t="s">
        <v>197</v>
      </c>
      <c r="H1257" t="s">
        <v>197</v>
      </c>
      <c r="I1257" t="s">
        <v>197</v>
      </c>
      <c r="J1257" t="s">
        <v>197</v>
      </c>
      <c r="K1257" t="s">
        <v>963</v>
      </c>
    </row>
    <row r="1258" spans="1:24">
      <c r="A1258" t="s">
        <v>1132</v>
      </c>
      <c r="K1258" t="s">
        <v>1133</v>
      </c>
      <c r="W1258" t="s">
        <v>171</v>
      </c>
      <c r="X1258" t="str">
        <f>A1258</f>
        <v>info_time_dml_batch1_pk_drp2</v>
      </c>
    </row>
    <row r="1259" spans="1:24">
      <c r="B1259" t="s">
        <v>196</v>
      </c>
      <c r="C1259" t="s">
        <v>197</v>
      </c>
      <c r="D1259" t="s">
        <v>197</v>
      </c>
      <c r="E1259" t="s">
        <v>197</v>
      </c>
      <c r="F1259" t="s">
        <v>197</v>
      </c>
      <c r="G1259" t="s">
        <v>197</v>
      </c>
      <c r="H1259" t="s">
        <v>197</v>
      </c>
      <c r="I1259" t="s">
        <v>1134</v>
      </c>
      <c r="J1259" t="s">
        <v>199</v>
      </c>
      <c r="K1259" t="s">
        <v>200</v>
      </c>
    </row>
    <row r="1260" spans="1:24">
      <c r="B1260" t="s">
        <v>197</v>
      </c>
      <c r="C1260" t="s">
        <v>197</v>
      </c>
      <c r="D1260" t="s">
        <v>197</v>
      </c>
      <c r="E1260" t="s">
        <v>197</v>
      </c>
      <c r="F1260" t="s">
        <v>197</v>
      </c>
      <c r="G1260" t="s">
        <v>197</v>
      </c>
      <c r="H1260" t="s">
        <v>197</v>
      </c>
      <c r="I1260" t="s">
        <v>197</v>
      </c>
      <c r="J1260" t="s">
        <v>197</v>
      </c>
      <c r="K1260" t="s">
        <v>800</v>
      </c>
    </row>
    <row r="1261" spans="1:24">
      <c r="B1261" t="s">
        <v>197</v>
      </c>
      <c r="C1261" t="s">
        <v>197</v>
      </c>
      <c r="D1261" t="s">
        <v>197</v>
      </c>
      <c r="E1261" t="s">
        <v>197</v>
      </c>
      <c r="F1261" t="s">
        <v>197</v>
      </c>
      <c r="G1261" t="s">
        <v>197</v>
      </c>
      <c r="H1261" t="s">
        <v>197</v>
      </c>
      <c r="I1261" t="s">
        <v>197</v>
      </c>
      <c r="J1261" t="s">
        <v>197</v>
      </c>
      <c r="K1261" t="s">
        <v>801</v>
      </c>
    </row>
    <row r="1262" spans="1:24">
      <c r="B1262" t="s">
        <v>197</v>
      </c>
      <c r="C1262" t="s">
        <v>197</v>
      </c>
      <c r="D1262" t="s">
        <v>197</v>
      </c>
      <c r="E1262" t="s">
        <v>197</v>
      </c>
      <c r="F1262" t="s">
        <v>197</v>
      </c>
      <c r="G1262" t="s">
        <v>197</v>
      </c>
      <c r="H1262" t="s">
        <v>197</v>
      </c>
      <c r="I1262" t="s">
        <v>197</v>
      </c>
      <c r="J1262" t="s">
        <v>197</v>
      </c>
      <c r="K1262" t="s">
        <v>802</v>
      </c>
    </row>
    <row r="1263" spans="1:24">
      <c r="B1263" t="s">
        <v>197</v>
      </c>
      <c r="C1263" t="s">
        <v>197</v>
      </c>
      <c r="D1263" t="s">
        <v>197</v>
      </c>
      <c r="E1263" t="s">
        <v>197</v>
      </c>
      <c r="F1263" t="s">
        <v>197</v>
      </c>
      <c r="G1263" t="s">
        <v>197</v>
      </c>
      <c r="H1263" t="s">
        <v>197</v>
      </c>
      <c r="I1263" t="s">
        <v>197</v>
      </c>
      <c r="J1263" t="s">
        <v>197</v>
      </c>
      <c r="K1263" t="s">
        <v>803</v>
      </c>
    </row>
    <row r="1264" spans="1:24">
      <c r="B1264" t="s">
        <v>197</v>
      </c>
      <c r="C1264" t="s">
        <v>197</v>
      </c>
      <c r="D1264" t="s">
        <v>197</v>
      </c>
      <c r="E1264" t="s">
        <v>197</v>
      </c>
      <c r="F1264" t="s">
        <v>197</v>
      </c>
      <c r="G1264" t="s">
        <v>197</v>
      </c>
      <c r="H1264" t="s">
        <v>197</v>
      </c>
      <c r="I1264" t="s">
        <v>197</v>
      </c>
      <c r="J1264" t="s">
        <v>197</v>
      </c>
      <c r="K1264" t="s">
        <v>804</v>
      </c>
    </row>
    <row r="1265" spans="1:24">
      <c r="B1265" t="s">
        <v>197</v>
      </c>
      <c r="C1265" t="s">
        <v>197</v>
      </c>
      <c r="D1265" t="s">
        <v>197</v>
      </c>
      <c r="E1265" t="s">
        <v>197</v>
      </c>
      <c r="F1265" t="s">
        <v>197</v>
      </c>
      <c r="G1265" t="s">
        <v>197</v>
      </c>
      <c r="H1265" t="s">
        <v>197</v>
      </c>
      <c r="I1265" t="s">
        <v>197</v>
      </c>
      <c r="J1265" t="s">
        <v>197</v>
      </c>
      <c r="K1265" t="s">
        <v>805</v>
      </c>
    </row>
    <row r="1266" spans="1:24">
      <c r="B1266" t="s">
        <v>197</v>
      </c>
      <c r="C1266" t="s">
        <v>197</v>
      </c>
      <c r="D1266" t="s">
        <v>197</v>
      </c>
      <c r="E1266" t="s">
        <v>197</v>
      </c>
      <c r="F1266" t="s">
        <v>197</v>
      </c>
      <c r="G1266" t="s">
        <v>197</v>
      </c>
      <c r="H1266" t="s">
        <v>197</v>
      </c>
      <c r="I1266" t="s">
        <v>197</v>
      </c>
      <c r="J1266" t="s">
        <v>197</v>
      </c>
      <c r="K1266" t="s">
        <v>806</v>
      </c>
    </row>
    <row r="1267" spans="1:24">
      <c r="B1267" t="s">
        <v>197</v>
      </c>
      <c r="C1267" t="s">
        <v>197</v>
      </c>
      <c r="D1267" t="s">
        <v>197</v>
      </c>
      <c r="E1267" t="s">
        <v>197</v>
      </c>
      <c r="F1267" t="s">
        <v>197</v>
      </c>
      <c r="G1267" t="s">
        <v>197</v>
      </c>
      <c r="H1267" t="s">
        <v>197</v>
      </c>
      <c r="I1267" t="s">
        <v>197</v>
      </c>
      <c r="J1267" t="s">
        <v>197</v>
      </c>
      <c r="K1267" t="s">
        <v>807</v>
      </c>
    </row>
    <row r="1268" spans="1:24">
      <c r="A1268" t="s">
        <v>1135</v>
      </c>
      <c r="K1268" t="s">
        <v>1136</v>
      </c>
      <c r="W1268" t="s">
        <v>171</v>
      </c>
      <c r="X1268" t="str">
        <f>A1268</f>
        <v>info_varchar_dml_batch1_pk_urp1</v>
      </c>
    </row>
    <row r="1269" spans="1:24">
      <c r="B1269" t="s">
        <v>196</v>
      </c>
      <c r="C1269" t="s">
        <v>197</v>
      </c>
      <c r="D1269" t="s">
        <v>197</v>
      </c>
      <c r="E1269" t="s">
        <v>197</v>
      </c>
      <c r="F1269" t="s">
        <v>197</v>
      </c>
      <c r="G1269" t="s">
        <v>197</v>
      </c>
      <c r="H1269" t="s">
        <v>197</v>
      </c>
      <c r="I1269" t="s">
        <v>1137</v>
      </c>
      <c r="J1269" t="s">
        <v>199</v>
      </c>
      <c r="K1269" t="s">
        <v>200</v>
      </c>
    </row>
    <row r="1270" spans="1:24">
      <c r="B1270" t="s">
        <v>197</v>
      </c>
      <c r="C1270" t="s">
        <v>197</v>
      </c>
      <c r="D1270" t="s">
        <v>197</v>
      </c>
      <c r="E1270" t="s">
        <v>197</v>
      </c>
      <c r="F1270" t="s">
        <v>197</v>
      </c>
      <c r="G1270" t="s">
        <v>197</v>
      </c>
      <c r="H1270" t="s">
        <v>197</v>
      </c>
      <c r="I1270" t="s">
        <v>197</v>
      </c>
      <c r="J1270" t="s">
        <v>197</v>
      </c>
      <c r="K1270" t="s">
        <v>431</v>
      </c>
    </row>
    <row r="1271" spans="1:24">
      <c r="B1271" t="s">
        <v>197</v>
      </c>
      <c r="C1271" t="s">
        <v>197</v>
      </c>
      <c r="D1271" t="s">
        <v>197</v>
      </c>
      <c r="E1271" t="s">
        <v>197</v>
      </c>
      <c r="F1271" t="s">
        <v>197</v>
      </c>
      <c r="G1271" t="s">
        <v>197</v>
      </c>
      <c r="H1271" t="s">
        <v>197</v>
      </c>
      <c r="I1271" t="s">
        <v>197</v>
      </c>
      <c r="J1271" t="s">
        <v>197</v>
      </c>
      <c r="K1271" t="s">
        <v>434</v>
      </c>
    </row>
    <row r="1272" spans="1:24">
      <c r="B1272" t="s">
        <v>197</v>
      </c>
      <c r="C1272" t="s">
        <v>197</v>
      </c>
      <c r="D1272" t="s">
        <v>197</v>
      </c>
      <c r="E1272" t="s">
        <v>197</v>
      </c>
      <c r="F1272" t="s">
        <v>197</v>
      </c>
      <c r="G1272" t="s">
        <v>197</v>
      </c>
      <c r="H1272" t="s">
        <v>197</v>
      </c>
      <c r="I1272" t="s">
        <v>197</v>
      </c>
      <c r="J1272" t="s">
        <v>197</v>
      </c>
      <c r="K1272" t="s">
        <v>439</v>
      </c>
    </row>
    <row r="1273" spans="1:24">
      <c r="A1273" t="s">
        <v>1141</v>
      </c>
      <c r="K1273" t="s">
        <v>1142</v>
      </c>
      <c r="W1273" t="s">
        <v>171</v>
      </c>
      <c r="X1273" t="str">
        <f>A1273</f>
        <v>info_nvarchar_dml_batch2_pk_irp2</v>
      </c>
    </row>
    <row r="1274" spans="1:24">
      <c r="B1274" t="s">
        <v>196</v>
      </c>
      <c r="C1274" t="s">
        <v>197</v>
      </c>
      <c r="D1274" t="s">
        <v>197</v>
      </c>
      <c r="E1274" t="s">
        <v>197</v>
      </c>
      <c r="F1274" t="s">
        <v>197</v>
      </c>
      <c r="G1274" t="s">
        <v>197</v>
      </c>
      <c r="H1274" t="s">
        <v>197</v>
      </c>
      <c r="I1274" t="s">
        <v>1143</v>
      </c>
      <c r="J1274" t="s">
        <v>199</v>
      </c>
      <c r="K1274" t="s">
        <v>200</v>
      </c>
    </row>
    <row r="1275" spans="1:24">
      <c r="B1275" t="s">
        <v>197</v>
      </c>
      <c r="C1275" t="s">
        <v>197</v>
      </c>
      <c r="D1275" t="s">
        <v>197</v>
      </c>
      <c r="E1275" t="s">
        <v>197</v>
      </c>
      <c r="F1275" t="s">
        <v>197</v>
      </c>
      <c r="G1275" t="s">
        <v>197</v>
      </c>
      <c r="H1275" t="s">
        <v>197</v>
      </c>
      <c r="I1275" t="s">
        <v>197</v>
      </c>
      <c r="J1275" t="s">
        <v>197</v>
      </c>
      <c r="K1275" t="s">
        <v>408</v>
      </c>
    </row>
    <row r="1276" spans="1:24">
      <c r="B1276" t="s">
        <v>197</v>
      </c>
      <c r="C1276" t="s">
        <v>197</v>
      </c>
      <c r="D1276" t="s">
        <v>197</v>
      </c>
      <c r="E1276" t="s">
        <v>197</v>
      </c>
      <c r="F1276" t="s">
        <v>197</v>
      </c>
      <c r="G1276" t="s">
        <v>197</v>
      </c>
      <c r="H1276" t="s">
        <v>197</v>
      </c>
      <c r="I1276" t="s">
        <v>197</v>
      </c>
      <c r="J1276" t="s">
        <v>197</v>
      </c>
      <c r="K1276" t="s">
        <v>412</v>
      </c>
    </row>
    <row r="1277" spans="1:24">
      <c r="B1277" t="s">
        <v>197</v>
      </c>
      <c r="C1277" t="s">
        <v>197</v>
      </c>
      <c r="D1277" t="s">
        <v>197</v>
      </c>
      <c r="E1277" t="s">
        <v>197</v>
      </c>
      <c r="F1277" t="s">
        <v>197</v>
      </c>
      <c r="G1277" t="s">
        <v>197</v>
      </c>
      <c r="H1277" t="s">
        <v>197</v>
      </c>
      <c r="I1277" t="s">
        <v>197</v>
      </c>
      <c r="J1277" t="s">
        <v>197</v>
      </c>
      <c r="K1277" t="s">
        <v>416</v>
      </c>
    </row>
    <row r="1278" spans="1:24">
      <c r="A1278" t="s">
        <v>1138</v>
      </c>
      <c r="K1278" t="s">
        <v>1139</v>
      </c>
      <c r="W1278" t="s">
        <v>171</v>
      </c>
      <c r="X1278" t="str">
        <f>A1278</f>
        <v>info_geography_dml_single_pk</v>
      </c>
    </row>
    <row r="1279" spans="1:24">
      <c r="B1279" t="s">
        <v>196</v>
      </c>
      <c r="C1279" t="s">
        <v>197</v>
      </c>
      <c r="D1279" t="s">
        <v>197</v>
      </c>
      <c r="E1279" t="s">
        <v>197</v>
      </c>
      <c r="F1279" t="s">
        <v>197</v>
      </c>
      <c r="G1279" t="s">
        <v>197</v>
      </c>
      <c r="H1279" t="s">
        <v>197</v>
      </c>
      <c r="I1279" t="s">
        <v>1140</v>
      </c>
      <c r="J1279" t="s">
        <v>199</v>
      </c>
      <c r="K1279" t="s">
        <v>200</v>
      </c>
    </row>
    <row r="1280" spans="1:24">
      <c r="B1280" t="s">
        <v>197</v>
      </c>
      <c r="C1280" t="s">
        <v>197</v>
      </c>
      <c r="D1280" t="s">
        <v>197</v>
      </c>
      <c r="E1280" t="s">
        <v>197</v>
      </c>
      <c r="F1280" t="s">
        <v>197</v>
      </c>
      <c r="G1280" t="s">
        <v>197</v>
      </c>
      <c r="H1280" t="s">
        <v>197</v>
      </c>
      <c r="I1280" t="s">
        <v>197</v>
      </c>
      <c r="J1280" t="s">
        <v>197</v>
      </c>
      <c r="K1280" t="s">
        <v>1052</v>
      </c>
    </row>
    <row r="1281" spans="1:24">
      <c r="A1281" t="s">
        <v>1150</v>
      </c>
      <c r="K1281" t="s">
        <v>1151</v>
      </c>
      <c r="W1281" t="s">
        <v>171</v>
      </c>
      <c r="X1281" t="str">
        <f>A1281</f>
        <v>info_time_dml_batch1_pk</v>
      </c>
    </row>
    <row r="1282" spans="1:24">
      <c r="B1282" t="s">
        <v>196</v>
      </c>
      <c r="C1282" t="s">
        <v>197</v>
      </c>
      <c r="D1282" t="s">
        <v>197</v>
      </c>
      <c r="E1282" t="s">
        <v>197</v>
      </c>
      <c r="F1282" t="s">
        <v>197</v>
      </c>
      <c r="G1282" t="s">
        <v>197</v>
      </c>
      <c r="H1282" t="s">
        <v>197</v>
      </c>
      <c r="I1282" t="s">
        <v>1152</v>
      </c>
      <c r="J1282" t="s">
        <v>199</v>
      </c>
      <c r="K1282" t="s">
        <v>200</v>
      </c>
    </row>
    <row r="1283" spans="1:24">
      <c r="B1283" t="s">
        <v>197</v>
      </c>
      <c r="C1283" t="s">
        <v>197</v>
      </c>
      <c r="D1283" t="s">
        <v>197</v>
      </c>
      <c r="E1283" t="s">
        <v>197</v>
      </c>
      <c r="F1283" t="s">
        <v>197</v>
      </c>
      <c r="G1283" t="s">
        <v>197</v>
      </c>
      <c r="H1283" t="s">
        <v>197</v>
      </c>
      <c r="I1283" t="s">
        <v>197</v>
      </c>
      <c r="J1283" t="s">
        <v>197</v>
      </c>
      <c r="K1283" t="s">
        <v>800</v>
      </c>
    </row>
    <row r="1284" spans="1:24">
      <c r="B1284" t="s">
        <v>197</v>
      </c>
      <c r="C1284" t="s">
        <v>197</v>
      </c>
      <c r="D1284" t="s">
        <v>197</v>
      </c>
      <c r="E1284" t="s">
        <v>197</v>
      </c>
      <c r="F1284" t="s">
        <v>197</v>
      </c>
      <c r="G1284" t="s">
        <v>197</v>
      </c>
      <c r="H1284" t="s">
        <v>197</v>
      </c>
      <c r="I1284" t="s">
        <v>197</v>
      </c>
      <c r="J1284" t="s">
        <v>197</v>
      </c>
      <c r="K1284" t="s">
        <v>801</v>
      </c>
    </row>
    <row r="1285" spans="1:24">
      <c r="B1285" t="s">
        <v>197</v>
      </c>
      <c r="C1285" t="s">
        <v>197</v>
      </c>
      <c r="D1285" t="s">
        <v>197</v>
      </c>
      <c r="E1285" t="s">
        <v>197</v>
      </c>
      <c r="F1285" t="s">
        <v>197</v>
      </c>
      <c r="G1285" t="s">
        <v>197</v>
      </c>
      <c r="H1285" t="s">
        <v>197</v>
      </c>
      <c r="I1285" t="s">
        <v>197</v>
      </c>
      <c r="J1285" t="s">
        <v>197</v>
      </c>
      <c r="K1285" t="s">
        <v>802</v>
      </c>
    </row>
    <row r="1286" spans="1:24">
      <c r="B1286" t="s">
        <v>197</v>
      </c>
      <c r="C1286" t="s">
        <v>197</v>
      </c>
      <c r="D1286" t="s">
        <v>197</v>
      </c>
      <c r="E1286" t="s">
        <v>197</v>
      </c>
      <c r="F1286" t="s">
        <v>197</v>
      </c>
      <c r="G1286" t="s">
        <v>197</v>
      </c>
      <c r="H1286" t="s">
        <v>197</v>
      </c>
      <c r="I1286" t="s">
        <v>197</v>
      </c>
      <c r="J1286" t="s">
        <v>197</v>
      </c>
      <c r="K1286" t="s">
        <v>803</v>
      </c>
    </row>
    <row r="1287" spans="1:24">
      <c r="B1287" t="s">
        <v>197</v>
      </c>
      <c r="C1287" t="s">
        <v>197</v>
      </c>
      <c r="D1287" t="s">
        <v>197</v>
      </c>
      <c r="E1287" t="s">
        <v>197</v>
      </c>
      <c r="F1287" t="s">
        <v>197</v>
      </c>
      <c r="G1287" t="s">
        <v>197</v>
      </c>
      <c r="H1287" t="s">
        <v>197</v>
      </c>
      <c r="I1287" t="s">
        <v>197</v>
      </c>
      <c r="J1287" t="s">
        <v>197</v>
      </c>
      <c r="K1287" t="s">
        <v>804</v>
      </c>
    </row>
    <row r="1288" spans="1:24">
      <c r="B1288" t="s">
        <v>197</v>
      </c>
      <c r="C1288" t="s">
        <v>197</v>
      </c>
      <c r="D1288" t="s">
        <v>197</v>
      </c>
      <c r="E1288" t="s">
        <v>197</v>
      </c>
      <c r="F1288" t="s">
        <v>197</v>
      </c>
      <c r="G1288" t="s">
        <v>197</v>
      </c>
      <c r="H1288" t="s">
        <v>197</v>
      </c>
      <c r="I1288" t="s">
        <v>197</v>
      </c>
      <c r="J1288" t="s">
        <v>197</v>
      </c>
      <c r="K1288" t="s">
        <v>805</v>
      </c>
    </row>
    <row r="1289" spans="1:24">
      <c r="B1289" t="s">
        <v>197</v>
      </c>
      <c r="C1289" t="s">
        <v>197</v>
      </c>
      <c r="D1289" t="s">
        <v>197</v>
      </c>
      <c r="E1289" t="s">
        <v>197</v>
      </c>
      <c r="F1289" t="s">
        <v>197</v>
      </c>
      <c r="G1289" t="s">
        <v>197</v>
      </c>
      <c r="H1289" t="s">
        <v>197</v>
      </c>
      <c r="I1289" t="s">
        <v>197</v>
      </c>
      <c r="J1289" t="s">
        <v>197</v>
      </c>
      <c r="K1289" t="s">
        <v>806</v>
      </c>
    </row>
    <row r="1290" spans="1:24">
      <c r="B1290" t="s">
        <v>197</v>
      </c>
      <c r="C1290" t="s">
        <v>197</v>
      </c>
      <c r="D1290" t="s">
        <v>197</v>
      </c>
      <c r="E1290" t="s">
        <v>197</v>
      </c>
      <c r="F1290" t="s">
        <v>197</v>
      </c>
      <c r="G1290" t="s">
        <v>197</v>
      </c>
      <c r="H1290" t="s">
        <v>197</v>
      </c>
      <c r="I1290" t="s">
        <v>197</v>
      </c>
      <c r="J1290" t="s">
        <v>197</v>
      </c>
      <c r="K1290" t="s">
        <v>807</v>
      </c>
    </row>
    <row r="1291" spans="1:24">
      <c r="A1291" t="s">
        <v>697</v>
      </c>
      <c r="K1291" t="s">
        <v>698</v>
      </c>
      <c r="W1291" s="1" t="str">
        <f>HYPERLINK("#2026042016hbase0!AT2","NO 源备存在差异，共2个")</f>
        <v>NO 源备存在差异，共2个</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1153</v>
      </c>
      <c r="K1312" t="s">
        <v>1154</v>
      </c>
      <c r="W1312" t="s">
        <v>171</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1144</v>
      </c>
      <c r="K1315" t="s">
        <v>1145</v>
      </c>
      <c r="W1315" s="1" t="str">
        <f>HYPERLINK("#2026042016hbase0!AU2","NO 源备存在差异，共8个")</f>
        <v>NO 源备存在差异，共8个</v>
      </c>
      <c r="X1315" t="str">
        <f>A1315</f>
        <v>info_int_dml_batch2_pk_irp1</v>
      </c>
    </row>
    <row r="1316" spans="1:24">
      <c r="B1316" t="s">
        <v>196</v>
      </c>
      <c r="C1316" t="s">
        <v>197</v>
      </c>
      <c r="D1316" t="s">
        <v>197</v>
      </c>
      <c r="E1316" t="s">
        <v>197</v>
      </c>
      <c r="F1316" t="s">
        <v>197</v>
      </c>
      <c r="G1316" t="s">
        <v>197</v>
      </c>
      <c r="H1316" t="s">
        <v>197</v>
      </c>
      <c r="I1316" t="s">
        <v>1146</v>
      </c>
      <c r="J1316" t="s">
        <v>199</v>
      </c>
      <c r="K1316" t="s">
        <v>200</v>
      </c>
    </row>
    <row r="1317" spans="1:24">
      <c r="B1317" t="s">
        <v>197</v>
      </c>
      <c r="C1317" t="s">
        <v>197</v>
      </c>
      <c r="D1317" t="s">
        <v>197</v>
      </c>
      <c r="E1317" t="s">
        <v>197</v>
      </c>
      <c r="F1317" t="s">
        <v>197</v>
      </c>
      <c r="G1317" t="s">
        <v>197</v>
      </c>
      <c r="H1317" t="s">
        <v>197</v>
      </c>
      <c r="I1317" t="s">
        <v>197</v>
      </c>
      <c r="J1317" t="s">
        <v>197</v>
      </c>
      <c r="K1317" t="s">
        <v>549</v>
      </c>
    </row>
    <row r="1318" spans="1:24">
      <c r="B1318" t="s">
        <v>197</v>
      </c>
      <c r="C1318" t="s">
        <v>197</v>
      </c>
      <c r="D1318" t="s">
        <v>197</v>
      </c>
      <c r="E1318" t="s">
        <v>197</v>
      </c>
      <c r="F1318" t="s">
        <v>197</v>
      </c>
      <c r="G1318" t="s">
        <v>197</v>
      </c>
      <c r="H1318" t="s">
        <v>197</v>
      </c>
      <c r="I1318" t="s">
        <v>197</v>
      </c>
      <c r="J1318" t="s">
        <v>197</v>
      </c>
      <c r="K1318" t="s">
        <v>550</v>
      </c>
    </row>
    <row r="1319" spans="1:24">
      <c r="B1319" t="s">
        <v>197</v>
      </c>
      <c r="C1319" t="s">
        <v>197</v>
      </c>
      <c r="D1319" t="s">
        <v>197</v>
      </c>
      <c r="E1319" t="s">
        <v>197</v>
      </c>
      <c r="F1319" t="s">
        <v>197</v>
      </c>
      <c r="G1319" t="s">
        <v>197</v>
      </c>
      <c r="H1319" t="s">
        <v>197</v>
      </c>
      <c r="I1319" t="s">
        <v>197</v>
      </c>
      <c r="J1319" t="s">
        <v>197</v>
      </c>
      <c r="K1319" t="s">
        <v>551</v>
      </c>
    </row>
    <row r="1320" spans="1:24">
      <c r="B1320" t="s">
        <v>197</v>
      </c>
      <c r="C1320" t="s">
        <v>197</v>
      </c>
      <c r="D1320" t="s">
        <v>197</v>
      </c>
      <c r="E1320" t="s">
        <v>197</v>
      </c>
      <c r="F1320" t="s">
        <v>197</v>
      </c>
      <c r="G1320" t="s">
        <v>197</v>
      </c>
      <c r="H1320" t="s">
        <v>197</v>
      </c>
      <c r="I1320" t="s">
        <v>197</v>
      </c>
      <c r="J1320" t="s">
        <v>197</v>
      </c>
      <c r="K1320" t="s">
        <v>552</v>
      </c>
    </row>
    <row r="1321" spans="1:24">
      <c r="B1321" t="s">
        <v>197</v>
      </c>
      <c r="C1321" t="s">
        <v>197</v>
      </c>
      <c r="D1321" t="s">
        <v>197</v>
      </c>
      <c r="E1321" t="s">
        <v>197</v>
      </c>
      <c r="F1321" t="s">
        <v>197</v>
      </c>
      <c r="G1321" t="s">
        <v>197</v>
      </c>
      <c r="H1321" t="s">
        <v>197</v>
      </c>
      <c r="I1321" t="s">
        <v>197</v>
      </c>
      <c r="J1321" t="s">
        <v>197</v>
      </c>
      <c r="K1321" t="s">
        <v>553</v>
      </c>
    </row>
    <row r="1322" spans="1:24">
      <c r="B1322" t="s">
        <v>197</v>
      </c>
      <c r="C1322" t="s">
        <v>197</v>
      </c>
      <c r="D1322" t="s">
        <v>197</v>
      </c>
      <c r="E1322" t="s">
        <v>197</v>
      </c>
      <c r="F1322" t="s">
        <v>197</v>
      </c>
      <c r="G1322" t="s">
        <v>197</v>
      </c>
      <c r="H1322" t="s">
        <v>197</v>
      </c>
      <c r="I1322" t="s">
        <v>197</v>
      </c>
      <c r="J1322" t="s">
        <v>197</v>
      </c>
      <c r="K1322" t="s">
        <v>554</v>
      </c>
    </row>
    <row r="1323" spans="1:24">
      <c r="B1323" t="s">
        <v>197</v>
      </c>
      <c r="C1323" t="s">
        <v>197</v>
      </c>
      <c r="D1323" t="s">
        <v>197</v>
      </c>
      <c r="E1323" t="s">
        <v>197</v>
      </c>
      <c r="F1323" t="s">
        <v>197</v>
      </c>
      <c r="G1323" t="s">
        <v>197</v>
      </c>
      <c r="H1323" t="s">
        <v>197</v>
      </c>
      <c r="I1323" t="s">
        <v>197</v>
      </c>
      <c r="J1323" t="s">
        <v>197</v>
      </c>
      <c r="K1323" t="s">
        <v>555</v>
      </c>
    </row>
    <row r="1324" spans="1:24">
      <c r="B1324" t="s">
        <v>197</v>
      </c>
      <c r="C1324" t="s">
        <v>197</v>
      </c>
      <c r="D1324" t="s">
        <v>197</v>
      </c>
      <c r="E1324" t="s">
        <v>197</v>
      </c>
      <c r="F1324" t="s">
        <v>197</v>
      </c>
      <c r="G1324" t="s">
        <v>197</v>
      </c>
      <c r="H1324" t="s">
        <v>197</v>
      </c>
      <c r="I1324" t="s">
        <v>197</v>
      </c>
      <c r="J1324" t="s">
        <v>197</v>
      </c>
      <c r="K1324" t="s">
        <v>556</v>
      </c>
    </row>
    <row r="1325" spans="1:24">
      <c r="B1325" t="s">
        <v>197</v>
      </c>
      <c r="C1325" t="s">
        <v>197</v>
      </c>
      <c r="D1325" t="s">
        <v>197</v>
      </c>
      <c r="E1325" t="s">
        <v>197</v>
      </c>
      <c r="F1325" t="s">
        <v>197</v>
      </c>
      <c r="G1325" t="s">
        <v>197</v>
      </c>
      <c r="H1325" t="s">
        <v>197</v>
      </c>
      <c r="I1325" t="s">
        <v>197</v>
      </c>
      <c r="J1325" t="s">
        <v>197</v>
      </c>
      <c r="K1325" t="s">
        <v>557</v>
      </c>
    </row>
    <row r="1326" spans="1:24">
      <c r="B1326" t="s">
        <v>197</v>
      </c>
      <c r="C1326" t="s">
        <v>197</v>
      </c>
      <c r="D1326" t="s">
        <v>197</v>
      </c>
      <c r="E1326" t="s">
        <v>197</v>
      </c>
      <c r="F1326" t="s">
        <v>197</v>
      </c>
      <c r="G1326" t="s">
        <v>197</v>
      </c>
      <c r="H1326" t="s">
        <v>197</v>
      </c>
      <c r="I1326" t="s">
        <v>197</v>
      </c>
      <c r="J1326" t="s">
        <v>197</v>
      </c>
      <c r="K1326" t="s">
        <v>558</v>
      </c>
    </row>
    <row r="1327" spans="1:24">
      <c r="B1327" t="s">
        <v>197</v>
      </c>
      <c r="C1327" t="s">
        <v>197</v>
      </c>
      <c r="D1327" t="s">
        <v>197</v>
      </c>
      <c r="E1327" t="s">
        <v>197</v>
      </c>
      <c r="F1327" t="s">
        <v>197</v>
      </c>
      <c r="G1327" t="s">
        <v>197</v>
      </c>
      <c r="H1327" t="s">
        <v>197</v>
      </c>
      <c r="I1327" t="s">
        <v>197</v>
      </c>
      <c r="J1327" t="s">
        <v>197</v>
      </c>
      <c r="K1327" t="s">
        <v>559</v>
      </c>
    </row>
    <row r="1328" spans="1:24">
      <c r="B1328" t="s">
        <v>197</v>
      </c>
      <c r="C1328" t="s">
        <v>197</v>
      </c>
      <c r="D1328" t="s">
        <v>197</v>
      </c>
      <c r="E1328" t="s">
        <v>197</v>
      </c>
      <c r="F1328" t="s">
        <v>197</v>
      </c>
      <c r="G1328" t="s">
        <v>197</v>
      </c>
      <c r="H1328" t="s">
        <v>197</v>
      </c>
      <c r="I1328" t="s">
        <v>197</v>
      </c>
      <c r="J1328" t="s">
        <v>197</v>
      </c>
      <c r="K1328" t="s">
        <v>560</v>
      </c>
    </row>
    <row r="1329" spans="1:24">
      <c r="B1329" t="s">
        <v>197</v>
      </c>
      <c r="C1329" t="s">
        <v>197</v>
      </c>
      <c r="D1329" t="s">
        <v>197</v>
      </c>
      <c r="E1329" t="s">
        <v>197</v>
      </c>
      <c r="F1329" t="s">
        <v>197</v>
      </c>
      <c r="G1329" t="s">
        <v>197</v>
      </c>
      <c r="H1329" t="s">
        <v>197</v>
      </c>
      <c r="I1329" t="s">
        <v>197</v>
      </c>
      <c r="J1329" t="s">
        <v>197</v>
      </c>
      <c r="K1329" t="s">
        <v>561</v>
      </c>
    </row>
    <row r="1330" spans="1:24">
      <c r="B1330" t="s">
        <v>197</v>
      </c>
      <c r="C1330" t="s">
        <v>197</v>
      </c>
      <c r="D1330" t="s">
        <v>197</v>
      </c>
      <c r="E1330" t="s">
        <v>197</v>
      </c>
      <c r="F1330" t="s">
        <v>197</v>
      </c>
      <c r="G1330" t="s">
        <v>197</v>
      </c>
      <c r="H1330" t="s">
        <v>197</v>
      </c>
      <c r="I1330" t="s">
        <v>197</v>
      </c>
      <c r="J1330" t="s">
        <v>197</v>
      </c>
      <c r="K1330" t="s">
        <v>562</v>
      </c>
    </row>
    <row r="1331" spans="1:24">
      <c r="B1331" t="s">
        <v>197</v>
      </c>
      <c r="C1331" t="s">
        <v>197</v>
      </c>
      <c r="D1331" t="s">
        <v>197</v>
      </c>
      <c r="E1331" t="s">
        <v>197</v>
      </c>
      <c r="F1331" t="s">
        <v>197</v>
      </c>
      <c r="G1331" t="s">
        <v>197</v>
      </c>
      <c r="H1331" t="s">
        <v>197</v>
      </c>
      <c r="I1331" t="s">
        <v>197</v>
      </c>
      <c r="J1331" t="s">
        <v>197</v>
      </c>
      <c r="K1331" t="s">
        <v>563</v>
      </c>
    </row>
    <row r="1332" spans="1:24">
      <c r="B1332" t="s">
        <v>197</v>
      </c>
      <c r="C1332" t="s">
        <v>197</v>
      </c>
      <c r="D1332" t="s">
        <v>197</v>
      </c>
      <c r="E1332" t="s">
        <v>197</v>
      </c>
      <c r="F1332" t="s">
        <v>197</v>
      </c>
      <c r="G1332" t="s">
        <v>197</v>
      </c>
      <c r="H1332" t="s">
        <v>197</v>
      </c>
      <c r="I1332" t="s">
        <v>197</v>
      </c>
      <c r="J1332" t="s">
        <v>197</v>
      </c>
      <c r="K1332" t="s">
        <v>564</v>
      </c>
    </row>
    <row r="1333" spans="1:24">
      <c r="B1333" t="s">
        <v>197</v>
      </c>
      <c r="C1333" t="s">
        <v>197</v>
      </c>
      <c r="D1333" t="s">
        <v>197</v>
      </c>
      <c r="E1333" t="s">
        <v>197</v>
      </c>
      <c r="F1333" t="s">
        <v>197</v>
      </c>
      <c r="G1333" t="s">
        <v>197</v>
      </c>
      <c r="H1333" t="s">
        <v>197</v>
      </c>
      <c r="I1333" t="s">
        <v>197</v>
      </c>
      <c r="J1333" t="s">
        <v>197</v>
      </c>
      <c r="K1333" t="s">
        <v>565</v>
      </c>
    </row>
    <row r="1334" spans="1:24">
      <c r="B1334" t="s">
        <v>197</v>
      </c>
      <c r="C1334" t="s">
        <v>197</v>
      </c>
      <c r="D1334" t="s">
        <v>197</v>
      </c>
      <c r="E1334" t="s">
        <v>197</v>
      </c>
      <c r="F1334" t="s">
        <v>197</v>
      </c>
      <c r="G1334" t="s">
        <v>197</v>
      </c>
      <c r="H1334" t="s">
        <v>197</v>
      </c>
      <c r="I1334" t="s">
        <v>197</v>
      </c>
      <c r="J1334" t="s">
        <v>197</v>
      </c>
      <c r="K1334" t="s">
        <v>566</v>
      </c>
    </row>
    <row r="1335" spans="1:24">
      <c r="B1335" t="s">
        <v>197</v>
      </c>
      <c r="C1335" t="s">
        <v>197</v>
      </c>
      <c r="D1335" t="s">
        <v>197</v>
      </c>
      <c r="E1335" t="s">
        <v>197</v>
      </c>
      <c r="F1335" t="s">
        <v>197</v>
      </c>
      <c r="G1335" t="s">
        <v>197</v>
      </c>
      <c r="H1335" t="s">
        <v>197</v>
      </c>
      <c r="I1335" t="s">
        <v>197</v>
      </c>
      <c r="J1335" t="s">
        <v>197</v>
      </c>
      <c r="K1335" t="s">
        <v>567</v>
      </c>
    </row>
    <row r="1336" spans="1:24">
      <c r="A1336" t="s">
        <v>1147</v>
      </c>
      <c r="K1336" t="s">
        <v>1148</v>
      </c>
      <c r="W1336" t="s">
        <v>171</v>
      </c>
      <c r="X1336" t="str">
        <f>A1336</f>
        <v>info_varbinary_dml_batch2_pk_irp2</v>
      </c>
    </row>
    <row r="1337" spans="1:24">
      <c r="B1337" t="s">
        <v>196</v>
      </c>
      <c r="C1337" t="s">
        <v>197</v>
      </c>
      <c r="D1337" t="s">
        <v>197</v>
      </c>
      <c r="E1337" t="s">
        <v>197</v>
      </c>
      <c r="F1337" t="s">
        <v>197</v>
      </c>
      <c r="G1337" t="s">
        <v>197</v>
      </c>
      <c r="H1337" t="s">
        <v>197</v>
      </c>
      <c r="I1337" t="s">
        <v>1149</v>
      </c>
      <c r="J1337" t="s">
        <v>199</v>
      </c>
      <c r="K1337" t="s">
        <v>200</v>
      </c>
    </row>
    <row r="1338" spans="1:24">
      <c r="B1338" t="s">
        <v>197</v>
      </c>
      <c r="C1338" t="s">
        <v>197</v>
      </c>
      <c r="D1338" t="s">
        <v>197</v>
      </c>
      <c r="E1338" t="s">
        <v>197</v>
      </c>
      <c r="F1338" t="s">
        <v>197</v>
      </c>
      <c r="G1338" t="s">
        <v>197</v>
      </c>
      <c r="H1338" t="s">
        <v>197</v>
      </c>
      <c r="I1338" t="s">
        <v>197</v>
      </c>
      <c r="J1338" t="s">
        <v>197</v>
      </c>
      <c r="K1338" t="s">
        <v>495</v>
      </c>
    </row>
    <row r="1339" spans="1:24">
      <c r="B1339" t="s">
        <v>197</v>
      </c>
      <c r="C1339" t="s">
        <v>197</v>
      </c>
      <c r="D1339" t="s">
        <v>197</v>
      </c>
      <c r="E1339" t="s">
        <v>197</v>
      </c>
      <c r="F1339" t="s">
        <v>197</v>
      </c>
      <c r="G1339" t="s">
        <v>197</v>
      </c>
      <c r="H1339" t="s">
        <v>197</v>
      </c>
      <c r="I1339" t="s">
        <v>197</v>
      </c>
      <c r="J1339" t="s">
        <v>197</v>
      </c>
      <c r="K1339" t="s">
        <v>499</v>
      </c>
    </row>
    <row r="1340" spans="1:24">
      <c r="B1340" t="s">
        <v>197</v>
      </c>
      <c r="C1340" t="s">
        <v>197</v>
      </c>
      <c r="D1340" t="s">
        <v>197</v>
      </c>
      <c r="E1340" t="s">
        <v>197</v>
      </c>
      <c r="F1340" t="s">
        <v>197</v>
      </c>
      <c r="G1340" t="s">
        <v>197</v>
      </c>
      <c r="H1340" t="s">
        <v>197</v>
      </c>
      <c r="I1340" t="s">
        <v>197</v>
      </c>
      <c r="J1340" t="s">
        <v>197</v>
      </c>
      <c r="K1340" t="s">
        <v>503</v>
      </c>
    </row>
    <row r="1341" spans="1:24">
      <c r="A1341" t="s">
        <v>1156</v>
      </c>
      <c r="K1341" t="s">
        <v>1157</v>
      </c>
      <c r="W1341" t="s">
        <v>171</v>
      </c>
      <c r="X1341" t="str">
        <f>A1341</f>
        <v>info_sdt_dml_batch1_pk_irp2</v>
      </c>
    </row>
    <row r="1342" spans="1:24">
      <c r="B1342" t="s">
        <v>196</v>
      </c>
      <c r="C1342" t="s">
        <v>197</v>
      </c>
      <c r="D1342" t="s">
        <v>197</v>
      </c>
      <c r="E1342" t="s">
        <v>197</v>
      </c>
      <c r="F1342" t="s">
        <v>197</v>
      </c>
      <c r="G1342" t="s">
        <v>197</v>
      </c>
      <c r="H1342" t="s">
        <v>197</v>
      </c>
      <c r="I1342" t="s">
        <v>1158</v>
      </c>
      <c r="J1342" t="s">
        <v>199</v>
      </c>
      <c r="K1342" t="s">
        <v>200</v>
      </c>
    </row>
    <row r="1343" spans="1:24">
      <c r="B1343" t="s">
        <v>197</v>
      </c>
      <c r="C1343" t="s">
        <v>197</v>
      </c>
      <c r="D1343" t="s">
        <v>197</v>
      </c>
      <c r="E1343" t="s">
        <v>197</v>
      </c>
      <c r="F1343" t="s">
        <v>197</v>
      </c>
      <c r="G1343" t="s">
        <v>197</v>
      </c>
      <c r="H1343" t="s">
        <v>197</v>
      </c>
      <c r="I1343" t="s">
        <v>197</v>
      </c>
      <c r="J1343" t="s">
        <v>197</v>
      </c>
      <c r="K1343" t="s">
        <v>422</v>
      </c>
    </row>
    <row r="1344" spans="1:24">
      <c r="A1344" t="s">
        <v>1159</v>
      </c>
      <c r="K1344" t="s">
        <v>1160</v>
      </c>
      <c r="W1344" t="s">
        <v>171</v>
      </c>
      <c r="X1344" t="str">
        <f>A1344</f>
        <v>info_datetimeoffset_dml_single_pk_irp</v>
      </c>
    </row>
    <row r="1345" spans="1:24">
      <c r="B1345" t="s">
        <v>196</v>
      </c>
      <c r="C1345" t="s">
        <v>197</v>
      </c>
      <c r="D1345" t="s">
        <v>197</v>
      </c>
      <c r="E1345" t="s">
        <v>197</v>
      </c>
      <c r="F1345" t="s">
        <v>197</v>
      </c>
      <c r="G1345" t="s">
        <v>197</v>
      </c>
      <c r="H1345" t="s">
        <v>197</v>
      </c>
      <c r="I1345" t="s">
        <v>1161</v>
      </c>
      <c r="J1345" t="s">
        <v>199</v>
      </c>
      <c r="K1345" t="s">
        <v>200</v>
      </c>
    </row>
    <row r="1346" spans="1:24">
      <c r="B1346" t="s">
        <v>197</v>
      </c>
      <c r="C1346" t="s">
        <v>197</v>
      </c>
      <c r="D1346" t="s">
        <v>197</v>
      </c>
      <c r="E1346" t="s">
        <v>197</v>
      </c>
      <c r="F1346" t="s">
        <v>197</v>
      </c>
      <c r="G1346" t="s">
        <v>197</v>
      </c>
      <c r="H1346" t="s">
        <v>197</v>
      </c>
      <c r="I1346" t="s">
        <v>197</v>
      </c>
      <c r="J1346" t="s">
        <v>197</v>
      </c>
      <c r="K1346" t="s">
        <v>301</v>
      </c>
    </row>
    <row r="1347" spans="1:24">
      <c r="B1347" t="s">
        <v>197</v>
      </c>
      <c r="C1347" t="s">
        <v>197</v>
      </c>
      <c r="D1347" t="s">
        <v>197</v>
      </c>
      <c r="E1347" t="s">
        <v>197</v>
      </c>
      <c r="F1347" t="s">
        <v>197</v>
      </c>
      <c r="G1347" t="s">
        <v>197</v>
      </c>
      <c r="H1347" t="s">
        <v>197</v>
      </c>
      <c r="I1347" t="s">
        <v>197</v>
      </c>
      <c r="J1347" t="s">
        <v>197</v>
      </c>
      <c r="K1347" t="s">
        <v>314</v>
      </c>
    </row>
    <row r="1348" spans="1:24">
      <c r="B1348" t="s">
        <v>197</v>
      </c>
      <c r="C1348" t="s">
        <v>197</v>
      </c>
      <c r="D1348" t="s">
        <v>197</v>
      </c>
      <c r="E1348" t="s">
        <v>197</v>
      </c>
      <c r="F1348" t="s">
        <v>197</v>
      </c>
      <c r="G1348" t="s">
        <v>197</v>
      </c>
      <c r="H1348" t="s">
        <v>197</v>
      </c>
      <c r="I1348" t="s">
        <v>197</v>
      </c>
      <c r="J1348" t="s">
        <v>197</v>
      </c>
      <c r="K1348" t="s">
        <v>324</v>
      </c>
    </row>
    <row r="1349" spans="1:24">
      <c r="B1349" t="s">
        <v>197</v>
      </c>
      <c r="C1349" t="s">
        <v>197</v>
      </c>
      <c r="D1349" t="s">
        <v>197</v>
      </c>
      <c r="E1349" t="s">
        <v>197</v>
      </c>
      <c r="F1349" t="s">
        <v>197</v>
      </c>
      <c r="G1349" t="s">
        <v>197</v>
      </c>
      <c r="H1349" t="s">
        <v>197</v>
      </c>
      <c r="I1349" t="s">
        <v>197</v>
      </c>
      <c r="J1349" t="s">
        <v>197</v>
      </c>
      <c r="K1349" t="s">
        <v>335</v>
      </c>
    </row>
    <row r="1350" spans="1:24">
      <c r="B1350" t="s">
        <v>197</v>
      </c>
      <c r="C1350" t="s">
        <v>197</v>
      </c>
      <c r="D1350" t="s">
        <v>197</v>
      </c>
      <c r="E1350" t="s">
        <v>197</v>
      </c>
      <c r="F1350" t="s">
        <v>197</v>
      </c>
      <c r="G1350" t="s">
        <v>197</v>
      </c>
      <c r="H1350" t="s">
        <v>197</v>
      </c>
      <c r="I1350" t="s">
        <v>197</v>
      </c>
      <c r="J1350" t="s">
        <v>197</v>
      </c>
      <c r="K1350" t="s">
        <v>350</v>
      </c>
    </row>
    <row r="1351" spans="1:24">
      <c r="B1351" t="s">
        <v>197</v>
      </c>
      <c r="C1351" t="s">
        <v>197</v>
      </c>
      <c r="D1351" t="s">
        <v>197</v>
      </c>
      <c r="E1351" t="s">
        <v>197</v>
      </c>
      <c r="F1351" t="s">
        <v>197</v>
      </c>
      <c r="G1351" t="s">
        <v>197</v>
      </c>
      <c r="H1351" t="s">
        <v>197</v>
      </c>
      <c r="I1351" t="s">
        <v>197</v>
      </c>
      <c r="J1351" t="s">
        <v>197</v>
      </c>
      <c r="K1351" t="s">
        <v>360</v>
      </c>
    </row>
    <row r="1352" spans="1:24">
      <c r="B1352" t="s">
        <v>197</v>
      </c>
      <c r="C1352" t="s">
        <v>197</v>
      </c>
      <c r="D1352" t="s">
        <v>197</v>
      </c>
      <c r="E1352" t="s">
        <v>197</v>
      </c>
      <c r="F1352" t="s">
        <v>197</v>
      </c>
      <c r="G1352" t="s">
        <v>197</v>
      </c>
      <c r="H1352" t="s">
        <v>197</v>
      </c>
      <c r="I1352" t="s">
        <v>197</v>
      </c>
      <c r="J1352" t="s">
        <v>197</v>
      </c>
      <c r="K1352" t="s">
        <v>367</v>
      </c>
    </row>
    <row r="1353" spans="1:24">
      <c r="B1353" t="s">
        <v>197</v>
      </c>
      <c r="C1353" t="s">
        <v>197</v>
      </c>
      <c r="D1353" t="s">
        <v>197</v>
      </c>
      <c r="E1353" t="s">
        <v>197</v>
      </c>
      <c r="F1353" t="s">
        <v>197</v>
      </c>
      <c r="G1353" t="s">
        <v>197</v>
      </c>
      <c r="H1353" t="s">
        <v>197</v>
      </c>
      <c r="I1353" t="s">
        <v>197</v>
      </c>
      <c r="J1353" t="s">
        <v>197</v>
      </c>
      <c r="K1353" t="s">
        <v>373</v>
      </c>
    </row>
    <row r="1354" spans="1:24">
      <c r="A1354" t="s">
        <v>1162</v>
      </c>
      <c r="K1354" t="s">
        <v>1163</v>
      </c>
      <c r="W1354" t="s">
        <v>171</v>
      </c>
      <c r="X1354" t="str">
        <f>A1354</f>
        <v>info_varchar_dml_batch1_pk_urp2</v>
      </c>
    </row>
    <row r="1355" spans="1:24">
      <c r="B1355" t="s">
        <v>196</v>
      </c>
      <c r="C1355" t="s">
        <v>197</v>
      </c>
      <c r="D1355" t="s">
        <v>197</v>
      </c>
      <c r="E1355" t="s">
        <v>197</v>
      </c>
      <c r="F1355" t="s">
        <v>197</v>
      </c>
      <c r="G1355" t="s">
        <v>197</v>
      </c>
      <c r="H1355" t="s">
        <v>197</v>
      </c>
      <c r="I1355" t="s">
        <v>1164</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434</v>
      </c>
    </row>
    <row r="1358" spans="1:24">
      <c r="B1358" t="s">
        <v>197</v>
      </c>
      <c r="C1358" t="s">
        <v>197</v>
      </c>
      <c r="D1358" t="s">
        <v>197</v>
      </c>
      <c r="E1358" t="s">
        <v>197</v>
      </c>
      <c r="F1358" t="s">
        <v>197</v>
      </c>
      <c r="G1358" t="s">
        <v>197</v>
      </c>
      <c r="H1358" t="s">
        <v>197</v>
      </c>
      <c r="I1358" t="s">
        <v>197</v>
      </c>
      <c r="J1358" t="s">
        <v>197</v>
      </c>
      <c r="K1358" t="s">
        <v>439</v>
      </c>
    </row>
    <row r="1359" spans="1:24">
      <c r="A1359" t="s">
        <v>1165</v>
      </c>
      <c r="K1359" t="s">
        <v>1166</v>
      </c>
      <c r="W1359" s="1" t="str">
        <f>HYPERLINK("#2026042016hbase0!AV2","NO 源备存在差异，共16个")</f>
        <v>NO 源备存在差异，共16个</v>
      </c>
      <c r="X1359" t="str">
        <f>A1359</f>
        <v>info_int_dml_batch2_pk_irp2</v>
      </c>
    </row>
    <row r="1360" spans="1:24">
      <c r="B1360" t="s">
        <v>196</v>
      </c>
      <c r="C1360" t="s">
        <v>197</v>
      </c>
      <c r="D1360" t="s">
        <v>197</v>
      </c>
      <c r="E1360" t="s">
        <v>197</v>
      </c>
      <c r="F1360" t="s">
        <v>197</v>
      </c>
      <c r="G1360" t="s">
        <v>197</v>
      </c>
      <c r="H1360" t="s">
        <v>197</v>
      </c>
      <c r="I1360" t="s">
        <v>1167</v>
      </c>
      <c r="J1360" t="s">
        <v>199</v>
      </c>
      <c r="K1360" t="s">
        <v>200</v>
      </c>
    </row>
    <row r="1361" spans="2:11">
      <c r="B1361" t="s">
        <v>197</v>
      </c>
      <c r="C1361" t="s">
        <v>197</v>
      </c>
      <c r="D1361" t="s">
        <v>197</v>
      </c>
      <c r="E1361" t="s">
        <v>197</v>
      </c>
      <c r="F1361" t="s">
        <v>197</v>
      </c>
      <c r="G1361" t="s">
        <v>197</v>
      </c>
      <c r="H1361" t="s">
        <v>197</v>
      </c>
      <c r="I1361" t="s">
        <v>197</v>
      </c>
      <c r="J1361" t="s">
        <v>197</v>
      </c>
      <c r="K1361" t="s">
        <v>549</v>
      </c>
    </row>
    <row r="1362" spans="2:11">
      <c r="B1362" t="s">
        <v>197</v>
      </c>
      <c r="C1362" t="s">
        <v>197</v>
      </c>
      <c r="D1362" t="s">
        <v>197</v>
      </c>
      <c r="E1362" t="s">
        <v>197</v>
      </c>
      <c r="F1362" t="s">
        <v>197</v>
      </c>
      <c r="G1362" t="s">
        <v>197</v>
      </c>
      <c r="H1362" t="s">
        <v>197</v>
      </c>
      <c r="I1362" t="s">
        <v>197</v>
      </c>
      <c r="J1362" t="s">
        <v>197</v>
      </c>
      <c r="K1362" t="s">
        <v>550</v>
      </c>
    </row>
    <row r="1363" spans="2:11">
      <c r="B1363" t="s">
        <v>197</v>
      </c>
      <c r="C1363" t="s">
        <v>197</v>
      </c>
      <c r="D1363" t="s">
        <v>197</v>
      </c>
      <c r="E1363" t="s">
        <v>197</v>
      </c>
      <c r="F1363" t="s">
        <v>197</v>
      </c>
      <c r="G1363" t="s">
        <v>197</v>
      </c>
      <c r="H1363" t="s">
        <v>197</v>
      </c>
      <c r="I1363" t="s">
        <v>197</v>
      </c>
      <c r="J1363" t="s">
        <v>197</v>
      </c>
      <c r="K1363" t="s">
        <v>551</v>
      </c>
    </row>
    <row r="1364" spans="2:11">
      <c r="B1364" t="s">
        <v>197</v>
      </c>
      <c r="C1364" t="s">
        <v>197</v>
      </c>
      <c r="D1364" t="s">
        <v>197</v>
      </c>
      <c r="E1364" t="s">
        <v>197</v>
      </c>
      <c r="F1364" t="s">
        <v>197</v>
      </c>
      <c r="G1364" t="s">
        <v>197</v>
      </c>
      <c r="H1364" t="s">
        <v>197</v>
      </c>
      <c r="I1364" t="s">
        <v>197</v>
      </c>
      <c r="J1364" t="s">
        <v>197</v>
      </c>
      <c r="K1364" t="s">
        <v>552</v>
      </c>
    </row>
    <row r="1365" spans="2:11">
      <c r="B1365" t="s">
        <v>197</v>
      </c>
      <c r="C1365" t="s">
        <v>197</v>
      </c>
      <c r="D1365" t="s">
        <v>197</v>
      </c>
      <c r="E1365" t="s">
        <v>197</v>
      </c>
      <c r="F1365" t="s">
        <v>197</v>
      </c>
      <c r="G1365" t="s">
        <v>197</v>
      </c>
      <c r="H1365" t="s">
        <v>197</v>
      </c>
      <c r="I1365" t="s">
        <v>197</v>
      </c>
      <c r="J1365" t="s">
        <v>197</v>
      </c>
      <c r="K1365" t="s">
        <v>553</v>
      </c>
    </row>
    <row r="1366" spans="2:11">
      <c r="B1366" t="s">
        <v>197</v>
      </c>
      <c r="C1366" t="s">
        <v>197</v>
      </c>
      <c r="D1366" t="s">
        <v>197</v>
      </c>
      <c r="E1366" t="s">
        <v>197</v>
      </c>
      <c r="F1366" t="s">
        <v>197</v>
      </c>
      <c r="G1366" t="s">
        <v>197</v>
      </c>
      <c r="H1366" t="s">
        <v>197</v>
      </c>
      <c r="I1366" t="s">
        <v>197</v>
      </c>
      <c r="J1366" t="s">
        <v>197</v>
      </c>
      <c r="K1366" t="s">
        <v>554</v>
      </c>
    </row>
    <row r="1367" spans="2:11">
      <c r="B1367" t="s">
        <v>197</v>
      </c>
      <c r="C1367" t="s">
        <v>197</v>
      </c>
      <c r="D1367" t="s">
        <v>197</v>
      </c>
      <c r="E1367" t="s">
        <v>197</v>
      </c>
      <c r="F1367" t="s">
        <v>197</v>
      </c>
      <c r="G1367" t="s">
        <v>197</v>
      </c>
      <c r="H1367" t="s">
        <v>197</v>
      </c>
      <c r="I1367" t="s">
        <v>197</v>
      </c>
      <c r="J1367" t="s">
        <v>197</v>
      </c>
      <c r="K1367" t="s">
        <v>555</v>
      </c>
    </row>
    <row r="1368" spans="2:11">
      <c r="B1368" t="s">
        <v>197</v>
      </c>
      <c r="C1368" t="s">
        <v>197</v>
      </c>
      <c r="D1368" t="s">
        <v>197</v>
      </c>
      <c r="E1368" t="s">
        <v>197</v>
      </c>
      <c r="F1368" t="s">
        <v>197</v>
      </c>
      <c r="G1368" t="s">
        <v>197</v>
      </c>
      <c r="H1368" t="s">
        <v>197</v>
      </c>
      <c r="I1368" t="s">
        <v>197</v>
      </c>
      <c r="J1368" t="s">
        <v>197</v>
      </c>
      <c r="K1368" t="s">
        <v>556</v>
      </c>
    </row>
    <row r="1369" spans="2:11">
      <c r="B1369" t="s">
        <v>197</v>
      </c>
      <c r="C1369" t="s">
        <v>197</v>
      </c>
      <c r="D1369" t="s">
        <v>197</v>
      </c>
      <c r="E1369" t="s">
        <v>197</v>
      </c>
      <c r="F1369" t="s">
        <v>197</v>
      </c>
      <c r="G1369" t="s">
        <v>197</v>
      </c>
      <c r="H1369" t="s">
        <v>197</v>
      </c>
      <c r="I1369" t="s">
        <v>197</v>
      </c>
      <c r="J1369" t="s">
        <v>197</v>
      </c>
      <c r="K1369" t="s">
        <v>557</v>
      </c>
    </row>
    <row r="1370" spans="2:11">
      <c r="B1370" t="s">
        <v>197</v>
      </c>
      <c r="C1370" t="s">
        <v>197</v>
      </c>
      <c r="D1370" t="s">
        <v>197</v>
      </c>
      <c r="E1370" t="s">
        <v>197</v>
      </c>
      <c r="F1370" t="s">
        <v>197</v>
      </c>
      <c r="G1370" t="s">
        <v>197</v>
      </c>
      <c r="H1370" t="s">
        <v>197</v>
      </c>
      <c r="I1370" t="s">
        <v>197</v>
      </c>
      <c r="J1370" t="s">
        <v>197</v>
      </c>
      <c r="K1370" t="s">
        <v>558</v>
      </c>
    </row>
    <row r="1371" spans="2:11">
      <c r="B1371" t="s">
        <v>197</v>
      </c>
      <c r="C1371" t="s">
        <v>197</v>
      </c>
      <c r="D1371" t="s">
        <v>197</v>
      </c>
      <c r="E1371" t="s">
        <v>197</v>
      </c>
      <c r="F1371" t="s">
        <v>197</v>
      </c>
      <c r="G1371" t="s">
        <v>197</v>
      </c>
      <c r="H1371" t="s">
        <v>197</v>
      </c>
      <c r="I1371" t="s">
        <v>197</v>
      </c>
      <c r="J1371" t="s">
        <v>197</v>
      </c>
      <c r="K1371" t="s">
        <v>559</v>
      </c>
    </row>
    <row r="1372" spans="2:11">
      <c r="B1372" t="s">
        <v>197</v>
      </c>
      <c r="C1372" t="s">
        <v>197</v>
      </c>
      <c r="D1372" t="s">
        <v>197</v>
      </c>
      <c r="E1372" t="s">
        <v>197</v>
      </c>
      <c r="F1372" t="s">
        <v>197</v>
      </c>
      <c r="G1372" t="s">
        <v>197</v>
      </c>
      <c r="H1372" t="s">
        <v>197</v>
      </c>
      <c r="I1372" t="s">
        <v>197</v>
      </c>
      <c r="J1372" t="s">
        <v>197</v>
      </c>
      <c r="K1372" t="s">
        <v>560</v>
      </c>
    </row>
    <row r="1373" spans="2:11">
      <c r="B1373" t="s">
        <v>197</v>
      </c>
      <c r="C1373" t="s">
        <v>197</v>
      </c>
      <c r="D1373" t="s">
        <v>197</v>
      </c>
      <c r="E1373" t="s">
        <v>197</v>
      </c>
      <c r="F1373" t="s">
        <v>197</v>
      </c>
      <c r="G1373" t="s">
        <v>197</v>
      </c>
      <c r="H1373" t="s">
        <v>197</v>
      </c>
      <c r="I1373" t="s">
        <v>197</v>
      </c>
      <c r="J1373" t="s">
        <v>197</v>
      </c>
      <c r="K1373" t="s">
        <v>561</v>
      </c>
    </row>
    <row r="1374" spans="2:11">
      <c r="B1374" t="s">
        <v>197</v>
      </c>
      <c r="C1374" t="s">
        <v>197</v>
      </c>
      <c r="D1374" t="s">
        <v>197</v>
      </c>
      <c r="E1374" t="s">
        <v>197</v>
      </c>
      <c r="F1374" t="s">
        <v>197</v>
      </c>
      <c r="G1374" t="s">
        <v>197</v>
      </c>
      <c r="H1374" t="s">
        <v>197</v>
      </c>
      <c r="I1374" t="s">
        <v>197</v>
      </c>
      <c r="J1374" t="s">
        <v>197</v>
      </c>
      <c r="K1374" t="s">
        <v>562</v>
      </c>
    </row>
    <row r="1375" spans="2:11">
      <c r="B1375" t="s">
        <v>197</v>
      </c>
      <c r="C1375" t="s">
        <v>197</v>
      </c>
      <c r="D1375" t="s">
        <v>197</v>
      </c>
      <c r="E1375" t="s">
        <v>197</v>
      </c>
      <c r="F1375" t="s">
        <v>197</v>
      </c>
      <c r="G1375" t="s">
        <v>197</v>
      </c>
      <c r="H1375" t="s">
        <v>197</v>
      </c>
      <c r="I1375" t="s">
        <v>197</v>
      </c>
      <c r="J1375" t="s">
        <v>197</v>
      </c>
      <c r="K1375" t="s">
        <v>563</v>
      </c>
    </row>
    <row r="1376" spans="2:11">
      <c r="B1376" t="s">
        <v>197</v>
      </c>
      <c r="C1376" t="s">
        <v>197</v>
      </c>
      <c r="D1376" t="s">
        <v>197</v>
      </c>
      <c r="E1376" t="s">
        <v>197</v>
      </c>
      <c r="F1376" t="s">
        <v>197</v>
      </c>
      <c r="G1376" t="s">
        <v>197</v>
      </c>
      <c r="H1376" t="s">
        <v>197</v>
      </c>
      <c r="I1376" t="s">
        <v>197</v>
      </c>
      <c r="J1376" t="s">
        <v>197</v>
      </c>
      <c r="K1376" t="s">
        <v>564</v>
      </c>
    </row>
    <row r="1377" spans="1:24">
      <c r="B1377" t="s">
        <v>197</v>
      </c>
      <c r="C1377" t="s">
        <v>197</v>
      </c>
      <c r="D1377" t="s">
        <v>197</v>
      </c>
      <c r="E1377" t="s">
        <v>197</v>
      </c>
      <c r="F1377" t="s">
        <v>197</v>
      </c>
      <c r="G1377" t="s">
        <v>197</v>
      </c>
      <c r="H1377" t="s">
        <v>197</v>
      </c>
      <c r="I1377" t="s">
        <v>197</v>
      </c>
      <c r="J1377" t="s">
        <v>197</v>
      </c>
      <c r="K1377" t="s">
        <v>565</v>
      </c>
    </row>
    <row r="1378" spans="1:24">
      <c r="B1378" t="s">
        <v>197</v>
      </c>
      <c r="C1378" t="s">
        <v>197</v>
      </c>
      <c r="D1378" t="s">
        <v>197</v>
      </c>
      <c r="E1378" t="s">
        <v>197</v>
      </c>
      <c r="F1378" t="s">
        <v>197</v>
      </c>
      <c r="G1378" t="s">
        <v>197</v>
      </c>
      <c r="H1378" t="s">
        <v>197</v>
      </c>
      <c r="I1378" t="s">
        <v>197</v>
      </c>
      <c r="J1378" t="s">
        <v>197</v>
      </c>
      <c r="K1378" t="s">
        <v>566</v>
      </c>
    </row>
    <row r="1379" spans="1:24">
      <c r="B1379" t="s">
        <v>197</v>
      </c>
      <c r="C1379" t="s">
        <v>197</v>
      </c>
      <c r="D1379" t="s">
        <v>197</v>
      </c>
      <c r="E1379" t="s">
        <v>197</v>
      </c>
      <c r="F1379" t="s">
        <v>197</v>
      </c>
      <c r="G1379" t="s">
        <v>197</v>
      </c>
      <c r="H1379" t="s">
        <v>197</v>
      </c>
      <c r="I1379" t="s">
        <v>197</v>
      </c>
      <c r="J1379" t="s">
        <v>197</v>
      </c>
      <c r="K1379" t="s">
        <v>567</v>
      </c>
    </row>
    <row r="1380" spans="1:24">
      <c r="A1380" t="s">
        <v>1168</v>
      </c>
      <c r="K1380" t="s">
        <v>1169</v>
      </c>
      <c r="W1380" t="s">
        <v>171</v>
      </c>
      <c r="X1380" t="str">
        <f>A1380</f>
        <v>info_varchar_dml_single_pk</v>
      </c>
    </row>
    <row r="1381" spans="1:24">
      <c r="B1381" t="s">
        <v>196</v>
      </c>
      <c r="C1381" t="s">
        <v>197</v>
      </c>
      <c r="D1381" t="s">
        <v>197</v>
      </c>
      <c r="E1381" t="s">
        <v>197</v>
      </c>
      <c r="F1381" t="s">
        <v>197</v>
      </c>
      <c r="G1381" t="s">
        <v>197</v>
      </c>
      <c r="H1381" t="s">
        <v>197</v>
      </c>
      <c r="I1381" t="s">
        <v>1170</v>
      </c>
      <c r="J1381" t="s">
        <v>199</v>
      </c>
      <c r="K1381" t="s">
        <v>200</v>
      </c>
    </row>
    <row r="1382" spans="1:24">
      <c r="B1382" t="s">
        <v>197</v>
      </c>
      <c r="C1382" t="s">
        <v>197</v>
      </c>
      <c r="D1382" t="s">
        <v>197</v>
      </c>
      <c r="E1382" t="s">
        <v>197</v>
      </c>
      <c r="F1382" t="s">
        <v>197</v>
      </c>
      <c r="G1382" t="s">
        <v>197</v>
      </c>
      <c r="H1382" t="s">
        <v>197</v>
      </c>
      <c r="I1382" t="s">
        <v>197</v>
      </c>
      <c r="J1382" t="s">
        <v>197</v>
      </c>
      <c r="K1382" t="s">
        <v>431</v>
      </c>
    </row>
    <row r="1383" spans="1:24">
      <c r="B1383" t="s">
        <v>197</v>
      </c>
      <c r="C1383" t="s">
        <v>197</v>
      </c>
      <c r="D1383" t="s">
        <v>197</v>
      </c>
      <c r="E1383" t="s">
        <v>197</v>
      </c>
      <c r="F1383" t="s">
        <v>197</v>
      </c>
      <c r="G1383" t="s">
        <v>197</v>
      </c>
      <c r="H1383" t="s">
        <v>197</v>
      </c>
      <c r="I1383" t="s">
        <v>197</v>
      </c>
      <c r="J1383" t="s">
        <v>197</v>
      </c>
      <c r="K1383" t="s">
        <v>1056</v>
      </c>
    </row>
    <row r="1384" spans="1:24">
      <c r="B1384" t="s">
        <v>197</v>
      </c>
      <c r="C1384" t="s">
        <v>197</v>
      </c>
      <c r="D1384" t="s">
        <v>197</v>
      </c>
      <c r="E1384" t="s">
        <v>197</v>
      </c>
      <c r="F1384" t="s">
        <v>197</v>
      </c>
      <c r="G1384" t="s">
        <v>197</v>
      </c>
      <c r="H1384" t="s">
        <v>197</v>
      </c>
      <c r="I1384" t="s">
        <v>197</v>
      </c>
      <c r="J1384" t="s">
        <v>197</v>
      </c>
      <c r="K1384" t="s">
        <v>963</v>
      </c>
    </row>
    <row r="1385" spans="1:24">
      <c r="A1385" t="s">
        <v>1171</v>
      </c>
      <c r="K1385" t="s">
        <v>1172</v>
      </c>
      <c r="W1385" t="s">
        <v>171</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6"/>
    <mergeCell ref="A7:A11"/>
    <mergeCell ref="A12:A21"/>
    <mergeCell ref="A22:A24"/>
    <mergeCell ref="A25:A27"/>
    <mergeCell ref="A28:A33"/>
    <mergeCell ref="A34:A36"/>
    <mergeCell ref="A37:A39"/>
    <mergeCell ref="A40:A42"/>
    <mergeCell ref="A43:A47"/>
    <mergeCell ref="A48:A51"/>
    <mergeCell ref="A52:A61"/>
    <mergeCell ref="A62:A66"/>
    <mergeCell ref="A67:A70"/>
    <mergeCell ref="A71:A73"/>
    <mergeCell ref="A74:A76"/>
    <mergeCell ref="A77:A81"/>
    <mergeCell ref="A82:A86"/>
    <mergeCell ref="A87:A89"/>
    <mergeCell ref="A90:A110"/>
    <mergeCell ref="A111:A113"/>
    <mergeCell ref="A114:A116"/>
    <mergeCell ref="A117:A121"/>
    <mergeCell ref="A122:A124"/>
    <mergeCell ref="A125:A134"/>
    <mergeCell ref="A135:A138"/>
    <mergeCell ref="A139:A141"/>
    <mergeCell ref="A142:A147"/>
    <mergeCell ref="A148:A168"/>
    <mergeCell ref="A169:A173"/>
    <mergeCell ref="A174:A176"/>
    <mergeCell ref="A177:A181"/>
    <mergeCell ref="A182:A184"/>
    <mergeCell ref="A185:A206"/>
    <mergeCell ref="A207:A211"/>
    <mergeCell ref="A212:A214"/>
    <mergeCell ref="A215:A220"/>
    <mergeCell ref="A221:A223"/>
    <mergeCell ref="A224:A226"/>
    <mergeCell ref="A227:A231"/>
    <mergeCell ref="A232:A234"/>
    <mergeCell ref="A235:A239"/>
    <mergeCell ref="A240:A242"/>
    <mergeCell ref="A243:A246"/>
    <mergeCell ref="A247:A249"/>
    <mergeCell ref="A250:A254"/>
    <mergeCell ref="A255:A259"/>
    <mergeCell ref="A260:A262"/>
    <mergeCell ref="A263:A268"/>
    <mergeCell ref="A269:A273"/>
    <mergeCell ref="A274:A283"/>
    <mergeCell ref="A284:A286"/>
    <mergeCell ref="A287:A296"/>
    <mergeCell ref="A297:A306"/>
    <mergeCell ref="A307:A327"/>
    <mergeCell ref="A328:A332"/>
    <mergeCell ref="A333:A342"/>
    <mergeCell ref="A343:A348"/>
    <mergeCell ref="A349:A351"/>
    <mergeCell ref="A352:A361"/>
    <mergeCell ref="A362:A367"/>
    <mergeCell ref="A368:A372"/>
    <mergeCell ref="A373:A375"/>
    <mergeCell ref="A376:A385"/>
    <mergeCell ref="A386:A390"/>
    <mergeCell ref="A391:A401"/>
    <mergeCell ref="A402:A406"/>
    <mergeCell ref="A407:A411"/>
    <mergeCell ref="A412:A416"/>
    <mergeCell ref="A417:A426"/>
    <mergeCell ref="A427:A429"/>
    <mergeCell ref="A430:A434"/>
    <mergeCell ref="A435:A444"/>
    <mergeCell ref="A445:A449"/>
    <mergeCell ref="A450:A454"/>
    <mergeCell ref="A455:A457"/>
    <mergeCell ref="A458:A460"/>
    <mergeCell ref="A461:A463"/>
    <mergeCell ref="A464:A468"/>
    <mergeCell ref="A469:A478"/>
    <mergeCell ref="A479:A482"/>
    <mergeCell ref="A483:A492"/>
    <mergeCell ref="A493:A502"/>
    <mergeCell ref="A503:A507"/>
    <mergeCell ref="A508:A512"/>
    <mergeCell ref="A513:A522"/>
    <mergeCell ref="A523:A527"/>
    <mergeCell ref="A528:A537"/>
    <mergeCell ref="A538:A547"/>
    <mergeCell ref="A548:A550"/>
    <mergeCell ref="A551:A560"/>
    <mergeCell ref="A561:A565"/>
    <mergeCell ref="A566:A576"/>
    <mergeCell ref="A577:A579"/>
    <mergeCell ref="A580:A584"/>
    <mergeCell ref="A585:A594"/>
    <mergeCell ref="A595:A600"/>
    <mergeCell ref="A601:A610"/>
    <mergeCell ref="A611:A613"/>
    <mergeCell ref="A614:A618"/>
    <mergeCell ref="A619:A628"/>
    <mergeCell ref="A629:A633"/>
    <mergeCell ref="A634:A638"/>
    <mergeCell ref="A639:A648"/>
    <mergeCell ref="A649:A651"/>
    <mergeCell ref="A652:A656"/>
    <mergeCell ref="A657:A666"/>
    <mergeCell ref="A667:A687"/>
    <mergeCell ref="A688:A690"/>
    <mergeCell ref="A691:A695"/>
    <mergeCell ref="A696:A701"/>
    <mergeCell ref="A702:A704"/>
    <mergeCell ref="A705:A709"/>
    <mergeCell ref="A710:A712"/>
    <mergeCell ref="A713:A716"/>
    <mergeCell ref="A717:A721"/>
    <mergeCell ref="A722:A724"/>
    <mergeCell ref="A725:A728"/>
    <mergeCell ref="A729:A749"/>
    <mergeCell ref="A750:A754"/>
    <mergeCell ref="A755:A760"/>
    <mergeCell ref="A761:A765"/>
    <mergeCell ref="A766:A771"/>
    <mergeCell ref="A772:A774"/>
    <mergeCell ref="A775:A777"/>
    <mergeCell ref="A778:A782"/>
    <mergeCell ref="A783:A785"/>
    <mergeCell ref="A786:A806"/>
    <mergeCell ref="A807:A810"/>
    <mergeCell ref="A811:A815"/>
    <mergeCell ref="A816:A836"/>
    <mergeCell ref="A837:A841"/>
    <mergeCell ref="A842:A844"/>
    <mergeCell ref="A845:A849"/>
    <mergeCell ref="A850:A854"/>
    <mergeCell ref="A855:A859"/>
    <mergeCell ref="A860:A864"/>
    <mergeCell ref="A865:A868"/>
    <mergeCell ref="A869:A874"/>
    <mergeCell ref="A875:A877"/>
    <mergeCell ref="A878:A882"/>
    <mergeCell ref="A883:A886"/>
    <mergeCell ref="A887:A889"/>
    <mergeCell ref="A890:A892"/>
    <mergeCell ref="A893:A895"/>
    <mergeCell ref="A896:A898"/>
    <mergeCell ref="A899:A903"/>
    <mergeCell ref="A904:A913"/>
    <mergeCell ref="A914:A918"/>
    <mergeCell ref="A919:A924"/>
    <mergeCell ref="A925:A934"/>
    <mergeCell ref="A935:A937"/>
    <mergeCell ref="A938:A963"/>
    <mergeCell ref="A964:A968"/>
    <mergeCell ref="A969:A971"/>
    <mergeCell ref="A972:A981"/>
    <mergeCell ref="A982:A986"/>
    <mergeCell ref="A987:A991"/>
    <mergeCell ref="A992:A996"/>
    <mergeCell ref="A997:A999"/>
    <mergeCell ref="A1000:A1004"/>
    <mergeCell ref="A1005:A1014"/>
    <mergeCell ref="A1015:A1020"/>
    <mergeCell ref="A1021:A1025"/>
    <mergeCell ref="A1026:A1051"/>
    <mergeCell ref="A1052:A1057"/>
    <mergeCell ref="A1058:A1083"/>
    <mergeCell ref="A1084:A1104"/>
    <mergeCell ref="A1105:A1107"/>
    <mergeCell ref="A1108:A1112"/>
    <mergeCell ref="A1113:A1122"/>
    <mergeCell ref="A1123:A1125"/>
    <mergeCell ref="A1126:A1130"/>
    <mergeCell ref="A1131:A1140"/>
    <mergeCell ref="A1141:A1150"/>
    <mergeCell ref="A1151:A1176"/>
    <mergeCell ref="A1177:A1186"/>
    <mergeCell ref="A1187:A1189"/>
    <mergeCell ref="A1190:A1199"/>
    <mergeCell ref="A1200:A1204"/>
    <mergeCell ref="A1205:A1215"/>
    <mergeCell ref="A1216:A1236"/>
    <mergeCell ref="A1237:A1239"/>
    <mergeCell ref="A1240:A1249"/>
    <mergeCell ref="A1250:A1252"/>
    <mergeCell ref="A1253:A1257"/>
    <mergeCell ref="A1258:A1267"/>
    <mergeCell ref="A1268:A1272"/>
    <mergeCell ref="A1273:A1277"/>
    <mergeCell ref="A1278:A1280"/>
    <mergeCell ref="A1281:A1290"/>
    <mergeCell ref="A1291:A1311"/>
    <mergeCell ref="A1312:A1314"/>
    <mergeCell ref="A1315:A1335"/>
    <mergeCell ref="A1336:A1340"/>
    <mergeCell ref="A1341:A1343"/>
    <mergeCell ref="A1344:A1353"/>
    <mergeCell ref="A1354:A1358"/>
    <mergeCell ref="A1359:A1379"/>
    <mergeCell ref="A1380:A1384"/>
    <mergeCell ref="A1385:A138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1387"/>
  <sheetViews>
    <sheetView topLeftCell="AJ1" workbookViewId="0">
      <selection activeCell="AJ2" sqref="AJ2"/>
    </sheetView>
  </sheetViews>
  <sheetFormatPr defaultColWidth="9" defaultRowHeight="13.5"/>
  <cols>
    <col min="29" max="31" width="255.625" style="2" customWidth="1"/>
    <col min="36" max="36" width="255.625" style="2" customWidth="1"/>
  </cols>
  <sheetData>
    <row r="1" spans="1:39">
      <c r="A1" t="s">
        <v>2291</v>
      </c>
      <c r="E1" t="s">
        <v>1196</v>
      </c>
    </row>
    <row r="2" spans="1:39">
      <c r="A2" t="s">
        <v>157</v>
      </c>
      <c r="B2" t="s">
        <v>158</v>
      </c>
      <c r="C2" t="s">
        <v>159</v>
      </c>
      <c r="D2" t="s">
        <v>160</v>
      </c>
      <c r="E2" t="s">
        <v>161</v>
      </c>
      <c r="F2" t="s">
        <v>162</v>
      </c>
      <c r="G2" t="s">
        <v>163</v>
      </c>
      <c r="H2" t="s">
        <v>164</v>
      </c>
      <c r="I2" t="s">
        <v>165</v>
      </c>
      <c r="J2" t="s">
        <v>166</v>
      </c>
      <c r="K2" t="s">
        <v>167</v>
      </c>
      <c r="W2" t="s">
        <v>168</v>
      </c>
      <c r="Y2" s="1" t="str">
        <f>HYPERLINK("#2026042016hbase1!W349","info_hierarchyid_dml_single_pk_irp")</f>
        <v>info_hierarchyid_dml_single_pk_irp</v>
      </c>
      <c r="Z2" s="1" t="str">
        <f>HYPERLINK("#2026042016hbase1!W667","info_int_dml_single_pk_irp")</f>
        <v>info_int_dml_single_pk_irp</v>
      </c>
      <c r="AA2" s="1" t="str">
        <f>HYPERLINK("#2026042016hbase1!W725","info_int_dml_single_pk_urp")</f>
        <v>info_int_dml_single_pk_urp</v>
      </c>
      <c r="AB2" s="1" t="str">
        <f>HYPERLINK("#2026042016hbase1!W786","info_int_dml_single_pk_drp")</f>
        <v>info_int_dml_single_pk_drp</v>
      </c>
      <c r="AC2" s="1" t="str">
        <f>HYPERLINK("#2026042016hbase1!W935","info_sql_variant_dml_single_pk_irp")</f>
        <v>info_sql_variant_dml_single_pk_irp</v>
      </c>
      <c r="AD2" s="1" t="str">
        <f>HYPERLINK("#2026042016hbase1!W997","info_geography_dml_single_pk_irp")</f>
        <v>info_geography_dml_single_pk_irp</v>
      </c>
      <c r="AE2" s="1" t="str">
        <f>HYPERLINK("#2026042016hbase1!W1026","info_sql_variant_dml_single_pk_urp")</f>
        <v>info_sql_variant_dml_single_pk_urp</v>
      </c>
      <c r="AF2" s="1" t="str">
        <f>HYPERLINK("#2026042016hbase1!W1058","info_sql_variant_dml_single_pk_drp")</f>
        <v>info_sql_variant_dml_single_pk_drp</v>
      </c>
      <c r="AG2" s="1" t="str">
        <f>HYPERLINK("#2026042016hbase1!W1084","info_int_dml_batch1_pk_irp1")</f>
        <v>info_int_dml_batch1_pk_irp1</v>
      </c>
      <c r="AH2" s="1" t="str">
        <f>HYPERLINK("#2026042016hbase1!W1123","info_geography_dml_single_pk_urp")</f>
        <v>info_geography_dml_single_pk_urp</v>
      </c>
      <c r="AI2" s="1" t="str">
        <f>HYPERLINK("#2026042016hbase1!W1151","info_sql_variant_dml_single_pk")</f>
        <v>info_sql_variant_dml_single_pk</v>
      </c>
      <c r="AJ2" s="3" t="str">
        <f>HYPERLINK("#2026042016hbase1!W1216","info_int_dml_batch1_pk_irp2")</f>
        <v>info_int_dml_batch1_pk_irp2</v>
      </c>
      <c r="AK2" s="1" t="str">
        <f>HYPERLINK("#2026042016hbase1!W1250","info_geography_dml_single_pk_drp")</f>
        <v>info_geography_dml_single_pk_drp</v>
      </c>
      <c r="AL2" s="1" t="str">
        <f>HYPERLINK("#2026042016hbase1!W1315","info_int_dml_batch2_pk_irp1")</f>
        <v>info_int_dml_batch2_pk_irp1</v>
      </c>
      <c r="AM2" s="1" t="str">
        <f>HYPERLINK("#2026042016hbase1!W1364","info_int_dml_batch2_pk_irp2")</f>
        <v>info_int_dml_batch2_pk_irp2</v>
      </c>
    </row>
    <row r="3" spans="1:39">
      <c r="A3" t="s">
        <v>169</v>
      </c>
      <c r="K3" t="s">
        <v>170</v>
      </c>
      <c r="W3" t="s">
        <v>171</v>
      </c>
      <c r="X3" t="str">
        <f>A3</f>
        <v>info_text_dml_single_pk_irp</v>
      </c>
      <c r="Y3" t="s">
        <v>177</v>
      </c>
      <c r="Z3" t="s">
        <v>2297</v>
      </c>
      <c r="AA3" t="s">
        <v>2297</v>
      </c>
      <c r="AB3" t="s">
        <v>2297</v>
      </c>
      <c r="AC3" t="s">
        <v>2379</v>
      </c>
      <c r="AD3" t="s">
        <v>190</v>
      </c>
      <c r="AE3" t="s">
        <v>2380</v>
      </c>
      <c r="AF3" t="s">
        <v>2381</v>
      </c>
      <c r="AG3" t="s">
        <v>2297</v>
      </c>
      <c r="AH3" t="s">
        <v>193</v>
      </c>
      <c r="AI3" t="s">
        <v>2382</v>
      </c>
      <c r="AJ3" t="s">
        <v>2297</v>
      </c>
      <c r="AK3" t="s">
        <v>195</v>
      </c>
      <c r="AL3" t="s">
        <v>2297</v>
      </c>
      <c r="AM3" t="s">
        <v>2297</v>
      </c>
    </row>
    <row r="4" spans="1:39">
      <c r="B4" t="s">
        <v>196</v>
      </c>
      <c r="C4" t="s">
        <v>197</v>
      </c>
      <c r="D4" t="s">
        <v>197</v>
      </c>
      <c r="E4" t="s">
        <v>197</v>
      </c>
      <c r="F4" t="s">
        <v>197</v>
      </c>
      <c r="G4" t="s">
        <v>197</v>
      </c>
      <c r="H4" t="s">
        <v>197</v>
      </c>
      <c r="I4" t="s">
        <v>198</v>
      </c>
      <c r="J4" t="s">
        <v>199</v>
      </c>
      <c r="K4" t="s">
        <v>200</v>
      </c>
      <c r="Y4" t="s">
        <v>206</v>
      </c>
      <c r="Z4" t="s">
        <v>2306</v>
      </c>
      <c r="AA4" t="s">
        <v>2306</v>
      </c>
      <c r="AB4" t="s">
        <v>2306</v>
      </c>
      <c r="AC4" t="s">
        <v>2383</v>
      </c>
      <c r="AD4" t="s">
        <v>195</v>
      </c>
      <c r="AE4" t="s">
        <v>2384</v>
      </c>
      <c r="AF4" t="s">
        <v>2385</v>
      </c>
      <c r="AG4" t="s">
        <v>312</v>
      </c>
      <c r="AH4" t="s">
        <v>225</v>
      </c>
      <c r="AI4" t="s">
        <v>2386</v>
      </c>
      <c r="AJ4" t="s">
        <v>371</v>
      </c>
      <c r="AK4" t="s">
        <v>227</v>
      </c>
      <c r="AL4" t="s">
        <v>312</v>
      </c>
      <c r="AM4" t="s">
        <v>371</v>
      </c>
    </row>
    <row r="5" spans="1:39">
      <c r="B5" t="s">
        <v>197</v>
      </c>
      <c r="C5" t="s">
        <v>197</v>
      </c>
      <c r="D5" t="s">
        <v>197</v>
      </c>
      <c r="E5" t="s">
        <v>197</v>
      </c>
      <c r="F5" t="s">
        <v>197</v>
      </c>
      <c r="G5" t="s">
        <v>197</v>
      </c>
      <c r="H5" t="s">
        <v>197</v>
      </c>
      <c r="I5" t="s">
        <v>197</v>
      </c>
      <c r="J5" t="s">
        <v>197</v>
      </c>
      <c r="K5" t="s">
        <v>229</v>
      </c>
      <c r="Y5" t="s">
        <v>234</v>
      </c>
      <c r="AD5" t="s">
        <v>227</v>
      </c>
      <c r="AG5" t="s">
        <v>2306</v>
      </c>
      <c r="AH5" t="s">
        <v>248</v>
      </c>
      <c r="AJ5" t="s">
        <v>378</v>
      </c>
      <c r="AK5" t="s">
        <v>249</v>
      </c>
      <c r="AL5" t="s">
        <v>2306</v>
      </c>
      <c r="AM5" t="s">
        <v>378</v>
      </c>
    </row>
    <row r="6" spans="1:39">
      <c r="B6" t="s">
        <v>197</v>
      </c>
      <c r="C6" t="s">
        <v>197</v>
      </c>
      <c r="D6" t="s">
        <v>197</v>
      </c>
      <c r="E6" t="s">
        <v>197</v>
      </c>
      <c r="F6" t="s">
        <v>197</v>
      </c>
      <c r="G6" t="s">
        <v>197</v>
      </c>
      <c r="H6" t="s">
        <v>197</v>
      </c>
      <c r="I6" t="s">
        <v>197</v>
      </c>
      <c r="J6" t="s">
        <v>197</v>
      </c>
      <c r="K6" t="s">
        <v>251</v>
      </c>
      <c r="Y6" t="s">
        <v>257</v>
      </c>
      <c r="AD6" t="s">
        <v>270</v>
      </c>
      <c r="AG6" t="s">
        <v>346</v>
      </c>
      <c r="AH6" t="s">
        <v>273</v>
      </c>
      <c r="AJ6" t="s">
        <v>312</v>
      </c>
      <c r="AK6" t="s">
        <v>275</v>
      </c>
      <c r="AL6" t="s">
        <v>346</v>
      </c>
      <c r="AM6" t="s">
        <v>312</v>
      </c>
    </row>
    <row r="7" spans="1:39">
      <c r="A7" t="s">
        <v>380</v>
      </c>
      <c r="K7" t="s">
        <v>381</v>
      </c>
      <c r="W7" t="s">
        <v>171</v>
      </c>
      <c r="X7" t="str">
        <f>A7</f>
        <v>info_geometry_dml_single_pk_irp</v>
      </c>
      <c r="AD7" t="s">
        <v>288</v>
      </c>
      <c r="AJ7" t="s">
        <v>2306</v>
      </c>
      <c r="AM7" t="s">
        <v>2306</v>
      </c>
    </row>
    <row r="8" spans="1:39">
      <c r="B8" t="s">
        <v>196</v>
      </c>
      <c r="C8" t="s">
        <v>197</v>
      </c>
      <c r="D8" t="s">
        <v>197</v>
      </c>
      <c r="E8" t="s">
        <v>197</v>
      </c>
      <c r="F8" t="s">
        <v>197</v>
      </c>
      <c r="G8" t="s">
        <v>197</v>
      </c>
      <c r="H8" t="s">
        <v>197</v>
      </c>
      <c r="I8" t="s">
        <v>385</v>
      </c>
      <c r="J8" t="s">
        <v>199</v>
      </c>
      <c r="K8" t="s">
        <v>200</v>
      </c>
      <c r="AD8" t="s">
        <v>249</v>
      </c>
      <c r="AJ8" t="s">
        <v>346</v>
      </c>
      <c r="AM8" t="s">
        <v>346</v>
      </c>
    </row>
    <row r="9" spans="1:39">
      <c r="B9" t="s">
        <v>197</v>
      </c>
      <c r="C9" t="s">
        <v>197</v>
      </c>
      <c r="D9" t="s">
        <v>197</v>
      </c>
      <c r="E9" t="s">
        <v>197</v>
      </c>
      <c r="F9" t="s">
        <v>197</v>
      </c>
      <c r="G9" t="s">
        <v>197</v>
      </c>
      <c r="H9" t="s">
        <v>197</v>
      </c>
      <c r="I9" t="s">
        <v>197</v>
      </c>
      <c r="J9" t="s">
        <v>197</v>
      </c>
      <c r="K9" t="s">
        <v>393</v>
      </c>
      <c r="AD9" t="s">
        <v>275</v>
      </c>
      <c r="AJ9" t="s">
        <v>426</v>
      </c>
      <c r="AM9" t="s">
        <v>426</v>
      </c>
    </row>
    <row r="10" spans="1:39">
      <c r="A10" t="s">
        <v>397</v>
      </c>
      <c r="K10" t="s">
        <v>398</v>
      </c>
      <c r="W10" t="s">
        <v>171</v>
      </c>
      <c r="X10" t="str">
        <f>A10</f>
        <v>info_nvarchar_dml_batch1_pk_urp1</v>
      </c>
      <c r="AD10" t="s">
        <v>321</v>
      </c>
      <c r="AJ10" t="s">
        <v>430</v>
      </c>
      <c r="AM10" t="s">
        <v>430</v>
      </c>
    </row>
    <row r="11" spans="1:39">
      <c r="B11" t="s">
        <v>196</v>
      </c>
      <c r="C11" t="s">
        <v>197</v>
      </c>
      <c r="D11" t="s">
        <v>197</v>
      </c>
      <c r="E11" t="s">
        <v>197</v>
      </c>
      <c r="F11" t="s">
        <v>197</v>
      </c>
      <c r="G11" t="s">
        <v>197</v>
      </c>
      <c r="H11" t="s">
        <v>197</v>
      </c>
      <c r="I11" t="s">
        <v>403</v>
      </c>
      <c r="J11" t="s">
        <v>199</v>
      </c>
      <c r="K11" t="s">
        <v>200</v>
      </c>
    </row>
    <row r="12" spans="1:39">
      <c r="B12" t="s">
        <v>197</v>
      </c>
      <c r="C12" t="s">
        <v>197</v>
      </c>
      <c r="D12" t="s">
        <v>197</v>
      </c>
      <c r="E12" t="s">
        <v>197</v>
      </c>
      <c r="F12" t="s">
        <v>197</v>
      </c>
      <c r="G12" t="s">
        <v>197</v>
      </c>
      <c r="H12" t="s">
        <v>197</v>
      </c>
      <c r="I12" t="s">
        <v>197</v>
      </c>
      <c r="J12" t="s">
        <v>197</v>
      </c>
      <c r="K12" t="s">
        <v>408</v>
      </c>
    </row>
    <row r="13" spans="1:39">
      <c r="B13" t="s">
        <v>197</v>
      </c>
      <c r="C13" t="s">
        <v>197</v>
      </c>
      <c r="D13" t="s">
        <v>197</v>
      </c>
      <c r="E13" t="s">
        <v>197</v>
      </c>
      <c r="F13" t="s">
        <v>197</v>
      </c>
      <c r="G13" t="s">
        <v>197</v>
      </c>
      <c r="H13" t="s">
        <v>197</v>
      </c>
      <c r="I13" t="s">
        <v>197</v>
      </c>
      <c r="J13" t="s">
        <v>197</v>
      </c>
      <c r="K13" t="s">
        <v>412</v>
      </c>
    </row>
    <row r="14" spans="1:39">
      <c r="B14" t="s">
        <v>197</v>
      </c>
      <c r="C14" t="s">
        <v>197</v>
      </c>
      <c r="D14" t="s">
        <v>197</v>
      </c>
      <c r="E14" t="s">
        <v>197</v>
      </c>
      <c r="F14" t="s">
        <v>197</v>
      </c>
      <c r="G14" t="s">
        <v>197</v>
      </c>
      <c r="H14" t="s">
        <v>197</v>
      </c>
      <c r="I14" t="s">
        <v>197</v>
      </c>
      <c r="J14" t="s">
        <v>197</v>
      </c>
      <c r="K14" t="s">
        <v>416</v>
      </c>
    </row>
    <row r="15" spans="1:39">
      <c r="A15" t="s">
        <v>277</v>
      </c>
      <c r="K15" t="s">
        <v>278</v>
      </c>
      <c r="W15" t="s">
        <v>171</v>
      </c>
      <c r="X15" t="str">
        <f>A15</f>
        <v>info_datetimeoffset_dml_single_pk_urp</v>
      </c>
    </row>
    <row r="16" spans="1:39">
      <c r="B16" t="s">
        <v>196</v>
      </c>
      <c r="C16" t="s">
        <v>197</v>
      </c>
      <c r="D16" t="s">
        <v>197</v>
      </c>
      <c r="E16" t="s">
        <v>197</v>
      </c>
      <c r="F16" t="s">
        <v>197</v>
      </c>
      <c r="G16" t="s">
        <v>197</v>
      </c>
      <c r="H16" t="s">
        <v>197</v>
      </c>
      <c r="I16" t="s">
        <v>291</v>
      </c>
      <c r="J16" t="s">
        <v>199</v>
      </c>
      <c r="K16" t="s">
        <v>200</v>
      </c>
    </row>
    <row r="17" spans="1:24">
      <c r="B17" t="s">
        <v>197</v>
      </c>
      <c r="C17" t="s">
        <v>197</v>
      </c>
      <c r="D17" t="s">
        <v>197</v>
      </c>
      <c r="E17" t="s">
        <v>197</v>
      </c>
      <c r="F17" t="s">
        <v>197</v>
      </c>
      <c r="G17" t="s">
        <v>197</v>
      </c>
      <c r="H17" t="s">
        <v>197</v>
      </c>
      <c r="I17" t="s">
        <v>197</v>
      </c>
      <c r="J17" t="s">
        <v>197</v>
      </c>
      <c r="K17" t="s">
        <v>301</v>
      </c>
    </row>
    <row r="18" spans="1:24">
      <c r="B18" t="s">
        <v>197</v>
      </c>
      <c r="C18" t="s">
        <v>197</v>
      </c>
      <c r="D18" t="s">
        <v>197</v>
      </c>
      <c r="E18" t="s">
        <v>197</v>
      </c>
      <c r="F18" t="s">
        <v>197</v>
      </c>
      <c r="G18" t="s">
        <v>197</v>
      </c>
      <c r="H18" t="s">
        <v>197</v>
      </c>
      <c r="I18" t="s">
        <v>197</v>
      </c>
      <c r="J18" t="s">
        <v>197</v>
      </c>
      <c r="K18" t="s">
        <v>314</v>
      </c>
    </row>
    <row r="19" spans="1:24">
      <c r="B19" t="s">
        <v>197</v>
      </c>
      <c r="C19" t="s">
        <v>197</v>
      </c>
      <c r="D19" t="s">
        <v>197</v>
      </c>
      <c r="E19" t="s">
        <v>197</v>
      </c>
      <c r="F19" t="s">
        <v>197</v>
      </c>
      <c r="G19" t="s">
        <v>197</v>
      </c>
      <c r="H19" t="s">
        <v>197</v>
      </c>
      <c r="I19" t="s">
        <v>197</v>
      </c>
      <c r="J19" t="s">
        <v>197</v>
      </c>
      <c r="K19" t="s">
        <v>324</v>
      </c>
    </row>
    <row r="20" spans="1:24">
      <c r="B20" t="s">
        <v>197</v>
      </c>
      <c r="C20" t="s">
        <v>197</v>
      </c>
      <c r="D20" t="s">
        <v>197</v>
      </c>
      <c r="E20" t="s">
        <v>197</v>
      </c>
      <c r="F20" t="s">
        <v>197</v>
      </c>
      <c r="G20" t="s">
        <v>197</v>
      </c>
      <c r="H20" t="s">
        <v>197</v>
      </c>
      <c r="I20" t="s">
        <v>197</v>
      </c>
      <c r="J20" t="s">
        <v>197</v>
      </c>
      <c r="K20" t="s">
        <v>335</v>
      </c>
    </row>
    <row r="21" spans="1:24">
      <c r="B21" t="s">
        <v>197</v>
      </c>
      <c r="C21" t="s">
        <v>197</v>
      </c>
      <c r="D21" t="s">
        <v>197</v>
      </c>
      <c r="E21" t="s">
        <v>197</v>
      </c>
      <c r="F21" t="s">
        <v>197</v>
      </c>
      <c r="G21" t="s">
        <v>197</v>
      </c>
      <c r="H21" t="s">
        <v>197</v>
      </c>
      <c r="I21" t="s">
        <v>197</v>
      </c>
      <c r="J21" t="s">
        <v>197</v>
      </c>
      <c r="K21" t="s">
        <v>350</v>
      </c>
    </row>
    <row r="22" spans="1:24">
      <c r="B22" t="s">
        <v>197</v>
      </c>
      <c r="C22" t="s">
        <v>197</v>
      </c>
      <c r="D22" t="s">
        <v>197</v>
      </c>
      <c r="E22" t="s">
        <v>197</v>
      </c>
      <c r="F22" t="s">
        <v>197</v>
      </c>
      <c r="G22" t="s">
        <v>197</v>
      </c>
      <c r="H22" t="s">
        <v>197</v>
      </c>
      <c r="I22" t="s">
        <v>197</v>
      </c>
      <c r="J22" t="s">
        <v>197</v>
      </c>
      <c r="K22" t="s">
        <v>360</v>
      </c>
    </row>
    <row r="23" spans="1:24">
      <c r="B23" t="s">
        <v>197</v>
      </c>
      <c r="C23" t="s">
        <v>197</v>
      </c>
      <c r="D23" t="s">
        <v>197</v>
      </c>
      <c r="E23" t="s">
        <v>197</v>
      </c>
      <c r="F23" t="s">
        <v>197</v>
      </c>
      <c r="G23" t="s">
        <v>197</v>
      </c>
      <c r="H23" t="s">
        <v>197</v>
      </c>
      <c r="I23" t="s">
        <v>197</v>
      </c>
      <c r="J23" t="s">
        <v>197</v>
      </c>
      <c r="K23" t="s">
        <v>367</v>
      </c>
    </row>
    <row r="24" spans="1:24">
      <c r="B24" t="s">
        <v>197</v>
      </c>
      <c r="C24" t="s">
        <v>197</v>
      </c>
      <c r="D24" t="s">
        <v>197</v>
      </c>
      <c r="E24" t="s">
        <v>197</v>
      </c>
      <c r="F24" t="s">
        <v>197</v>
      </c>
      <c r="G24" t="s">
        <v>197</v>
      </c>
      <c r="H24" t="s">
        <v>197</v>
      </c>
      <c r="I24" t="s">
        <v>197</v>
      </c>
      <c r="J24" t="s">
        <v>197</v>
      </c>
      <c r="K24" t="s">
        <v>373</v>
      </c>
    </row>
    <row r="25" spans="1:24">
      <c r="A25" t="s">
        <v>417</v>
      </c>
      <c r="K25" t="s">
        <v>418</v>
      </c>
      <c r="W25" t="s">
        <v>171</v>
      </c>
      <c r="X25" t="str">
        <f>A25</f>
        <v>info_sdt_dml_batch2_pk_irp2</v>
      </c>
    </row>
    <row r="26" spans="1:24">
      <c r="B26" t="s">
        <v>196</v>
      </c>
      <c r="C26" t="s">
        <v>197</v>
      </c>
      <c r="D26" t="s">
        <v>197</v>
      </c>
      <c r="E26" t="s">
        <v>197</v>
      </c>
      <c r="F26" t="s">
        <v>197</v>
      </c>
      <c r="G26" t="s">
        <v>197</v>
      </c>
      <c r="H26" t="s">
        <v>197</v>
      </c>
      <c r="I26" t="s">
        <v>420</v>
      </c>
      <c r="J26" t="s">
        <v>199</v>
      </c>
      <c r="K26" t="s">
        <v>200</v>
      </c>
    </row>
    <row r="27" spans="1:24">
      <c r="B27" t="s">
        <v>197</v>
      </c>
      <c r="C27" t="s">
        <v>197</v>
      </c>
      <c r="D27" t="s">
        <v>197</v>
      </c>
      <c r="E27" t="s">
        <v>197</v>
      </c>
      <c r="F27" t="s">
        <v>197</v>
      </c>
      <c r="G27" t="s">
        <v>197</v>
      </c>
      <c r="H27" t="s">
        <v>197</v>
      </c>
      <c r="I27" t="s">
        <v>197</v>
      </c>
      <c r="J27" t="s">
        <v>197</v>
      </c>
      <c r="K27" t="s">
        <v>422</v>
      </c>
    </row>
    <row r="28" spans="1:24">
      <c r="A28" t="s">
        <v>423</v>
      </c>
      <c r="K28" t="s">
        <v>424</v>
      </c>
      <c r="W28" t="s">
        <v>171</v>
      </c>
      <c r="X28" t="str">
        <f>A28</f>
        <v>info_varchar_dml_batch1_pk_drp1</v>
      </c>
    </row>
    <row r="29" spans="1:24">
      <c r="B29" t="s">
        <v>196</v>
      </c>
      <c r="C29" t="s">
        <v>197</v>
      </c>
      <c r="D29" t="s">
        <v>197</v>
      </c>
      <c r="E29" t="s">
        <v>197</v>
      </c>
      <c r="F29" t="s">
        <v>197</v>
      </c>
      <c r="G29" t="s">
        <v>197</v>
      </c>
      <c r="H29" t="s">
        <v>197</v>
      </c>
      <c r="I29" t="s">
        <v>427</v>
      </c>
      <c r="J29" t="s">
        <v>199</v>
      </c>
      <c r="K29" t="s">
        <v>200</v>
      </c>
    </row>
    <row r="30" spans="1:24">
      <c r="B30" t="s">
        <v>197</v>
      </c>
      <c r="C30" t="s">
        <v>197</v>
      </c>
      <c r="D30" t="s">
        <v>197</v>
      </c>
      <c r="E30" t="s">
        <v>197</v>
      </c>
      <c r="F30" t="s">
        <v>197</v>
      </c>
      <c r="G30" t="s">
        <v>197</v>
      </c>
      <c r="H30" t="s">
        <v>197</v>
      </c>
      <c r="I30" t="s">
        <v>197</v>
      </c>
      <c r="J30" t="s">
        <v>197</v>
      </c>
      <c r="K30" t="s">
        <v>431</v>
      </c>
    </row>
    <row r="31" spans="1:24">
      <c r="B31" t="s">
        <v>197</v>
      </c>
      <c r="C31" t="s">
        <v>197</v>
      </c>
      <c r="D31" t="s">
        <v>197</v>
      </c>
      <c r="E31" t="s">
        <v>197</v>
      </c>
      <c r="F31" t="s">
        <v>197</v>
      </c>
      <c r="G31" t="s">
        <v>197</v>
      </c>
      <c r="H31" t="s">
        <v>197</v>
      </c>
      <c r="I31" t="s">
        <v>197</v>
      </c>
      <c r="J31" t="s">
        <v>197</v>
      </c>
      <c r="K31" t="s">
        <v>434</v>
      </c>
    </row>
    <row r="32" spans="1:24">
      <c r="B32" t="s">
        <v>197</v>
      </c>
      <c r="C32" t="s">
        <v>197</v>
      </c>
      <c r="D32" t="s">
        <v>197</v>
      </c>
      <c r="E32" t="s">
        <v>197</v>
      </c>
      <c r="F32" t="s">
        <v>197</v>
      </c>
      <c r="G32" t="s">
        <v>197</v>
      </c>
      <c r="H32" t="s">
        <v>197</v>
      </c>
      <c r="I32" t="s">
        <v>197</v>
      </c>
      <c r="J32" t="s">
        <v>197</v>
      </c>
      <c r="K32" t="s">
        <v>439</v>
      </c>
    </row>
    <row r="33" spans="1:24">
      <c r="K33" t="s">
        <v>443</v>
      </c>
    </row>
    <row r="34" spans="1:24">
      <c r="A34" t="s">
        <v>448</v>
      </c>
      <c r="K34" t="s">
        <v>449</v>
      </c>
      <c r="W34" t="s">
        <v>171</v>
      </c>
      <c r="X34" t="str">
        <f>A34</f>
        <v>info_sdt_dml_batch1_pk_urp1</v>
      </c>
    </row>
    <row r="35" spans="1:24">
      <c r="B35" t="s">
        <v>196</v>
      </c>
      <c r="C35" t="s">
        <v>197</v>
      </c>
      <c r="D35" t="s">
        <v>197</v>
      </c>
      <c r="E35" t="s">
        <v>197</v>
      </c>
      <c r="F35" t="s">
        <v>197</v>
      </c>
      <c r="G35" t="s">
        <v>197</v>
      </c>
      <c r="H35" t="s">
        <v>197</v>
      </c>
      <c r="I35" t="s">
        <v>454</v>
      </c>
      <c r="J35" t="s">
        <v>199</v>
      </c>
      <c r="K35" t="s">
        <v>200</v>
      </c>
    </row>
    <row r="36" spans="1:24">
      <c r="B36" t="s">
        <v>197</v>
      </c>
      <c r="C36" t="s">
        <v>197</v>
      </c>
      <c r="D36" t="s">
        <v>197</v>
      </c>
      <c r="E36" t="s">
        <v>197</v>
      </c>
      <c r="F36" t="s">
        <v>197</v>
      </c>
      <c r="G36" t="s">
        <v>197</v>
      </c>
      <c r="H36" t="s">
        <v>197</v>
      </c>
      <c r="I36" t="s">
        <v>197</v>
      </c>
      <c r="J36" t="s">
        <v>197</v>
      </c>
      <c r="K36" t="s">
        <v>422</v>
      </c>
    </row>
    <row r="37" spans="1:24">
      <c r="A37" t="s">
        <v>462</v>
      </c>
      <c r="K37" t="s">
        <v>463</v>
      </c>
      <c r="W37" t="s">
        <v>171</v>
      </c>
      <c r="X37" t="str">
        <f>A37</f>
        <v>info_xml_dml_single_pk_irp</v>
      </c>
    </row>
    <row r="38" spans="1:24">
      <c r="B38" t="s">
        <v>196</v>
      </c>
      <c r="C38" t="s">
        <v>197</v>
      </c>
      <c r="D38" t="s">
        <v>197</v>
      </c>
      <c r="E38" t="s">
        <v>197</v>
      </c>
      <c r="F38" t="s">
        <v>197</v>
      </c>
      <c r="G38" t="s">
        <v>197</v>
      </c>
      <c r="H38" t="s">
        <v>197</v>
      </c>
      <c r="I38" t="s">
        <v>467</v>
      </c>
      <c r="J38" t="s">
        <v>199</v>
      </c>
      <c r="K38" t="s">
        <v>200</v>
      </c>
    </row>
    <row r="39" spans="1:24">
      <c r="B39" t="s">
        <v>197</v>
      </c>
      <c r="C39" t="s">
        <v>197</v>
      </c>
      <c r="D39" t="s">
        <v>197</v>
      </c>
      <c r="E39" t="s">
        <v>197</v>
      </c>
      <c r="F39" t="s">
        <v>197</v>
      </c>
      <c r="G39" t="s">
        <v>197</v>
      </c>
      <c r="H39" t="s">
        <v>197</v>
      </c>
      <c r="I39" t="s">
        <v>197</v>
      </c>
      <c r="J39" t="s">
        <v>197</v>
      </c>
      <c r="K39" t="s">
        <v>472</v>
      </c>
    </row>
    <row r="40" spans="1:24">
      <c r="A40" t="s">
        <v>476</v>
      </c>
      <c r="K40" t="s">
        <v>477</v>
      </c>
      <c r="W40" t="s">
        <v>171</v>
      </c>
      <c r="X40" t="str">
        <f>A40</f>
        <v>info_sdt_dml_batch1_pk_urp2</v>
      </c>
    </row>
    <row r="41" spans="1:24">
      <c r="B41" t="s">
        <v>196</v>
      </c>
      <c r="C41" t="s">
        <v>197</v>
      </c>
      <c r="D41" t="s">
        <v>197</v>
      </c>
      <c r="E41" t="s">
        <v>197</v>
      </c>
      <c r="F41" t="s">
        <v>197</v>
      </c>
      <c r="G41" t="s">
        <v>197</v>
      </c>
      <c r="H41" t="s">
        <v>197</v>
      </c>
      <c r="I41" t="s">
        <v>481</v>
      </c>
      <c r="J41" t="s">
        <v>199</v>
      </c>
      <c r="K41" t="s">
        <v>200</v>
      </c>
    </row>
    <row r="42" spans="1:24">
      <c r="B42" t="s">
        <v>197</v>
      </c>
      <c r="C42" t="s">
        <v>197</v>
      </c>
      <c r="D42" t="s">
        <v>197</v>
      </c>
      <c r="E42" t="s">
        <v>197</v>
      </c>
      <c r="F42" t="s">
        <v>197</v>
      </c>
      <c r="G42" t="s">
        <v>197</v>
      </c>
      <c r="H42" t="s">
        <v>197</v>
      </c>
      <c r="I42" t="s">
        <v>197</v>
      </c>
      <c r="J42" t="s">
        <v>197</v>
      </c>
      <c r="K42" t="s">
        <v>422</v>
      </c>
    </row>
    <row r="43" spans="1:24">
      <c r="A43" t="s">
        <v>486</v>
      </c>
      <c r="K43" t="s">
        <v>487</v>
      </c>
      <c r="W43" t="s">
        <v>171</v>
      </c>
      <c r="X43" t="str">
        <f>A43</f>
        <v>info_varbinary_dml_batch1_pk_urp1</v>
      </c>
    </row>
    <row r="44" spans="1:24">
      <c r="B44" t="s">
        <v>196</v>
      </c>
      <c r="C44" t="s">
        <v>197</v>
      </c>
      <c r="D44" t="s">
        <v>197</v>
      </c>
      <c r="E44" t="s">
        <v>197</v>
      </c>
      <c r="F44" t="s">
        <v>197</v>
      </c>
      <c r="G44" t="s">
        <v>197</v>
      </c>
      <c r="H44" t="s">
        <v>197</v>
      </c>
      <c r="I44" t="s">
        <v>491</v>
      </c>
      <c r="J44" t="s">
        <v>199</v>
      </c>
      <c r="K44" t="s">
        <v>200</v>
      </c>
    </row>
    <row r="45" spans="1:24">
      <c r="B45" t="s">
        <v>197</v>
      </c>
      <c r="C45" t="s">
        <v>197</v>
      </c>
      <c r="D45" t="s">
        <v>197</v>
      </c>
      <c r="E45" t="s">
        <v>197</v>
      </c>
      <c r="F45" t="s">
        <v>197</v>
      </c>
      <c r="G45" t="s">
        <v>197</v>
      </c>
      <c r="H45" t="s">
        <v>197</v>
      </c>
      <c r="I45" t="s">
        <v>197</v>
      </c>
      <c r="J45" t="s">
        <v>197</v>
      </c>
      <c r="K45" t="s">
        <v>495</v>
      </c>
    </row>
    <row r="46" spans="1:24">
      <c r="B46" t="s">
        <v>197</v>
      </c>
      <c r="C46" t="s">
        <v>197</v>
      </c>
      <c r="D46" t="s">
        <v>197</v>
      </c>
      <c r="E46" t="s">
        <v>197</v>
      </c>
      <c r="F46" t="s">
        <v>197</v>
      </c>
      <c r="G46" t="s">
        <v>197</v>
      </c>
      <c r="H46" t="s">
        <v>197</v>
      </c>
      <c r="I46" t="s">
        <v>197</v>
      </c>
      <c r="J46" t="s">
        <v>197</v>
      </c>
      <c r="K46" t="s">
        <v>499</v>
      </c>
    </row>
    <row r="47" spans="1:24">
      <c r="B47" t="s">
        <v>197</v>
      </c>
      <c r="C47" t="s">
        <v>197</v>
      </c>
      <c r="D47" t="s">
        <v>197</v>
      </c>
      <c r="E47" t="s">
        <v>197</v>
      </c>
      <c r="F47" t="s">
        <v>197</v>
      </c>
      <c r="G47" t="s">
        <v>197</v>
      </c>
      <c r="H47" t="s">
        <v>197</v>
      </c>
      <c r="I47" t="s">
        <v>197</v>
      </c>
      <c r="J47" t="s">
        <v>197</v>
      </c>
      <c r="K47" t="s">
        <v>503</v>
      </c>
    </row>
    <row r="48" spans="1:24">
      <c r="A48" t="s">
        <v>510</v>
      </c>
      <c r="K48" t="s">
        <v>511</v>
      </c>
      <c r="W48" t="s">
        <v>171</v>
      </c>
      <c r="X48" t="str">
        <f>A48</f>
        <v>info_nchar_dml_single_pk_irp</v>
      </c>
    </row>
    <row r="49" spans="1:24">
      <c r="B49" t="s">
        <v>196</v>
      </c>
      <c r="C49" t="s">
        <v>197</v>
      </c>
      <c r="D49" t="s">
        <v>197</v>
      </c>
      <c r="E49" t="s">
        <v>197</v>
      </c>
      <c r="F49" t="s">
        <v>197</v>
      </c>
      <c r="G49" t="s">
        <v>197</v>
      </c>
      <c r="H49" t="s">
        <v>197</v>
      </c>
      <c r="I49" t="s">
        <v>512</v>
      </c>
      <c r="J49" t="s">
        <v>199</v>
      </c>
      <c r="K49" t="s">
        <v>200</v>
      </c>
    </row>
    <row r="50" spans="1:24">
      <c r="B50" t="s">
        <v>197</v>
      </c>
      <c r="C50" t="s">
        <v>197</v>
      </c>
      <c r="D50" t="s">
        <v>197</v>
      </c>
      <c r="E50" t="s">
        <v>197</v>
      </c>
      <c r="F50" t="s">
        <v>197</v>
      </c>
      <c r="G50" t="s">
        <v>197</v>
      </c>
      <c r="H50" t="s">
        <v>197</v>
      </c>
      <c r="I50" t="s">
        <v>197</v>
      </c>
      <c r="J50" t="s">
        <v>197</v>
      </c>
      <c r="K50" t="s">
        <v>514</v>
      </c>
    </row>
    <row r="51" spans="1:24">
      <c r="B51" t="s">
        <v>197</v>
      </c>
      <c r="C51" t="s">
        <v>197</v>
      </c>
      <c r="D51" t="s">
        <v>197</v>
      </c>
      <c r="E51" t="s">
        <v>197</v>
      </c>
      <c r="F51" t="s">
        <v>197</v>
      </c>
      <c r="G51" t="s">
        <v>197</v>
      </c>
      <c r="H51" t="s">
        <v>197</v>
      </c>
      <c r="I51" t="s">
        <v>197</v>
      </c>
      <c r="J51" t="s">
        <v>197</v>
      </c>
      <c r="K51" t="s">
        <v>516</v>
      </c>
    </row>
    <row r="52" spans="1:24">
      <c r="B52" t="s">
        <v>197</v>
      </c>
      <c r="C52" t="s">
        <v>197</v>
      </c>
      <c r="D52" t="s">
        <v>197</v>
      </c>
      <c r="E52" t="s">
        <v>197</v>
      </c>
      <c r="F52" t="s">
        <v>197</v>
      </c>
      <c r="G52" t="s">
        <v>197</v>
      </c>
      <c r="H52" t="s">
        <v>197</v>
      </c>
      <c r="I52" t="s">
        <v>197</v>
      </c>
      <c r="J52" t="s">
        <v>197</v>
      </c>
      <c r="K52" t="s">
        <v>517</v>
      </c>
    </row>
    <row r="53" spans="1:24">
      <c r="A53" t="s">
        <v>504</v>
      </c>
      <c r="K53" t="s">
        <v>505</v>
      </c>
      <c r="W53" t="s">
        <v>171</v>
      </c>
      <c r="X53" t="str">
        <f>A53</f>
        <v>info_sdt_dml_batch1_pk_drp1</v>
      </c>
    </row>
    <row r="54" spans="1:24">
      <c r="B54" t="s">
        <v>196</v>
      </c>
      <c r="C54" t="s">
        <v>197</v>
      </c>
      <c r="D54" t="s">
        <v>197</v>
      </c>
      <c r="E54" t="s">
        <v>197</v>
      </c>
      <c r="F54" t="s">
        <v>197</v>
      </c>
      <c r="G54" t="s">
        <v>197</v>
      </c>
      <c r="H54" t="s">
        <v>197</v>
      </c>
      <c r="I54" t="s">
        <v>507</v>
      </c>
      <c r="J54" t="s">
        <v>199</v>
      </c>
      <c r="K54" t="s">
        <v>200</v>
      </c>
    </row>
    <row r="55" spans="1:24">
      <c r="B55" t="s">
        <v>197</v>
      </c>
      <c r="C55" t="s">
        <v>197</v>
      </c>
      <c r="D55" t="s">
        <v>197</v>
      </c>
      <c r="E55" t="s">
        <v>197</v>
      </c>
      <c r="F55" t="s">
        <v>197</v>
      </c>
      <c r="G55" t="s">
        <v>197</v>
      </c>
      <c r="H55" t="s">
        <v>197</v>
      </c>
      <c r="I55" t="s">
        <v>197</v>
      </c>
      <c r="J55" t="s">
        <v>197</v>
      </c>
      <c r="K55" t="s">
        <v>422</v>
      </c>
    </row>
    <row r="56" spans="1:24">
      <c r="K56" t="s">
        <v>443</v>
      </c>
    </row>
    <row r="57" spans="1:24">
      <c r="A57" t="s">
        <v>519</v>
      </c>
      <c r="K57" t="s">
        <v>520</v>
      </c>
      <c r="W57" t="s">
        <v>171</v>
      </c>
      <c r="X57" t="str">
        <f>A57</f>
        <v>info_datetimeoffset_dml_single_pk_drp</v>
      </c>
    </row>
    <row r="58" spans="1:24">
      <c r="B58" t="s">
        <v>196</v>
      </c>
      <c r="C58" t="s">
        <v>197</v>
      </c>
      <c r="D58" t="s">
        <v>197</v>
      </c>
      <c r="E58" t="s">
        <v>197</v>
      </c>
      <c r="F58" t="s">
        <v>197</v>
      </c>
      <c r="G58" t="s">
        <v>197</v>
      </c>
      <c r="H58" t="s">
        <v>197</v>
      </c>
      <c r="I58" t="s">
        <v>522</v>
      </c>
      <c r="J58" t="s">
        <v>199</v>
      </c>
      <c r="K58" t="s">
        <v>200</v>
      </c>
    </row>
    <row r="59" spans="1:24">
      <c r="B59" t="s">
        <v>197</v>
      </c>
      <c r="C59" t="s">
        <v>197</v>
      </c>
      <c r="D59" t="s">
        <v>197</v>
      </c>
      <c r="E59" t="s">
        <v>197</v>
      </c>
      <c r="F59" t="s">
        <v>197</v>
      </c>
      <c r="G59" t="s">
        <v>197</v>
      </c>
      <c r="H59" t="s">
        <v>197</v>
      </c>
      <c r="I59" t="s">
        <v>197</v>
      </c>
      <c r="J59" t="s">
        <v>197</v>
      </c>
      <c r="K59" t="s">
        <v>301</v>
      </c>
    </row>
    <row r="60" spans="1:24">
      <c r="B60" t="s">
        <v>197</v>
      </c>
      <c r="C60" t="s">
        <v>197</v>
      </c>
      <c r="D60" t="s">
        <v>197</v>
      </c>
      <c r="E60" t="s">
        <v>197</v>
      </c>
      <c r="F60" t="s">
        <v>197</v>
      </c>
      <c r="G60" t="s">
        <v>197</v>
      </c>
      <c r="H60" t="s">
        <v>197</v>
      </c>
      <c r="I60" t="s">
        <v>197</v>
      </c>
      <c r="J60" t="s">
        <v>197</v>
      </c>
      <c r="K60" t="s">
        <v>314</v>
      </c>
    </row>
    <row r="61" spans="1:24">
      <c r="B61" t="s">
        <v>197</v>
      </c>
      <c r="C61" t="s">
        <v>197</v>
      </c>
      <c r="D61" t="s">
        <v>197</v>
      </c>
      <c r="E61" t="s">
        <v>197</v>
      </c>
      <c r="F61" t="s">
        <v>197</v>
      </c>
      <c r="G61" t="s">
        <v>197</v>
      </c>
      <c r="H61" t="s">
        <v>197</v>
      </c>
      <c r="I61" t="s">
        <v>197</v>
      </c>
      <c r="J61" t="s">
        <v>197</v>
      </c>
      <c r="K61" t="s">
        <v>324</v>
      </c>
    </row>
    <row r="62" spans="1:24">
      <c r="B62" t="s">
        <v>197</v>
      </c>
      <c r="C62" t="s">
        <v>197</v>
      </c>
      <c r="D62" t="s">
        <v>197</v>
      </c>
      <c r="E62" t="s">
        <v>197</v>
      </c>
      <c r="F62" t="s">
        <v>197</v>
      </c>
      <c r="G62" t="s">
        <v>197</v>
      </c>
      <c r="H62" t="s">
        <v>197</v>
      </c>
      <c r="I62" t="s">
        <v>197</v>
      </c>
      <c r="J62" t="s">
        <v>197</v>
      </c>
      <c r="K62" t="s">
        <v>335</v>
      </c>
    </row>
    <row r="63" spans="1:24">
      <c r="B63" t="s">
        <v>197</v>
      </c>
      <c r="C63" t="s">
        <v>197</v>
      </c>
      <c r="D63" t="s">
        <v>197</v>
      </c>
      <c r="E63" t="s">
        <v>197</v>
      </c>
      <c r="F63" t="s">
        <v>197</v>
      </c>
      <c r="G63" t="s">
        <v>197</v>
      </c>
      <c r="H63" t="s">
        <v>197</v>
      </c>
      <c r="I63" t="s">
        <v>197</v>
      </c>
      <c r="J63" t="s">
        <v>197</v>
      </c>
      <c r="K63" t="s">
        <v>350</v>
      </c>
    </row>
    <row r="64" spans="1:24">
      <c r="B64" t="s">
        <v>197</v>
      </c>
      <c r="C64" t="s">
        <v>197</v>
      </c>
      <c r="D64" t="s">
        <v>197</v>
      </c>
      <c r="E64" t="s">
        <v>197</v>
      </c>
      <c r="F64" t="s">
        <v>197</v>
      </c>
      <c r="G64" t="s">
        <v>197</v>
      </c>
      <c r="H64" t="s">
        <v>197</v>
      </c>
      <c r="I64" t="s">
        <v>197</v>
      </c>
      <c r="J64" t="s">
        <v>197</v>
      </c>
      <c r="K64" t="s">
        <v>360</v>
      </c>
    </row>
    <row r="65" spans="1:24">
      <c r="B65" t="s">
        <v>197</v>
      </c>
      <c r="C65" t="s">
        <v>197</v>
      </c>
      <c r="D65" t="s">
        <v>197</v>
      </c>
      <c r="E65" t="s">
        <v>197</v>
      </c>
      <c r="F65" t="s">
        <v>197</v>
      </c>
      <c r="G65" t="s">
        <v>197</v>
      </c>
      <c r="H65" t="s">
        <v>197</v>
      </c>
      <c r="I65" t="s">
        <v>197</v>
      </c>
      <c r="J65" t="s">
        <v>197</v>
      </c>
      <c r="K65" t="s">
        <v>367</v>
      </c>
    </row>
    <row r="66" spans="1:24">
      <c r="B66" t="s">
        <v>197</v>
      </c>
      <c r="C66" t="s">
        <v>197</v>
      </c>
      <c r="D66" t="s">
        <v>197</v>
      </c>
      <c r="E66" t="s">
        <v>197</v>
      </c>
      <c r="F66" t="s">
        <v>197</v>
      </c>
      <c r="G66" t="s">
        <v>197</v>
      </c>
      <c r="H66" t="s">
        <v>197</v>
      </c>
      <c r="I66" t="s">
        <v>197</v>
      </c>
      <c r="J66" t="s">
        <v>197</v>
      </c>
      <c r="K66" t="s">
        <v>373</v>
      </c>
    </row>
    <row r="67" spans="1:24">
      <c r="A67" t="s">
        <v>528</v>
      </c>
      <c r="K67" t="s">
        <v>529</v>
      </c>
      <c r="W67" t="s">
        <v>171</v>
      </c>
      <c r="X67" t="str">
        <f>A67</f>
        <v>info_text_dml_single_pk_urp</v>
      </c>
    </row>
    <row r="68" spans="1:24">
      <c r="B68" t="s">
        <v>196</v>
      </c>
      <c r="C68" t="s">
        <v>197</v>
      </c>
      <c r="D68" t="s">
        <v>197</v>
      </c>
      <c r="E68" t="s">
        <v>197</v>
      </c>
      <c r="F68" t="s">
        <v>197</v>
      </c>
      <c r="G68" t="s">
        <v>197</v>
      </c>
      <c r="H68" t="s">
        <v>197</v>
      </c>
      <c r="I68" t="s">
        <v>530</v>
      </c>
      <c r="J68" t="s">
        <v>199</v>
      </c>
      <c r="K68" t="s">
        <v>200</v>
      </c>
    </row>
    <row r="69" spans="1:24">
      <c r="B69" t="s">
        <v>197</v>
      </c>
      <c r="C69" t="s">
        <v>197</v>
      </c>
      <c r="D69" t="s">
        <v>197</v>
      </c>
      <c r="E69" t="s">
        <v>197</v>
      </c>
      <c r="F69" t="s">
        <v>197</v>
      </c>
      <c r="G69" t="s">
        <v>197</v>
      </c>
      <c r="H69" t="s">
        <v>197</v>
      </c>
      <c r="I69" t="s">
        <v>197</v>
      </c>
      <c r="J69" t="s">
        <v>197</v>
      </c>
      <c r="K69" t="s">
        <v>229</v>
      </c>
    </row>
    <row r="70" spans="1:24">
      <c r="B70" t="s">
        <v>197</v>
      </c>
      <c r="C70" t="s">
        <v>197</v>
      </c>
      <c r="D70" t="s">
        <v>197</v>
      </c>
      <c r="E70" t="s">
        <v>197</v>
      </c>
      <c r="F70" t="s">
        <v>197</v>
      </c>
      <c r="G70" t="s">
        <v>197</v>
      </c>
      <c r="H70" t="s">
        <v>197</v>
      </c>
      <c r="I70" t="s">
        <v>197</v>
      </c>
      <c r="J70" t="s">
        <v>197</v>
      </c>
      <c r="K70" t="s">
        <v>251</v>
      </c>
    </row>
    <row r="71" spans="1:24">
      <c r="A71" t="s">
        <v>531</v>
      </c>
      <c r="K71" t="s">
        <v>532</v>
      </c>
      <c r="W71" t="s">
        <v>171</v>
      </c>
      <c r="X71" t="str">
        <f>A71</f>
        <v>info_geometry_dml_single_pk_urp</v>
      </c>
    </row>
    <row r="72" spans="1:24">
      <c r="B72" t="s">
        <v>196</v>
      </c>
      <c r="C72" t="s">
        <v>197</v>
      </c>
      <c r="D72" t="s">
        <v>197</v>
      </c>
      <c r="E72" t="s">
        <v>197</v>
      </c>
      <c r="F72" t="s">
        <v>197</v>
      </c>
      <c r="G72" t="s">
        <v>197</v>
      </c>
      <c r="H72" t="s">
        <v>197</v>
      </c>
      <c r="I72" t="s">
        <v>533</v>
      </c>
      <c r="J72" t="s">
        <v>199</v>
      </c>
      <c r="K72" t="s">
        <v>200</v>
      </c>
    </row>
    <row r="73" spans="1:24">
      <c r="B73" t="s">
        <v>197</v>
      </c>
      <c r="C73" t="s">
        <v>197</v>
      </c>
      <c r="D73" t="s">
        <v>197</v>
      </c>
      <c r="E73" t="s">
        <v>197</v>
      </c>
      <c r="F73" t="s">
        <v>197</v>
      </c>
      <c r="G73" t="s">
        <v>197</v>
      </c>
      <c r="H73" t="s">
        <v>197</v>
      </c>
      <c r="I73" t="s">
        <v>197</v>
      </c>
      <c r="J73" t="s">
        <v>197</v>
      </c>
      <c r="K73" t="s">
        <v>393</v>
      </c>
    </row>
    <row r="74" spans="1:24">
      <c r="A74" t="s">
        <v>534</v>
      </c>
      <c r="K74" t="s">
        <v>535</v>
      </c>
      <c r="W74" t="s">
        <v>171</v>
      </c>
      <c r="X74" t="str">
        <f>A74</f>
        <v>info_sdt_dml_batch1_pk_drp2</v>
      </c>
    </row>
    <row r="75" spans="1:24">
      <c r="B75" t="s">
        <v>196</v>
      </c>
      <c r="C75" t="s">
        <v>197</v>
      </c>
      <c r="D75" t="s">
        <v>197</v>
      </c>
      <c r="E75" t="s">
        <v>197</v>
      </c>
      <c r="F75" t="s">
        <v>197</v>
      </c>
      <c r="G75" t="s">
        <v>197</v>
      </c>
      <c r="H75" t="s">
        <v>197</v>
      </c>
      <c r="I75" t="s">
        <v>536</v>
      </c>
      <c r="J75" t="s">
        <v>199</v>
      </c>
      <c r="K75" t="s">
        <v>200</v>
      </c>
    </row>
    <row r="76" spans="1:24">
      <c r="B76" t="s">
        <v>197</v>
      </c>
      <c r="C76" t="s">
        <v>197</v>
      </c>
      <c r="D76" t="s">
        <v>197</v>
      </c>
      <c r="E76" t="s">
        <v>197</v>
      </c>
      <c r="F76" t="s">
        <v>197</v>
      </c>
      <c r="G76" t="s">
        <v>197</v>
      </c>
      <c r="H76" t="s">
        <v>197</v>
      </c>
      <c r="I76" t="s">
        <v>197</v>
      </c>
      <c r="J76" t="s">
        <v>197</v>
      </c>
      <c r="K76" t="s">
        <v>422</v>
      </c>
    </row>
    <row r="77" spans="1:24">
      <c r="A77" t="s">
        <v>537</v>
      </c>
      <c r="K77" t="s">
        <v>538</v>
      </c>
      <c r="W77" t="s">
        <v>171</v>
      </c>
      <c r="X77" t="str">
        <f>A77</f>
        <v>info_nvarchar_dml_batch2_pk_urp2</v>
      </c>
    </row>
    <row r="78" spans="1:24">
      <c r="B78" t="s">
        <v>196</v>
      </c>
      <c r="C78" t="s">
        <v>197</v>
      </c>
      <c r="D78" t="s">
        <v>197</v>
      </c>
      <c r="E78" t="s">
        <v>197</v>
      </c>
      <c r="F78" t="s">
        <v>197</v>
      </c>
      <c r="G78" t="s">
        <v>197</v>
      </c>
      <c r="H78" t="s">
        <v>197</v>
      </c>
      <c r="I78" t="s">
        <v>539</v>
      </c>
      <c r="J78" t="s">
        <v>199</v>
      </c>
      <c r="K78" t="s">
        <v>200</v>
      </c>
    </row>
    <row r="79" spans="1:24">
      <c r="B79" t="s">
        <v>197</v>
      </c>
      <c r="C79" t="s">
        <v>197</v>
      </c>
      <c r="D79" t="s">
        <v>197</v>
      </c>
      <c r="E79" t="s">
        <v>197</v>
      </c>
      <c r="F79" t="s">
        <v>197</v>
      </c>
      <c r="G79" t="s">
        <v>197</v>
      </c>
      <c r="H79" t="s">
        <v>197</v>
      </c>
      <c r="I79" t="s">
        <v>197</v>
      </c>
      <c r="J79" t="s">
        <v>197</v>
      </c>
      <c r="K79" t="s">
        <v>408</v>
      </c>
    </row>
    <row r="80" spans="1:24">
      <c r="B80" t="s">
        <v>197</v>
      </c>
      <c r="C80" t="s">
        <v>197</v>
      </c>
      <c r="D80" t="s">
        <v>197</v>
      </c>
      <c r="E80" t="s">
        <v>197</v>
      </c>
      <c r="F80" t="s">
        <v>197</v>
      </c>
      <c r="G80" t="s">
        <v>197</v>
      </c>
      <c r="H80" t="s">
        <v>197</v>
      </c>
      <c r="I80" t="s">
        <v>197</v>
      </c>
      <c r="J80" t="s">
        <v>197</v>
      </c>
      <c r="K80" t="s">
        <v>412</v>
      </c>
    </row>
    <row r="81" spans="1:24">
      <c r="B81" t="s">
        <v>197</v>
      </c>
      <c r="C81" t="s">
        <v>197</v>
      </c>
      <c r="D81" t="s">
        <v>197</v>
      </c>
      <c r="E81" t="s">
        <v>197</v>
      </c>
      <c r="F81" t="s">
        <v>197</v>
      </c>
      <c r="G81" t="s">
        <v>197</v>
      </c>
      <c r="H81" t="s">
        <v>197</v>
      </c>
      <c r="I81" t="s">
        <v>197</v>
      </c>
      <c r="J81" t="s">
        <v>197</v>
      </c>
      <c r="K81" t="s">
        <v>416</v>
      </c>
    </row>
    <row r="82" spans="1:24">
      <c r="A82" t="s">
        <v>540</v>
      </c>
      <c r="K82" t="s">
        <v>541</v>
      </c>
      <c r="W82" t="s">
        <v>171</v>
      </c>
      <c r="X82" t="str">
        <f>A82</f>
        <v>info_varchar_dml_batch1_pk_drp2</v>
      </c>
    </row>
    <row r="83" spans="1:24">
      <c r="B83" t="s">
        <v>196</v>
      </c>
      <c r="C83" t="s">
        <v>197</v>
      </c>
      <c r="D83" t="s">
        <v>197</v>
      </c>
      <c r="E83" t="s">
        <v>197</v>
      </c>
      <c r="F83" t="s">
        <v>197</v>
      </c>
      <c r="G83" t="s">
        <v>197</v>
      </c>
      <c r="H83" t="s">
        <v>197</v>
      </c>
      <c r="I83" t="s">
        <v>542</v>
      </c>
      <c r="J83" t="s">
        <v>199</v>
      </c>
      <c r="K83" t="s">
        <v>200</v>
      </c>
    </row>
    <row r="84" spans="1:24">
      <c r="B84" t="s">
        <v>197</v>
      </c>
      <c r="C84" t="s">
        <v>197</v>
      </c>
      <c r="D84" t="s">
        <v>197</v>
      </c>
      <c r="E84" t="s">
        <v>197</v>
      </c>
      <c r="F84" t="s">
        <v>197</v>
      </c>
      <c r="G84" t="s">
        <v>197</v>
      </c>
      <c r="H84" t="s">
        <v>197</v>
      </c>
      <c r="I84" t="s">
        <v>197</v>
      </c>
      <c r="J84" t="s">
        <v>197</v>
      </c>
      <c r="K84" t="s">
        <v>431</v>
      </c>
    </row>
    <row r="85" spans="1:24">
      <c r="B85" t="s">
        <v>197</v>
      </c>
      <c r="C85" t="s">
        <v>197</v>
      </c>
      <c r="D85" t="s">
        <v>197</v>
      </c>
      <c r="E85" t="s">
        <v>197</v>
      </c>
      <c r="F85" t="s">
        <v>197</v>
      </c>
      <c r="G85" t="s">
        <v>197</v>
      </c>
      <c r="H85" t="s">
        <v>197</v>
      </c>
      <c r="I85" t="s">
        <v>197</v>
      </c>
      <c r="J85" t="s">
        <v>197</v>
      </c>
      <c r="K85" t="s">
        <v>434</v>
      </c>
    </row>
    <row r="86" spans="1:24">
      <c r="B86" t="s">
        <v>197</v>
      </c>
      <c r="C86" t="s">
        <v>197</v>
      </c>
      <c r="D86" t="s">
        <v>197</v>
      </c>
      <c r="E86" t="s">
        <v>197</v>
      </c>
      <c r="F86" t="s">
        <v>197</v>
      </c>
      <c r="G86" t="s">
        <v>197</v>
      </c>
      <c r="H86" t="s">
        <v>197</v>
      </c>
      <c r="I86" t="s">
        <v>197</v>
      </c>
      <c r="J86" t="s">
        <v>197</v>
      </c>
      <c r="K86" t="s">
        <v>439</v>
      </c>
    </row>
    <row r="87" spans="1:24">
      <c r="A87" t="s">
        <v>543</v>
      </c>
      <c r="K87" t="s">
        <v>544</v>
      </c>
      <c r="W87" t="s">
        <v>171</v>
      </c>
      <c r="X87" t="str">
        <f>A87</f>
        <v>info_sdt_dml_batch1_pk</v>
      </c>
    </row>
    <row r="88" spans="1:24">
      <c r="B88" t="s">
        <v>196</v>
      </c>
      <c r="C88" t="s">
        <v>197</v>
      </c>
      <c r="D88" t="s">
        <v>197</v>
      </c>
      <c r="E88" t="s">
        <v>197</v>
      </c>
      <c r="F88" t="s">
        <v>197</v>
      </c>
      <c r="G88" t="s">
        <v>197</v>
      </c>
      <c r="H88" t="s">
        <v>197</v>
      </c>
      <c r="I88" t="s">
        <v>545</v>
      </c>
      <c r="J88" t="s">
        <v>199</v>
      </c>
      <c r="K88" t="s">
        <v>200</v>
      </c>
    </row>
    <row r="89" spans="1:24">
      <c r="B89" t="s">
        <v>197</v>
      </c>
      <c r="C89" t="s">
        <v>197</v>
      </c>
      <c r="D89" t="s">
        <v>197</v>
      </c>
      <c r="E89" t="s">
        <v>197</v>
      </c>
      <c r="F89" t="s">
        <v>197</v>
      </c>
      <c r="G89" t="s">
        <v>197</v>
      </c>
      <c r="H89" t="s">
        <v>197</v>
      </c>
      <c r="I89" t="s">
        <v>197</v>
      </c>
      <c r="J89" t="s">
        <v>197</v>
      </c>
      <c r="K89" t="s">
        <v>422</v>
      </c>
    </row>
    <row r="90" spans="1:24">
      <c r="A90" t="s">
        <v>546</v>
      </c>
      <c r="K90" t="s">
        <v>547</v>
      </c>
      <c r="W90" t="s">
        <v>171</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568</v>
      </c>
      <c r="K111" t="s">
        <v>569</v>
      </c>
      <c r="W111" t="s">
        <v>171</v>
      </c>
      <c r="X111" t="str">
        <f>A111</f>
        <v>info_xml_dml_single_pk_urp</v>
      </c>
    </row>
    <row r="112" spans="1:24">
      <c r="B112" t="s">
        <v>196</v>
      </c>
      <c r="C112" t="s">
        <v>197</v>
      </c>
      <c r="D112" t="s">
        <v>197</v>
      </c>
      <c r="E112" t="s">
        <v>197</v>
      </c>
      <c r="F112" t="s">
        <v>197</v>
      </c>
      <c r="G112" t="s">
        <v>197</v>
      </c>
      <c r="H112" t="s">
        <v>197</v>
      </c>
      <c r="I112" t="s">
        <v>570</v>
      </c>
      <c r="J112" t="s">
        <v>199</v>
      </c>
      <c r="K112" t="s">
        <v>200</v>
      </c>
    </row>
    <row r="113" spans="1:24">
      <c r="B113" t="s">
        <v>197</v>
      </c>
      <c r="C113" t="s">
        <v>197</v>
      </c>
      <c r="D113" t="s">
        <v>197</v>
      </c>
      <c r="E113" t="s">
        <v>197</v>
      </c>
      <c r="F113" t="s">
        <v>197</v>
      </c>
      <c r="G113" t="s">
        <v>197</v>
      </c>
      <c r="H113" t="s">
        <v>197</v>
      </c>
      <c r="I113" t="s">
        <v>197</v>
      </c>
      <c r="J113" t="s">
        <v>197</v>
      </c>
      <c r="K113" t="s">
        <v>472</v>
      </c>
    </row>
    <row r="114" spans="1:24">
      <c r="A114" t="s">
        <v>571</v>
      </c>
      <c r="K114" t="s">
        <v>572</v>
      </c>
      <c r="W114" t="s">
        <v>171</v>
      </c>
      <c r="X114" t="str">
        <f>A114</f>
        <v>info_datetime_dml_batch1_pk_irp1</v>
      </c>
    </row>
    <row r="115" spans="1:24">
      <c r="B115" t="s">
        <v>196</v>
      </c>
      <c r="C115" t="s">
        <v>197</v>
      </c>
      <c r="D115" t="s">
        <v>197</v>
      </c>
      <c r="E115" t="s">
        <v>197</v>
      </c>
      <c r="F115" t="s">
        <v>197</v>
      </c>
      <c r="G115" t="s">
        <v>197</v>
      </c>
      <c r="H115" t="s">
        <v>197</v>
      </c>
      <c r="I115" t="s">
        <v>573</v>
      </c>
      <c r="J115" t="s">
        <v>199</v>
      </c>
      <c r="K115" t="s">
        <v>200</v>
      </c>
    </row>
    <row r="116" spans="1:24">
      <c r="B116" t="s">
        <v>197</v>
      </c>
      <c r="C116" t="s">
        <v>197</v>
      </c>
      <c r="D116" t="s">
        <v>197</v>
      </c>
      <c r="E116" t="s">
        <v>197</v>
      </c>
      <c r="F116" t="s">
        <v>197</v>
      </c>
      <c r="G116" t="s">
        <v>197</v>
      </c>
      <c r="H116" t="s">
        <v>197</v>
      </c>
      <c r="I116" t="s">
        <v>197</v>
      </c>
      <c r="J116" t="s">
        <v>197</v>
      </c>
      <c r="K116" t="s">
        <v>574</v>
      </c>
    </row>
    <row r="117" spans="1:24">
      <c r="A117" t="s">
        <v>575</v>
      </c>
      <c r="K117" t="s">
        <v>576</v>
      </c>
      <c r="W117" t="s">
        <v>171</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584</v>
      </c>
      <c r="K135" t="s">
        <v>585</v>
      </c>
      <c r="W135" t="s">
        <v>171</v>
      </c>
      <c r="X135" t="str">
        <f>A135</f>
        <v>info_text_dml_single_pk_drp</v>
      </c>
    </row>
    <row r="136" spans="1:24">
      <c r="B136" t="s">
        <v>196</v>
      </c>
      <c r="C136" t="s">
        <v>197</v>
      </c>
      <c r="D136" t="s">
        <v>197</v>
      </c>
      <c r="E136" t="s">
        <v>197</v>
      </c>
      <c r="F136" t="s">
        <v>197</v>
      </c>
      <c r="G136" t="s">
        <v>197</v>
      </c>
      <c r="H136" t="s">
        <v>197</v>
      </c>
      <c r="I136" t="s">
        <v>586</v>
      </c>
      <c r="J136" t="s">
        <v>199</v>
      </c>
      <c r="K136" t="s">
        <v>200</v>
      </c>
    </row>
    <row r="137" spans="1:24">
      <c r="B137" t="s">
        <v>197</v>
      </c>
      <c r="C137" t="s">
        <v>197</v>
      </c>
      <c r="D137" t="s">
        <v>197</v>
      </c>
      <c r="E137" t="s">
        <v>197</v>
      </c>
      <c r="F137" t="s">
        <v>197</v>
      </c>
      <c r="G137" t="s">
        <v>197</v>
      </c>
      <c r="H137" t="s">
        <v>197</v>
      </c>
      <c r="I137" t="s">
        <v>197</v>
      </c>
      <c r="J137" t="s">
        <v>197</v>
      </c>
      <c r="K137" t="s">
        <v>229</v>
      </c>
    </row>
    <row r="138" spans="1:24">
      <c r="B138" t="s">
        <v>197</v>
      </c>
      <c r="C138" t="s">
        <v>197</v>
      </c>
      <c r="D138" t="s">
        <v>197</v>
      </c>
      <c r="E138" t="s">
        <v>197</v>
      </c>
      <c r="F138" t="s">
        <v>197</v>
      </c>
      <c r="G138" t="s">
        <v>197</v>
      </c>
      <c r="H138" t="s">
        <v>197</v>
      </c>
      <c r="I138" t="s">
        <v>197</v>
      </c>
      <c r="J138" t="s">
        <v>197</v>
      </c>
      <c r="K138" t="s">
        <v>251</v>
      </c>
    </row>
    <row r="139" spans="1:24">
      <c r="A139" t="s">
        <v>587</v>
      </c>
      <c r="K139" t="s">
        <v>588</v>
      </c>
      <c r="W139" t="s">
        <v>171</v>
      </c>
      <c r="X139" t="str">
        <f>A139</f>
        <v>info_datetime_dml_batch2_pk_irp1</v>
      </c>
    </row>
    <row r="140" spans="1:24">
      <c r="B140" t="s">
        <v>196</v>
      </c>
      <c r="C140" t="s">
        <v>197</v>
      </c>
      <c r="D140" t="s">
        <v>197</v>
      </c>
      <c r="E140" t="s">
        <v>197</v>
      </c>
      <c r="F140" t="s">
        <v>197</v>
      </c>
      <c r="G140" t="s">
        <v>197</v>
      </c>
      <c r="H140" t="s">
        <v>197</v>
      </c>
      <c r="I140" t="s">
        <v>589</v>
      </c>
      <c r="J140" t="s">
        <v>199</v>
      </c>
      <c r="K140" t="s">
        <v>200</v>
      </c>
    </row>
    <row r="141" spans="1:24">
      <c r="B141" t="s">
        <v>197</v>
      </c>
      <c r="C141" t="s">
        <v>197</v>
      </c>
      <c r="D141" t="s">
        <v>197</v>
      </c>
      <c r="E141" t="s">
        <v>197</v>
      </c>
      <c r="F141" t="s">
        <v>197</v>
      </c>
      <c r="G141" t="s">
        <v>197</v>
      </c>
      <c r="H141" t="s">
        <v>197</v>
      </c>
      <c r="I141" t="s">
        <v>197</v>
      </c>
      <c r="J141" t="s">
        <v>197</v>
      </c>
      <c r="K141" t="s">
        <v>574</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593</v>
      </c>
      <c r="K148" t="s">
        <v>594</v>
      </c>
      <c r="W148" t="s">
        <v>171</v>
      </c>
      <c r="X148" t="str">
        <f>A148</f>
        <v>info_int_dml_batch1_pk_urp2</v>
      </c>
    </row>
    <row r="149" spans="1:24">
      <c r="B149" t="s">
        <v>196</v>
      </c>
      <c r="C149" t="s">
        <v>197</v>
      </c>
      <c r="D149" t="s">
        <v>197</v>
      </c>
      <c r="E149" t="s">
        <v>197</v>
      </c>
      <c r="F149" t="s">
        <v>197</v>
      </c>
      <c r="G149" t="s">
        <v>197</v>
      </c>
      <c r="H149" t="s">
        <v>197</v>
      </c>
      <c r="I149" t="s">
        <v>595</v>
      </c>
      <c r="J149" t="s">
        <v>199</v>
      </c>
      <c r="K149" t="s">
        <v>200</v>
      </c>
    </row>
    <row r="150" spans="1:24">
      <c r="B150" t="s">
        <v>197</v>
      </c>
      <c r="C150" t="s">
        <v>197</v>
      </c>
      <c r="D150" t="s">
        <v>197</v>
      </c>
      <c r="E150" t="s">
        <v>197</v>
      </c>
      <c r="F150" t="s">
        <v>197</v>
      </c>
      <c r="G150" t="s">
        <v>197</v>
      </c>
      <c r="H150" t="s">
        <v>197</v>
      </c>
      <c r="I150" t="s">
        <v>197</v>
      </c>
      <c r="J150" t="s">
        <v>197</v>
      </c>
      <c r="K150" t="s">
        <v>549</v>
      </c>
    </row>
    <row r="151" spans="1:24">
      <c r="B151" t="s">
        <v>197</v>
      </c>
      <c r="C151" t="s">
        <v>197</v>
      </c>
      <c r="D151" t="s">
        <v>197</v>
      </c>
      <c r="E151" t="s">
        <v>197</v>
      </c>
      <c r="F151" t="s">
        <v>197</v>
      </c>
      <c r="G151" t="s">
        <v>197</v>
      </c>
      <c r="H151" t="s">
        <v>197</v>
      </c>
      <c r="I151" t="s">
        <v>197</v>
      </c>
      <c r="J151" t="s">
        <v>197</v>
      </c>
      <c r="K151" t="s">
        <v>550</v>
      </c>
    </row>
    <row r="152" spans="1:24">
      <c r="B152" t="s">
        <v>197</v>
      </c>
      <c r="C152" t="s">
        <v>197</v>
      </c>
      <c r="D152" t="s">
        <v>197</v>
      </c>
      <c r="E152" t="s">
        <v>197</v>
      </c>
      <c r="F152" t="s">
        <v>197</v>
      </c>
      <c r="G152" t="s">
        <v>197</v>
      </c>
      <c r="H152" t="s">
        <v>197</v>
      </c>
      <c r="I152" t="s">
        <v>197</v>
      </c>
      <c r="J152" t="s">
        <v>197</v>
      </c>
      <c r="K152" t="s">
        <v>551</v>
      </c>
    </row>
    <row r="153" spans="1:24">
      <c r="B153" t="s">
        <v>197</v>
      </c>
      <c r="C153" t="s">
        <v>197</v>
      </c>
      <c r="D153" t="s">
        <v>197</v>
      </c>
      <c r="E153" t="s">
        <v>197</v>
      </c>
      <c r="F153" t="s">
        <v>197</v>
      </c>
      <c r="G153" t="s">
        <v>197</v>
      </c>
      <c r="H153" t="s">
        <v>197</v>
      </c>
      <c r="I153" t="s">
        <v>197</v>
      </c>
      <c r="J153" t="s">
        <v>197</v>
      </c>
      <c r="K153" t="s">
        <v>552</v>
      </c>
    </row>
    <row r="154" spans="1:24">
      <c r="B154" t="s">
        <v>197</v>
      </c>
      <c r="C154" t="s">
        <v>197</v>
      </c>
      <c r="D154" t="s">
        <v>197</v>
      </c>
      <c r="E154" t="s">
        <v>197</v>
      </c>
      <c r="F154" t="s">
        <v>197</v>
      </c>
      <c r="G154" t="s">
        <v>197</v>
      </c>
      <c r="H154" t="s">
        <v>197</v>
      </c>
      <c r="I154" t="s">
        <v>197</v>
      </c>
      <c r="J154" t="s">
        <v>197</v>
      </c>
      <c r="K154" t="s">
        <v>553</v>
      </c>
    </row>
    <row r="155" spans="1:24">
      <c r="B155" t="s">
        <v>197</v>
      </c>
      <c r="C155" t="s">
        <v>197</v>
      </c>
      <c r="D155" t="s">
        <v>197</v>
      </c>
      <c r="E155" t="s">
        <v>197</v>
      </c>
      <c r="F155" t="s">
        <v>197</v>
      </c>
      <c r="G155" t="s">
        <v>197</v>
      </c>
      <c r="H155" t="s">
        <v>197</v>
      </c>
      <c r="I155" t="s">
        <v>197</v>
      </c>
      <c r="J155" t="s">
        <v>197</v>
      </c>
      <c r="K155" t="s">
        <v>554</v>
      </c>
    </row>
    <row r="156" spans="1:24">
      <c r="B156" t="s">
        <v>197</v>
      </c>
      <c r="C156" t="s">
        <v>197</v>
      </c>
      <c r="D156" t="s">
        <v>197</v>
      </c>
      <c r="E156" t="s">
        <v>197</v>
      </c>
      <c r="F156" t="s">
        <v>197</v>
      </c>
      <c r="G156" t="s">
        <v>197</v>
      </c>
      <c r="H156" t="s">
        <v>197</v>
      </c>
      <c r="I156" t="s">
        <v>197</v>
      </c>
      <c r="J156" t="s">
        <v>197</v>
      </c>
      <c r="K156" t="s">
        <v>555</v>
      </c>
    </row>
    <row r="157" spans="1:24">
      <c r="B157" t="s">
        <v>197</v>
      </c>
      <c r="C157" t="s">
        <v>197</v>
      </c>
      <c r="D157" t="s">
        <v>197</v>
      </c>
      <c r="E157" t="s">
        <v>197</v>
      </c>
      <c r="F157" t="s">
        <v>197</v>
      </c>
      <c r="G157" t="s">
        <v>197</v>
      </c>
      <c r="H157" t="s">
        <v>197</v>
      </c>
      <c r="I157" t="s">
        <v>197</v>
      </c>
      <c r="J157" t="s">
        <v>197</v>
      </c>
      <c r="K157" t="s">
        <v>556</v>
      </c>
    </row>
    <row r="158" spans="1:24">
      <c r="B158" t="s">
        <v>197</v>
      </c>
      <c r="C158" t="s">
        <v>197</v>
      </c>
      <c r="D158" t="s">
        <v>197</v>
      </c>
      <c r="E158" t="s">
        <v>197</v>
      </c>
      <c r="F158" t="s">
        <v>197</v>
      </c>
      <c r="G158" t="s">
        <v>197</v>
      </c>
      <c r="H158" t="s">
        <v>197</v>
      </c>
      <c r="I158" t="s">
        <v>197</v>
      </c>
      <c r="J158" t="s">
        <v>197</v>
      </c>
      <c r="K158" t="s">
        <v>557</v>
      </c>
    </row>
    <row r="159" spans="1:24">
      <c r="B159" t="s">
        <v>197</v>
      </c>
      <c r="C159" t="s">
        <v>197</v>
      </c>
      <c r="D159" t="s">
        <v>197</v>
      </c>
      <c r="E159" t="s">
        <v>197</v>
      </c>
      <c r="F159" t="s">
        <v>197</v>
      </c>
      <c r="G159" t="s">
        <v>197</v>
      </c>
      <c r="H159" t="s">
        <v>197</v>
      </c>
      <c r="I159" t="s">
        <v>197</v>
      </c>
      <c r="J159" t="s">
        <v>197</v>
      </c>
      <c r="K159" t="s">
        <v>558</v>
      </c>
    </row>
    <row r="160" spans="1:24">
      <c r="B160" t="s">
        <v>197</v>
      </c>
      <c r="C160" t="s">
        <v>197</v>
      </c>
      <c r="D160" t="s">
        <v>197</v>
      </c>
      <c r="E160" t="s">
        <v>197</v>
      </c>
      <c r="F160" t="s">
        <v>197</v>
      </c>
      <c r="G160" t="s">
        <v>197</v>
      </c>
      <c r="H160" t="s">
        <v>197</v>
      </c>
      <c r="I160" t="s">
        <v>197</v>
      </c>
      <c r="J160" t="s">
        <v>197</v>
      </c>
      <c r="K160" t="s">
        <v>559</v>
      </c>
    </row>
    <row r="161" spans="1:24">
      <c r="B161" t="s">
        <v>197</v>
      </c>
      <c r="C161" t="s">
        <v>197</v>
      </c>
      <c r="D161" t="s">
        <v>197</v>
      </c>
      <c r="E161" t="s">
        <v>197</v>
      </c>
      <c r="F161" t="s">
        <v>197</v>
      </c>
      <c r="G161" t="s">
        <v>197</v>
      </c>
      <c r="H161" t="s">
        <v>197</v>
      </c>
      <c r="I161" t="s">
        <v>197</v>
      </c>
      <c r="J161" t="s">
        <v>197</v>
      </c>
      <c r="K161" t="s">
        <v>560</v>
      </c>
    </row>
    <row r="162" spans="1:24">
      <c r="B162" t="s">
        <v>197</v>
      </c>
      <c r="C162" t="s">
        <v>197</v>
      </c>
      <c r="D162" t="s">
        <v>197</v>
      </c>
      <c r="E162" t="s">
        <v>197</v>
      </c>
      <c r="F162" t="s">
        <v>197</v>
      </c>
      <c r="G162" t="s">
        <v>197</v>
      </c>
      <c r="H162" t="s">
        <v>197</v>
      </c>
      <c r="I162" t="s">
        <v>197</v>
      </c>
      <c r="J162" t="s">
        <v>197</v>
      </c>
      <c r="K162" t="s">
        <v>561</v>
      </c>
    </row>
    <row r="163" spans="1:24">
      <c r="B163" t="s">
        <v>197</v>
      </c>
      <c r="C163" t="s">
        <v>197</v>
      </c>
      <c r="D163" t="s">
        <v>197</v>
      </c>
      <c r="E163" t="s">
        <v>197</v>
      </c>
      <c r="F163" t="s">
        <v>197</v>
      </c>
      <c r="G163" t="s">
        <v>197</v>
      </c>
      <c r="H163" t="s">
        <v>197</v>
      </c>
      <c r="I163" t="s">
        <v>197</v>
      </c>
      <c r="J163" t="s">
        <v>197</v>
      </c>
      <c r="K163" t="s">
        <v>562</v>
      </c>
    </row>
    <row r="164" spans="1:24">
      <c r="B164" t="s">
        <v>197</v>
      </c>
      <c r="C164" t="s">
        <v>197</v>
      </c>
      <c r="D164" t="s">
        <v>197</v>
      </c>
      <c r="E164" t="s">
        <v>197</v>
      </c>
      <c r="F164" t="s">
        <v>197</v>
      </c>
      <c r="G164" t="s">
        <v>197</v>
      </c>
      <c r="H164" t="s">
        <v>197</v>
      </c>
      <c r="I164" t="s">
        <v>197</v>
      </c>
      <c r="J164" t="s">
        <v>197</v>
      </c>
      <c r="K164" t="s">
        <v>563</v>
      </c>
    </row>
    <row r="165" spans="1:24">
      <c r="B165" t="s">
        <v>197</v>
      </c>
      <c r="C165" t="s">
        <v>197</v>
      </c>
      <c r="D165" t="s">
        <v>197</v>
      </c>
      <c r="E165" t="s">
        <v>197</v>
      </c>
      <c r="F165" t="s">
        <v>197</v>
      </c>
      <c r="G165" t="s">
        <v>197</v>
      </c>
      <c r="H165" t="s">
        <v>197</v>
      </c>
      <c r="I165" t="s">
        <v>197</v>
      </c>
      <c r="J165" t="s">
        <v>197</v>
      </c>
      <c r="K165" t="s">
        <v>564</v>
      </c>
    </row>
    <row r="166" spans="1:24">
      <c r="B166" t="s">
        <v>197</v>
      </c>
      <c r="C166" t="s">
        <v>197</v>
      </c>
      <c r="D166" t="s">
        <v>197</v>
      </c>
      <c r="E166" t="s">
        <v>197</v>
      </c>
      <c r="F166" t="s">
        <v>197</v>
      </c>
      <c r="G166" t="s">
        <v>197</v>
      </c>
      <c r="H166" t="s">
        <v>197</v>
      </c>
      <c r="I166" t="s">
        <v>197</v>
      </c>
      <c r="J166" t="s">
        <v>197</v>
      </c>
      <c r="K166" t="s">
        <v>565</v>
      </c>
    </row>
    <row r="167" spans="1:24">
      <c r="B167" t="s">
        <v>197</v>
      </c>
      <c r="C167" t="s">
        <v>197</v>
      </c>
      <c r="D167" t="s">
        <v>197</v>
      </c>
      <c r="E167" t="s">
        <v>197</v>
      </c>
      <c r="F167" t="s">
        <v>197</v>
      </c>
      <c r="G167" t="s">
        <v>197</v>
      </c>
      <c r="H167" t="s">
        <v>197</v>
      </c>
      <c r="I167" t="s">
        <v>197</v>
      </c>
      <c r="J167" t="s">
        <v>197</v>
      </c>
      <c r="K167" t="s">
        <v>566</v>
      </c>
    </row>
    <row r="168" spans="1:24">
      <c r="B168" t="s">
        <v>197</v>
      </c>
      <c r="C168" t="s">
        <v>197</v>
      </c>
      <c r="D168" t="s">
        <v>197</v>
      </c>
      <c r="E168" t="s">
        <v>197</v>
      </c>
      <c r="F168" t="s">
        <v>197</v>
      </c>
      <c r="G168" t="s">
        <v>197</v>
      </c>
      <c r="H168" t="s">
        <v>197</v>
      </c>
      <c r="I168" t="s">
        <v>197</v>
      </c>
      <c r="J168" t="s">
        <v>197</v>
      </c>
      <c r="K168" t="s">
        <v>567</v>
      </c>
    </row>
    <row r="169" spans="1:24">
      <c r="A169" t="s">
        <v>596</v>
      </c>
      <c r="K169" t="s">
        <v>597</v>
      </c>
      <c r="W169" t="s">
        <v>171</v>
      </c>
      <c r="X169" t="str">
        <f>A169</f>
        <v>info_text_dml_single_pk</v>
      </c>
    </row>
    <row r="170" spans="1:24">
      <c r="B170" t="s">
        <v>196</v>
      </c>
      <c r="C170" t="s">
        <v>197</v>
      </c>
      <c r="D170" t="s">
        <v>197</v>
      </c>
      <c r="E170" t="s">
        <v>197</v>
      </c>
      <c r="F170" t="s">
        <v>197</v>
      </c>
      <c r="G170" t="s">
        <v>197</v>
      </c>
      <c r="H170" t="s">
        <v>197</v>
      </c>
      <c r="I170" t="s">
        <v>598</v>
      </c>
      <c r="J170" t="s">
        <v>199</v>
      </c>
      <c r="K170" t="s">
        <v>200</v>
      </c>
    </row>
    <row r="171" spans="1:24">
      <c r="B171" t="s">
        <v>197</v>
      </c>
      <c r="C171" t="s">
        <v>197</v>
      </c>
      <c r="D171" t="s">
        <v>197</v>
      </c>
      <c r="E171" t="s">
        <v>197</v>
      </c>
      <c r="F171" t="s">
        <v>197</v>
      </c>
      <c r="G171" t="s">
        <v>197</v>
      </c>
      <c r="H171" t="s">
        <v>197</v>
      </c>
      <c r="I171" t="s">
        <v>197</v>
      </c>
      <c r="J171" t="s">
        <v>197</v>
      </c>
      <c r="K171" t="s">
        <v>229</v>
      </c>
    </row>
    <row r="172" spans="1:24">
      <c r="B172" t="s">
        <v>197</v>
      </c>
      <c r="C172" t="s">
        <v>197</v>
      </c>
      <c r="D172" t="s">
        <v>197</v>
      </c>
      <c r="E172" t="s">
        <v>197</v>
      </c>
      <c r="F172" t="s">
        <v>197</v>
      </c>
      <c r="G172" t="s">
        <v>197</v>
      </c>
      <c r="H172" t="s">
        <v>197</v>
      </c>
      <c r="I172" t="s">
        <v>197</v>
      </c>
      <c r="J172" t="s">
        <v>197</v>
      </c>
      <c r="K172" t="s">
        <v>251</v>
      </c>
    </row>
    <row r="173" spans="1:24">
      <c r="K173" t="s">
        <v>443</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609</v>
      </c>
      <c r="K182" t="s">
        <v>610</v>
      </c>
      <c r="W182" t="s">
        <v>171</v>
      </c>
      <c r="X182" t="str">
        <f>A182</f>
        <v>info_nchar_dml_single_pk_urp</v>
      </c>
    </row>
    <row r="183" spans="1:24">
      <c r="B183" t="s">
        <v>196</v>
      </c>
      <c r="C183" t="s">
        <v>197</v>
      </c>
      <c r="D183" t="s">
        <v>197</v>
      </c>
      <c r="E183" t="s">
        <v>197</v>
      </c>
      <c r="F183" t="s">
        <v>197</v>
      </c>
      <c r="G183" t="s">
        <v>197</v>
      </c>
      <c r="H183" t="s">
        <v>197</v>
      </c>
      <c r="I183" t="s">
        <v>611</v>
      </c>
      <c r="J183" t="s">
        <v>199</v>
      </c>
      <c r="K183" t="s">
        <v>200</v>
      </c>
    </row>
    <row r="184" spans="1:24">
      <c r="B184" t="s">
        <v>197</v>
      </c>
      <c r="C184" t="s">
        <v>197</v>
      </c>
      <c r="D184" t="s">
        <v>197</v>
      </c>
      <c r="E184" t="s">
        <v>197</v>
      </c>
      <c r="F184" t="s">
        <v>197</v>
      </c>
      <c r="G184" t="s">
        <v>197</v>
      </c>
      <c r="H184" t="s">
        <v>197</v>
      </c>
      <c r="I184" t="s">
        <v>197</v>
      </c>
      <c r="J184" t="s">
        <v>197</v>
      </c>
      <c r="K184" t="s">
        <v>514</v>
      </c>
    </row>
    <row r="185" spans="1:24">
      <c r="B185" t="s">
        <v>197</v>
      </c>
      <c r="C185" t="s">
        <v>197</v>
      </c>
      <c r="D185" t="s">
        <v>197</v>
      </c>
      <c r="E185" t="s">
        <v>197</v>
      </c>
      <c r="F185" t="s">
        <v>197</v>
      </c>
      <c r="G185" t="s">
        <v>197</v>
      </c>
      <c r="H185" t="s">
        <v>197</v>
      </c>
      <c r="I185" t="s">
        <v>197</v>
      </c>
      <c r="J185" t="s">
        <v>197</v>
      </c>
      <c r="K185" t="s">
        <v>516</v>
      </c>
    </row>
    <row r="186" spans="1:24">
      <c r="B186" t="s">
        <v>197</v>
      </c>
      <c r="C186" t="s">
        <v>197</v>
      </c>
      <c r="D186" t="s">
        <v>197</v>
      </c>
      <c r="E186" t="s">
        <v>197</v>
      </c>
      <c r="F186" t="s">
        <v>197</v>
      </c>
      <c r="G186" t="s">
        <v>197</v>
      </c>
      <c r="H186" t="s">
        <v>197</v>
      </c>
      <c r="I186" t="s">
        <v>197</v>
      </c>
      <c r="J186" t="s">
        <v>197</v>
      </c>
      <c r="K186" t="s">
        <v>612</v>
      </c>
    </row>
    <row r="187" spans="1:24">
      <c r="A187" t="s">
        <v>606</v>
      </c>
      <c r="K187" t="s">
        <v>607</v>
      </c>
      <c r="W187" t="s">
        <v>171</v>
      </c>
      <c r="X187" t="str">
        <f>A187</f>
        <v>info_xml_dml_single_pk_drp</v>
      </c>
    </row>
    <row r="188" spans="1:24">
      <c r="B188" t="s">
        <v>196</v>
      </c>
      <c r="C188" t="s">
        <v>197</v>
      </c>
      <c r="D188" t="s">
        <v>197</v>
      </c>
      <c r="E188" t="s">
        <v>197</v>
      </c>
      <c r="F188" t="s">
        <v>197</v>
      </c>
      <c r="G188" t="s">
        <v>197</v>
      </c>
      <c r="H188" t="s">
        <v>197</v>
      </c>
      <c r="I188" t="s">
        <v>608</v>
      </c>
      <c r="J188" t="s">
        <v>199</v>
      </c>
      <c r="K188" t="s">
        <v>200</v>
      </c>
    </row>
    <row r="189" spans="1:24">
      <c r="B189" t="s">
        <v>197</v>
      </c>
      <c r="C189" t="s">
        <v>197</v>
      </c>
      <c r="D189" t="s">
        <v>197</v>
      </c>
      <c r="E189" t="s">
        <v>197</v>
      </c>
      <c r="F189" t="s">
        <v>197</v>
      </c>
      <c r="G189" t="s">
        <v>197</v>
      </c>
      <c r="H189" t="s">
        <v>197</v>
      </c>
      <c r="I189" t="s">
        <v>197</v>
      </c>
      <c r="J189" t="s">
        <v>197</v>
      </c>
      <c r="K189" t="s">
        <v>472</v>
      </c>
    </row>
    <row r="190" spans="1:24">
      <c r="A190" t="s">
        <v>613</v>
      </c>
      <c r="K190" t="s">
        <v>614</v>
      </c>
      <c r="W190" t="s">
        <v>171</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637</v>
      </c>
      <c r="K235" t="s">
        <v>638</v>
      </c>
      <c r="W235" t="s">
        <v>171</v>
      </c>
      <c r="X235" t="str">
        <f>A235</f>
        <v>info_varchar_dml_batch1_pk</v>
      </c>
    </row>
    <row r="236" spans="1:24">
      <c r="B236" t="s">
        <v>196</v>
      </c>
      <c r="C236" t="s">
        <v>197</v>
      </c>
      <c r="D236" t="s">
        <v>197</v>
      </c>
      <c r="E236" t="s">
        <v>197</v>
      </c>
      <c r="F236" t="s">
        <v>197</v>
      </c>
      <c r="G236" t="s">
        <v>197</v>
      </c>
      <c r="H236" t="s">
        <v>197</v>
      </c>
      <c r="I236" t="s">
        <v>639</v>
      </c>
      <c r="J236" t="s">
        <v>199</v>
      </c>
      <c r="K236" t="s">
        <v>200</v>
      </c>
    </row>
    <row r="237" spans="1:24">
      <c r="B237" t="s">
        <v>197</v>
      </c>
      <c r="C237" t="s">
        <v>197</v>
      </c>
      <c r="D237" t="s">
        <v>197</v>
      </c>
      <c r="E237" t="s">
        <v>197</v>
      </c>
      <c r="F237" t="s">
        <v>197</v>
      </c>
      <c r="G237" t="s">
        <v>197</v>
      </c>
      <c r="H237" t="s">
        <v>197</v>
      </c>
      <c r="I237" t="s">
        <v>197</v>
      </c>
      <c r="J237" t="s">
        <v>197</v>
      </c>
      <c r="K237" t="s">
        <v>431</v>
      </c>
    </row>
    <row r="238" spans="1:24">
      <c r="B238" t="s">
        <v>197</v>
      </c>
      <c r="C238" t="s">
        <v>197</v>
      </c>
      <c r="D238" t="s">
        <v>197</v>
      </c>
      <c r="E238" t="s">
        <v>197</v>
      </c>
      <c r="F238" t="s">
        <v>197</v>
      </c>
      <c r="G238" t="s">
        <v>197</v>
      </c>
      <c r="H238" t="s">
        <v>197</v>
      </c>
      <c r="I238" t="s">
        <v>197</v>
      </c>
      <c r="J238" t="s">
        <v>197</v>
      </c>
      <c r="K238" t="s">
        <v>434</v>
      </c>
    </row>
    <row r="239" spans="1:24">
      <c r="B239" t="s">
        <v>197</v>
      </c>
      <c r="C239" t="s">
        <v>197</v>
      </c>
      <c r="D239" t="s">
        <v>197</v>
      </c>
      <c r="E239" t="s">
        <v>197</v>
      </c>
      <c r="F239" t="s">
        <v>197</v>
      </c>
      <c r="G239" t="s">
        <v>197</v>
      </c>
      <c r="H239" t="s">
        <v>197</v>
      </c>
      <c r="I239" t="s">
        <v>197</v>
      </c>
      <c r="J239" t="s">
        <v>197</v>
      </c>
      <c r="K239" t="s">
        <v>439</v>
      </c>
    </row>
    <row r="240" spans="1:24">
      <c r="A240" t="s">
        <v>640</v>
      </c>
      <c r="K240" t="s">
        <v>641</v>
      </c>
      <c r="W240" t="s">
        <v>171</v>
      </c>
      <c r="X240" t="str">
        <f>A240</f>
        <v>info_geometry_dml_single_pk</v>
      </c>
    </row>
    <row r="241" spans="1:24">
      <c r="B241" t="s">
        <v>196</v>
      </c>
      <c r="C241" t="s">
        <v>197</v>
      </c>
      <c r="D241" t="s">
        <v>197</v>
      </c>
      <c r="E241" t="s">
        <v>197</v>
      </c>
      <c r="F241" t="s">
        <v>197</v>
      </c>
      <c r="G241" t="s">
        <v>197</v>
      </c>
      <c r="H241" t="s">
        <v>197</v>
      </c>
      <c r="I241" t="s">
        <v>642</v>
      </c>
      <c r="J241" t="s">
        <v>199</v>
      </c>
      <c r="K241" t="s">
        <v>200</v>
      </c>
    </row>
    <row r="242" spans="1:24">
      <c r="B242" t="s">
        <v>197</v>
      </c>
      <c r="C242" t="s">
        <v>197</v>
      </c>
      <c r="D242" t="s">
        <v>197</v>
      </c>
      <c r="E242" t="s">
        <v>197</v>
      </c>
      <c r="F242" t="s">
        <v>197</v>
      </c>
      <c r="G242" t="s">
        <v>197</v>
      </c>
      <c r="H242" t="s">
        <v>197</v>
      </c>
      <c r="I242" t="s">
        <v>197</v>
      </c>
      <c r="J242" t="s">
        <v>197</v>
      </c>
      <c r="K242" t="s">
        <v>393</v>
      </c>
    </row>
    <row r="243" spans="1:24">
      <c r="A243" t="s">
        <v>643</v>
      </c>
      <c r="K243" t="s">
        <v>644</v>
      </c>
      <c r="W243" t="s">
        <v>171</v>
      </c>
      <c r="X243" t="str">
        <f>A243</f>
        <v>info_datetime_dml_batch1_pk_drp1</v>
      </c>
    </row>
    <row r="244" spans="1:24">
      <c r="B244" t="s">
        <v>196</v>
      </c>
      <c r="C244" t="s">
        <v>197</v>
      </c>
      <c r="D244" t="s">
        <v>197</v>
      </c>
      <c r="E244" t="s">
        <v>197</v>
      </c>
      <c r="F244" t="s">
        <v>197</v>
      </c>
      <c r="G244" t="s">
        <v>197</v>
      </c>
      <c r="H244" t="s">
        <v>197</v>
      </c>
      <c r="I244" t="s">
        <v>645</v>
      </c>
      <c r="J244" t="s">
        <v>199</v>
      </c>
      <c r="K244" t="s">
        <v>200</v>
      </c>
    </row>
    <row r="245" spans="1:24">
      <c r="B245" t="s">
        <v>197</v>
      </c>
      <c r="C245" t="s">
        <v>197</v>
      </c>
      <c r="D245" t="s">
        <v>197</v>
      </c>
      <c r="E245" t="s">
        <v>197</v>
      </c>
      <c r="F245" t="s">
        <v>197</v>
      </c>
      <c r="G245" t="s">
        <v>197</v>
      </c>
      <c r="H245" t="s">
        <v>197</v>
      </c>
      <c r="I245" t="s">
        <v>197</v>
      </c>
      <c r="J245" t="s">
        <v>197</v>
      </c>
      <c r="K245" t="s">
        <v>574</v>
      </c>
    </row>
    <row r="246" spans="1:24">
      <c r="K246" t="s">
        <v>443</v>
      </c>
    </row>
    <row r="247" spans="1:24">
      <c r="A247" t="s">
        <v>646</v>
      </c>
      <c r="K247" t="s">
        <v>647</v>
      </c>
      <c r="W247" t="s">
        <v>171</v>
      </c>
      <c r="X247" t="str">
        <f>A247</f>
        <v>info_nchar_dml_batch1_pk_irp1</v>
      </c>
    </row>
    <row r="248" spans="1:24">
      <c r="B248" t="s">
        <v>196</v>
      </c>
      <c r="C248" t="s">
        <v>197</v>
      </c>
      <c r="D248" t="s">
        <v>197</v>
      </c>
      <c r="E248" t="s">
        <v>197</v>
      </c>
      <c r="F248" t="s">
        <v>197</v>
      </c>
      <c r="G248" t="s">
        <v>197</v>
      </c>
      <c r="H248" t="s">
        <v>197</v>
      </c>
      <c r="I248" t="s">
        <v>648</v>
      </c>
      <c r="J248" t="s">
        <v>199</v>
      </c>
      <c r="K248" t="s">
        <v>200</v>
      </c>
    </row>
    <row r="249" spans="1:24">
      <c r="B249" t="s">
        <v>197</v>
      </c>
      <c r="C249" t="s">
        <v>197</v>
      </c>
      <c r="D249" t="s">
        <v>197</v>
      </c>
      <c r="E249" t="s">
        <v>197</v>
      </c>
      <c r="F249" t="s">
        <v>197</v>
      </c>
      <c r="G249" t="s">
        <v>197</v>
      </c>
      <c r="H249" t="s">
        <v>197</v>
      </c>
      <c r="I249" t="s">
        <v>197</v>
      </c>
      <c r="J249" t="s">
        <v>197</v>
      </c>
      <c r="K249" t="s">
        <v>514</v>
      </c>
    </row>
    <row r="250" spans="1:24">
      <c r="B250" t="s">
        <v>197</v>
      </c>
      <c r="C250" t="s">
        <v>197</v>
      </c>
      <c r="D250" t="s">
        <v>197</v>
      </c>
      <c r="E250" t="s">
        <v>197</v>
      </c>
      <c r="F250" t="s">
        <v>197</v>
      </c>
      <c r="G250" t="s">
        <v>197</v>
      </c>
      <c r="H250" t="s">
        <v>197</v>
      </c>
      <c r="I250" t="s">
        <v>197</v>
      </c>
      <c r="J250" t="s">
        <v>197</v>
      </c>
      <c r="K250" t="s">
        <v>516</v>
      </c>
    </row>
    <row r="251" spans="1:24">
      <c r="B251" t="s">
        <v>197</v>
      </c>
      <c r="C251" t="s">
        <v>197</v>
      </c>
      <c r="D251" t="s">
        <v>197</v>
      </c>
      <c r="E251" t="s">
        <v>197</v>
      </c>
      <c r="F251" t="s">
        <v>197</v>
      </c>
      <c r="G251" t="s">
        <v>197</v>
      </c>
      <c r="H251" t="s">
        <v>197</v>
      </c>
      <c r="I251" t="s">
        <v>197</v>
      </c>
      <c r="J251" t="s">
        <v>197</v>
      </c>
      <c r="K251" t="s">
        <v>517</v>
      </c>
    </row>
    <row r="252" spans="1:24">
      <c r="A252" t="s">
        <v>649</v>
      </c>
      <c r="K252" t="s">
        <v>650</v>
      </c>
      <c r="W252" t="s">
        <v>171</v>
      </c>
      <c r="X252" t="str">
        <f>A252</f>
        <v>info_datetime_dml_batch1_pk_drp2</v>
      </c>
    </row>
    <row r="253" spans="1:24">
      <c r="B253" t="s">
        <v>196</v>
      </c>
      <c r="C253" t="s">
        <v>197</v>
      </c>
      <c r="D253" t="s">
        <v>197</v>
      </c>
      <c r="E253" t="s">
        <v>197</v>
      </c>
      <c r="F253" t="s">
        <v>197</v>
      </c>
      <c r="G253" t="s">
        <v>197</v>
      </c>
      <c r="H253" t="s">
        <v>197</v>
      </c>
      <c r="I253" t="s">
        <v>651</v>
      </c>
      <c r="J253" t="s">
        <v>199</v>
      </c>
      <c r="K253" t="s">
        <v>200</v>
      </c>
    </row>
    <row r="254" spans="1:24">
      <c r="B254" t="s">
        <v>197</v>
      </c>
      <c r="C254" t="s">
        <v>197</v>
      </c>
      <c r="D254" t="s">
        <v>197</v>
      </c>
      <c r="E254" t="s">
        <v>197</v>
      </c>
      <c r="F254" t="s">
        <v>197</v>
      </c>
      <c r="G254" t="s">
        <v>197</v>
      </c>
      <c r="H254" t="s">
        <v>197</v>
      </c>
      <c r="I254" t="s">
        <v>197</v>
      </c>
      <c r="J254" t="s">
        <v>197</v>
      </c>
      <c r="K254" t="s">
        <v>574</v>
      </c>
    </row>
    <row r="255" spans="1:24">
      <c r="A255" t="s">
        <v>652</v>
      </c>
      <c r="K255" t="s">
        <v>653</v>
      </c>
      <c r="W255" t="s">
        <v>171</v>
      </c>
      <c r="X255" t="str">
        <f>A255</f>
        <v>info_nvarchar_dml_batch1_pk</v>
      </c>
    </row>
    <row r="256" spans="1:24">
      <c r="B256" t="s">
        <v>196</v>
      </c>
      <c r="C256" t="s">
        <v>197</v>
      </c>
      <c r="D256" t="s">
        <v>197</v>
      </c>
      <c r="E256" t="s">
        <v>197</v>
      </c>
      <c r="F256" t="s">
        <v>197</v>
      </c>
      <c r="G256" t="s">
        <v>197</v>
      </c>
      <c r="H256" t="s">
        <v>197</v>
      </c>
      <c r="I256" t="s">
        <v>654</v>
      </c>
      <c r="J256" t="s">
        <v>199</v>
      </c>
      <c r="K256" t="s">
        <v>200</v>
      </c>
    </row>
    <row r="257" spans="1:24">
      <c r="B257" t="s">
        <v>197</v>
      </c>
      <c r="C257" t="s">
        <v>197</v>
      </c>
      <c r="D257" t="s">
        <v>197</v>
      </c>
      <c r="E257" t="s">
        <v>197</v>
      </c>
      <c r="F257" t="s">
        <v>197</v>
      </c>
      <c r="G257" t="s">
        <v>197</v>
      </c>
      <c r="H257" t="s">
        <v>197</v>
      </c>
      <c r="I257" t="s">
        <v>197</v>
      </c>
      <c r="J257" t="s">
        <v>197</v>
      </c>
      <c r="K257" t="s">
        <v>408</v>
      </c>
    </row>
    <row r="258" spans="1:24">
      <c r="B258" t="s">
        <v>197</v>
      </c>
      <c r="C258" t="s">
        <v>197</v>
      </c>
      <c r="D258" t="s">
        <v>197</v>
      </c>
      <c r="E258" t="s">
        <v>197</v>
      </c>
      <c r="F258" t="s">
        <v>197</v>
      </c>
      <c r="G258" t="s">
        <v>197</v>
      </c>
      <c r="H258" t="s">
        <v>197</v>
      </c>
      <c r="I258" t="s">
        <v>197</v>
      </c>
      <c r="J258" t="s">
        <v>197</v>
      </c>
      <c r="K258" t="s">
        <v>412</v>
      </c>
    </row>
    <row r="259" spans="1:24">
      <c r="B259" t="s">
        <v>197</v>
      </c>
      <c r="C259" t="s">
        <v>197</v>
      </c>
      <c r="D259" t="s">
        <v>197</v>
      </c>
      <c r="E259" t="s">
        <v>197</v>
      </c>
      <c r="F259" t="s">
        <v>197</v>
      </c>
      <c r="G259" t="s">
        <v>197</v>
      </c>
      <c r="H259" t="s">
        <v>197</v>
      </c>
      <c r="I259" t="s">
        <v>197</v>
      </c>
      <c r="J259" t="s">
        <v>197</v>
      </c>
      <c r="K259" t="s">
        <v>605</v>
      </c>
    </row>
    <row r="260" spans="1:24">
      <c r="A260" t="s">
        <v>655</v>
      </c>
      <c r="K260" t="s">
        <v>656</v>
      </c>
      <c r="W260" t="s">
        <v>171</v>
      </c>
      <c r="X260" t="str">
        <f>A260</f>
        <v>info_datetime_dml_batch1_pk</v>
      </c>
    </row>
    <row r="261" spans="1:24">
      <c r="B261" t="s">
        <v>196</v>
      </c>
      <c r="C261" t="s">
        <v>197</v>
      </c>
      <c r="D261" t="s">
        <v>197</v>
      </c>
      <c r="E261" t="s">
        <v>197</v>
      </c>
      <c r="F261" t="s">
        <v>197</v>
      </c>
      <c r="G261" t="s">
        <v>197</v>
      </c>
      <c r="H261" t="s">
        <v>197</v>
      </c>
      <c r="I261" t="s">
        <v>657</v>
      </c>
      <c r="J261" t="s">
        <v>199</v>
      </c>
      <c r="K261" t="s">
        <v>200</v>
      </c>
    </row>
    <row r="262" spans="1:24">
      <c r="B262" t="s">
        <v>197</v>
      </c>
      <c r="C262" t="s">
        <v>197</v>
      </c>
      <c r="D262" t="s">
        <v>197</v>
      </c>
      <c r="E262" t="s">
        <v>197</v>
      </c>
      <c r="F262" t="s">
        <v>197</v>
      </c>
      <c r="G262" t="s">
        <v>197</v>
      </c>
      <c r="H262" t="s">
        <v>197</v>
      </c>
      <c r="I262" t="s">
        <v>197</v>
      </c>
      <c r="J262" t="s">
        <v>197</v>
      </c>
      <c r="K262" t="s">
        <v>574</v>
      </c>
    </row>
    <row r="263" spans="1:24">
      <c r="A263" t="s">
        <v>658</v>
      </c>
      <c r="K263" t="s">
        <v>659</v>
      </c>
      <c r="W263" t="s">
        <v>171</v>
      </c>
      <c r="X263" t="str">
        <f>A263</f>
        <v>info_char_dml_batch1_pk_irp2</v>
      </c>
    </row>
    <row r="264" spans="1:24">
      <c r="B264" t="s">
        <v>196</v>
      </c>
      <c r="C264" t="s">
        <v>197</v>
      </c>
      <c r="D264" t="s">
        <v>197</v>
      </c>
      <c r="E264" t="s">
        <v>197</v>
      </c>
      <c r="F264" t="s">
        <v>197</v>
      </c>
      <c r="G264" t="s">
        <v>197</v>
      </c>
      <c r="H264" t="s">
        <v>197</v>
      </c>
      <c r="I264" t="s">
        <v>660</v>
      </c>
      <c r="J264" t="s">
        <v>199</v>
      </c>
      <c r="K264" t="s">
        <v>200</v>
      </c>
    </row>
    <row r="265" spans="1:24">
      <c r="B265" t="s">
        <v>197</v>
      </c>
      <c r="C265" t="s">
        <v>197</v>
      </c>
      <c r="D265" t="s">
        <v>197</v>
      </c>
      <c r="E265" t="s">
        <v>197</v>
      </c>
      <c r="F265" t="s">
        <v>197</v>
      </c>
      <c r="G265" t="s">
        <v>197</v>
      </c>
      <c r="H265" t="s">
        <v>197</v>
      </c>
      <c r="I265" t="s">
        <v>197</v>
      </c>
      <c r="J265" t="s">
        <v>197</v>
      </c>
      <c r="K265" t="s">
        <v>622</v>
      </c>
    </row>
    <row r="266" spans="1:24">
      <c r="B266" t="s">
        <v>197</v>
      </c>
      <c r="C266" t="s">
        <v>197</v>
      </c>
      <c r="D266" t="s">
        <v>197</v>
      </c>
      <c r="E266" t="s">
        <v>197</v>
      </c>
      <c r="F266" t="s">
        <v>197</v>
      </c>
      <c r="G266" t="s">
        <v>197</v>
      </c>
      <c r="H266" t="s">
        <v>197</v>
      </c>
      <c r="I266" t="s">
        <v>197</v>
      </c>
      <c r="J266" t="s">
        <v>197</v>
      </c>
      <c r="K266" t="s">
        <v>623</v>
      </c>
    </row>
    <row r="267" spans="1:24">
      <c r="B267" t="s">
        <v>197</v>
      </c>
      <c r="C267" t="s">
        <v>197</v>
      </c>
      <c r="D267" t="s">
        <v>197</v>
      </c>
      <c r="E267" t="s">
        <v>197</v>
      </c>
      <c r="F267" t="s">
        <v>197</v>
      </c>
      <c r="G267" t="s">
        <v>197</v>
      </c>
      <c r="H267" t="s">
        <v>197</v>
      </c>
      <c r="I267" t="s">
        <v>197</v>
      </c>
      <c r="J267" t="s">
        <v>197</v>
      </c>
      <c r="K267" t="s">
        <v>624</v>
      </c>
    </row>
    <row r="268" spans="1:24">
      <c r="K268" t="s">
        <v>443</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688</v>
      </c>
      <c r="K307" t="s">
        <v>689</v>
      </c>
      <c r="W307" t="s">
        <v>171</v>
      </c>
      <c r="X307" t="str">
        <f>A307</f>
        <v>info_binary_dml_batch1_pk_irp1</v>
      </c>
    </row>
    <row r="308" spans="1:24">
      <c r="B308" t="s">
        <v>196</v>
      </c>
      <c r="C308" t="s">
        <v>197</v>
      </c>
      <c r="D308" t="s">
        <v>197</v>
      </c>
      <c r="E308" t="s">
        <v>197</v>
      </c>
      <c r="F308" t="s">
        <v>197</v>
      </c>
      <c r="G308" t="s">
        <v>197</v>
      </c>
      <c r="H308" t="s">
        <v>197</v>
      </c>
      <c r="I308" t="s">
        <v>690</v>
      </c>
      <c r="J308" t="s">
        <v>199</v>
      </c>
      <c r="K308" t="s">
        <v>200</v>
      </c>
    </row>
    <row r="309" spans="1:24">
      <c r="B309" t="s">
        <v>197</v>
      </c>
      <c r="C309" t="s">
        <v>197</v>
      </c>
      <c r="D309" t="s">
        <v>197</v>
      </c>
      <c r="E309" t="s">
        <v>197</v>
      </c>
      <c r="F309" t="s">
        <v>197</v>
      </c>
      <c r="G309" t="s">
        <v>197</v>
      </c>
      <c r="H309" t="s">
        <v>197</v>
      </c>
      <c r="I309" t="s">
        <v>197</v>
      </c>
      <c r="J309" t="s">
        <v>197</v>
      </c>
      <c r="K309" t="s">
        <v>691</v>
      </c>
    </row>
    <row r="310" spans="1:24">
      <c r="B310" t="s">
        <v>197</v>
      </c>
      <c r="C310" t="s">
        <v>197</v>
      </c>
      <c r="D310" t="s">
        <v>197</v>
      </c>
      <c r="E310" t="s">
        <v>197</v>
      </c>
      <c r="F310" t="s">
        <v>197</v>
      </c>
      <c r="G310" t="s">
        <v>197</v>
      </c>
      <c r="H310" t="s">
        <v>197</v>
      </c>
      <c r="I310" t="s">
        <v>197</v>
      </c>
      <c r="J310" t="s">
        <v>197</v>
      </c>
      <c r="K310" t="s">
        <v>692</v>
      </c>
    </row>
    <row r="311" spans="1:24">
      <c r="B311" t="s">
        <v>197</v>
      </c>
      <c r="C311" t="s">
        <v>197</v>
      </c>
      <c r="D311" t="s">
        <v>197</v>
      </c>
      <c r="E311" t="s">
        <v>197</v>
      </c>
      <c r="F311" t="s">
        <v>197</v>
      </c>
      <c r="G311" t="s">
        <v>197</v>
      </c>
      <c r="H311" t="s">
        <v>197</v>
      </c>
      <c r="I311" t="s">
        <v>197</v>
      </c>
      <c r="J311" t="s">
        <v>197</v>
      </c>
      <c r="K311" t="s">
        <v>693</v>
      </c>
    </row>
    <row r="312" spans="1:24">
      <c r="A312" t="s">
        <v>685</v>
      </c>
      <c r="K312" t="s">
        <v>686</v>
      </c>
      <c r="W312" t="s">
        <v>171</v>
      </c>
      <c r="X312" t="str">
        <f>A312</f>
        <v>info_int_dml_batch1_pk_drp2</v>
      </c>
    </row>
    <row r="313" spans="1:24">
      <c r="B313" t="s">
        <v>196</v>
      </c>
      <c r="C313" t="s">
        <v>197</v>
      </c>
      <c r="D313" t="s">
        <v>197</v>
      </c>
      <c r="E313" t="s">
        <v>197</v>
      </c>
      <c r="F313" t="s">
        <v>197</v>
      </c>
      <c r="G313" t="s">
        <v>197</v>
      </c>
      <c r="H313" t="s">
        <v>197</v>
      </c>
      <c r="I313" t="s">
        <v>687</v>
      </c>
      <c r="J313" t="s">
        <v>199</v>
      </c>
      <c r="K313" t="s">
        <v>200</v>
      </c>
    </row>
    <row r="314" spans="1:24">
      <c r="B314" t="s">
        <v>197</v>
      </c>
      <c r="C314" t="s">
        <v>197</v>
      </c>
      <c r="D314" t="s">
        <v>197</v>
      </c>
      <c r="E314" t="s">
        <v>197</v>
      </c>
      <c r="F314" t="s">
        <v>197</v>
      </c>
      <c r="G314" t="s">
        <v>197</v>
      </c>
      <c r="H314" t="s">
        <v>197</v>
      </c>
      <c r="I314" t="s">
        <v>197</v>
      </c>
      <c r="J314" t="s">
        <v>197</v>
      </c>
      <c r="K314" t="s">
        <v>549</v>
      </c>
    </row>
    <row r="315" spans="1:24">
      <c r="B315" t="s">
        <v>197</v>
      </c>
      <c r="C315" t="s">
        <v>197</v>
      </c>
      <c r="D315" t="s">
        <v>197</v>
      </c>
      <c r="E315" t="s">
        <v>197</v>
      </c>
      <c r="F315" t="s">
        <v>197</v>
      </c>
      <c r="G315" t="s">
        <v>197</v>
      </c>
      <c r="H315" t="s">
        <v>197</v>
      </c>
      <c r="I315" t="s">
        <v>197</v>
      </c>
      <c r="J315" t="s">
        <v>197</v>
      </c>
      <c r="K315" t="s">
        <v>550</v>
      </c>
    </row>
    <row r="316" spans="1:24">
      <c r="B316" t="s">
        <v>197</v>
      </c>
      <c r="C316" t="s">
        <v>197</v>
      </c>
      <c r="D316" t="s">
        <v>197</v>
      </c>
      <c r="E316" t="s">
        <v>197</v>
      </c>
      <c r="F316" t="s">
        <v>197</v>
      </c>
      <c r="G316" t="s">
        <v>197</v>
      </c>
      <c r="H316" t="s">
        <v>197</v>
      </c>
      <c r="I316" t="s">
        <v>197</v>
      </c>
      <c r="J316" t="s">
        <v>197</v>
      </c>
      <c r="K316" t="s">
        <v>551</v>
      </c>
    </row>
    <row r="317" spans="1:24">
      <c r="B317" t="s">
        <v>197</v>
      </c>
      <c r="C317" t="s">
        <v>197</v>
      </c>
      <c r="D317" t="s">
        <v>197</v>
      </c>
      <c r="E317" t="s">
        <v>197</v>
      </c>
      <c r="F317" t="s">
        <v>197</v>
      </c>
      <c r="G317" t="s">
        <v>197</v>
      </c>
      <c r="H317" t="s">
        <v>197</v>
      </c>
      <c r="I317" t="s">
        <v>197</v>
      </c>
      <c r="J317" t="s">
        <v>197</v>
      </c>
      <c r="K317" t="s">
        <v>552</v>
      </c>
    </row>
    <row r="318" spans="1:24">
      <c r="B318" t="s">
        <v>197</v>
      </c>
      <c r="C318" t="s">
        <v>197</v>
      </c>
      <c r="D318" t="s">
        <v>197</v>
      </c>
      <c r="E318" t="s">
        <v>197</v>
      </c>
      <c r="F318" t="s">
        <v>197</v>
      </c>
      <c r="G318" t="s">
        <v>197</v>
      </c>
      <c r="H318" t="s">
        <v>197</v>
      </c>
      <c r="I318" t="s">
        <v>197</v>
      </c>
      <c r="J318" t="s">
        <v>197</v>
      </c>
      <c r="K318" t="s">
        <v>553</v>
      </c>
    </row>
    <row r="319" spans="1:24">
      <c r="B319" t="s">
        <v>197</v>
      </c>
      <c r="C319" t="s">
        <v>197</v>
      </c>
      <c r="D319" t="s">
        <v>197</v>
      </c>
      <c r="E319" t="s">
        <v>197</v>
      </c>
      <c r="F319" t="s">
        <v>197</v>
      </c>
      <c r="G319" t="s">
        <v>197</v>
      </c>
      <c r="H319" t="s">
        <v>197</v>
      </c>
      <c r="I319" t="s">
        <v>197</v>
      </c>
      <c r="J319" t="s">
        <v>197</v>
      </c>
      <c r="K319" t="s">
        <v>554</v>
      </c>
    </row>
    <row r="320" spans="1:24">
      <c r="B320" t="s">
        <v>197</v>
      </c>
      <c r="C320" t="s">
        <v>197</v>
      </c>
      <c r="D320" t="s">
        <v>197</v>
      </c>
      <c r="E320" t="s">
        <v>197</v>
      </c>
      <c r="F320" t="s">
        <v>197</v>
      </c>
      <c r="G320" t="s">
        <v>197</v>
      </c>
      <c r="H320" t="s">
        <v>197</v>
      </c>
      <c r="I320" t="s">
        <v>197</v>
      </c>
      <c r="J320" t="s">
        <v>197</v>
      </c>
      <c r="K320" t="s">
        <v>555</v>
      </c>
    </row>
    <row r="321" spans="1:24">
      <c r="B321" t="s">
        <v>197</v>
      </c>
      <c r="C321" t="s">
        <v>197</v>
      </c>
      <c r="D321" t="s">
        <v>197</v>
      </c>
      <c r="E321" t="s">
        <v>197</v>
      </c>
      <c r="F321" t="s">
        <v>197</v>
      </c>
      <c r="G321" t="s">
        <v>197</v>
      </c>
      <c r="H321" t="s">
        <v>197</v>
      </c>
      <c r="I321" t="s">
        <v>197</v>
      </c>
      <c r="J321" t="s">
        <v>197</v>
      </c>
      <c r="K321" t="s">
        <v>556</v>
      </c>
    </row>
    <row r="322" spans="1:24">
      <c r="B322" t="s">
        <v>197</v>
      </c>
      <c r="C322" t="s">
        <v>197</v>
      </c>
      <c r="D322" t="s">
        <v>197</v>
      </c>
      <c r="E322" t="s">
        <v>197</v>
      </c>
      <c r="F322" t="s">
        <v>197</v>
      </c>
      <c r="G322" t="s">
        <v>197</v>
      </c>
      <c r="H322" t="s">
        <v>197</v>
      </c>
      <c r="I322" t="s">
        <v>197</v>
      </c>
      <c r="J322" t="s">
        <v>197</v>
      </c>
      <c r="K322" t="s">
        <v>557</v>
      </c>
    </row>
    <row r="323" spans="1:24">
      <c r="B323" t="s">
        <v>197</v>
      </c>
      <c r="C323" t="s">
        <v>197</v>
      </c>
      <c r="D323" t="s">
        <v>197</v>
      </c>
      <c r="E323" t="s">
        <v>197</v>
      </c>
      <c r="F323" t="s">
        <v>197</v>
      </c>
      <c r="G323" t="s">
        <v>197</v>
      </c>
      <c r="H323" t="s">
        <v>197</v>
      </c>
      <c r="I323" t="s">
        <v>197</v>
      </c>
      <c r="J323" t="s">
        <v>197</v>
      </c>
      <c r="K323" t="s">
        <v>558</v>
      </c>
    </row>
    <row r="324" spans="1:24">
      <c r="B324" t="s">
        <v>197</v>
      </c>
      <c r="C324" t="s">
        <v>197</v>
      </c>
      <c r="D324" t="s">
        <v>197</v>
      </c>
      <c r="E324" t="s">
        <v>197</v>
      </c>
      <c r="F324" t="s">
        <v>197</v>
      </c>
      <c r="G324" t="s">
        <v>197</v>
      </c>
      <c r="H324" t="s">
        <v>197</v>
      </c>
      <c r="I324" t="s">
        <v>197</v>
      </c>
      <c r="J324" t="s">
        <v>197</v>
      </c>
      <c r="K324" t="s">
        <v>559</v>
      </c>
    </row>
    <row r="325" spans="1:24">
      <c r="B325" t="s">
        <v>197</v>
      </c>
      <c r="C325" t="s">
        <v>197</v>
      </c>
      <c r="D325" t="s">
        <v>197</v>
      </c>
      <c r="E325" t="s">
        <v>197</v>
      </c>
      <c r="F325" t="s">
        <v>197</v>
      </c>
      <c r="G325" t="s">
        <v>197</v>
      </c>
      <c r="H325" t="s">
        <v>197</v>
      </c>
      <c r="I325" t="s">
        <v>197</v>
      </c>
      <c r="J325" t="s">
        <v>197</v>
      </c>
      <c r="K325" t="s">
        <v>560</v>
      </c>
    </row>
    <row r="326" spans="1:24">
      <c r="B326" t="s">
        <v>197</v>
      </c>
      <c r="C326" t="s">
        <v>197</v>
      </c>
      <c r="D326" t="s">
        <v>197</v>
      </c>
      <c r="E326" t="s">
        <v>197</v>
      </c>
      <c r="F326" t="s">
        <v>197</v>
      </c>
      <c r="G326" t="s">
        <v>197</v>
      </c>
      <c r="H326" t="s">
        <v>197</v>
      </c>
      <c r="I326" t="s">
        <v>197</v>
      </c>
      <c r="J326" t="s">
        <v>197</v>
      </c>
      <c r="K326" t="s">
        <v>561</v>
      </c>
    </row>
    <row r="327" spans="1:24">
      <c r="B327" t="s">
        <v>197</v>
      </c>
      <c r="C327" t="s">
        <v>197</v>
      </c>
      <c r="D327" t="s">
        <v>197</v>
      </c>
      <c r="E327" t="s">
        <v>197</v>
      </c>
      <c r="F327" t="s">
        <v>197</v>
      </c>
      <c r="G327" t="s">
        <v>197</v>
      </c>
      <c r="H327" t="s">
        <v>197</v>
      </c>
      <c r="I327" t="s">
        <v>197</v>
      </c>
      <c r="J327" t="s">
        <v>197</v>
      </c>
      <c r="K327" t="s">
        <v>562</v>
      </c>
    </row>
    <row r="328" spans="1:24">
      <c r="B328" t="s">
        <v>197</v>
      </c>
      <c r="C328" t="s">
        <v>197</v>
      </c>
      <c r="D328" t="s">
        <v>197</v>
      </c>
      <c r="E328" t="s">
        <v>197</v>
      </c>
      <c r="F328" t="s">
        <v>197</v>
      </c>
      <c r="G328" t="s">
        <v>197</v>
      </c>
      <c r="H328" t="s">
        <v>197</v>
      </c>
      <c r="I328" t="s">
        <v>197</v>
      </c>
      <c r="J328" t="s">
        <v>197</v>
      </c>
      <c r="K328" t="s">
        <v>563</v>
      </c>
    </row>
    <row r="329" spans="1:24">
      <c r="B329" t="s">
        <v>197</v>
      </c>
      <c r="C329" t="s">
        <v>197</v>
      </c>
      <c r="D329" t="s">
        <v>197</v>
      </c>
      <c r="E329" t="s">
        <v>197</v>
      </c>
      <c r="F329" t="s">
        <v>197</v>
      </c>
      <c r="G329" t="s">
        <v>197</v>
      </c>
      <c r="H329" t="s">
        <v>197</v>
      </c>
      <c r="I329" t="s">
        <v>197</v>
      </c>
      <c r="J329" t="s">
        <v>197</v>
      </c>
      <c r="K329" t="s">
        <v>564</v>
      </c>
    </row>
    <row r="330" spans="1:24">
      <c r="B330" t="s">
        <v>197</v>
      </c>
      <c r="C330" t="s">
        <v>197</v>
      </c>
      <c r="D330" t="s">
        <v>197</v>
      </c>
      <c r="E330" t="s">
        <v>197</v>
      </c>
      <c r="F330" t="s">
        <v>197</v>
      </c>
      <c r="G330" t="s">
        <v>197</v>
      </c>
      <c r="H330" t="s">
        <v>197</v>
      </c>
      <c r="I330" t="s">
        <v>197</v>
      </c>
      <c r="J330" t="s">
        <v>197</v>
      </c>
      <c r="K330" t="s">
        <v>565</v>
      </c>
    </row>
    <row r="331" spans="1:24">
      <c r="B331" t="s">
        <v>197</v>
      </c>
      <c r="C331" t="s">
        <v>197</v>
      </c>
      <c r="D331" t="s">
        <v>197</v>
      </c>
      <c r="E331" t="s">
        <v>197</v>
      </c>
      <c r="F331" t="s">
        <v>197</v>
      </c>
      <c r="G331" t="s">
        <v>197</v>
      </c>
      <c r="H331" t="s">
        <v>197</v>
      </c>
      <c r="I331" t="s">
        <v>197</v>
      </c>
      <c r="J331" t="s">
        <v>197</v>
      </c>
      <c r="K331" t="s">
        <v>566</v>
      </c>
    </row>
    <row r="332" spans="1:24">
      <c r="B332" t="s">
        <v>197</v>
      </c>
      <c r="C332" t="s">
        <v>197</v>
      </c>
      <c r="D332" t="s">
        <v>197</v>
      </c>
      <c r="E332" t="s">
        <v>197</v>
      </c>
      <c r="F332" t="s">
        <v>197</v>
      </c>
      <c r="G332" t="s">
        <v>197</v>
      </c>
      <c r="H332" t="s">
        <v>197</v>
      </c>
      <c r="I332" t="s">
        <v>197</v>
      </c>
      <c r="J332" t="s">
        <v>197</v>
      </c>
      <c r="K332" t="s">
        <v>567</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700</v>
      </c>
      <c r="K343" t="s">
        <v>701</v>
      </c>
      <c r="W343" t="s">
        <v>171</v>
      </c>
      <c r="X343" t="str">
        <f>A343</f>
        <v>info_char_dml_batch2_pk_irp1</v>
      </c>
    </row>
    <row r="344" spans="1:24">
      <c r="B344" t="s">
        <v>196</v>
      </c>
      <c r="C344" t="s">
        <v>197</v>
      </c>
      <c r="D344" t="s">
        <v>197</v>
      </c>
      <c r="E344" t="s">
        <v>197</v>
      </c>
      <c r="F344" t="s">
        <v>197</v>
      </c>
      <c r="G344" t="s">
        <v>197</v>
      </c>
      <c r="H344" t="s">
        <v>197</v>
      </c>
      <c r="I344" t="s">
        <v>702</v>
      </c>
      <c r="J344" t="s">
        <v>199</v>
      </c>
      <c r="K344" t="s">
        <v>200</v>
      </c>
    </row>
    <row r="345" spans="1:24">
      <c r="B345" t="s">
        <v>197</v>
      </c>
      <c r="C345" t="s">
        <v>197</v>
      </c>
      <c r="D345" t="s">
        <v>197</v>
      </c>
      <c r="E345" t="s">
        <v>197</v>
      </c>
      <c r="F345" t="s">
        <v>197</v>
      </c>
      <c r="G345" t="s">
        <v>197</v>
      </c>
      <c r="H345" t="s">
        <v>197</v>
      </c>
      <c r="I345" t="s">
        <v>197</v>
      </c>
      <c r="J345" t="s">
        <v>197</v>
      </c>
      <c r="K345" t="s">
        <v>622</v>
      </c>
    </row>
    <row r="346" spans="1:24">
      <c r="B346" t="s">
        <v>197</v>
      </c>
      <c r="C346" t="s">
        <v>197</v>
      </c>
      <c r="D346" t="s">
        <v>197</v>
      </c>
      <c r="E346" t="s">
        <v>197</v>
      </c>
      <c r="F346" t="s">
        <v>197</v>
      </c>
      <c r="G346" t="s">
        <v>197</v>
      </c>
      <c r="H346" t="s">
        <v>197</v>
      </c>
      <c r="I346" t="s">
        <v>197</v>
      </c>
      <c r="J346" t="s">
        <v>197</v>
      </c>
      <c r="K346" t="s">
        <v>623</v>
      </c>
    </row>
    <row r="347" spans="1:24">
      <c r="B347" t="s">
        <v>197</v>
      </c>
      <c r="C347" t="s">
        <v>197</v>
      </c>
      <c r="D347" t="s">
        <v>197</v>
      </c>
      <c r="E347" t="s">
        <v>197</v>
      </c>
      <c r="F347" t="s">
        <v>197</v>
      </c>
      <c r="G347" t="s">
        <v>197</v>
      </c>
      <c r="H347" t="s">
        <v>197</v>
      </c>
      <c r="I347" t="s">
        <v>197</v>
      </c>
      <c r="J347" t="s">
        <v>197</v>
      </c>
      <c r="K347" t="s">
        <v>624</v>
      </c>
    </row>
    <row r="348" spans="1:24">
      <c r="K348" t="s">
        <v>443</v>
      </c>
    </row>
    <row r="349" spans="1:24">
      <c r="A349" t="s">
        <v>703</v>
      </c>
      <c r="K349" t="s">
        <v>704</v>
      </c>
      <c r="W349" s="1" t="str">
        <f>HYPERLINK("#2026042016hbase1!Y2","NO 源备存在差异，共4个")</f>
        <v>NO 源备存在差异，共4个</v>
      </c>
      <c r="X349" t="str">
        <f>A349</f>
        <v>info_hierarchyid_dml_single_pk_irp</v>
      </c>
    </row>
    <row r="350" spans="1:24">
      <c r="B350" t="s">
        <v>196</v>
      </c>
      <c r="C350" t="s">
        <v>197</v>
      </c>
      <c r="D350" t="s">
        <v>197</v>
      </c>
      <c r="E350" t="s">
        <v>197</v>
      </c>
      <c r="F350" t="s">
        <v>197</v>
      </c>
      <c r="G350" t="s">
        <v>197</v>
      </c>
      <c r="H350" t="s">
        <v>197</v>
      </c>
      <c r="I350" t="s">
        <v>705</v>
      </c>
      <c r="J350" t="s">
        <v>199</v>
      </c>
      <c r="K350" t="s">
        <v>200</v>
      </c>
    </row>
    <row r="351" spans="1:24">
      <c r="B351" t="s">
        <v>197</v>
      </c>
      <c r="C351" t="s">
        <v>197</v>
      </c>
      <c r="D351" t="s">
        <v>197</v>
      </c>
      <c r="E351" t="s">
        <v>197</v>
      </c>
      <c r="F351" t="s">
        <v>197</v>
      </c>
      <c r="G351" t="s">
        <v>197</v>
      </c>
      <c r="H351" t="s">
        <v>197</v>
      </c>
      <c r="I351" t="s">
        <v>197</v>
      </c>
      <c r="J351" t="s">
        <v>197</v>
      </c>
      <c r="K351" t="s">
        <v>706</v>
      </c>
    </row>
    <row r="352" spans="1:24">
      <c r="A352" t="s">
        <v>707</v>
      </c>
      <c r="K352" t="s">
        <v>708</v>
      </c>
      <c r="W352" t="s">
        <v>171</v>
      </c>
      <c r="X352" t="str">
        <f>A352</f>
        <v>info_datetime2_dml_batch1_pk_urp1</v>
      </c>
    </row>
    <row r="353" spans="1:24">
      <c r="B353" t="s">
        <v>196</v>
      </c>
      <c r="C353" t="s">
        <v>197</v>
      </c>
      <c r="D353" t="s">
        <v>197</v>
      </c>
      <c r="E353" t="s">
        <v>197</v>
      </c>
      <c r="F353" t="s">
        <v>197</v>
      </c>
      <c r="G353" t="s">
        <v>197</v>
      </c>
      <c r="H353" t="s">
        <v>197</v>
      </c>
      <c r="I353" t="s">
        <v>709</v>
      </c>
      <c r="J353" t="s">
        <v>199</v>
      </c>
      <c r="K353" t="s">
        <v>200</v>
      </c>
    </row>
    <row r="354" spans="1:24">
      <c r="B354" t="s">
        <v>197</v>
      </c>
      <c r="C354" t="s">
        <v>197</v>
      </c>
      <c r="D354" t="s">
        <v>197</v>
      </c>
      <c r="E354" t="s">
        <v>197</v>
      </c>
      <c r="F354" t="s">
        <v>197</v>
      </c>
      <c r="G354" t="s">
        <v>197</v>
      </c>
      <c r="H354" t="s">
        <v>197</v>
      </c>
      <c r="I354" t="s">
        <v>197</v>
      </c>
      <c r="J354" t="s">
        <v>197</v>
      </c>
      <c r="K354" t="s">
        <v>667</v>
      </c>
    </row>
    <row r="355" spans="1:24">
      <c r="B355" t="s">
        <v>197</v>
      </c>
      <c r="C355" t="s">
        <v>197</v>
      </c>
      <c r="D355" t="s">
        <v>197</v>
      </c>
      <c r="E355" t="s">
        <v>197</v>
      </c>
      <c r="F355" t="s">
        <v>197</v>
      </c>
      <c r="G355" t="s">
        <v>197</v>
      </c>
      <c r="H355" t="s">
        <v>197</v>
      </c>
      <c r="I355" t="s">
        <v>197</v>
      </c>
      <c r="J355" t="s">
        <v>197</v>
      </c>
      <c r="K355" t="s">
        <v>668</v>
      </c>
    </row>
    <row r="356" spans="1:24">
      <c r="B356" t="s">
        <v>197</v>
      </c>
      <c r="C356" t="s">
        <v>197</v>
      </c>
      <c r="D356" t="s">
        <v>197</v>
      </c>
      <c r="E356" t="s">
        <v>197</v>
      </c>
      <c r="F356" t="s">
        <v>197</v>
      </c>
      <c r="G356" t="s">
        <v>197</v>
      </c>
      <c r="H356" t="s">
        <v>197</v>
      </c>
      <c r="I356" t="s">
        <v>197</v>
      </c>
      <c r="J356" t="s">
        <v>197</v>
      </c>
      <c r="K356" t="s">
        <v>669</v>
      </c>
    </row>
    <row r="357" spans="1:24">
      <c r="B357" t="s">
        <v>197</v>
      </c>
      <c r="C357" t="s">
        <v>197</v>
      </c>
      <c r="D357" t="s">
        <v>197</v>
      </c>
      <c r="E357" t="s">
        <v>197</v>
      </c>
      <c r="F357" t="s">
        <v>197</v>
      </c>
      <c r="G357" t="s">
        <v>197</v>
      </c>
      <c r="H357" t="s">
        <v>197</v>
      </c>
      <c r="I357" t="s">
        <v>197</v>
      </c>
      <c r="J357" t="s">
        <v>197</v>
      </c>
      <c r="K357" t="s">
        <v>670</v>
      </c>
    </row>
    <row r="358" spans="1:24">
      <c r="B358" t="s">
        <v>197</v>
      </c>
      <c r="C358" t="s">
        <v>197</v>
      </c>
      <c r="D358" t="s">
        <v>197</v>
      </c>
      <c r="E358" t="s">
        <v>197</v>
      </c>
      <c r="F358" t="s">
        <v>197</v>
      </c>
      <c r="G358" t="s">
        <v>197</v>
      </c>
      <c r="H358" t="s">
        <v>197</v>
      </c>
      <c r="I358" t="s">
        <v>197</v>
      </c>
      <c r="J358" t="s">
        <v>197</v>
      </c>
      <c r="K358" t="s">
        <v>671</v>
      </c>
    </row>
    <row r="359" spans="1:24">
      <c r="B359" t="s">
        <v>197</v>
      </c>
      <c r="C359" t="s">
        <v>197</v>
      </c>
      <c r="D359" t="s">
        <v>197</v>
      </c>
      <c r="E359" t="s">
        <v>197</v>
      </c>
      <c r="F359" t="s">
        <v>197</v>
      </c>
      <c r="G359" t="s">
        <v>197</v>
      </c>
      <c r="H359" t="s">
        <v>197</v>
      </c>
      <c r="I359" t="s">
        <v>197</v>
      </c>
      <c r="J359" t="s">
        <v>197</v>
      </c>
      <c r="K359" t="s">
        <v>672</v>
      </c>
    </row>
    <row r="360" spans="1:24">
      <c r="B360" t="s">
        <v>197</v>
      </c>
      <c r="C360" t="s">
        <v>197</v>
      </c>
      <c r="D360" t="s">
        <v>197</v>
      </c>
      <c r="E360" t="s">
        <v>197</v>
      </c>
      <c r="F360" t="s">
        <v>197</v>
      </c>
      <c r="G360" t="s">
        <v>197</v>
      </c>
      <c r="H360" t="s">
        <v>197</v>
      </c>
      <c r="I360" t="s">
        <v>197</v>
      </c>
      <c r="J360" t="s">
        <v>197</v>
      </c>
      <c r="K360" t="s">
        <v>673</v>
      </c>
    </row>
    <row r="361" spans="1:24">
      <c r="B361" t="s">
        <v>197</v>
      </c>
      <c r="C361" t="s">
        <v>197</v>
      </c>
      <c r="D361" t="s">
        <v>197</v>
      </c>
      <c r="E361" t="s">
        <v>197</v>
      </c>
      <c r="F361" t="s">
        <v>197</v>
      </c>
      <c r="G361" t="s">
        <v>197</v>
      </c>
      <c r="H361" t="s">
        <v>197</v>
      </c>
      <c r="I361" t="s">
        <v>197</v>
      </c>
      <c r="J361" t="s">
        <v>197</v>
      </c>
      <c r="K361" t="s">
        <v>674</v>
      </c>
    </row>
    <row r="362" spans="1:24">
      <c r="A362" t="s">
        <v>710</v>
      </c>
      <c r="K362" t="s">
        <v>711</v>
      </c>
      <c r="W362" t="s">
        <v>171</v>
      </c>
      <c r="X362" t="str">
        <f>A362</f>
        <v>info_char_dml_batch2_pk_irp2</v>
      </c>
    </row>
    <row r="363" spans="1:24">
      <c r="B363" t="s">
        <v>196</v>
      </c>
      <c r="C363" t="s">
        <v>197</v>
      </c>
      <c r="D363" t="s">
        <v>197</v>
      </c>
      <c r="E363" t="s">
        <v>197</v>
      </c>
      <c r="F363" t="s">
        <v>197</v>
      </c>
      <c r="G363" t="s">
        <v>197</v>
      </c>
      <c r="H363" t="s">
        <v>197</v>
      </c>
      <c r="I363" t="s">
        <v>712</v>
      </c>
      <c r="J363" t="s">
        <v>199</v>
      </c>
      <c r="K363" t="s">
        <v>200</v>
      </c>
    </row>
    <row r="364" spans="1:24">
      <c r="B364" t="s">
        <v>197</v>
      </c>
      <c r="C364" t="s">
        <v>197</v>
      </c>
      <c r="D364" t="s">
        <v>197</v>
      </c>
      <c r="E364" t="s">
        <v>197</v>
      </c>
      <c r="F364" t="s">
        <v>197</v>
      </c>
      <c r="G364" t="s">
        <v>197</v>
      </c>
      <c r="H364" t="s">
        <v>197</v>
      </c>
      <c r="I364" t="s">
        <v>197</v>
      </c>
      <c r="J364" t="s">
        <v>197</v>
      </c>
      <c r="K364" t="s">
        <v>622</v>
      </c>
    </row>
    <row r="365" spans="1:24">
      <c r="B365" t="s">
        <v>197</v>
      </c>
      <c r="C365" t="s">
        <v>197</v>
      </c>
      <c r="D365" t="s">
        <v>197</v>
      </c>
      <c r="E365" t="s">
        <v>197</v>
      </c>
      <c r="F365" t="s">
        <v>197</v>
      </c>
      <c r="G365" t="s">
        <v>197</v>
      </c>
      <c r="H365" t="s">
        <v>197</v>
      </c>
      <c r="I365" t="s">
        <v>197</v>
      </c>
      <c r="J365" t="s">
        <v>197</v>
      </c>
      <c r="K365" t="s">
        <v>623</v>
      </c>
    </row>
    <row r="366" spans="1:24">
      <c r="B366" t="s">
        <v>197</v>
      </c>
      <c r="C366" t="s">
        <v>197</v>
      </c>
      <c r="D366" t="s">
        <v>197</v>
      </c>
      <c r="E366" t="s">
        <v>197</v>
      </c>
      <c r="F366" t="s">
        <v>197</v>
      </c>
      <c r="G366" t="s">
        <v>197</v>
      </c>
      <c r="H366" t="s">
        <v>197</v>
      </c>
      <c r="I366" t="s">
        <v>197</v>
      </c>
      <c r="J366" t="s">
        <v>197</v>
      </c>
      <c r="K366" t="s">
        <v>624</v>
      </c>
    </row>
    <row r="367" spans="1:24">
      <c r="K367" t="s">
        <v>443</v>
      </c>
    </row>
    <row r="368" spans="1:24">
      <c r="A368" t="s">
        <v>713</v>
      </c>
      <c r="K368" t="s">
        <v>714</v>
      </c>
      <c r="W368" t="s">
        <v>171</v>
      </c>
      <c r="X368" t="str">
        <f>A368</f>
        <v>info_nchar_dml_batch1_pk_irp2</v>
      </c>
    </row>
    <row r="369" spans="1:24">
      <c r="B369" t="s">
        <v>196</v>
      </c>
      <c r="C369" t="s">
        <v>197</v>
      </c>
      <c r="D369" t="s">
        <v>197</v>
      </c>
      <c r="E369" t="s">
        <v>197</v>
      </c>
      <c r="F369" t="s">
        <v>197</v>
      </c>
      <c r="G369" t="s">
        <v>197</v>
      </c>
      <c r="H369" t="s">
        <v>197</v>
      </c>
      <c r="I369" t="s">
        <v>715</v>
      </c>
      <c r="J369" t="s">
        <v>199</v>
      </c>
      <c r="K369" t="s">
        <v>200</v>
      </c>
    </row>
    <row r="370" spans="1:24">
      <c r="B370" t="s">
        <v>197</v>
      </c>
      <c r="C370" t="s">
        <v>197</v>
      </c>
      <c r="D370" t="s">
        <v>197</v>
      </c>
      <c r="E370" t="s">
        <v>197</v>
      </c>
      <c r="F370" t="s">
        <v>197</v>
      </c>
      <c r="G370" t="s">
        <v>197</v>
      </c>
      <c r="H370" t="s">
        <v>197</v>
      </c>
      <c r="I370" t="s">
        <v>197</v>
      </c>
      <c r="J370" t="s">
        <v>197</v>
      </c>
      <c r="K370" t="s">
        <v>514</v>
      </c>
    </row>
    <row r="371" spans="1:24">
      <c r="B371" t="s">
        <v>197</v>
      </c>
      <c r="C371" t="s">
        <v>197</v>
      </c>
      <c r="D371" t="s">
        <v>197</v>
      </c>
      <c r="E371" t="s">
        <v>197</v>
      </c>
      <c r="F371" t="s">
        <v>197</v>
      </c>
      <c r="G371" t="s">
        <v>197</v>
      </c>
      <c r="H371" t="s">
        <v>197</v>
      </c>
      <c r="I371" t="s">
        <v>197</v>
      </c>
      <c r="J371" t="s">
        <v>197</v>
      </c>
      <c r="K371" t="s">
        <v>516</v>
      </c>
    </row>
    <row r="372" spans="1:24">
      <c r="B372" t="s">
        <v>197</v>
      </c>
      <c r="C372" t="s">
        <v>197</v>
      </c>
      <c r="D372" t="s">
        <v>197</v>
      </c>
      <c r="E372" t="s">
        <v>197</v>
      </c>
      <c r="F372" t="s">
        <v>197</v>
      </c>
      <c r="G372" t="s">
        <v>197</v>
      </c>
      <c r="H372" t="s">
        <v>197</v>
      </c>
      <c r="I372" t="s">
        <v>197</v>
      </c>
      <c r="J372" t="s">
        <v>197</v>
      </c>
      <c r="K372" t="s">
        <v>612</v>
      </c>
    </row>
    <row r="373" spans="1:24">
      <c r="A373" t="s">
        <v>716</v>
      </c>
      <c r="K373" t="s">
        <v>717</v>
      </c>
      <c r="W373" t="s">
        <v>171</v>
      </c>
      <c r="X373" t="str">
        <f>A373</f>
        <v>info_date_dml_single_pk_urp</v>
      </c>
    </row>
    <row r="374" spans="1:24">
      <c r="B374" t="s">
        <v>196</v>
      </c>
      <c r="C374" t="s">
        <v>197</v>
      </c>
      <c r="D374" t="s">
        <v>197</v>
      </c>
      <c r="E374" t="s">
        <v>197</v>
      </c>
      <c r="F374" t="s">
        <v>197</v>
      </c>
      <c r="G374" t="s">
        <v>197</v>
      </c>
      <c r="H374" t="s">
        <v>197</v>
      </c>
      <c r="I374" t="s">
        <v>718</v>
      </c>
      <c r="J374" t="s">
        <v>199</v>
      </c>
      <c r="K374" t="s">
        <v>200</v>
      </c>
    </row>
    <row r="375" spans="1:24">
      <c r="B375" t="s">
        <v>197</v>
      </c>
      <c r="C375" t="s">
        <v>197</v>
      </c>
      <c r="D375" t="s">
        <v>197</v>
      </c>
      <c r="E375" t="s">
        <v>197</v>
      </c>
      <c r="F375" t="s">
        <v>197</v>
      </c>
      <c r="G375" t="s">
        <v>197</v>
      </c>
      <c r="H375" t="s">
        <v>197</v>
      </c>
      <c r="I375" t="s">
        <v>197</v>
      </c>
      <c r="J375" t="s">
        <v>197</v>
      </c>
      <c r="K375" t="s">
        <v>678</v>
      </c>
    </row>
    <row r="376" spans="1:24">
      <c r="A376" t="s">
        <v>719</v>
      </c>
      <c r="K376" t="s">
        <v>720</v>
      </c>
      <c r="W376" t="s">
        <v>171</v>
      </c>
      <c r="X376" t="str">
        <f>A376</f>
        <v>info_datetime2_dml_batch1_pk_urp2</v>
      </c>
    </row>
    <row r="377" spans="1:24">
      <c r="B377" t="s">
        <v>196</v>
      </c>
      <c r="C377" t="s">
        <v>197</v>
      </c>
      <c r="D377" t="s">
        <v>197</v>
      </c>
      <c r="E377" t="s">
        <v>197</v>
      </c>
      <c r="F377" t="s">
        <v>197</v>
      </c>
      <c r="G377" t="s">
        <v>197</v>
      </c>
      <c r="H377" t="s">
        <v>197</v>
      </c>
      <c r="I377" t="s">
        <v>721</v>
      </c>
      <c r="J377" t="s">
        <v>199</v>
      </c>
      <c r="K377" t="s">
        <v>200</v>
      </c>
    </row>
    <row r="378" spans="1:24">
      <c r="B378" t="s">
        <v>197</v>
      </c>
      <c r="C378" t="s">
        <v>197</v>
      </c>
      <c r="D378" t="s">
        <v>197</v>
      </c>
      <c r="E378" t="s">
        <v>197</v>
      </c>
      <c r="F378" t="s">
        <v>197</v>
      </c>
      <c r="G378" t="s">
        <v>197</v>
      </c>
      <c r="H378" t="s">
        <v>197</v>
      </c>
      <c r="I378" t="s">
        <v>197</v>
      </c>
      <c r="J378" t="s">
        <v>197</v>
      </c>
      <c r="K378" t="s">
        <v>667</v>
      </c>
    </row>
    <row r="379" spans="1:24">
      <c r="B379" t="s">
        <v>197</v>
      </c>
      <c r="C379" t="s">
        <v>197</v>
      </c>
      <c r="D379" t="s">
        <v>197</v>
      </c>
      <c r="E379" t="s">
        <v>197</v>
      </c>
      <c r="F379" t="s">
        <v>197</v>
      </c>
      <c r="G379" t="s">
        <v>197</v>
      </c>
      <c r="H379" t="s">
        <v>197</v>
      </c>
      <c r="I379" t="s">
        <v>197</v>
      </c>
      <c r="J379" t="s">
        <v>197</v>
      </c>
      <c r="K379" t="s">
        <v>668</v>
      </c>
    </row>
    <row r="380" spans="1:24">
      <c r="B380" t="s">
        <v>197</v>
      </c>
      <c r="C380" t="s">
        <v>197</v>
      </c>
      <c r="D380" t="s">
        <v>197</v>
      </c>
      <c r="E380" t="s">
        <v>197</v>
      </c>
      <c r="F380" t="s">
        <v>197</v>
      </c>
      <c r="G380" t="s">
        <v>197</v>
      </c>
      <c r="H380" t="s">
        <v>197</v>
      </c>
      <c r="I380" t="s">
        <v>197</v>
      </c>
      <c r="J380" t="s">
        <v>197</v>
      </c>
      <c r="K380" t="s">
        <v>669</v>
      </c>
    </row>
    <row r="381" spans="1:24">
      <c r="B381" t="s">
        <v>197</v>
      </c>
      <c r="C381" t="s">
        <v>197</v>
      </c>
      <c r="D381" t="s">
        <v>197</v>
      </c>
      <c r="E381" t="s">
        <v>197</v>
      </c>
      <c r="F381" t="s">
        <v>197</v>
      </c>
      <c r="G381" t="s">
        <v>197</v>
      </c>
      <c r="H381" t="s">
        <v>197</v>
      </c>
      <c r="I381" t="s">
        <v>197</v>
      </c>
      <c r="J381" t="s">
        <v>197</v>
      </c>
      <c r="K381" t="s">
        <v>670</v>
      </c>
    </row>
    <row r="382" spans="1:24">
      <c r="B382" t="s">
        <v>197</v>
      </c>
      <c r="C382" t="s">
        <v>197</v>
      </c>
      <c r="D382" t="s">
        <v>197</v>
      </c>
      <c r="E382" t="s">
        <v>197</v>
      </c>
      <c r="F382" t="s">
        <v>197</v>
      </c>
      <c r="G382" t="s">
        <v>197</v>
      </c>
      <c r="H382" t="s">
        <v>197</v>
      </c>
      <c r="I382" t="s">
        <v>197</v>
      </c>
      <c r="J382" t="s">
        <v>197</v>
      </c>
      <c r="K382" t="s">
        <v>671</v>
      </c>
    </row>
    <row r="383" spans="1:24">
      <c r="B383" t="s">
        <v>197</v>
      </c>
      <c r="C383" t="s">
        <v>197</v>
      </c>
      <c r="D383" t="s">
        <v>197</v>
      </c>
      <c r="E383" t="s">
        <v>197</v>
      </c>
      <c r="F383" t="s">
        <v>197</v>
      </c>
      <c r="G383" t="s">
        <v>197</v>
      </c>
      <c r="H383" t="s">
        <v>197</v>
      </c>
      <c r="I383" t="s">
        <v>197</v>
      </c>
      <c r="J383" t="s">
        <v>197</v>
      </c>
      <c r="K383" t="s">
        <v>672</v>
      </c>
    </row>
    <row r="384" spans="1:24">
      <c r="B384" t="s">
        <v>197</v>
      </c>
      <c r="C384" t="s">
        <v>197</v>
      </c>
      <c r="D384" t="s">
        <v>197</v>
      </c>
      <c r="E384" t="s">
        <v>197</v>
      </c>
      <c r="F384" t="s">
        <v>197</v>
      </c>
      <c r="G384" t="s">
        <v>197</v>
      </c>
      <c r="H384" t="s">
        <v>197</v>
      </c>
      <c r="I384" t="s">
        <v>197</v>
      </c>
      <c r="J384" t="s">
        <v>197</v>
      </c>
      <c r="K384" t="s">
        <v>673</v>
      </c>
    </row>
    <row r="385" spans="1:24">
      <c r="B385" t="s">
        <v>197</v>
      </c>
      <c r="C385" t="s">
        <v>197</v>
      </c>
      <c r="D385" t="s">
        <v>197</v>
      </c>
      <c r="E385" t="s">
        <v>197</v>
      </c>
      <c r="F385" t="s">
        <v>197</v>
      </c>
      <c r="G385" t="s">
        <v>197</v>
      </c>
      <c r="H385" t="s">
        <v>197</v>
      </c>
      <c r="I385" t="s">
        <v>197</v>
      </c>
      <c r="J385" t="s">
        <v>197</v>
      </c>
      <c r="K385" t="s">
        <v>674</v>
      </c>
    </row>
    <row r="386" spans="1:24">
      <c r="A386" t="s">
        <v>722</v>
      </c>
      <c r="K386" t="s">
        <v>723</v>
      </c>
      <c r="W386" t="s">
        <v>171</v>
      </c>
      <c r="X386" t="str">
        <f>A386</f>
        <v>info_varcharmax_dml_batch1_pk_irp1</v>
      </c>
    </row>
    <row r="387" spans="1:24">
      <c r="B387" t="s">
        <v>196</v>
      </c>
      <c r="C387" t="s">
        <v>197</v>
      </c>
      <c r="D387" t="s">
        <v>197</v>
      </c>
      <c r="E387" t="s">
        <v>197</v>
      </c>
      <c r="F387" t="s">
        <v>197</v>
      </c>
      <c r="G387" t="s">
        <v>197</v>
      </c>
      <c r="H387" t="s">
        <v>197</v>
      </c>
      <c r="I387" t="s">
        <v>724</v>
      </c>
      <c r="J387" t="s">
        <v>199</v>
      </c>
      <c r="K387" t="s">
        <v>200</v>
      </c>
    </row>
    <row r="388" spans="1:24">
      <c r="B388" t="s">
        <v>197</v>
      </c>
      <c r="C388" t="s">
        <v>197</v>
      </c>
      <c r="D388" t="s">
        <v>197</v>
      </c>
      <c r="E388" t="s">
        <v>197</v>
      </c>
      <c r="F388" t="s">
        <v>197</v>
      </c>
      <c r="G388" t="s">
        <v>197</v>
      </c>
      <c r="H388" t="s">
        <v>197</v>
      </c>
      <c r="I388" t="s">
        <v>197</v>
      </c>
      <c r="J388" t="s">
        <v>197</v>
      </c>
      <c r="K388" t="s">
        <v>725</v>
      </c>
    </row>
    <row r="389" spans="1:24">
      <c r="B389" t="s">
        <v>197</v>
      </c>
      <c r="C389" t="s">
        <v>197</v>
      </c>
      <c r="D389" t="s">
        <v>197</v>
      </c>
      <c r="E389" t="s">
        <v>197</v>
      </c>
      <c r="F389" t="s">
        <v>197</v>
      </c>
      <c r="G389" t="s">
        <v>197</v>
      </c>
      <c r="H389" t="s">
        <v>197</v>
      </c>
      <c r="I389" t="s">
        <v>197</v>
      </c>
      <c r="J389" t="s">
        <v>197</v>
      </c>
      <c r="K389" t="s">
        <v>726</v>
      </c>
    </row>
    <row r="390" spans="1:24">
      <c r="K390" t="s">
        <v>443</v>
      </c>
    </row>
    <row r="391" spans="1:24">
      <c r="A391" t="s">
        <v>727</v>
      </c>
      <c r="K391" t="s">
        <v>728</v>
      </c>
      <c r="W391" t="s">
        <v>171</v>
      </c>
      <c r="X391" t="str">
        <f>A391</f>
        <v>info_nvarchar_dml_single_pk_irp</v>
      </c>
    </row>
    <row r="392" spans="1:24">
      <c r="B392" t="s">
        <v>196</v>
      </c>
      <c r="C392" t="s">
        <v>197</v>
      </c>
      <c r="D392" t="s">
        <v>197</v>
      </c>
      <c r="E392" t="s">
        <v>197</v>
      </c>
      <c r="F392" t="s">
        <v>197</v>
      </c>
      <c r="G392" t="s">
        <v>197</v>
      </c>
      <c r="H392" t="s">
        <v>197</v>
      </c>
      <c r="I392" t="s">
        <v>729</v>
      </c>
      <c r="J392" t="s">
        <v>199</v>
      </c>
      <c r="K392" t="s">
        <v>200</v>
      </c>
    </row>
    <row r="393" spans="1:24">
      <c r="B393" t="s">
        <v>197</v>
      </c>
      <c r="C393" t="s">
        <v>197</v>
      </c>
      <c r="D393" t="s">
        <v>197</v>
      </c>
      <c r="E393" t="s">
        <v>197</v>
      </c>
      <c r="F393" t="s">
        <v>197</v>
      </c>
      <c r="G393" t="s">
        <v>197</v>
      </c>
      <c r="H393" t="s">
        <v>197</v>
      </c>
      <c r="I393" t="s">
        <v>197</v>
      </c>
      <c r="J393" t="s">
        <v>197</v>
      </c>
      <c r="K393" t="s">
        <v>408</v>
      </c>
    </row>
    <row r="394" spans="1:24">
      <c r="B394" t="s">
        <v>197</v>
      </c>
      <c r="C394" t="s">
        <v>197</v>
      </c>
      <c r="D394" t="s">
        <v>197</v>
      </c>
      <c r="E394" t="s">
        <v>197</v>
      </c>
      <c r="F394" t="s">
        <v>197</v>
      </c>
      <c r="G394" t="s">
        <v>197</v>
      </c>
      <c r="H394" t="s">
        <v>197</v>
      </c>
      <c r="I394" t="s">
        <v>197</v>
      </c>
      <c r="J394" t="s">
        <v>197</v>
      </c>
      <c r="K394" t="s">
        <v>412</v>
      </c>
    </row>
    <row r="395" spans="1:24">
      <c r="B395" t="s">
        <v>197</v>
      </c>
      <c r="C395" t="s">
        <v>197</v>
      </c>
      <c r="D395" t="s">
        <v>197</v>
      </c>
      <c r="E395" t="s">
        <v>197</v>
      </c>
      <c r="F395" t="s">
        <v>197</v>
      </c>
      <c r="G395" t="s">
        <v>197</v>
      </c>
      <c r="H395" t="s">
        <v>197</v>
      </c>
      <c r="I395" t="s">
        <v>197</v>
      </c>
      <c r="J395" t="s">
        <v>197</v>
      </c>
      <c r="K395" t="s">
        <v>730</v>
      </c>
    </row>
    <row r="396" spans="1:24">
      <c r="A396" t="s">
        <v>731</v>
      </c>
      <c r="K396" t="s">
        <v>732</v>
      </c>
      <c r="W396" t="s">
        <v>171</v>
      </c>
      <c r="X396" t="str">
        <f>A396</f>
        <v>info_datetime2_dml_batch1_pk_drp1</v>
      </c>
    </row>
    <row r="397" spans="1:24">
      <c r="B397" t="s">
        <v>196</v>
      </c>
      <c r="C397" t="s">
        <v>197</v>
      </c>
      <c r="D397" t="s">
        <v>197</v>
      </c>
      <c r="E397" t="s">
        <v>197</v>
      </c>
      <c r="F397" t="s">
        <v>197</v>
      </c>
      <c r="G397" t="s">
        <v>197</v>
      </c>
      <c r="H397" t="s">
        <v>197</v>
      </c>
      <c r="I397" t="s">
        <v>733</v>
      </c>
      <c r="J397" t="s">
        <v>199</v>
      </c>
      <c r="K397" t="s">
        <v>200</v>
      </c>
    </row>
    <row r="398" spans="1:24">
      <c r="B398" t="s">
        <v>197</v>
      </c>
      <c r="C398" t="s">
        <v>197</v>
      </c>
      <c r="D398" t="s">
        <v>197</v>
      </c>
      <c r="E398" t="s">
        <v>197</v>
      </c>
      <c r="F398" t="s">
        <v>197</v>
      </c>
      <c r="G398" t="s">
        <v>197</v>
      </c>
      <c r="H398" t="s">
        <v>197</v>
      </c>
      <c r="I398" t="s">
        <v>197</v>
      </c>
      <c r="J398" t="s">
        <v>197</v>
      </c>
      <c r="K398" t="s">
        <v>667</v>
      </c>
    </row>
    <row r="399" spans="1:24">
      <c r="B399" t="s">
        <v>197</v>
      </c>
      <c r="C399" t="s">
        <v>197</v>
      </c>
      <c r="D399" t="s">
        <v>197</v>
      </c>
      <c r="E399" t="s">
        <v>197</v>
      </c>
      <c r="F399" t="s">
        <v>197</v>
      </c>
      <c r="G399" t="s">
        <v>197</v>
      </c>
      <c r="H399" t="s">
        <v>197</v>
      </c>
      <c r="I399" t="s">
        <v>197</v>
      </c>
      <c r="J399" t="s">
        <v>197</v>
      </c>
      <c r="K399" t="s">
        <v>668</v>
      </c>
    </row>
    <row r="400" spans="1:24">
      <c r="B400" t="s">
        <v>197</v>
      </c>
      <c r="C400" t="s">
        <v>197</v>
      </c>
      <c r="D400" t="s">
        <v>197</v>
      </c>
      <c r="E400" t="s">
        <v>197</v>
      </c>
      <c r="F400" t="s">
        <v>197</v>
      </c>
      <c r="G400" t="s">
        <v>197</v>
      </c>
      <c r="H400" t="s">
        <v>197</v>
      </c>
      <c r="I400" t="s">
        <v>197</v>
      </c>
      <c r="J400" t="s">
        <v>197</v>
      </c>
      <c r="K400" t="s">
        <v>669</v>
      </c>
    </row>
    <row r="401" spans="1:24">
      <c r="B401" t="s">
        <v>197</v>
      </c>
      <c r="C401" t="s">
        <v>197</v>
      </c>
      <c r="D401" t="s">
        <v>197</v>
      </c>
      <c r="E401" t="s">
        <v>197</v>
      </c>
      <c r="F401" t="s">
        <v>197</v>
      </c>
      <c r="G401" t="s">
        <v>197</v>
      </c>
      <c r="H401" t="s">
        <v>197</v>
      </c>
      <c r="I401" t="s">
        <v>197</v>
      </c>
      <c r="J401" t="s">
        <v>197</v>
      </c>
      <c r="K401" t="s">
        <v>670</v>
      </c>
    </row>
    <row r="402" spans="1:24">
      <c r="B402" t="s">
        <v>197</v>
      </c>
      <c r="C402" t="s">
        <v>197</v>
      </c>
      <c r="D402" t="s">
        <v>197</v>
      </c>
      <c r="E402" t="s">
        <v>197</v>
      </c>
      <c r="F402" t="s">
        <v>197</v>
      </c>
      <c r="G402" t="s">
        <v>197</v>
      </c>
      <c r="H402" t="s">
        <v>197</v>
      </c>
      <c r="I402" t="s">
        <v>197</v>
      </c>
      <c r="J402" t="s">
        <v>197</v>
      </c>
      <c r="K402" t="s">
        <v>671</v>
      </c>
    </row>
    <row r="403" spans="1:24">
      <c r="B403" t="s">
        <v>197</v>
      </c>
      <c r="C403" t="s">
        <v>197</v>
      </c>
      <c r="D403" t="s">
        <v>197</v>
      </c>
      <c r="E403" t="s">
        <v>197</v>
      </c>
      <c r="F403" t="s">
        <v>197</v>
      </c>
      <c r="G403" t="s">
        <v>197</v>
      </c>
      <c r="H403" t="s">
        <v>197</v>
      </c>
      <c r="I403" t="s">
        <v>197</v>
      </c>
      <c r="J403" t="s">
        <v>197</v>
      </c>
      <c r="K403" t="s">
        <v>672</v>
      </c>
    </row>
    <row r="404" spans="1:24">
      <c r="B404" t="s">
        <v>197</v>
      </c>
      <c r="C404" t="s">
        <v>197</v>
      </c>
      <c r="D404" t="s">
        <v>197</v>
      </c>
      <c r="E404" t="s">
        <v>197</v>
      </c>
      <c r="F404" t="s">
        <v>197</v>
      </c>
      <c r="G404" t="s">
        <v>197</v>
      </c>
      <c r="H404" t="s">
        <v>197</v>
      </c>
      <c r="I404" t="s">
        <v>197</v>
      </c>
      <c r="J404" t="s">
        <v>197</v>
      </c>
      <c r="K404" t="s">
        <v>673</v>
      </c>
    </row>
    <row r="405" spans="1:24">
      <c r="B405" t="s">
        <v>197</v>
      </c>
      <c r="C405" t="s">
        <v>197</v>
      </c>
      <c r="D405" t="s">
        <v>197</v>
      </c>
      <c r="E405" t="s">
        <v>197</v>
      </c>
      <c r="F405" t="s">
        <v>197</v>
      </c>
      <c r="G405" t="s">
        <v>197</v>
      </c>
      <c r="H405" t="s">
        <v>197</v>
      </c>
      <c r="I405" t="s">
        <v>197</v>
      </c>
      <c r="J405" t="s">
        <v>197</v>
      </c>
      <c r="K405" t="s">
        <v>674</v>
      </c>
    </row>
    <row r="406" spans="1:24">
      <c r="K406" t="s">
        <v>443</v>
      </c>
    </row>
    <row r="407" spans="1:24">
      <c r="A407" t="s">
        <v>734</v>
      </c>
      <c r="K407" t="s">
        <v>735</v>
      </c>
      <c r="W407" t="s">
        <v>171</v>
      </c>
      <c r="X407" t="str">
        <f>A407</f>
        <v>info_varcharmax_dml_batch1_pk_irp2</v>
      </c>
    </row>
    <row r="408" spans="1:24">
      <c r="B408" t="s">
        <v>196</v>
      </c>
      <c r="C408" t="s">
        <v>197</v>
      </c>
      <c r="D408" t="s">
        <v>197</v>
      </c>
      <c r="E408" t="s">
        <v>197</v>
      </c>
      <c r="F408" t="s">
        <v>197</v>
      </c>
      <c r="G408" t="s">
        <v>197</v>
      </c>
      <c r="H408" t="s">
        <v>197</v>
      </c>
      <c r="I408" t="s">
        <v>736</v>
      </c>
      <c r="J408" t="s">
        <v>199</v>
      </c>
      <c r="K408" t="s">
        <v>200</v>
      </c>
    </row>
    <row r="409" spans="1:24">
      <c r="B409" t="s">
        <v>197</v>
      </c>
      <c r="C409" t="s">
        <v>197</v>
      </c>
      <c r="D409" t="s">
        <v>197</v>
      </c>
      <c r="E409" t="s">
        <v>197</v>
      </c>
      <c r="F409" t="s">
        <v>197</v>
      </c>
      <c r="G409" t="s">
        <v>197</v>
      </c>
      <c r="H409" t="s">
        <v>197</v>
      </c>
      <c r="I409" t="s">
        <v>197</v>
      </c>
      <c r="J409" t="s">
        <v>197</v>
      </c>
      <c r="K409" t="s">
        <v>725</v>
      </c>
    </row>
    <row r="410" spans="1:24">
      <c r="B410" t="s">
        <v>197</v>
      </c>
      <c r="C410" t="s">
        <v>197</v>
      </c>
      <c r="D410" t="s">
        <v>197</v>
      </c>
      <c r="E410" t="s">
        <v>197</v>
      </c>
      <c r="F410" t="s">
        <v>197</v>
      </c>
      <c r="G410" t="s">
        <v>197</v>
      </c>
      <c r="H410" t="s">
        <v>197</v>
      </c>
      <c r="I410" t="s">
        <v>197</v>
      </c>
      <c r="J410" t="s">
        <v>197</v>
      </c>
      <c r="K410" t="s">
        <v>726</v>
      </c>
    </row>
    <row r="411" spans="1:24">
      <c r="K411" t="s">
        <v>443</v>
      </c>
    </row>
    <row r="412" spans="1:24">
      <c r="A412" t="s">
        <v>737</v>
      </c>
      <c r="K412" t="s">
        <v>738</v>
      </c>
      <c r="W412" t="s">
        <v>171</v>
      </c>
      <c r="X412" t="str">
        <f>A412</f>
        <v>info_binary_dml_batch1_pk_irp2</v>
      </c>
    </row>
    <row r="413" spans="1:24">
      <c r="B413" t="s">
        <v>196</v>
      </c>
      <c r="C413" t="s">
        <v>197</v>
      </c>
      <c r="D413" t="s">
        <v>197</v>
      </c>
      <c r="E413" t="s">
        <v>197</v>
      </c>
      <c r="F413" t="s">
        <v>197</v>
      </c>
      <c r="G413" t="s">
        <v>197</v>
      </c>
      <c r="H413" t="s">
        <v>197</v>
      </c>
      <c r="I413" t="s">
        <v>739</v>
      </c>
      <c r="J413" t="s">
        <v>199</v>
      </c>
      <c r="K413" t="s">
        <v>200</v>
      </c>
    </row>
    <row r="414" spans="1:24">
      <c r="B414" t="s">
        <v>197</v>
      </c>
      <c r="C414" t="s">
        <v>197</v>
      </c>
      <c r="D414" t="s">
        <v>197</v>
      </c>
      <c r="E414" t="s">
        <v>197</v>
      </c>
      <c r="F414" t="s">
        <v>197</v>
      </c>
      <c r="G414" t="s">
        <v>197</v>
      </c>
      <c r="H414" t="s">
        <v>197</v>
      </c>
      <c r="I414" t="s">
        <v>197</v>
      </c>
      <c r="J414" t="s">
        <v>197</v>
      </c>
      <c r="K414" t="s">
        <v>691</v>
      </c>
    </row>
    <row r="415" spans="1:24">
      <c r="B415" t="s">
        <v>197</v>
      </c>
      <c r="C415" t="s">
        <v>197</v>
      </c>
      <c r="D415" t="s">
        <v>197</v>
      </c>
      <c r="E415" t="s">
        <v>197</v>
      </c>
      <c r="F415" t="s">
        <v>197</v>
      </c>
      <c r="G415" t="s">
        <v>197</v>
      </c>
      <c r="H415" t="s">
        <v>197</v>
      </c>
      <c r="I415" t="s">
        <v>197</v>
      </c>
      <c r="J415" t="s">
        <v>197</v>
      </c>
      <c r="K415" t="s">
        <v>692</v>
      </c>
    </row>
    <row r="416" spans="1:24">
      <c r="B416" t="s">
        <v>197</v>
      </c>
      <c r="C416" t="s">
        <v>197</v>
      </c>
      <c r="D416" t="s">
        <v>197</v>
      </c>
      <c r="E416" t="s">
        <v>197</v>
      </c>
      <c r="F416" t="s">
        <v>197</v>
      </c>
      <c r="G416" t="s">
        <v>197</v>
      </c>
      <c r="H416" t="s">
        <v>197</v>
      </c>
      <c r="I416" t="s">
        <v>197</v>
      </c>
      <c r="J416" t="s">
        <v>197</v>
      </c>
      <c r="K416" t="s">
        <v>693</v>
      </c>
    </row>
    <row r="417" spans="1:24">
      <c r="A417" t="s">
        <v>740</v>
      </c>
      <c r="K417" t="s">
        <v>741</v>
      </c>
      <c r="W417" t="s">
        <v>171</v>
      </c>
      <c r="X417" t="str">
        <f>A417</f>
        <v>info_datetime2_dml_batch1_pk_drp2</v>
      </c>
    </row>
    <row r="418" spans="1:24">
      <c r="B418" t="s">
        <v>196</v>
      </c>
      <c r="C418" t="s">
        <v>197</v>
      </c>
      <c r="D418" t="s">
        <v>197</v>
      </c>
      <c r="E418" t="s">
        <v>197</v>
      </c>
      <c r="F418" t="s">
        <v>197</v>
      </c>
      <c r="G418" t="s">
        <v>197</v>
      </c>
      <c r="H418" t="s">
        <v>197</v>
      </c>
      <c r="I418" t="s">
        <v>742</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749</v>
      </c>
      <c r="K435" t="s">
        <v>750</v>
      </c>
      <c r="W435" t="s">
        <v>171</v>
      </c>
      <c r="X435" t="str">
        <f>A435</f>
        <v>info_datetime2_dml_batch1_pk</v>
      </c>
    </row>
    <row r="436" spans="1:24">
      <c r="B436" t="s">
        <v>196</v>
      </c>
      <c r="C436" t="s">
        <v>197</v>
      </c>
      <c r="D436" t="s">
        <v>197</v>
      </c>
      <c r="E436" t="s">
        <v>197</v>
      </c>
      <c r="F436" t="s">
        <v>197</v>
      </c>
      <c r="G436" t="s">
        <v>197</v>
      </c>
      <c r="H436" t="s">
        <v>197</v>
      </c>
      <c r="I436" t="s">
        <v>751</v>
      </c>
      <c r="J436" t="s">
        <v>199</v>
      </c>
      <c r="K436" t="s">
        <v>200</v>
      </c>
    </row>
    <row r="437" spans="1:24">
      <c r="B437" t="s">
        <v>197</v>
      </c>
      <c r="C437" t="s">
        <v>197</v>
      </c>
      <c r="D437" t="s">
        <v>197</v>
      </c>
      <c r="E437" t="s">
        <v>197</v>
      </c>
      <c r="F437" t="s">
        <v>197</v>
      </c>
      <c r="G437" t="s">
        <v>197</v>
      </c>
      <c r="H437" t="s">
        <v>197</v>
      </c>
      <c r="I437" t="s">
        <v>197</v>
      </c>
      <c r="J437" t="s">
        <v>197</v>
      </c>
      <c r="K437" t="s">
        <v>667</v>
      </c>
    </row>
    <row r="438" spans="1:24">
      <c r="B438" t="s">
        <v>197</v>
      </c>
      <c r="C438" t="s">
        <v>197</v>
      </c>
      <c r="D438" t="s">
        <v>197</v>
      </c>
      <c r="E438" t="s">
        <v>197</v>
      </c>
      <c r="F438" t="s">
        <v>197</v>
      </c>
      <c r="G438" t="s">
        <v>197</v>
      </c>
      <c r="H438" t="s">
        <v>197</v>
      </c>
      <c r="I438" t="s">
        <v>197</v>
      </c>
      <c r="J438" t="s">
        <v>197</v>
      </c>
      <c r="K438" t="s">
        <v>668</v>
      </c>
    </row>
    <row r="439" spans="1:24">
      <c r="B439" t="s">
        <v>197</v>
      </c>
      <c r="C439" t="s">
        <v>197</v>
      </c>
      <c r="D439" t="s">
        <v>197</v>
      </c>
      <c r="E439" t="s">
        <v>197</v>
      </c>
      <c r="F439" t="s">
        <v>197</v>
      </c>
      <c r="G439" t="s">
        <v>197</v>
      </c>
      <c r="H439" t="s">
        <v>197</v>
      </c>
      <c r="I439" t="s">
        <v>197</v>
      </c>
      <c r="J439" t="s">
        <v>197</v>
      </c>
      <c r="K439" t="s">
        <v>669</v>
      </c>
    </row>
    <row r="440" spans="1:24">
      <c r="B440" t="s">
        <v>197</v>
      </c>
      <c r="C440" t="s">
        <v>197</v>
      </c>
      <c r="D440" t="s">
        <v>197</v>
      </c>
      <c r="E440" t="s">
        <v>197</v>
      </c>
      <c r="F440" t="s">
        <v>197</v>
      </c>
      <c r="G440" t="s">
        <v>197</v>
      </c>
      <c r="H440" t="s">
        <v>197</v>
      </c>
      <c r="I440" t="s">
        <v>197</v>
      </c>
      <c r="J440" t="s">
        <v>197</v>
      </c>
      <c r="K440" t="s">
        <v>670</v>
      </c>
    </row>
    <row r="441" spans="1:24">
      <c r="B441" t="s">
        <v>197</v>
      </c>
      <c r="C441" t="s">
        <v>197</v>
      </c>
      <c r="D441" t="s">
        <v>197</v>
      </c>
      <c r="E441" t="s">
        <v>197</v>
      </c>
      <c r="F441" t="s">
        <v>197</v>
      </c>
      <c r="G441" t="s">
        <v>197</v>
      </c>
      <c r="H441" t="s">
        <v>197</v>
      </c>
      <c r="I441" t="s">
        <v>197</v>
      </c>
      <c r="J441" t="s">
        <v>197</v>
      </c>
      <c r="K441" t="s">
        <v>671</v>
      </c>
    </row>
    <row r="442" spans="1:24">
      <c r="B442" t="s">
        <v>197</v>
      </c>
      <c r="C442" t="s">
        <v>197</v>
      </c>
      <c r="D442" t="s">
        <v>197</v>
      </c>
      <c r="E442" t="s">
        <v>197</v>
      </c>
      <c r="F442" t="s">
        <v>197</v>
      </c>
      <c r="G442" t="s">
        <v>197</v>
      </c>
      <c r="H442" t="s">
        <v>197</v>
      </c>
      <c r="I442" t="s">
        <v>197</v>
      </c>
      <c r="J442" t="s">
        <v>197</v>
      </c>
      <c r="K442" t="s">
        <v>672</v>
      </c>
    </row>
    <row r="443" spans="1:24">
      <c r="B443" t="s">
        <v>197</v>
      </c>
      <c r="C443" t="s">
        <v>197</v>
      </c>
      <c r="D443" t="s">
        <v>197</v>
      </c>
      <c r="E443" t="s">
        <v>197</v>
      </c>
      <c r="F443" t="s">
        <v>197</v>
      </c>
      <c r="G443" t="s">
        <v>197</v>
      </c>
      <c r="H443" t="s">
        <v>197</v>
      </c>
      <c r="I443" t="s">
        <v>197</v>
      </c>
      <c r="J443" t="s">
        <v>197</v>
      </c>
      <c r="K443" t="s">
        <v>673</v>
      </c>
    </row>
    <row r="444" spans="1:24">
      <c r="B444" t="s">
        <v>197</v>
      </c>
      <c r="C444" t="s">
        <v>197</v>
      </c>
      <c r="D444" t="s">
        <v>197</v>
      </c>
      <c r="E444" t="s">
        <v>197</v>
      </c>
      <c r="F444" t="s">
        <v>197</v>
      </c>
      <c r="G444" t="s">
        <v>197</v>
      </c>
      <c r="H444" t="s">
        <v>197</v>
      </c>
      <c r="I444" t="s">
        <v>197</v>
      </c>
      <c r="J444" t="s">
        <v>197</v>
      </c>
      <c r="K444" t="s">
        <v>674</v>
      </c>
    </row>
    <row r="445" spans="1:24">
      <c r="A445" t="s">
        <v>752</v>
      </c>
      <c r="K445" t="s">
        <v>753</v>
      </c>
      <c r="W445" t="s">
        <v>171</v>
      </c>
      <c r="X445" t="str">
        <f>A445</f>
        <v>info_nchar_dml_batch2_pk_irp1</v>
      </c>
    </row>
    <row r="446" spans="1:24">
      <c r="B446" t="s">
        <v>196</v>
      </c>
      <c r="C446" t="s">
        <v>197</v>
      </c>
      <c r="D446" t="s">
        <v>197</v>
      </c>
      <c r="E446" t="s">
        <v>197</v>
      </c>
      <c r="F446" t="s">
        <v>197</v>
      </c>
      <c r="G446" t="s">
        <v>197</v>
      </c>
      <c r="H446" t="s">
        <v>197</v>
      </c>
      <c r="I446" t="s">
        <v>754</v>
      </c>
      <c r="J446" t="s">
        <v>199</v>
      </c>
      <c r="K446" t="s">
        <v>200</v>
      </c>
    </row>
    <row r="447" spans="1:24">
      <c r="B447" t="s">
        <v>197</v>
      </c>
      <c r="C447" t="s">
        <v>197</v>
      </c>
      <c r="D447" t="s">
        <v>197</v>
      </c>
      <c r="E447" t="s">
        <v>197</v>
      </c>
      <c r="F447" t="s">
        <v>197</v>
      </c>
      <c r="G447" t="s">
        <v>197</v>
      </c>
      <c r="H447" t="s">
        <v>197</v>
      </c>
      <c r="I447" t="s">
        <v>197</v>
      </c>
      <c r="J447" t="s">
        <v>197</v>
      </c>
      <c r="K447" t="s">
        <v>514</v>
      </c>
    </row>
    <row r="448" spans="1:24">
      <c r="B448" t="s">
        <v>197</v>
      </c>
      <c r="C448" t="s">
        <v>197</v>
      </c>
      <c r="D448" t="s">
        <v>197</v>
      </c>
      <c r="E448" t="s">
        <v>197</v>
      </c>
      <c r="F448" t="s">
        <v>197</v>
      </c>
      <c r="G448" t="s">
        <v>197</v>
      </c>
      <c r="H448" t="s">
        <v>197</v>
      </c>
      <c r="I448" t="s">
        <v>197</v>
      </c>
      <c r="J448" t="s">
        <v>197</v>
      </c>
      <c r="K448" t="s">
        <v>516</v>
      </c>
    </row>
    <row r="449" spans="1:24">
      <c r="B449" t="s">
        <v>197</v>
      </c>
      <c r="C449" t="s">
        <v>197</v>
      </c>
      <c r="D449" t="s">
        <v>197</v>
      </c>
      <c r="E449" t="s">
        <v>197</v>
      </c>
      <c r="F449" t="s">
        <v>197</v>
      </c>
      <c r="G449" t="s">
        <v>197</v>
      </c>
      <c r="H449" t="s">
        <v>197</v>
      </c>
      <c r="I449" t="s">
        <v>197</v>
      </c>
      <c r="J449" t="s">
        <v>197</v>
      </c>
      <c r="K449" t="s">
        <v>612</v>
      </c>
    </row>
    <row r="450" spans="1:24">
      <c r="A450" t="s">
        <v>755</v>
      </c>
      <c r="K450" t="s">
        <v>756</v>
      </c>
      <c r="W450" t="s">
        <v>171</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t="s">
        <v>171</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764</v>
      </c>
      <c r="K461" t="s">
        <v>765</v>
      </c>
      <c r="W461" t="s">
        <v>171</v>
      </c>
      <c r="X461" t="str">
        <f>A461</f>
        <v>info_datetimeoffset_dml_batch1_pk_irp1</v>
      </c>
    </row>
    <row r="462" spans="1:24">
      <c r="B462" t="s">
        <v>196</v>
      </c>
      <c r="C462" t="s">
        <v>197</v>
      </c>
      <c r="D462" t="s">
        <v>197</v>
      </c>
      <c r="E462" t="s">
        <v>197</v>
      </c>
      <c r="F462" t="s">
        <v>197</v>
      </c>
      <c r="G462" t="s">
        <v>197</v>
      </c>
      <c r="H462" t="s">
        <v>197</v>
      </c>
      <c r="I462" t="s">
        <v>766</v>
      </c>
      <c r="J462" t="s">
        <v>199</v>
      </c>
      <c r="K462" t="s">
        <v>200</v>
      </c>
    </row>
    <row r="463" spans="1:24">
      <c r="B463" t="s">
        <v>197</v>
      </c>
      <c r="C463" t="s">
        <v>197</v>
      </c>
      <c r="D463" t="s">
        <v>197</v>
      </c>
      <c r="E463" t="s">
        <v>197</v>
      </c>
      <c r="F463" t="s">
        <v>197</v>
      </c>
      <c r="G463" t="s">
        <v>197</v>
      </c>
      <c r="H463" t="s">
        <v>197</v>
      </c>
      <c r="I463" t="s">
        <v>197</v>
      </c>
      <c r="J463" t="s">
        <v>197</v>
      </c>
      <c r="K463" t="s">
        <v>301</v>
      </c>
    </row>
    <row r="464" spans="1:24">
      <c r="B464" t="s">
        <v>197</v>
      </c>
      <c r="C464" t="s">
        <v>197</v>
      </c>
      <c r="D464" t="s">
        <v>197</v>
      </c>
      <c r="E464" t="s">
        <v>197</v>
      </c>
      <c r="F464" t="s">
        <v>197</v>
      </c>
      <c r="G464" t="s">
        <v>197</v>
      </c>
      <c r="H464" t="s">
        <v>197</v>
      </c>
      <c r="I464" t="s">
        <v>197</v>
      </c>
      <c r="J464" t="s">
        <v>197</v>
      </c>
      <c r="K464" t="s">
        <v>314</v>
      </c>
    </row>
    <row r="465" spans="1:24">
      <c r="B465" t="s">
        <v>197</v>
      </c>
      <c r="C465" t="s">
        <v>197</v>
      </c>
      <c r="D465" t="s">
        <v>197</v>
      </c>
      <c r="E465" t="s">
        <v>197</v>
      </c>
      <c r="F465" t="s">
        <v>197</v>
      </c>
      <c r="G465" t="s">
        <v>197</v>
      </c>
      <c r="H465" t="s">
        <v>197</v>
      </c>
      <c r="I465" t="s">
        <v>197</v>
      </c>
      <c r="J465" t="s">
        <v>197</v>
      </c>
      <c r="K465" t="s">
        <v>324</v>
      </c>
    </row>
    <row r="466" spans="1:24">
      <c r="B466" t="s">
        <v>197</v>
      </c>
      <c r="C466" t="s">
        <v>197</v>
      </c>
      <c r="D466" t="s">
        <v>197</v>
      </c>
      <c r="E466" t="s">
        <v>197</v>
      </c>
      <c r="F466" t="s">
        <v>197</v>
      </c>
      <c r="G466" t="s">
        <v>197</v>
      </c>
      <c r="H466" t="s">
        <v>197</v>
      </c>
      <c r="I466" t="s">
        <v>197</v>
      </c>
      <c r="J466" t="s">
        <v>197</v>
      </c>
      <c r="K466" t="s">
        <v>335</v>
      </c>
    </row>
    <row r="467" spans="1:24">
      <c r="B467" t="s">
        <v>197</v>
      </c>
      <c r="C467" t="s">
        <v>197</v>
      </c>
      <c r="D467" t="s">
        <v>197</v>
      </c>
      <c r="E467" t="s">
        <v>197</v>
      </c>
      <c r="F467" t="s">
        <v>197</v>
      </c>
      <c r="G467" t="s">
        <v>197</v>
      </c>
      <c r="H467" t="s">
        <v>197</v>
      </c>
      <c r="I467" t="s">
        <v>197</v>
      </c>
      <c r="J467" t="s">
        <v>197</v>
      </c>
      <c r="K467" t="s">
        <v>350</v>
      </c>
    </row>
    <row r="468" spans="1:24">
      <c r="B468" t="s">
        <v>197</v>
      </c>
      <c r="C468" t="s">
        <v>197</v>
      </c>
      <c r="D468" t="s">
        <v>197</v>
      </c>
      <c r="E468" t="s">
        <v>197</v>
      </c>
      <c r="F468" t="s">
        <v>197</v>
      </c>
      <c r="G468" t="s">
        <v>197</v>
      </c>
      <c r="H468" t="s">
        <v>197</v>
      </c>
      <c r="I468" t="s">
        <v>197</v>
      </c>
      <c r="J468" t="s">
        <v>197</v>
      </c>
      <c r="K468" t="s">
        <v>360</v>
      </c>
    </row>
    <row r="469" spans="1:24">
      <c r="B469" t="s">
        <v>197</v>
      </c>
      <c r="C469" t="s">
        <v>197</v>
      </c>
      <c r="D469" t="s">
        <v>197</v>
      </c>
      <c r="E469" t="s">
        <v>197</v>
      </c>
      <c r="F469" t="s">
        <v>197</v>
      </c>
      <c r="G469" t="s">
        <v>197</v>
      </c>
      <c r="H469" t="s">
        <v>197</v>
      </c>
      <c r="I469" t="s">
        <v>197</v>
      </c>
      <c r="J469" t="s">
        <v>197</v>
      </c>
      <c r="K469" t="s">
        <v>367</v>
      </c>
    </row>
    <row r="470" spans="1:24">
      <c r="B470" t="s">
        <v>197</v>
      </c>
      <c r="C470" t="s">
        <v>197</v>
      </c>
      <c r="D470" t="s">
        <v>197</v>
      </c>
      <c r="E470" t="s">
        <v>197</v>
      </c>
      <c r="F470" t="s">
        <v>197</v>
      </c>
      <c r="G470" t="s">
        <v>197</v>
      </c>
      <c r="H470" t="s">
        <v>197</v>
      </c>
      <c r="I470" t="s">
        <v>197</v>
      </c>
      <c r="J470" t="s">
        <v>197</v>
      </c>
      <c r="K470" t="s">
        <v>373</v>
      </c>
    </row>
    <row r="471" spans="1:24">
      <c r="A471" t="s">
        <v>770</v>
      </c>
      <c r="K471" t="s">
        <v>771</v>
      </c>
      <c r="W471" t="s">
        <v>171</v>
      </c>
      <c r="X471" t="str">
        <f>A471</f>
        <v>info_date_dml_single_pk</v>
      </c>
    </row>
    <row r="472" spans="1:24">
      <c r="B472" t="s">
        <v>196</v>
      </c>
      <c r="C472" t="s">
        <v>197</v>
      </c>
      <c r="D472" t="s">
        <v>197</v>
      </c>
      <c r="E472" t="s">
        <v>197</v>
      </c>
      <c r="F472" t="s">
        <v>197</v>
      </c>
      <c r="G472" t="s">
        <v>197</v>
      </c>
      <c r="H472" t="s">
        <v>197</v>
      </c>
      <c r="I472" t="s">
        <v>772</v>
      </c>
      <c r="J472" t="s">
        <v>199</v>
      </c>
      <c r="K472" t="s">
        <v>200</v>
      </c>
    </row>
    <row r="473" spans="1:24">
      <c r="B473" t="s">
        <v>197</v>
      </c>
      <c r="C473" t="s">
        <v>197</v>
      </c>
      <c r="D473" t="s">
        <v>197</v>
      </c>
      <c r="E473" t="s">
        <v>197</v>
      </c>
      <c r="F473" t="s">
        <v>197</v>
      </c>
      <c r="G473" t="s">
        <v>197</v>
      </c>
      <c r="H473" t="s">
        <v>197</v>
      </c>
      <c r="I473" t="s">
        <v>197</v>
      </c>
      <c r="J473" t="s">
        <v>197</v>
      </c>
      <c r="K473" t="s">
        <v>678</v>
      </c>
    </row>
    <row r="474" spans="1:24">
      <c r="A474" t="s">
        <v>767</v>
      </c>
      <c r="K474" t="s">
        <v>768</v>
      </c>
      <c r="W474" t="s">
        <v>171</v>
      </c>
      <c r="X474" t="str">
        <f>A474</f>
        <v>info_nchar_dml_batch2_pk_irp2</v>
      </c>
    </row>
    <row r="475" spans="1:24">
      <c r="B475" t="s">
        <v>196</v>
      </c>
      <c r="C475" t="s">
        <v>197</v>
      </c>
      <c r="D475" t="s">
        <v>197</v>
      </c>
      <c r="E475" t="s">
        <v>197</v>
      </c>
      <c r="F475" t="s">
        <v>197</v>
      </c>
      <c r="G475" t="s">
        <v>197</v>
      </c>
      <c r="H475" t="s">
        <v>197</v>
      </c>
      <c r="I475" t="s">
        <v>769</v>
      </c>
      <c r="J475" t="s">
        <v>199</v>
      </c>
      <c r="K475" t="s">
        <v>200</v>
      </c>
    </row>
    <row r="476" spans="1:24">
      <c r="B476" t="s">
        <v>197</v>
      </c>
      <c r="C476" t="s">
        <v>197</v>
      </c>
      <c r="D476" t="s">
        <v>197</v>
      </c>
      <c r="E476" t="s">
        <v>197</v>
      </c>
      <c r="F476" t="s">
        <v>197</v>
      </c>
      <c r="G476" t="s">
        <v>197</v>
      </c>
      <c r="H476" t="s">
        <v>197</v>
      </c>
      <c r="I476" t="s">
        <v>197</v>
      </c>
      <c r="J476" t="s">
        <v>197</v>
      </c>
      <c r="K476" t="s">
        <v>514</v>
      </c>
    </row>
    <row r="477" spans="1:24">
      <c r="B477" t="s">
        <v>197</v>
      </c>
      <c r="C477" t="s">
        <v>197</v>
      </c>
      <c r="D477" t="s">
        <v>197</v>
      </c>
      <c r="E477" t="s">
        <v>197</v>
      </c>
      <c r="F477" t="s">
        <v>197</v>
      </c>
      <c r="G477" t="s">
        <v>197</v>
      </c>
      <c r="H477" t="s">
        <v>197</v>
      </c>
      <c r="I477" t="s">
        <v>197</v>
      </c>
      <c r="J477" t="s">
        <v>197</v>
      </c>
      <c r="K477" t="s">
        <v>516</v>
      </c>
    </row>
    <row r="478" spans="1:24">
      <c r="B478" t="s">
        <v>197</v>
      </c>
      <c r="C478" t="s">
        <v>197</v>
      </c>
      <c r="D478" t="s">
        <v>197</v>
      </c>
      <c r="E478" t="s">
        <v>197</v>
      </c>
      <c r="F478" t="s">
        <v>197</v>
      </c>
      <c r="G478" t="s">
        <v>197</v>
      </c>
      <c r="H478" t="s">
        <v>197</v>
      </c>
      <c r="I478" t="s">
        <v>197</v>
      </c>
      <c r="J478" t="s">
        <v>197</v>
      </c>
      <c r="K478" t="s">
        <v>612</v>
      </c>
    </row>
    <row r="479" spans="1:24">
      <c r="A479" t="s">
        <v>773</v>
      </c>
      <c r="K479" t="s">
        <v>774</v>
      </c>
      <c r="W479" t="s">
        <v>171</v>
      </c>
      <c r="X479" t="str">
        <f>A479</f>
        <v>info_date_dml_batch1_pk_irp1</v>
      </c>
    </row>
    <row r="480" spans="1:24">
      <c r="B480" t="s">
        <v>196</v>
      </c>
      <c r="C480" t="s">
        <v>197</v>
      </c>
      <c r="D480" t="s">
        <v>197</v>
      </c>
      <c r="E480" t="s">
        <v>197</v>
      </c>
      <c r="F480" t="s">
        <v>197</v>
      </c>
      <c r="G480" t="s">
        <v>197</v>
      </c>
      <c r="H480" t="s">
        <v>197</v>
      </c>
      <c r="I480" t="s">
        <v>775</v>
      </c>
      <c r="J480" t="s">
        <v>199</v>
      </c>
      <c r="K480" t="s">
        <v>200</v>
      </c>
    </row>
    <row r="481" spans="1:24">
      <c r="B481" t="s">
        <v>197</v>
      </c>
      <c r="C481" t="s">
        <v>197</v>
      </c>
      <c r="D481" t="s">
        <v>197</v>
      </c>
      <c r="E481" t="s">
        <v>197</v>
      </c>
      <c r="F481" t="s">
        <v>197</v>
      </c>
      <c r="G481" t="s">
        <v>197</v>
      </c>
      <c r="H481" t="s">
        <v>197</v>
      </c>
      <c r="I481" t="s">
        <v>197</v>
      </c>
      <c r="J481" t="s">
        <v>197</v>
      </c>
      <c r="K481" t="s">
        <v>678</v>
      </c>
    </row>
    <row r="482" spans="1:24">
      <c r="K482" t="s">
        <v>443</v>
      </c>
    </row>
    <row r="483" spans="1:24">
      <c r="A483" t="s">
        <v>776</v>
      </c>
      <c r="K483" t="s">
        <v>777</v>
      </c>
      <c r="W483" t="s">
        <v>171</v>
      </c>
      <c r="X483" t="str">
        <f>A483</f>
        <v>info_datetimeoffset_dml_batch1_pk_irp2</v>
      </c>
    </row>
    <row r="484" spans="1:24">
      <c r="B484" t="s">
        <v>196</v>
      </c>
      <c r="C484" t="s">
        <v>197</v>
      </c>
      <c r="D484" t="s">
        <v>197</v>
      </c>
      <c r="E484" t="s">
        <v>197</v>
      </c>
      <c r="F484" t="s">
        <v>197</v>
      </c>
      <c r="G484" t="s">
        <v>197</v>
      </c>
      <c r="H484" t="s">
        <v>197</v>
      </c>
      <c r="I484" t="s">
        <v>778</v>
      </c>
      <c r="J484" t="s">
        <v>199</v>
      </c>
      <c r="K484" t="s">
        <v>200</v>
      </c>
    </row>
    <row r="485" spans="1:24">
      <c r="B485" t="s">
        <v>197</v>
      </c>
      <c r="C485" t="s">
        <v>197</v>
      </c>
      <c r="D485" t="s">
        <v>197</v>
      </c>
      <c r="E485" t="s">
        <v>197</v>
      </c>
      <c r="F485" t="s">
        <v>197</v>
      </c>
      <c r="G485" t="s">
        <v>197</v>
      </c>
      <c r="H485" t="s">
        <v>197</v>
      </c>
      <c r="I485" t="s">
        <v>197</v>
      </c>
      <c r="J485" t="s">
        <v>197</v>
      </c>
      <c r="K485" t="s">
        <v>301</v>
      </c>
    </row>
    <row r="486" spans="1:24">
      <c r="B486" t="s">
        <v>197</v>
      </c>
      <c r="C486" t="s">
        <v>197</v>
      </c>
      <c r="D486" t="s">
        <v>197</v>
      </c>
      <c r="E486" t="s">
        <v>197</v>
      </c>
      <c r="F486" t="s">
        <v>197</v>
      </c>
      <c r="G486" t="s">
        <v>197</v>
      </c>
      <c r="H486" t="s">
        <v>197</v>
      </c>
      <c r="I486" t="s">
        <v>197</v>
      </c>
      <c r="J486" t="s">
        <v>197</v>
      </c>
      <c r="K486" t="s">
        <v>314</v>
      </c>
    </row>
    <row r="487" spans="1:24">
      <c r="B487" t="s">
        <v>197</v>
      </c>
      <c r="C487" t="s">
        <v>197</v>
      </c>
      <c r="D487" t="s">
        <v>197</v>
      </c>
      <c r="E487" t="s">
        <v>197</v>
      </c>
      <c r="F487" t="s">
        <v>197</v>
      </c>
      <c r="G487" t="s">
        <v>197</v>
      </c>
      <c r="H487" t="s">
        <v>197</v>
      </c>
      <c r="I487" t="s">
        <v>197</v>
      </c>
      <c r="J487" t="s">
        <v>197</v>
      </c>
      <c r="K487" t="s">
        <v>324</v>
      </c>
    </row>
    <row r="488" spans="1:24">
      <c r="B488" t="s">
        <v>197</v>
      </c>
      <c r="C488" t="s">
        <v>197</v>
      </c>
      <c r="D488" t="s">
        <v>197</v>
      </c>
      <c r="E488" t="s">
        <v>197</v>
      </c>
      <c r="F488" t="s">
        <v>197</v>
      </c>
      <c r="G488" t="s">
        <v>197</v>
      </c>
      <c r="H488" t="s">
        <v>197</v>
      </c>
      <c r="I488" t="s">
        <v>197</v>
      </c>
      <c r="J488" t="s">
        <v>197</v>
      </c>
      <c r="K488" t="s">
        <v>335</v>
      </c>
    </row>
    <row r="489" spans="1:24">
      <c r="B489" t="s">
        <v>197</v>
      </c>
      <c r="C489" t="s">
        <v>197</v>
      </c>
      <c r="D489" t="s">
        <v>197</v>
      </c>
      <c r="E489" t="s">
        <v>197</v>
      </c>
      <c r="F489" t="s">
        <v>197</v>
      </c>
      <c r="G489" t="s">
        <v>197</v>
      </c>
      <c r="H489" t="s">
        <v>197</v>
      </c>
      <c r="I489" t="s">
        <v>197</v>
      </c>
      <c r="J489" t="s">
        <v>197</v>
      </c>
      <c r="K489" t="s">
        <v>350</v>
      </c>
    </row>
    <row r="490" spans="1:24">
      <c r="B490" t="s">
        <v>197</v>
      </c>
      <c r="C490" t="s">
        <v>197</v>
      </c>
      <c r="D490" t="s">
        <v>197</v>
      </c>
      <c r="E490" t="s">
        <v>197</v>
      </c>
      <c r="F490" t="s">
        <v>197</v>
      </c>
      <c r="G490" t="s">
        <v>197</v>
      </c>
      <c r="H490" t="s">
        <v>197</v>
      </c>
      <c r="I490" t="s">
        <v>197</v>
      </c>
      <c r="J490" t="s">
        <v>197</v>
      </c>
      <c r="K490" t="s">
        <v>360</v>
      </c>
    </row>
    <row r="491" spans="1:24">
      <c r="B491" t="s">
        <v>197</v>
      </c>
      <c r="C491" t="s">
        <v>197</v>
      </c>
      <c r="D491" t="s">
        <v>197</v>
      </c>
      <c r="E491" t="s">
        <v>197</v>
      </c>
      <c r="F491" t="s">
        <v>197</v>
      </c>
      <c r="G491" t="s">
        <v>197</v>
      </c>
      <c r="H491" t="s">
        <v>197</v>
      </c>
      <c r="I491" t="s">
        <v>197</v>
      </c>
      <c r="J491" t="s">
        <v>197</v>
      </c>
      <c r="K491" t="s">
        <v>367</v>
      </c>
    </row>
    <row r="492" spans="1:24">
      <c r="B492" t="s">
        <v>197</v>
      </c>
      <c r="C492" t="s">
        <v>197</v>
      </c>
      <c r="D492" t="s">
        <v>197</v>
      </c>
      <c r="E492" t="s">
        <v>197</v>
      </c>
      <c r="F492" t="s">
        <v>197</v>
      </c>
      <c r="G492" t="s">
        <v>197</v>
      </c>
      <c r="H492" t="s">
        <v>197</v>
      </c>
      <c r="I492" t="s">
        <v>197</v>
      </c>
      <c r="J492" t="s">
        <v>197</v>
      </c>
      <c r="K492" t="s">
        <v>373</v>
      </c>
    </row>
    <row r="493" spans="1:24">
      <c r="A493" t="s">
        <v>782</v>
      </c>
      <c r="K493" t="s">
        <v>783</v>
      </c>
      <c r="W493" t="s">
        <v>171</v>
      </c>
      <c r="X493" t="str">
        <f>A493</f>
        <v>info_datetimeoffset_dml_batch2_pk_irp1</v>
      </c>
    </row>
    <row r="494" spans="1:24">
      <c r="B494" t="s">
        <v>196</v>
      </c>
      <c r="C494" t="s">
        <v>197</v>
      </c>
      <c r="D494" t="s">
        <v>197</v>
      </c>
      <c r="E494" t="s">
        <v>197</v>
      </c>
      <c r="F494" t="s">
        <v>197</v>
      </c>
      <c r="G494" t="s">
        <v>197</v>
      </c>
      <c r="H494" t="s">
        <v>197</v>
      </c>
      <c r="I494" t="s">
        <v>784</v>
      </c>
      <c r="J494" t="s">
        <v>199</v>
      </c>
      <c r="K494" t="s">
        <v>200</v>
      </c>
    </row>
    <row r="495" spans="1:24">
      <c r="B495" t="s">
        <v>197</v>
      </c>
      <c r="C495" t="s">
        <v>197</v>
      </c>
      <c r="D495" t="s">
        <v>197</v>
      </c>
      <c r="E495" t="s">
        <v>197</v>
      </c>
      <c r="F495" t="s">
        <v>197</v>
      </c>
      <c r="G495" t="s">
        <v>197</v>
      </c>
      <c r="H495" t="s">
        <v>197</v>
      </c>
      <c r="I495" t="s">
        <v>197</v>
      </c>
      <c r="J495" t="s">
        <v>197</v>
      </c>
      <c r="K495" t="s">
        <v>301</v>
      </c>
    </row>
    <row r="496" spans="1:24">
      <c r="B496" t="s">
        <v>197</v>
      </c>
      <c r="C496" t="s">
        <v>197</v>
      </c>
      <c r="D496" t="s">
        <v>197</v>
      </c>
      <c r="E496" t="s">
        <v>197</v>
      </c>
      <c r="F496" t="s">
        <v>197</v>
      </c>
      <c r="G496" t="s">
        <v>197</v>
      </c>
      <c r="H496" t="s">
        <v>197</v>
      </c>
      <c r="I496" t="s">
        <v>197</v>
      </c>
      <c r="J496" t="s">
        <v>197</v>
      </c>
      <c r="K496" t="s">
        <v>314</v>
      </c>
    </row>
    <row r="497" spans="1:24">
      <c r="B497" t="s">
        <v>197</v>
      </c>
      <c r="C497" t="s">
        <v>197</v>
      </c>
      <c r="D497" t="s">
        <v>197</v>
      </c>
      <c r="E497" t="s">
        <v>197</v>
      </c>
      <c r="F497" t="s">
        <v>197</v>
      </c>
      <c r="G497" t="s">
        <v>197</v>
      </c>
      <c r="H497" t="s">
        <v>197</v>
      </c>
      <c r="I497" t="s">
        <v>197</v>
      </c>
      <c r="J497" t="s">
        <v>197</v>
      </c>
      <c r="K497" t="s">
        <v>324</v>
      </c>
    </row>
    <row r="498" spans="1:24">
      <c r="B498" t="s">
        <v>197</v>
      </c>
      <c r="C498" t="s">
        <v>197</v>
      </c>
      <c r="D498" t="s">
        <v>197</v>
      </c>
      <c r="E498" t="s">
        <v>197</v>
      </c>
      <c r="F498" t="s">
        <v>197</v>
      </c>
      <c r="G498" t="s">
        <v>197</v>
      </c>
      <c r="H498" t="s">
        <v>197</v>
      </c>
      <c r="I498" t="s">
        <v>197</v>
      </c>
      <c r="J498" t="s">
        <v>197</v>
      </c>
      <c r="K498" t="s">
        <v>335</v>
      </c>
    </row>
    <row r="499" spans="1:24">
      <c r="B499" t="s">
        <v>197</v>
      </c>
      <c r="C499" t="s">
        <v>197</v>
      </c>
      <c r="D499" t="s">
        <v>197</v>
      </c>
      <c r="E499" t="s">
        <v>197</v>
      </c>
      <c r="F499" t="s">
        <v>197</v>
      </c>
      <c r="G499" t="s">
        <v>197</v>
      </c>
      <c r="H499" t="s">
        <v>197</v>
      </c>
      <c r="I499" t="s">
        <v>197</v>
      </c>
      <c r="J499" t="s">
        <v>197</v>
      </c>
      <c r="K499" t="s">
        <v>350</v>
      </c>
    </row>
    <row r="500" spans="1:24">
      <c r="B500" t="s">
        <v>197</v>
      </c>
      <c r="C500" t="s">
        <v>197</v>
      </c>
      <c r="D500" t="s">
        <v>197</v>
      </c>
      <c r="E500" t="s">
        <v>197</v>
      </c>
      <c r="F500" t="s">
        <v>197</v>
      </c>
      <c r="G500" t="s">
        <v>197</v>
      </c>
      <c r="H500" t="s">
        <v>197</v>
      </c>
      <c r="I500" t="s">
        <v>197</v>
      </c>
      <c r="J500" t="s">
        <v>197</v>
      </c>
      <c r="K500" t="s">
        <v>360</v>
      </c>
    </row>
    <row r="501" spans="1:24">
      <c r="B501" t="s">
        <v>197</v>
      </c>
      <c r="C501" t="s">
        <v>197</v>
      </c>
      <c r="D501" t="s">
        <v>197</v>
      </c>
      <c r="E501" t="s">
        <v>197</v>
      </c>
      <c r="F501" t="s">
        <v>197</v>
      </c>
      <c r="G501" t="s">
        <v>197</v>
      </c>
      <c r="H501" t="s">
        <v>197</v>
      </c>
      <c r="I501" t="s">
        <v>197</v>
      </c>
      <c r="J501" t="s">
        <v>197</v>
      </c>
      <c r="K501" t="s">
        <v>367</v>
      </c>
    </row>
    <row r="502" spans="1:24">
      <c r="B502" t="s">
        <v>197</v>
      </c>
      <c r="C502" t="s">
        <v>197</v>
      </c>
      <c r="D502" t="s">
        <v>197</v>
      </c>
      <c r="E502" t="s">
        <v>197</v>
      </c>
      <c r="F502" t="s">
        <v>197</v>
      </c>
      <c r="G502" t="s">
        <v>197</v>
      </c>
      <c r="H502" t="s">
        <v>197</v>
      </c>
      <c r="I502" t="s">
        <v>197</v>
      </c>
      <c r="J502" t="s">
        <v>197</v>
      </c>
      <c r="K502" t="s">
        <v>373</v>
      </c>
    </row>
    <row r="503" spans="1:24">
      <c r="A503" t="s">
        <v>779</v>
      </c>
      <c r="K503" t="s">
        <v>780</v>
      </c>
      <c r="W503" t="s">
        <v>171</v>
      </c>
      <c r="X503" t="str">
        <f>A503</f>
        <v>info_binary_dml_batch2_pk_irp2</v>
      </c>
    </row>
    <row r="504" spans="1:24">
      <c r="B504" t="s">
        <v>196</v>
      </c>
      <c r="C504" t="s">
        <v>197</v>
      </c>
      <c r="D504" t="s">
        <v>197</v>
      </c>
      <c r="E504" t="s">
        <v>197</v>
      </c>
      <c r="F504" t="s">
        <v>197</v>
      </c>
      <c r="G504" t="s">
        <v>197</v>
      </c>
      <c r="H504" t="s">
        <v>197</v>
      </c>
      <c r="I504" t="s">
        <v>781</v>
      </c>
      <c r="J504" t="s">
        <v>199</v>
      </c>
      <c r="K504" t="s">
        <v>200</v>
      </c>
    </row>
    <row r="505" spans="1:24">
      <c r="B505" t="s">
        <v>197</v>
      </c>
      <c r="C505" t="s">
        <v>197</v>
      </c>
      <c r="D505" t="s">
        <v>197</v>
      </c>
      <c r="E505" t="s">
        <v>197</v>
      </c>
      <c r="F505" t="s">
        <v>197</v>
      </c>
      <c r="G505" t="s">
        <v>197</v>
      </c>
      <c r="H505" t="s">
        <v>197</v>
      </c>
      <c r="I505" t="s">
        <v>197</v>
      </c>
      <c r="J505" t="s">
        <v>197</v>
      </c>
      <c r="K505" t="s">
        <v>691</v>
      </c>
    </row>
    <row r="506" spans="1:24">
      <c r="B506" t="s">
        <v>197</v>
      </c>
      <c r="C506" t="s">
        <v>197</v>
      </c>
      <c r="D506" t="s">
        <v>197</v>
      </c>
      <c r="E506" t="s">
        <v>197</v>
      </c>
      <c r="F506" t="s">
        <v>197</v>
      </c>
      <c r="G506" t="s">
        <v>197</v>
      </c>
      <c r="H506" t="s">
        <v>197</v>
      </c>
      <c r="I506" t="s">
        <v>197</v>
      </c>
      <c r="J506" t="s">
        <v>197</v>
      </c>
      <c r="K506" t="s">
        <v>692</v>
      </c>
    </row>
    <row r="507" spans="1:24">
      <c r="B507" t="s">
        <v>197</v>
      </c>
      <c r="C507" t="s">
        <v>197</v>
      </c>
      <c r="D507" t="s">
        <v>197</v>
      </c>
      <c r="E507" t="s">
        <v>197</v>
      </c>
      <c r="F507" t="s">
        <v>197</v>
      </c>
      <c r="G507" t="s">
        <v>197</v>
      </c>
      <c r="H507" t="s">
        <v>197</v>
      </c>
      <c r="I507" t="s">
        <v>197</v>
      </c>
      <c r="J507" t="s">
        <v>197</v>
      </c>
      <c r="K507" t="s">
        <v>693</v>
      </c>
    </row>
    <row r="508" spans="1:24">
      <c r="A508" t="s">
        <v>785</v>
      </c>
      <c r="K508" t="s">
        <v>786</v>
      </c>
      <c r="W508" t="s">
        <v>171</v>
      </c>
      <c r="X508" t="str">
        <f>A508</f>
        <v>info_nvarchar_dml_single_pk_drp</v>
      </c>
    </row>
    <row r="509" spans="1:24">
      <c r="B509" t="s">
        <v>196</v>
      </c>
      <c r="C509" t="s">
        <v>197</v>
      </c>
      <c r="D509" t="s">
        <v>197</v>
      </c>
      <c r="E509" t="s">
        <v>197</v>
      </c>
      <c r="F509" t="s">
        <v>197</v>
      </c>
      <c r="G509" t="s">
        <v>197</v>
      </c>
      <c r="H509" t="s">
        <v>197</v>
      </c>
      <c r="I509" t="s">
        <v>787</v>
      </c>
      <c r="J509" t="s">
        <v>199</v>
      </c>
      <c r="K509" t="s">
        <v>200</v>
      </c>
    </row>
    <row r="510" spans="1:24">
      <c r="B510" t="s">
        <v>197</v>
      </c>
      <c r="C510" t="s">
        <v>197</v>
      </c>
      <c r="D510" t="s">
        <v>197</v>
      </c>
      <c r="E510" t="s">
        <v>197</v>
      </c>
      <c r="F510" t="s">
        <v>197</v>
      </c>
      <c r="G510" t="s">
        <v>197</v>
      </c>
      <c r="H510" t="s">
        <v>197</v>
      </c>
      <c r="I510" t="s">
        <v>197</v>
      </c>
      <c r="J510" t="s">
        <v>197</v>
      </c>
      <c r="K510" t="s">
        <v>408</v>
      </c>
    </row>
    <row r="511" spans="1:24">
      <c r="B511" t="s">
        <v>197</v>
      </c>
      <c r="C511" t="s">
        <v>197</v>
      </c>
      <c r="D511" t="s">
        <v>197</v>
      </c>
      <c r="E511" t="s">
        <v>197</v>
      </c>
      <c r="F511" t="s">
        <v>197</v>
      </c>
      <c r="G511" t="s">
        <v>197</v>
      </c>
      <c r="H511" t="s">
        <v>197</v>
      </c>
      <c r="I511" t="s">
        <v>197</v>
      </c>
      <c r="J511" t="s">
        <v>197</v>
      </c>
      <c r="K511" t="s">
        <v>412</v>
      </c>
    </row>
    <row r="512" spans="1:24">
      <c r="B512" t="s">
        <v>197</v>
      </c>
      <c r="C512" t="s">
        <v>197</v>
      </c>
      <c r="D512" t="s">
        <v>197</v>
      </c>
      <c r="E512" t="s">
        <v>197</v>
      </c>
      <c r="F512" t="s">
        <v>197</v>
      </c>
      <c r="G512" t="s">
        <v>197</v>
      </c>
      <c r="H512" t="s">
        <v>197</v>
      </c>
      <c r="I512" t="s">
        <v>197</v>
      </c>
      <c r="J512" t="s">
        <v>197</v>
      </c>
      <c r="K512" t="s">
        <v>730</v>
      </c>
    </row>
    <row r="513" spans="1:24">
      <c r="A513" t="s">
        <v>788</v>
      </c>
      <c r="K513" t="s">
        <v>789</v>
      </c>
      <c r="W513" t="s">
        <v>171</v>
      </c>
      <c r="X513" t="str">
        <f>A513</f>
        <v>info_datetimeoffset_dml_batch2_pk_irp2</v>
      </c>
    </row>
    <row r="514" spans="1:24">
      <c r="B514" t="s">
        <v>196</v>
      </c>
      <c r="C514" t="s">
        <v>197</v>
      </c>
      <c r="D514" t="s">
        <v>197</v>
      </c>
      <c r="E514" t="s">
        <v>197</v>
      </c>
      <c r="F514" t="s">
        <v>197</v>
      </c>
      <c r="G514" t="s">
        <v>197</v>
      </c>
      <c r="H514" t="s">
        <v>197</v>
      </c>
      <c r="I514" t="s">
        <v>790</v>
      </c>
      <c r="J514" t="s">
        <v>199</v>
      </c>
      <c r="K514" t="s">
        <v>200</v>
      </c>
    </row>
    <row r="515" spans="1:24">
      <c r="B515" t="s">
        <v>197</v>
      </c>
      <c r="C515" t="s">
        <v>197</v>
      </c>
      <c r="D515" t="s">
        <v>197</v>
      </c>
      <c r="E515" t="s">
        <v>197</v>
      </c>
      <c r="F515" t="s">
        <v>197</v>
      </c>
      <c r="G515" t="s">
        <v>197</v>
      </c>
      <c r="H515" t="s">
        <v>197</v>
      </c>
      <c r="I515" t="s">
        <v>197</v>
      </c>
      <c r="J515" t="s">
        <v>197</v>
      </c>
      <c r="K515" t="s">
        <v>301</v>
      </c>
    </row>
    <row r="516" spans="1:24">
      <c r="B516" t="s">
        <v>197</v>
      </c>
      <c r="C516" t="s">
        <v>197</v>
      </c>
      <c r="D516" t="s">
        <v>197</v>
      </c>
      <c r="E516" t="s">
        <v>197</v>
      </c>
      <c r="F516" t="s">
        <v>197</v>
      </c>
      <c r="G516" t="s">
        <v>197</v>
      </c>
      <c r="H516" t="s">
        <v>197</v>
      </c>
      <c r="I516" t="s">
        <v>197</v>
      </c>
      <c r="J516" t="s">
        <v>197</v>
      </c>
      <c r="K516" t="s">
        <v>314</v>
      </c>
    </row>
    <row r="517" spans="1:24">
      <c r="B517" t="s">
        <v>197</v>
      </c>
      <c r="C517" t="s">
        <v>197</v>
      </c>
      <c r="D517" t="s">
        <v>197</v>
      </c>
      <c r="E517" t="s">
        <v>197</v>
      </c>
      <c r="F517" t="s">
        <v>197</v>
      </c>
      <c r="G517" t="s">
        <v>197</v>
      </c>
      <c r="H517" t="s">
        <v>197</v>
      </c>
      <c r="I517" t="s">
        <v>197</v>
      </c>
      <c r="J517" t="s">
        <v>197</v>
      </c>
      <c r="K517" t="s">
        <v>324</v>
      </c>
    </row>
    <row r="518" spans="1:24">
      <c r="B518" t="s">
        <v>197</v>
      </c>
      <c r="C518" t="s">
        <v>197</v>
      </c>
      <c r="D518" t="s">
        <v>197</v>
      </c>
      <c r="E518" t="s">
        <v>197</v>
      </c>
      <c r="F518" t="s">
        <v>197</v>
      </c>
      <c r="G518" t="s">
        <v>197</v>
      </c>
      <c r="H518" t="s">
        <v>197</v>
      </c>
      <c r="I518" t="s">
        <v>197</v>
      </c>
      <c r="J518" t="s">
        <v>197</v>
      </c>
      <c r="K518" t="s">
        <v>335</v>
      </c>
    </row>
    <row r="519" spans="1:24">
      <c r="B519" t="s">
        <v>197</v>
      </c>
      <c r="C519" t="s">
        <v>197</v>
      </c>
      <c r="D519" t="s">
        <v>197</v>
      </c>
      <c r="E519" t="s">
        <v>197</v>
      </c>
      <c r="F519" t="s">
        <v>197</v>
      </c>
      <c r="G519" t="s">
        <v>197</v>
      </c>
      <c r="H519" t="s">
        <v>197</v>
      </c>
      <c r="I519" t="s">
        <v>197</v>
      </c>
      <c r="J519" t="s">
        <v>197</v>
      </c>
      <c r="K519" t="s">
        <v>350</v>
      </c>
    </row>
    <row r="520" spans="1:24">
      <c r="B520" t="s">
        <v>197</v>
      </c>
      <c r="C520" t="s">
        <v>197</v>
      </c>
      <c r="D520" t="s">
        <v>197</v>
      </c>
      <c r="E520" t="s">
        <v>197</v>
      </c>
      <c r="F520" t="s">
        <v>197</v>
      </c>
      <c r="G520" t="s">
        <v>197</v>
      </c>
      <c r="H520" t="s">
        <v>197</v>
      </c>
      <c r="I520" t="s">
        <v>197</v>
      </c>
      <c r="J520" t="s">
        <v>197</v>
      </c>
      <c r="K520" t="s">
        <v>360</v>
      </c>
    </row>
    <row r="521" spans="1:24">
      <c r="B521" t="s">
        <v>197</v>
      </c>
      <c r="C521" t="s">
        <v>197</v>
      </c>
      <c r="D521" t="s">
        <v>197</v>
      </c>
      <c r="E521" t="s">
        <v>197</v>
      </c>
      <c r="F521" t="s">
        <v>197</v>
      </c>
      <c r="G521" t="s">
        <v>197</v>
      </c>
      <c r="H521" t="s">
        <v>197</v>
      </c>
      <c r="I521" t="s">
        <v>197</v>
      </c>
      <c r="J521" t="s">
        <v>197</v>
      </c>
      <c r="K521" t="s">
        <v>367</v>
      </c>
    </row>
    <row r="522" spans="1:24">
      <c r="B522" t="s">
        <v>197</v>
      </c>
      <c r="C522" t="s">
        <v>197</v>
      </c>
      <c r="D522" t="s">
        <v>197</v>
      </c>
      <c r="E522" t="s">
        <v>197</v>
      </c>
      <c r="F522" t="s">
        <v>197</v>
      </c>
      <c r="G522" t="s">
        <v>197</v>
      </c>
      <c r="H522" t="s">
        <v>197</v>
      </c>
      <c r="I522" t="s">
        <v>197</v>
      </c>
      <c r="J522" t="s">
        <v>197</v>
      </c>
      <c r="K522" t="s">
        <v>373</v>
      </c>
    </row>
    <row r="523" spans="1:24">
      <c r="A523" t="s">
        <v>791</v>
      </c>
      <c r="K523" t="s">
        <v>792</v>
      </c>
      <c r="W523" t="s">
        <v>171</v>
      </c>
      <c r="X523" t="str">
        <f>A523</f>
        <v>info_varcharmax_dml_batch2_pk_irp1</v>
      </c>
    </row>
    <row r="524" spans="1:24">
      <c r="B524" t="s">
        <v>196</v>
      </c>
      <c r="C524" t="s">
        <v>197</v>
      </c>
      <c r="D524" t="s">
        <v>197</v>
      </c>
      <c r="E524" t="s">
        <v>197</v>
      </c>
      <c r="F524" t="s">
        <v>197</v>
      </c>
      <c r="G524" t="s">
        <v>197</v>
      </c>
      <c r="H524" t="s">
        <v>197</v>
      </c>
      <c r="I524" t="s">
        <v>793</v>
      </c>
      <c r="J524" t="s">
        <v>199</v>
      </c>
      <c r="K524" t="s">
        <v>200</v>
      </c>
    </row>
    <row r="525" spans="1:24">
      <c r="B525" t="s">
        <v>197</v>
      </c>
      <c r="C525" t="s">
        <v>197</v>
      </c>
      <c r="D525" t="s">
        <v>197</v>
      </c>
      <c r="E525" t="s">
        <v>197</v>
      </c>
      <c r="F525" t="s">
        <v>197</v>
      </c>
      <c r="G525" t="s">
        <v>197</v>
      </c>
      <c r="H525" t="s">
        <v>197</v>
      </c>
      <c r="I525" t="s">
        <v>197</v>
      </c>
      <c r="J525" t="s">
        <v>197</v>
      </c>
      <c r="K525" t="s">
        <v>725</v>
      </c>
    </row>
    <row r="526" spans="1:24">
      <c r="B526" t="s">
        <v>197</v>
      </c>
      <c r="C526" t="s">
        <v>197</v>
      </c>
      <c r="D526" t="s">
        <v>197</v>
      </c>
      <c r="E526" t="s">
        <v>197</v>
      </c>
      <c r="F526" t="s">
        <v>197</v>
      </c>
      <c r="G526" t="s">
        <v>197</v>
      </c>
      <c r="H526" t="s">
        <v>197</v>
      </c>
      <c r="I526" t="s">
        <v>197</v>
      </c>
      <c r="J526" t="s">
        <v>197</v>
      </c>
      <c r="K526" t="s">
        <v>726</v>
      </c>
    </row>
    <row r="527" spans="1:24">
      <c r="K527" t="s">
        <v>443</v>
      </c>
    </row>
    <row r="528" spans="1:24">
      <c r="A528" t="s">
        <v>794</v>
      </c>
      <c r="K528" t="s">
        <v>795</v>
      </c>
      <c r="W528" t="s">
        <v>171</v>
      </c>
      <c r="X528" t="str">
        <f>A528</f>
        <v>info_datetimeoffset_dml_batch1_pk_urp1</v>
      </c>
    </row>
    <row r="529" spans="1:24">
      <c r="B529" t="s">
        <v>196</v>
      </c>
      <c r="C529" t="s">
        <v>197</v>
      </c>
      <c r="D529" t="s">
        <v>197</v>
      </c>
      <c r="E529" t="s">
        <v>197</v>
      </c>
      <c r="F529" t="s">
        <v>197</v>
      </c>
      <c r="G529" t="s">
        <v>197</v>
      </c>
      <c r="H529" t="s">
        <v>197</v>
      </c>
      <c r="I529" t="s">
        <v>796</v>
      </c>
      <c r="J529" t="s">
        <v>199</v>
      </c>
      <c r="K529" t="s">
        <v>200</v>
      </c>
    </row>
    <row r="530" spans="1:24">
      <c r="B530" t="s">
        <v>197</v>
      </c>
      <c r="C530" t="s">
        <v>197</v>
      </c>
      <c r="D530" t="s">
        <v>197</v>
      </c>
      <c r="E530" t="s">
        <v>197</v>
      </c>
      <c r="F530" t="s">
        <v>197</v>
      </c>
      <c r="G530" t="s">
        <v>197</v>
      </c>
      <c r="H530" t="s">
        <v>197</v>
      </c>
      <c r="I530" t="s">
        <v>197</v>
      </c>
      <c r="J530" t="s">
        <v>197</v>
      </c>
      <c r="K530" t="s">
        <v>301</v>
      </c>
    </row>
    <row r="531" spans="1:24">
      <c r="B531" t="s">
        <v>197</v>
      </c>
      <c r="C531" t="s">
        <v>197</v>
      </c>
      <c r="D531" t="s">
        <v>197</v>
      </c>
      <c r="E531" t="s">
        <v>197</v>
      </c>
      <c r="F531" t="s">
        <v>197</v>
      </c>
      <c r="G531" t="s">
        <v>197</v>
      </c>
      <c r="H531" t="s">
        <v>197</v>
      </c>
      <c r="I531" t="s">
        <v>197</v>
      </c>
      <c r="J531" t="s">
        <v>197</v>
      </c>
      <c r="K531" t="s">
        <v>314</v>
      </c>
    </row>
    <row r="532" spans="1:24">
      <c r="B532" t="s">
        <v>197</v>
      </c>
      <c r="C532" t="s">
        <v>197</v>
      </c>
      <c r="D532" t="s">
        <v>197</v>
      </c>
      <c r="E532" t="s">
        <v>197</v>
      </c>
      <c r="F532" t="s">
        <v>197</v>
      </c>
      <c r="G532" t="s">
        <v>197</v>
      </c>
      <c r="H532" t="s">
        <v>197</v>
      </c>
      <c r="I532" t="s">
        <v>197</v>
      </c>
      <c r="J532" t="s">
        <v>197</v>
      </c>
      <c r="K532" t="s">
        <v>324</v>
      </c>
    </row>
    <row r="533" spans="1:24">
      <c r="B533" t="s">
        <v>197</v>
      </c>
      <c r="C533" t="s">
        <v>197</v>
      </c>
      <c r="D533" t="s">
        <v>197</v>
      </c>
      <c r="E533" t="s">
        <v>197</v>
      </c>
      <c r="F533" t="s">
        <v>197</v>
      </c>
      <c r="G533" t="s">
        <v>197</v>
      </c>
      <c r="H533" t="s">
        <v>197</v>
      </c>
      <c r="I533" t="s">
        <v>197</v>
      </c>
      <c r="J533" t="s">
        <v>197</v>
      </c>
      <c r="K533" t="s">
        <v>335</v>
      </c>
    </row>
    <row r="534" spans="1:24">
      <c r="B534" t="s">
        <v>197</v>
      </c>
      <c r="C534" t="s">
        <v>197</v>
      </c>
      <c r="D534" t="s">
        <v>197</v>
      </c>
      <c r="E534" t="s">
        <v>197</v>
      </c>
      <c r="F534" t="s">
        <v>197</v>
      </c>
      <c r="G534" t="s">
        <v>197</v>
      </c>
      <c r="H534" t="s">
        <v>197</v>
      </c>
      <c r="I534" t="s">
        <v>197</v>
      </c>
      <c r="J534" t="s">
        <v>197</v>
      </c>
      <c r="K534" t="s">
        <v>350</v>
      </c>
    </row>
    <row r="535" spans="1:24">
      <c r="B535" t="s">
        <v>197</v>
      </c>
      <c r="C535" t="s">
        <v>197</v>
      </c>
      <c r="D535" t="s">
        <v>197</v>
      </c>
      <c r="E535" t="s">
        <v>197</v>
      </c>
      <c r="F535" t="s">
        <v>197</v>
      </c>
      <c r="G535" t="s">
        <v>197</v>
      </c>
      <c r="H535" t="s">
        <v>197</v>
      </c>
      <c r="I535" t="s">
        <v>197</v>
      </c>
      <c r="J535" t="s">
        <v>197</v>
      </c>
      <c r="K535" t="s">
        <v>360</v>
      </c>
    </row>
    <row r="536" spans="1:24">
      <c r="B536" t="s">
        <v>197</v>
      </c>
      <c r="C536" t="s">
        <v>197</v>
      </c>
      <c r="D536" t="s">
        <v>197</v>
      </c>
      <c r="E536" t="s">
        <v>197</v>
      </c>
      <c r="F536" t="s">
        <v>197</v>
      </c>
      <c r="G536" t="s">
        <v>197</v>
      </c>
      <c r="H536" t="s">
        <v>197</v>
      </c>
      <c r="I536" t="s">
        <v>197</v>
      </c>
      <c r="J536" t="s">
        <v>197</v>
      </c>
      <c r="K536" t="s">
        <v>367</v>
      </c>
    </row>
    <row r="537" spans="1:24">
      <c r="B537" t="s">
        <v>197</v>
      </c>
      <c r="C537" t="s">
        <v>197</v>
      </c>
      <c r="D537" t="s">
        <v>197</v>
      </c>
      <c r="E537" t="s">
        <v>197</v>
      </c>
      <c r="F537" t="s">
        <v>197</v>
      </c>
      <c r="G537" t="s">
        <v>197</v>
      </c>
      <c r="H537" t="s">
        <v>197</v>
      </c>
      <c r="I537" t="s">
        <v>197</v>
      </c>
      <c r="J537" t="s">
        <v>197</v>
      </c>
      <c r="K537" t="s">
        <v>373</v>
      </c>
    </row>
    <row r="538" spans="1:24">
      <c r="A538" t="s">
        <v>797</v>
      </c>
      <c r="K538" t="s">
        <v>798</v>
      </c>
      <c r="W538" t="s">
        <v>171</v>
      </c>
      <c r="X538" t="str">
        <f>A538</f>
        <v>info_time_dml_single_pk_irp</v>
      </c>
    </row>
    <row r="539" spans="1:24">
      <c r="B539" t="s">
        <v>196</v>
      </c>
      <c r="C539" t="s">
        <v>197</v>
      </c>
      <c r="D539" t="s">
        <v>197</v>
      </c>
      <c r="E539" t="s">
        <v>197</v>
      </c>
      <c r="F539" t="s">
        <v>197</v>
      </c>
      <c r="G539" t="s">
        <v>197</v>
      </c>
      <c r="H539" t="s">
        <v>197</v>
      </c>
      <c r="I539" t="s">
        <v>799</v>
      </c>
      <c r="J539" t="s">
        <v>199</v>
      </c>
      <c r="K539" t="s">
        <v>200</v>
      </c>
    </row>
    <row r="540" spans="1:24">
      <c r="B540" t="s">
        <v>197</v>
      </c>
      <c r="C540" t="s">
        <v>197</v>
      </c>
      <c r="D540" t="s">
        <v>197</v>
      </c>
      <c r="E540" t="s">
        <v>197</v>
      </c>
      <c r="F540" t="s">
        <v>197</v>
      </c>
      <c r="G540" t="s">
        <v>197</v>
      </c>
      <c r="H540" t="s">
        <v>197</v>
      </c>
      <c r="I540" t="s">
        <v>197</v>
      </c>
      <c r="J540" t="s">
        <v>197</v>
      </c>
      <c r="K540" t="s">
        <v>800</v>
      </c>
    </row>
    <row r="541" spans="1:24">
      <c r="B541" t="s">
        <v>197</v>
      </c>
      <c r="C541" t="s">
        <v>197</v>
      </c>
      <c r="D541" t="s">
        <v>197</v>
      </c>
      <c r="E541" t="s">
        <v>197</v>
      </c>
      <c r="F541" t="s">
        <v>197</v>
      </c>
      <c r="G541" t="s">
        <v>197</v>
      </c>
      <c r="H541" t="s">
        <v>197</v>
      </c>
      <c r="I541" t="s">
        <v>197</v>
      </c>
      <c r="J541" t="s">
        <v>197</v>
      </c>
      <c r="K541" t="s">
        <v>801</v>
      </c>
    </row>
    <row r="542" spans="1:24">
      <c r="B542" t="s">
        <v>197</v>
      </c>
      <c r="C542" t="s">
        <v>197</v>
      </c>
      <c r="D542" t="s">
        <v>197</v>
      </c>
      <c r="E542" t="s">
        <v>197</v>
      </c>
      <c r="F542" t="s">
        <v>197</v>
      </c>
      <c r="G542" t="s">
        <v>197</v>
      </c>
      <c r="H542" t="s">
        <v>197</v>
      </c>
      <c r="I542" t="s">
        <v>197</v>
      </c>
      <c r="J542" t="s">
        <v>197</v>
      </c>
      <c r="K542" t="s">
        <v>802</v>
      </c>
    </row>
    <row r="543" spans="1:24">
      <c r="B543" t="s">
        <v>197</v>
      </c>
      <c r="C543" t="s">
        <v>197</v>
      </c>
      <c r="D543" t="s">
        <v>197</v>
      </c>
      <c r="E543" t="s">
        <v>197</v>
      </c>
      <c r="F543" t="s">
        <v>197</v>
      </c>
      <c r="G543" t="s">
        <v>197</v>
      </c>
      <c r="H543" t="s">
        <v>197</v>
      </c>
      <c r="I543" t="s">
        <v>197</v>
      </c>
      <c r="J543" t="s">
        <v>197</v>
      </c>
      <c r="K543" t="s">
        <v>803</v>
      </c>
    </row>
    <row r="544" spans="1:24">
      <c r="B544" t="s">
        <v>197</v>
      </c>
      <c r="C544" t="s">
        <v>197</v>
      </c>
      <c r="D544" t="s">
        <v>197</v>
      </c>
      <c r="E544" t="s">
        <v>197</v>
      </c>
      <c r="F544" t="s">
        <v>197</v>
      </c>
      <c r="G544" t="s">
        <v>197</v>
      </c>
      <c r="H544" t="s">
        <v>197</v>
      </c>
      <c r="I544" t="s">
        <v>197</v>
      </c>
      <c r="J544" t="s">
        <v>197</v>
      </c>
      <c r="K544" t="s">
        <v>804</v>
      </c>
    </row>
    <row r="545" spans="1:24">
      <c r="B545" t="s">
        <v>197</v>
      </c>
      <c r="C545" t="s">
        <v>197</v>
      </c>
      <c r="D545" t="s">
        <v>197</v>
      </c>
      <c r="E545" t="s">
        <v>197</v>
      </c>
      <c r="F545" t="s">
        <v>197</v>
      </c>
      <c r="G545" t="s">
        <v>197</v>
      </c>
      <c r="H545" t="s">
        <v>197</v>
      </c>
      <c r="I545" t="s">
        <v>197</v>
      </c>
      <c r="J545" t="s">
        <v>197</v>
      </c>
      <c r="K545" t="s">
        <v>805</v>
      </c>
    </row>
    <row r="546" spans="1:24">
      <c r="B546" t="s">
        <v>197</v>
      </c>
      <c r="C546" t="s">
        <v>197</v>
      </c>
      <c r="D546" t="s">
        <v>197</v>
      </c>
      <c r="E546" t="s">
        <v>197</v>
      </c>
      <c r="F546" t="s">
        <v>197</v>
      </c>
      <c r="G546" t="s">
        <v>197</v>
      </c>
      <c r="H546" t="s">
        <v>197</v>
      </c>
      <c r="I546" t="s">
        <v>197</v>
      </c>
      <c r="J546" t="s">
        <v>197</v>
      </c>
      <c r="K546" t="s">
        <v>806</v>
      </c>
    </row>
    <row r="547" spans="1:24">
      <c r="B547" t="s">
        <v>197</v>
      </c>
      <c r="C547" t="s">
        <v>197</v>
      </c>
      <c r="D547" t="s">
        <v>197</v>
      </c>
      <c r="E547" t="s">
        <v>197</v>
      </c>
      <c r="F547" t="s">
        <v>197</v>
      </c>
      <c r="G547" t="s">
        <v>197</v>
      </c>
      <c r="H547" t="s">
        <v>197</v>
      </c>
      <c r="I547" t="s">
        <v>197</v>
      </c>
      <c r="J547" t="s">
        <v>197</v>
      </c>
      <c r="K547" t="s">
        <v>807</v>
      </c>
    </row>
    <row r="548" spans="1:24">
      <c r="A548" t="s">
        <v>811</v>
      </c>
      <c r="K548" t="s">
        <v>812</v>
      </c>
      <c r="W548" t="s">
        <v>171</v>
      </c>
      <c r="X548" t="str">
        <f>A548</f>
        <v>info_datetimeoffset_dml_batch1_pk_urp2</v>
      </c>
    </row>
    <row r="549" spans="1:24">
      <c r="B549" t="s">
        <v>196</v>
      </c>
      <c r="C549" t="s">
        <v>197</v>
      </c>
      <c r="D549" t="s">
        <v>197</v>
      </c>
      <c r="E549" t="s">
        <v>197</v>
      </c>
      <c r="F549" t="s">
        <v>197</v>
      </c>
      <c r="G549" t="s">
        <v>197</v>
      </c>
      <c r="H549" t="s">
        <v>197</v>
      </c>
      <c r="I549" t="s">
        <v>813</v>
      </c>
      <c r="J549" t="s">
        <v>199</v>
      </c>
      <c r="K549" t="s">
        <v>200</v>
      </c>
    </row>
    <row r="550" spans="1:24">
      <c r="B550" t="s">
        <v>197</v>
      </c>
      <c r="C550" t="s">
        <v>197</v>
      </c>
      <c r="D550" t="s">
        <v>197</v>
      </c>
      <c r="E550" t="s">
        <v>197</v>
      </c>
      <c r="F550" t="s">
        <v>197</v>
      </c>
      <c r="G550" t="s">
        <v>197</v>
      </c>
      <c r="H550" t="s">
        <v>197</v>
      </c>
      <c r="I550" t="s">
        <v>197</v>
      </c>
      <c r="J550" t="s">
        <v>197</v>
      </c>
      <c r="K550" t="s">
        <v>301</v>
      </c>
    </row>
    <row r="551" spans="1:24">
      <c r="B551" t="s">
        <v>197</v>
      </c>
      <c r="C551" t="s">
        <v>197</v>
      </c>
      <c r="D551" t="s">
        <v>197</v>
      </c>
      <c r="E551" t="s">
        <v>197</v>
      </c>
      <c r="F551" t="s">
        <v>197</v>
      </c>
      <c r="G551" t="s">
        <v>197</v>
      </c>
      <c r="H551" t="s">
        <v>197</v>
      </c>
      <c r="I551" t="s">
        <v>197</v>
      </c>
      <c r="J551" t="s">
        <v>197</v>
      </c>
      <c r="K551" t="s">
        <v>314</v>
      </c>
    </row>
    <row r="552" spans="1:24">
      <c r="B552" t="s">
        <v>197</v>
      </c>
      <c r="C552" t="s">
        <v>197</v>
      </c>
      <c r="D552" t="s">
        <v>197</v>
      </c>
      <c r="E552" t="s">
        <v>197</v>
      </c>
      <c r="F552" t="s">
        <v>197</v>
      </c>
      <c r="G552" t="s">
        <v>197</v>
      </c>
      <c r="H552" t="s">
        <v>197</v>
      </c>
      <c r="I552" t="s">
        <v>197</v>
      </c>
      <c r="J552" t="s">
        <v>197</v>
      </c>
      <c r="K552" t="s">
        <v>324</v>
      </c>
    </row>
    <row r="553" spans="1:24">
      <c r="B553" t="s">
        <v>197</v>
      </c>
      <c r="C553" t="s">
        <v>197</v>
      </c>
      <c r="D553" t="s">
        <v>197</v>
      </c>
      <c r="E553" t="s">
        <v>197</v>
      </c>
      <c r="F553" t="s">
        <v>197</v>
      </c>
      <c r="G553" t="s">
        <v>197</v>
      </c>
      <c r="H553" t="s">
        <v>197</v>
      </c>
      <c r="I553" t="s">
        <v>197</v>
      </c>
      <c r="J553" t="s">
        <v>197</v>
      </c>
      <c r="K553" t="s">
        <v>335</v>
      </c>
    </row>
    <row r="554" spans="1:24">
      <c r="B554" t="s">
        <v>197</v>
      </c>
      <c r="C554" t="s">
        <v>197</v>
      </c>
      <c r="D554" t="s">
        <v>197</v>
      </c>
      <c r="E554" t="s">
        <v>197</v>
      </c>
      <c r="F554" t="s">
        <v>197</v>
      </c>
      <c r="G554" t="s">
        <v>197</v>
      </c>
      <c r="H554" t="s">
        <v>197</v>
      </c>
      <c r="I554" t="s">
        <v>197</v>
      </c>
      <c r="J554" t="s">
        <v>197</v>
      </c>
      <c r="K554" t="s">
        <v>350</v>
      </c>
    </row>
    <row r="555" spans="1:24">
      <c r="B555" t="s">
        <v>197</v>
      </c>
      <c r="C555" t="s">
        <v>197</v>
      </c>
      <c r="D555" t="s">
        <v>197</v>
      </c>
      <c r="E555" t="s">
        <v>197</v>
      </c>
      <c r="F555" t="s">
        <v>197</v>
      </c>
      <c r="G555" t="s">
        <v>197</v>
      </c>
      <c r="H555" t="s">
        <v>197</v>
      </c>
      <c r="I555" t="s">
        <v>197</v>
      </c>
      <c r="J555" t="s">
        <v>197</v>
      </c>
      <c r="K555" t="s">
        <v>360</v>
      </c>
    </row>
    <row r="556" spans="1:24">
      <c r="B556" t="s">
        <v>197</v>
      </c>
      <c r="C556" t="s">
        <v>197</v>
      </c>
      <c r="D556" t="s">
        <v>197</v>
      </c>
      <c r="E556" t="s">
        <v>197</v>
      </c>
      <c r="F556" t="s">
        <v>197</v>
      </c>
      <c r="G556" t="s">
        <v>197</v>
      </c>
      <c r="H556" t="s">
        <v>197</v>
      </c>
      <c r="I556" t="s">
        <v>197</v>
      </c>
      <c r="J556" t="s">
        <v>197</v>
      </c>
      <c r="K556" t="s">
        <v>367</v>
      </c>
    </row>
    <row r="557" spans="1:24">
      <c r="B557" t="s">
        <v>197</v>
      </c>
      <c r="C557" t="s">
        <v>197</v>
      </c>
      <c r="D557" t="s">
        <v>197</v>
      </c>
      <c r="E557" t="s">
        <v>197</v>
      </c>
      <c r="F557" t="s">
        <v>197</v>
      </c>
      <c r="G557" t="s">
        <v>197</v>
      </c>
      <c r="H557" t="s">
        <v>197</v>
      </c>
      <c r="I557" t="s">
        <v>197</v>
      </c>
      <c r="J557" t="s">
        <v>197</v>
      </c>
      <c r="K557" t="s">
        <v>373</v>
      </c>
    </row>
    <row r="558" spans="1:24">
      <c r="A558" t="s">
        <v>808</v>
      </c>
      <c r="K558" t="s">
        <v>809</v>
      </c>
      <c r="W558" t="s">
        <v>171</v>
      </c>
      <c r="X558" t="str">
        <f>A558</f>
        <v>info_date_dml_batch1_pk_irp2</v>
      </c>
    </row>
    <row r="559" spans="1:24">
      <c r="B559" t="s">
        <v>196</v>
      </c>
      <c r="C559" t="s">
        <v>197</v>
      </c>
      <c r="D559" t="s">
        <v>197</v>
      </c>
      <c r="E559" t="s">
        <v>197</v>
      </c>
      <c r="F559" t="s">
        <v>197</v>
      </c>
      <c r="G559" t="s">
        <v>197</v>
      </c>
      <c r="H559" t="s">
        <v>197</v>
      </c>
      <c r="I559" t="s">
        <v>810</v>
      </c>
      <c r="J559" t="s">
        <v>199</v>
      </c>
      <c r="K559" t="s">
        <v>200</v>
      </c>
    </row>
    <row r="560" spans="1:24">
      <c r="B560" t="s">
        <v>197</v>
      </c>
      <c r="C560" t="s">
        <v>197</v>
      </c>
      <c r="D560" t="s">
        <v>197</v>
      </c>
      <c r="E560" t="s">
        <v>197</v>
      </c>
      <c r="F560" t="s">
        <v>197</v>
      </c>
      <c r="G560" t="s">
        <v>197</v>
      </c>
      <c r="H560" t="s">
        <v>197</v>
      </c>
      <c r="I560" t="s">
        <v>197</v>
      </c>
      <c r="J560" t="s">
        <v>197</v>
      </c>
      <c r="K560" t="s">
        <v>678</v>
      </c>
    </row>
    <row r="561" spans="1:24">
      <c r="A561" t="s">
        <v>814</v>
      </c>
      <c r="K561" t="s">
        <v>815</v>
      </c>
      <c r="W561" t="s">
        <v>171</v>
      </c>
      <c r="X561" t="str">
        <f>A561</f>
        <v>info_varcharmax_dml_batch2_pk_irp2</v>
      </c>
    </row>
    <row r="562" spans="1:24">
      <c r="B562" t="s">
        <v>196</v>
      </c>
      <c r="C562" t="s">
        <v>197</v>
      </c>
      <c r="D562" t="s">
        <v>197</v>
      </c>
      <c r="E562" t="s">
        <v>197</v>
      </c>
      <c r="F562" t="s">
        <v>197</v>
      </c>
      <c r="G562" t="s">
        <v>197</v>
      </c>
      <c r="H562" t="s">
        <v>197</v>
      </c>
      <c r="I562" t="s">
        <v>816</v>
      </c>
      <c r="J562" t="s">
        <v>199</v>
      </c>
      <c r="K562" t="s">
        <v>200</v>
      </c>
    </row>
    <row r="563" spans="1:24">
      <c r="B563" t="s">
        <v>197</v>
      </c>
      <c r="C563" t="s">
        <v>197</v>
      </c>
      <c r="D563" t="s">
        <v>197</v>
      </c>
      <c r="E563" t="s">
        <v>197</v>
      </c>
      <c r="F563" t="s">
        <v>197</v>
      </c>
      <c r="G563" t="s">
        <v>197</v>
      </c>
      <c r="H563" t="s">
        <v>197</v>
      </c>
      <c r="I563" t="s">
        <v>197</v>
      </c>
      <c r="J563" t="s">
        <v>197</v>
      </c>
      <c r="K563" t="s">
        <v>725</v>
      </c>
    </row>
    <row r="564" spans="1:24">
      <c r="B564" t="s">
        <v>197</v>
      </c>
      <c r="C564" t="s">
        <v>197</v>
      </c>
      <c r="D564" t="s">
        <v>197</v>
      </c>
      <c r="E564" t="s">
        <v>197</v>
      </c>
      <c r="F564" t="s">
        <v>197</v>
      </c>
      <c r="G564" t="s">
        <v>197</v>
      </c>
      <c r="H564" t="s">
        <v>197</v>
      </c>
      <c r="I564" t="s">
        <v>197</v>
      </c>
      <c r="J564" t="s">
        <v>197</v>
      </c>
      <c r="K564" t="s">
        <v>726</v>
      </c>
    </row>
    <row r="565" spans="1:24">
      <c r="K565" t="s">
        <v>443</v>
      </c>
    </row>
    <row r="566" spans="1:24">
      <c r="A566" t="s">
        <v>817</v>
      </c>
      <c r="K566" t="s">
        <v>818</v>
      </c>
      <c r="W566" t="s">
        <v>171</v>
      </c>
      <c r="X566" t="str">
        <f>A566</f>
        <v>info_datetimeoffset_dml_batch1_pk_drp1</v>
      </c>
    </row>
    <row r="567" spans="1:24">
      <c r="B567" t="s">
        <v>196</v>
      </c>
      <c r="C567" t="s">
        <v>197</v>
      </c>
      <c r="D567" t="s">
        <v>197</v>
      </c>
      <c r="E567" t="s">
        <v>197</v>
      </c>
      <c r="F567" t="s">
        <v>197</v>
      </c>
      <c r="G567" t="s">
        <v>197</v>
      </c>
      <c r="H567" t="s">
        <v>197</v>
      </c>
      <c r="I567" t="s">
        <v>819</v>
      </c>
      <c r="J567" t="s">
        <v>199</v>
      </c>
      <c r="K567" t="s">
        <v>200</v>
      </c>
    </row>
    <row r="568" spans="1:24">
      <c r="B568" t="s">
        <v>197</v>
      </c>
      <c r="C568" t="s">
        <v>197</v>
      </c>
      <c r="D568" t="s">
        <v>197</v>
      </c>
      <c r="E568" t="s">
        <v>197</v>
      </c>
      <c r="F568" t="s">
        <v>197</v>
      </c>
      <c r="G568" t="s">
        <v>197</v>
      </c>
      <c r="H568" t="s">
        <v>197</v>
      </c>
      <c r="I568" t="s">
        <v>197</v>
      </c>
      <c r="J568" t="s">
        <v>197</v>
      </c>
      <c r="K568" t="s">
        <v>301</v>
      </c>
    </row>
    <row r="569" spans="1:24">
      <c r="B569" t="s">
        <v>197</v>
      </c>
      <c r="C569" t="s">
        <v>197</v>
      </c>
      <c r="D569" t="s">
        <v>197</v>
      </c>
      <c r="E569" t="s">
        <v>197</v>
      </c>
      <c r="F569" t="s">
        <v>197</v>
      </c>
      <c r="G569" t="s">
        <v>197</v>
      </c>
      <c r="H569" t="s">
        <v>197</v>
      </c>
      <c r="I569" t="s">
        <v>197</v>
      </c>
      <c r="J569" t="s">
        <v>197</v>
      </c>
      <c r="K569" t="s">
        <v>314</v>
      </c>
    </row>
    <row r="570" spans="1:24">
      <c r="B570" t="s">
        <v>197</v>
      </c>
      <c r="C570" t="s">
        <v>197</v>
      </c>
      <c r="D570" t="s">
        <v>197</v>
      </c>
      <c r="E570" t="s">
        <v>197</v>
      </c>
      <c r="F570" t="s">
        <v>197</v>
      </c>
      <c r="G570" t="s">
        <v>197</v>
      </c>
      <c r="H570" t="s">
        <v>197</v>
      </c>
      <c r="I570" t="s">
        <v>197</v>
      </c>
      <c r="J570" t="s">
        <v>197</v>
      </c>
      <c r="K570" t="s">
        <v>324</v>
      </c>
    </row>
    <row r="571" spans="1:24">
      <c r="B571" t="s">
        <v>197</v>
      </c>
      <c r="C571" t="s">
        <v>197</v>
      </c>
      <c r="D571" t="s">
        <v>197</v>
      </c>
      <c r="E571" t="s">
        <v>197</v>
      </c>
      <c r="F571" t="s">
        <v>197</v>
      </c>
      <c r="G571" t="s">
        <v>197</v>
      </c>
      <c r="H571" t="s">
        <v>197</v>
      </c>
      <c r="I571" t="s">
        <v>197</v>
      </c>
      <c r="J571" t="s">
        <v>197</v>
      </c>
      <c r="K571" t="s">
        <v>335</v>
      </c>
    </row>
    <row r="572" spans="1:24">
      <c r="B572" t="s">
        <v>197</v>
      </c>
      <c r="C572" t="s">
        <v>197</v>
      </c>
      <c r="D572" t="s">
        <v>197</v>
      </c>
      <c r="E572" t="s">
        <v>197</v>
      </c>
      <c r="F572" t="s">
        <v>197</v>
      </c>
      <c r="G572" t="s">
        <v>197</v>
      </c>
      <c r="H572" t="s">
        <v>197</v>
      </c>
      <c r="I572" t="s">
        <v>197</v>
      </c>
      <c r="J572" t="s">
        <v>197</v>
      </c>
      <c r="K572" t="s">
        <v>350</v>
      </c>
    </row>
    <row r="573" spans="1:24">
      <c r="B573" t="s">
        <v>197</v>
      </c>
      <c r="C573" t="s">
        <v>197</v>
      </c>
      <c r="D573" t="s">
        <v>197</v>
      </c>
      <c r="E573" t="s">
        <v>197</v>
      </c>
      <c r="F573" t="s">
        <v>197</v>
      </c>
      <c r="G573" t="s">
        <v>197</v>
      </c>
      <c r="H573" t="s">
        <v>197</v>
      </c>
      <c r="I573" t="s">
        <v>197</v>
      </c>
      <c r="J573" t="s">
        <v>197</v>
      </c>
      <c r="K573" t="s">
        <v>360</v>
      </c>
    </row>
    <row r="574" spans="1:24">
      <c r="B574" t="s">
        <v>197</v>
      </c>
      <c r="C574" t="s">
        <v>197</v>
      </c>
      <c r="D574" t="s">
        <v>197</v>
      </c>
      <c r="E574" t="s">
        <v>197</v>
      </c>
      <c r="F574" t="s">
        <v>197</v>
      </c>
      <c r="G574" t="s">
        <v>197</v>
      </c>
      <c r="H574" t="s">
        <v>197</v>
      </c>
      <c r="I574" t="s">
        <v>197</v>
      </c>
      <c r="J574" t="s">
        <v>197</v>
      </c>
      <c r="K574" t="s">
        <v>367</v>
      </c>
    </row>
    <row r="575" spans="1:24">
      <c r="B575" t="s">
        <v>197</v>
      </c>
      <c r="C575" t="s">
        <v>197</v>
      </c>
      <c r="D575" t="s">
        <v>197</v>
      </c>
      <c r="E575" t="s">
        <v>197</v>
      </c>
      <c r="F575" t="s">
        <v>197</v>
      </c>
      <c r="G575" t="s">
        <v>197</v>
      </c>
      <c r="H575" t="s">
        <v>197</v>
      </c>
      <c r="I575" t="s">
        <v>197</v>
      </c>
      <c r="J575" t="s">
        <v>197</v>
      </c>
      <c r="K575" t="s">
        <v>373</v>
      </c>
    </row>
    <row r="576" spans="1:24">
      <c r="K576" t="s">
        <v>443</v>
      </c>
    </row>
    <row r="577" spans="1:24">
      <c r="A577" t="s">
        <v>820</v>
      </c>
      <c r="K577" t="s">
        <v>821</v>
      </c>
      <c r="W577" t="s">
        <v>171</v>
      </c>
      <c r="X577" t="str">
        <f>A577</f>
        <v>info_nchar_dml_batch1_pk_urp1</v>
      </c>
    </row>
    <row r="578" spans="1:24">
      <c r="B578" t="s">
        <v>196</v>
      </c>
      <c r="C578" t="s">
        <v>197</v>
      </c>
      <c r="D578" t="s">
        <v>197</v>
      </c>
      <c r="E578" t="s">
        <v>197</v>
      </c>
      <c r="F578" t="s">
        <v>197</v>
      </c>
      <c r="G578" t="s">
        <v>197</v>
      </c>
      <c r="H578" t="s">
        <v>197</v>
      </c>
      <c r="I578" t="s">
        <v>822</v>
      </c>
      <c r="J578" t="s">
        <v>199</v>
      </c>
      <c r="K578" t="s">
        <v>200</v>
      </c>
    </row>
    <row r="579" spans="1:24">
      <c r="B579" t="s">
        <v>197</v>
      </c>
      <c r="C579" t="s">
        <v>197</v>
      </c>
      <c r="D579" t="s">
        <v>197</v>
      </c>
      <c r="E579" t="s">
        <v>197</v>
      </c>
      <c r="F579" t="s">
        <v>197</v>
      </c>
      <c r="G579" t="s">
        <v>197</v>
      </c>
      <c r="H579" t="s">
        <v>197</v>
      </c>
      <c r="I579" t="s">
        <v>197</v>
      </c>
      <c r="J579" t="s">
        <v>197</v>
      </c>
      <c r="K579" t="s">
        <v>514</v>
      </c>
    </row>
    <row r="580" spans="1:24">
      <c r="B580" t="s">
        <v>197</v>
      </c>
      <c r="C580" t="s">
        <v>197</v>
      </c>
      <c r="D580" t="s">
        <v>197</v>
      </c>
      <c r="E580" t="s">
        <v>197</v>
      </c>
      <c r="F580" t="s">
        <v>197</v>
      </c>
      <c r="G580" t="s">
        <v>197</v>
      </c>
      <c r="H580" t="s">
        <v>197</v>
      </c>
      <c r="I580" t="s">
        <v>197</v>
      </c>
      <c r="J580" t="s">
        <v>197</v>
      </c>
      <c r="K580" t="s">
        <v>516</v>
      </c>
    </row>
    <row r="581" spans="1:24">
      <c r="B581" t="s">
        <v>197</v>
      </c>
      <c r="C581" t="s">
        <v>197</v>
      </c>
      <c r="D581" t="s">
        <v>197</v>
      </c>
      <c r="E581" t="s">
        <v>197</v>
      </c>
      <c r="F581" t="s">
        <v>197</v>
      </c>
      <c r="G581" t="s">
        <v>197</v>
      </c>
      <c r="H581" t="s">
        <v>197</v>
      </c>
      <c r="I581" t="s">
        <v>197</v>
      </c>
      <c r="J581" t="s">
        <v>197</v>
      </c>
      <c r="K581" t="s">
        <v>612</v>
      </c>
    </row>
    <row r="582" spans="1:24">
      <c r="A582" t="s">
        <v>823</v>
      </c>
      <c r="K582" t="s">
        <v>824</v>
      </c>
      <c r="W582" t="s">
        <v>171</v>
      </c>
      <c r="X582" t="str">
        <f>A582</f>
        <v>info_hierarchyid_dml_single_pk</v>
      </c>
    </row>
    <row r="583" spans="1:24">
      <c r="B583" t="s">
        <v>196</v>
      </c>
      <c r="C583" t="s">
        <v>197</v>
      </c>
      <c r="D583" t="s">
        <v>197</v>
      </c>
      <c r="E583" t="s">
        <v>197</v>
      </c>
      <c r="F583" t="s">
        <v>197</v>
      </c>
      <c r="G583" t="s">
        <v>197</v>
      </c>
      <c r="H583" t="s">
        <v>197</v>
      </c>
      <c r="I583" t="s">
        <v>825</v>
      </c>
      <c r="J583" t="s">
        <v>199</v>
      </c>
      <c r="K583" t="s">
        <v>200</v>
      </c>
    </row>
    <row r="584" spans="1:24">
      <c r="B584" t="s">
        <v>197</v>
      </c>
      <c r="C584" t="s">
        <v>197</v>
      </c>
      <c r="D584" t="s">
        <v>197</v>
      </c>
      <c r="E584" t="s">
        <v>197</v>
      </c>
      <c r="F584" t="s">
        <v>197</v>
      </c>
      <c r="G584" t="s">
        <v>197</v>
      </c>
      <c r="H584" t="s">
        <v>197</v>
      </c>
      <c r="I584" t="s">
        <v>197</v>
      </c>
      <c r="J584" t="s">
        <v>197</v>
      </c>
      <c r="K584" t="s">
        <v>706</v>
      </c>
    </row>
    <row r="585" spans="1:24">
      <c r="A585" t="s">
        <v>826</v>
      </c>
      <c r="K585" t="s">
        <v>827</v>
      </c>
      <c r="W585" t="s">
        <v>171</v>
      </c>
      <c r="X585" t="str">
        <f>A585</f>
        <v>info_datetimeoffset_dml_batch1_pk_drp2</v>
      </c>
    </row>
    <row r="586" spans="1:24">
      <c r="B586" t="s">
        <v>196</v>
      </c>
      <c r="C586" t="s">
        <v>197</v>
      </c>
      <c r="D586" t="s">
        <v>197</v>
      </c>
      <c r="E586" t="s">
        <v>197</v>
      </c>
      <c r="F586" t="s">
        <v>197</v>
      </c>
      <c r="G586" t="s">
        <v>197</v>
      </c>
      <c r="H586" t="s">
        <v>197</v>
      </c>
      <c r="I586" t="s">
        <v>828</v>
      </c>
      <c r="J586" t="s">
        <v>199</v>
      </c>
      <c r="K586" t="s">
        <v>200</v>
      </c>
    </row>
    <row r="587" spans="1:24">
      <c r="B587" t="s">
        <v>197</v>
      </c>
      <c r="C587" t="s">
        <v>197</v>
      </c>
      <c r="D587" t="s">
        <v>197</v>
      </c>
      <c r="E587" t="s">
        <v>197</v>
      </c>
      <c r="F587" t="s">
        <v>197</v>
      </c>
      <c r="G587" t="s">
        <v>197</v>
      </c>
      <c r="H587" t="s">
        <v>197</v>
      </c>
      <c r="I587" t="s">
        <v>197</v>
      </c>
      <c r="J587" t="s">
        <v>197</v>
      </c>
      <c r="K587" t="s">
        <v>301</v>
      </c>
    </row>
    <row r="588" spans="1:24">
      <c r="B588" t="s">
        <v>197</v>
      </c>
      <c r="C588" t="s">
        <v>197</v>
      </c>
      <c r="D588" t="s">
        <v>197</v>
      </c>
      <c r="E588" t="s">
        <v>197</v>
      </c>
      <c r="F588" t="s">
        <v>197</v>
      </c>
      <c r="G588" t="s">
        <v>197</v>
      </c>
      <c r="H588" t="s">
        <v>197</v>
      </c>
      <c r="I588" t="s">
        <v>197</v>
      </c>
      <c r="J588" t="s">
        <v>197</v>
      </c>
      <c r="K588" t="s">
        <v>314</v>
      </c>
    </row>
    <row r="589" spans="1:24">
      <c r="B589" t="s">
        <v>197</v>
      </c>
      <c r="C589" t="s">
        <v>197</v>
      </c>
      <c r="D589" t="s">
        <v>197</v>
      </c>
      <c r="E589" t="s">
        <v>197</v>
      </c>
      <c r="F589" t="s">
        <v>197</v>
      </c>
      <c r="G589" t="s">
        <v>197</v>
      </c>
      <c r="H589" t="s">
        <v>197</v>
      </c>
      <c r="I589" t="s">
        <v>197</v>
      </c>
      <c r="J589" t="s">
        <v>197</v>
      </c>
      <c r="K589" t="s">
        <v>324</v>
      </c>
    </row>
    <row r="590" spans="1:24">
      <c r="B590" t="s">
        <v>197</v>
      </c>
      <c r="C590" t="s">
        <v>197</v>
      </c>
      <c r="D590" t="s">
        <v>197</v>
      </c>
      <c r="E590" t="s">
        <v>197</v>
      </c>
      <c r="F590" t="s">
        <v>197</v>
      </c>
      <c r="G590" t="s">
        <v>197</v>
      </c>
      <c r="H590" t="s">
        <v>197</v>
      </c>
      <c r="I590" t="s">
        <v>197</v>
      </c>
      <c r="J590" t="s">
        <v>197</v>
      </c>
      <c r="K590" t="s">
        <v>335</v>
      </c>
    </row>
    <row r="591" spans="1:24">
      <c r="B591" t="s">
        <v>197</v>
      </c>
      <c r="C591" t="s">
        <v>197</v>
      </c>
      <c r="D591" t="s">
        <v>197</v>
      </c>
      <c r="E591" t="s">
        <v>197</v>
      </c>
      <c r="F591" t="s">
        <v>197</v>
      </c>
      <c r="G591" t="s">
        <v>197</v>
      </c>
      <c r="H591" t="s">
        <v>197</v>
      </c>
      <c r="I591" t="s">
        <v>197</v>
      </c>
      <c r="J591" t="s">
        <v>197</v>
      </c>
      <c r="K591" t="s">
        <v>350</v>
      </c>
    </row>
    <row r="592" spans="1:24">
      <c r="B592" t="s">
        <v>197</v>
      </c>
      <c r="C592" t="s">
        <v>197</v>
      </c>
      <c r="D592" t="s">
        <v>197</v>
      </c>
      <c r="E592" t="s">
        <v>197</v>
      </c>
      <c r="F592" t="s">
        <v>197</v>
      </c>
      <c r="G592" t="s">
        <v>197</v>
      </c>
      <c r="H592" t="s">
        <v>197</v>
      </c>
      <c r="I592" t="s">
        <v>197</v>
      </c>
      <c r="J592" t="s">
        <v>197</v>
      </c>
      <c r="K592" t="s">
        <v>360</v>
      </c>
    </row>
    <row r="593" spans="1:24">
      <c r="B593" t="s">
        <v>197</v>
      </c>
      <c r="C593" t="s">
        <v>197</v>
      </c>
      <c r="D593" t="s">
        <v>197</v>
      </c>
      <c r="E593" t="s">
        <v>197</v>
      </c>
      <c r="F593" t="s">
        <v>197</v>
      </c>
      <c r="G593" t="s">
        <v>197</v>
      </c>
      <c r="H593" t="s">
        <v>197</v>
      </c>
      <c r="I593" t="s">
        <v>197</v>
      </c>
      <c r="J593" t="s">
        <v>197</v>
      </c>
      <c r="K593" t="s">
        <v>367</v>
      </c>
    </row>
    <row r="594" spans="1:24">
      <c r="B594" t="s">
        <v>197</v>
      </c>
      <c r="C594" t="s">
        <v>197</v>
      </c>
      <c r="D594" t="s">
        <v>197</v>
      </c>
      <c r="E594" t="s">
        <v>197</v>
      </c>
      <c r="F594" t="s">
        <v>197</v>
      </c>
      <c r="G594" t="s">
        <v>197</v>
      </c>
      <c r="H594" t="s">
        <v>197</v>
      </c>
      <c r="I594" t="s">
        <v>197</v>
      </c>
      <c r="J594" t="s">
        <v>197</v>
      </c>
      <c r="K594" t="s">
        <v>373</v>
      </c>
    </row>
    <row r="595" spans="1:24">
      <c r="A595" t="s">
        <v>829</v>
      </c>
      <c r="K595" t="s">
        <v>830</v>
      </c>
      <c r="W595" t="s">
        <v>171</v>
      </c>
      <c r="X595" t="str">
        <f>A595</f>
        <v>info_char_dml_batch1_pk_drp1</v>
      </c>
    </row>
    <row r="596" spans="1:24">
      <c r="B596" t="s">
        <v>196</v>
      </c>
      <c r="C596" t="s">
        <v>197</v>
      </c>
      <c r="D596" t="s">
        <v>197</v>
      </c>
      <c r="E596" t="s">
        <v>197</v>
      </c>
      <c r="F596" t="s">
        <v>197</v>
      </c>
      <c r="G596" t="s">
        <v>197</v>
      </c>
      <c r="H596" t="s">
        <v>197</v>
      </c>
      <c r="I596" t="s">
        <v>831</v>
      </c>
      <c r="J596" t="s">
        <v>199</v>
      </c>
      <c r="K596" t="s">
        <v>200</v>
      </c>
    </row>
    <row r="597" spans="1:24">
      <c r="B597" t="s">
        <v>197</v>
      </c>
      <c r="C597" t="s">
        <v>197</v>
      </c>
      <c r="D597" t="s">
        <v>197</v>
      </c>
      <c r="E597" t="s">
        <v>197</v>
      </c>
      <c r="F597" t="s">
        <v>197</v>
      </c>
      <c r="G597" t="s">
        <v>197</v>
      </c>
      <c r="H597" t="s">
        <v>197</v>
      </c>
      <c r="I597" t="s">
        <v>197</v>
      </c>
      <c r="J597" t="s">
        <v>197</v>
      </c>
      <c r="K597" t="s">
        <v>622</v>
      </c>
    </row>
    <row r="598" spans="1:24">
      <c r="B598" t="s">
        <v>197</v>
      </c>
      <c r="C598" t="s">
        <v>197</v>
      </c>
      <c r="D598" t="s">
        <v>197</v>
      </c>
      <c r="E598" t="s">
        <v>197</v>
      </c>
      <c r="F598" t="s">
        <v>197</v>
      </c>
      <c r="G598" t="s">
        <v>197</v>
      </c>
      <c r="H598" t="s">
        <v>197</v>
      </c>
      <c r="I598" t="s">
        <v>197</v>
      </c>
      <c r="J598" t="s">
        <v>197</v>
      </c>
      <c r="K598" t="s">
        <v>623</v>
      </c>
    </row>
    <row r="599" spans="1:24">
      <c r="B599" t="s">
        <v>197</v>
      </c>
      <c r="C599" t="s">
        <v>197</v>
      </c>
      <c r="D599" t="s">
        <v>197</v>
      </c>
      <c r="E599" t="s">
        <v>197</v>
      </c>
      <c r="F599" t="s">
        <v>197</v>
      </c>
      <c r="G599" t="s">
        <v>197</v>
      </c>
      <c r="H599" t="s">
        <v>197</v>
      </c>
      <c r="I599" t="s">
        <v>197</v>
      </c>
      <c r="J599" t="s">
        <v>197</v>
      </c>
      <c r="K599" t="s">
        <v>832</v>
      </c>
    </row>
    <row r="600" spans="1:24">
      <c r="K600" t="s">
        <v>443</v>
      </c>
    </row>
    <row r="601" spans="1:24">
      <c r="A601" t="s">
        <v>833</v>
      </c>
      <c r="K601" t="s">
        <v>834</v>
      </c>
      <c r="W601" t="s">
        <v>171</v>
      </c>
      <c r="X601" t="str">
        <f>A601</f>
        <v>info_datetimeoffset_dml_batch1_pk</v>
      </c>
    </row>
    <row r="602" spans="1:24">
      <c r="B602" t="s">
        <v>196</v>
      </c>
      <c r="C602" t="s">
        <v>197</v>
      </c>
      <c r="D602" t="s">
        <v>197</v>
      </c>
      <c r="E602" t="s">
        <v>197</v>
      </c>
      <c r="F602" t="s">
        <v>197</v>
      </c>
      <c r="G602" t="s">
        <v>197</v>
      </c>
      <c r="H602" t="s">
        <v>197</v>
      </c>
      <c r="I602" t="s">
        <v>835</v>
      </c>
      <c r="J602" t="s">
        <v>199</v>
      </c>
      <c r="K602" t="s">
        <v>200</v>
      </c>
    </row>
    <row r="603" spans="1:24">
      <c r="B603" t="s">
        <v>197</v>
      </c>
      <c r="C603" t="s">
        <v>197</v>
      </c>
      <c r="D603" t="s">
        <v>197</v>
      </c>
      <c r="E603" t="s">
        <v>197</v>
      </c>
      <c r="F603" t="s">
        <v>197</v>
      </c>
      <c r="G603" t="s">
        <v>197</v>
      </c>
      <c r="H603" t="s">
        <v>197</v>
      </c>
      <c r="I603" t="s">
        <v>197</v>
      </c>
      <c r="J603" t="s">
        <v>197</v>
      </c>
      <c r="K603" t="s">
        <v>301</v>
      </c>
    </row>
    <row r="604" spans="1:24">
      <c r="B604" t="s">
        <v>197</v>
      </c>
      <c r="C604" t="s">
        <v>197</v>
      </c>
      <c r="D604" t="s">
        <v>197</v>
      </c>
      <c r="E604" t="s">
        <v>197</v>
      </c>
      <c r="F604" t="s">
        <v>197</v>
      </c>
      <c r="G604" t="s">
        <v>197</v>
      </c>
      <c r="H604" t="s">
        <v>197</v>
      </c>
      <c r="I604" t="s">
        <v>197</v>
      </c>
      <c r="J604" t="s">
        <v>197</v>
      </c>
      <c r="K604" t="s">
        <v>314</v>
      </c>
    </row>
    <row r="605" spans="1:24">
      <c r="B605" t="s">
        <v>197</v>
      </c>
      <c r="C605" t="s">
        <v>197</v>
      </c>
      <c r="D605" t="s">
        <v>197</v>
      </c>
      <c r="E605" t="s">
        <v>197</v>
      </c>
      <c r="F605" t="s">
        <v>197</v>
      </c>
      <c r="G605" t="s">
        <v>197</v>
      </c>
      <c r="H605" t="s">
        <v>197</v>
      </c>
      <c r="I605" t="s">
        <v>197</v>
      </c>
      <c r="J605" t="s">
        <v>197</v>
      </c>
      <c r="K605" t="s">
        <v>324</v>
      </c>
    </row>
    <row r="606" spans="1:24">
      <c r="B606" t="s">
        <v>197</v>
      </c>
      <c r="C606" t="s">
        <v>197</v>
      </c>
      <c r="D606" t="s">
        <v>197</v>
      </c>
      <c r="E606" t="s">
        <v>197</v>
      </c>
      <c r="F606" t="s">
        <v>197</v>
      </c>
      <c r="G606" t="s">
        <v>197</v>
      </c>
      <c r="H606" t="s">
        <v>197</v>
      </c>
      <c r="I606" t="s">
        <v>197</v>
      </c>
      <c r="J606" t="s">
        <v>197</v>
      </c>
      <c r="K606" t="s">
        <v>335</v>
      </c>
    </row>
    <row r="607" spans="1:24">
      <c r="B607" t="s">
        <v>197</v>
      </c>
      <c r="C607" t="s">
        <v>197</v>
      </c>
      <c r="D607" t="s">
        <v>197</v>
      </c>
      <c r="E607" t="s">
        <v>197</v>
      </c>
      <c r="F607" t="s">
        <v>197</v>
      </c>
      <c r="G607" t="s">
        <v>197</v>
      </c>
      <c r="H607" t="s">
        <v>197</v>
      </c>
      <c r="I607" t="s">
        <v>197</v>
      </c>
      <c r="J607" t="s">
        <v>197</v>
      </c>
      <c r="K607" t="s">
        <v>350</v>
      </c>
    </row>
    <row r="608" spans="1:24">
      <c r="B608" t="s">
        <v>197</v>
      </c>
      <c r="C608" t="s">
        <v>197</v>
      </c>
      <c r="D608" t="s">
        <v>197</v>
      </c>
      <c r="E608" t="s">
        <v>197</v>
      </c>
      <c r="F608" t="s">
        <v>197</v>
      </c>
      <c r="G608" t="s">
        <v>197</v>
      </c>
      <c r="H608" t="s">
        <v>197</v>
      </c>
      <c r="I608" t="s">
        <v>197</v>
      </c>
      <c r="J608" t="s">
        <v>197</v>
      </c>
      <c r="K608" t="s">
        <v>360</v>
      </c>
    </row>
    <row r="609" spans="1:24">
      <c r="B609" t="s">
        <v>197</v>
      </c>
      <c r="C609" t="s">
        <v>197</v>
      </c>
      <c r="D609" t="s">
        <v>197</v>
      </c>
      <c r="E609" t="s">
        <v>197</v>
      </c>
      <c r="F609" t="s">
        <v>197</v>
      </c>
      <c r="G609" t="s">
        <v>197</v>
      </c>
      <c r="H609" t="s">
        <v>197</v>
      </c>
      <c r="I609" t="s">
        <v>197</v>
      </c>
      <c r="J609" t="s">
        <v>197</v>
      </c>
      <c r="K609" t="s">
        <v>367</v>
      </c>
    </row>
    <row r="610" spans="1:24">
      <c r="B610" t="s">
        <v>197</v>
      </c>
      <c r="C610" t="s">
        <v>197</v>
      </c>
      <c r="D610" t="s">
        <v>197</v>
      </c>
      <c r="E610" t="s">
        <v>197</v>
      </c>
      <c r="F610" t="s">
        <v>197</v>
      </c>
      <c r="G610" t="s">
        <v>197</v>
      </c>
      <c r="H610" t="s">
        <v>197</v>
      </c>
      <c r="I610" t="s">
        <v>197</v>
      </c>
      <c r="J610" t="s">
        <v>197</v>
      </c>
      <c r="K610" t="s">
        <v>373</v>
      </c>
    </row>
    <row r="611" spans="1:24">
      <c r="A611" t="s">
        <v>836</v>
      </c>
      <c r="K611" t="s">
        <v>837</v>
      </c>
      <c r="W611" t="s">
        <v>171</v>
      </c>
      <c r="X611" t="str">
        <f>A611</f>
        <v>info_nchar_dml_batch2_pk_urp2</v>
      </c>
    </row>
    <row r="612" spans="1:24">
      <c r="B612" t="s">
        <v>196</v>
      </c>
      <c r="C612" t="s">
        <v>197</v>
      </c>
      <c r="D612" t="s">
        <v>197</v>
      </c>
      <c r="E612" t="s">
        <v>197</v>
      </c>
      <c r="F612" t="s">
        <v>197</v>
      </c>
      <c r="G612" t="s">
        <v>197</v>
      </c>
      <c r="H612" t="s">
        <v>197</v>
      </c>
      <c r="I612" t="s">
        <v>838</v>
      </c>
      <c r="J612" t="s">
        <v>199</v>
      </c>
      <c r="K612" t="s">
        <v>200</v>
      </c>
    </row>
    <row r="613" spans="1:24">
      <c r="B613" t="s">
        <v>197</v>
      </c>
      <c r="C613" t="s">
        <v>197</v>
      </c>
      <c r="D613" t="s">
        <v>197</v>
      </c>
      <c r="E613" t="s">
        <v>197</v>
      </c>
      <c r="F613" t="s">
        <v>197</v>
      </c>
      <c r="G613" t="s">
        <v>197</v>
      </c>
      <c r="H613" t="s">
        <v>197</v>
      </c>
      <c r="I613" t="s">
        <v>197</v>
      </c>
      <c r="J613" t="s">
        <v>197</v>
      </c>
      <c r="K613" t="s">
        <v>514</v>
      </c>
    </row>
    <row r="614" spans="1:24">
      <c r="B614" t="s">
        <v>197</v>
      </c>
      <c r="C614" t="s">
        <v>197</v>
      </c>
      <c r="D614" t="s">
        <v>197</v>
      </c>
      <c r="E614" t="s">
        <v>197</v>
      </c>
      <c r="F614" t="s">
        <v>197</v>
      </c>
      <c r="G614" t="s">
        <v>197</v>
      </c>
      <c r="H614" t="s">
        <v>197</v>
      </c>
      <c r="I614" t="s">
        <v>197</v>
      </c>
      <c r="J614" t="s">
        <v>197</v>
      </c>
      <c r="K614" t="s">
        <v>516</v>
      </c>
    </row>
    <row r="615" spans="1:24">
      <c r="B615" t="s">
        <v>197</v>
      </c>
      <c r="C615" t="s">
        <v>197</v>
      </c>
      <c r="D615" t="s">
        <v>197</v>
      </c>
      <c r="E615" t="s">
        <v>197</v>
      </c>
      <c r="F615" t="s">
        <v>197</v>
      </c>
      <c r="G615" t="s">
        <v>197</v>
      </c>
      <c r="H615" t="s">
        <v>197</v>
      </c>
      <c r="I615" t="s">
        <v>197</v>
      </c>
      <c r="J615" t="s">
        <v>197</v>
      </c>
      <c r="K615" t="s">
        <v>612</v>
      </c>
    </row>
    <row r="616" spans="1:24">
      <c r="A616" t="s">
        <v>839</v>
      </c>
      <c r="K616" t="s">
        <v>840</v>
      </c>
      <c r="W616" t="s">
        <v>171</v>
      </c>
      <c r="X616" t="str">
        <f>A616</f>
        <v>info_date_dml_batch2_pk_irp1</v>
      </c>
    </row>
    <row r="617" spans="1:24">
      <c r="B617" t="s">
        <v>196</v>
      </c>
      <c r="C617" t="s">
        <v>197</v>
      </c>
      <c r="D617" t="s">
        <v>197</v>
      </c>
      <c r="E617" t="s">
        <v>197</v>
      </c>
      <c r="F617" t="s">
        <v>197</v>
      </c>
      <c r="G617" t="s">
        <v>197</v>
      </c>
      <c r="H617" t="s">
        <v>197</v>
      </c>
      <c r="I617" t="s">
        <v>841</v>
      </c>
      <c r="J617" t="s">
        <v>199</v>
      </c>
      <c r="K617" t="s">
        <v>200</v>
      </c>
    </row>
    <row r="618" spans="1:24">
      <c r="B618" t="s">
        <v>197</v>
      </c>
      <c r="C618" t="s">
        <v>197</v>
      </c>
      <c r="D618" t="s">
        <v>197</v>
      </c>
      <c r="E618" t="s">
        <v>197</v>
      </c>
      <c r="F618" t="s">
        <v>197</v>
      </c>
      <c r="G618" t="s">
        <v>197</v>
      </c>
      <c r="H618" t="s">
        <v>197</v>
      </c>
      <c r="I618" t="s">
        <v>197</v>
      </c>
      <c r="J618" t="s">
        <v>197</v>
      </c>
      <c r="K618" t="s">
        <v>678</v>
      </c>
    </row>
    <row r="619" spans="1:24">
      <c r="A619" t="s">
        <v>842</v>
      </c>
      <c r="K619" t="s">
        <v>843</v>
      </c>
      <c r="W619" t="s">
        <v>171</v>
      </c>
      <c r="X619" t="str">
        <f>A619</f>
        <v>info_time_dml_single_pk_urp</v>
      </c>
    </row>
    <row r="620" spans="1:24">
      <c r="B620" t="s">
        <v>196</v>
      </c>
      <c r="C620" t="s">
        <v>197</v>
      </c>
      <c r="D620" t="s">
        <v>197</v>
      </c>
      <c r="E620" t="s">
        <v>197</v>
      </c>
      <c r="F620" t="s">
        <v>197</v>
      </c>
      <c r="G620" t="s">
        <v>197</v>
      </c>
      <c r="H620" t="s">
        <v>197</v>
      </c>
      <c r="I620" t="s">
        <v>844</v>
      </c>
      <c r="J620" t="s">
        <v>199</v>
      </c>
      <c r="K620" t="s">
        <v>200</v>
      </c>
    </row>
    <row r="621" spans="1:24">
      <c r="B621" t="s">
        <v>197</v>
      </c>
      <c r="C621" t="s">
        <v>197</v>
      </c>
      <c r="D621" t="s">
        <v>197</v>
      </c>
      <c r="E621" t="s">
        <v>197</v>
      </c>
      <c r="F621" t="s">
        <v>197</v>
      </c>
      <c r="G621" t="s">
        <v>197</v>
      </c>
      <c r="H621" t="s">
        <v>197</v>
      </c>
      <c r="I621" t="s">
        <v>197</v>
      </c>
      <c r="J621" t="s">
        <v>197</v>
      </c>
      <c r="K621" t="s">
        <v>800</v>
      </c>
    </row>
    <row r="622" spans="1:24">
      <c r="B622" t="s">
        <v>197</v>
      </c>
      <c r="C622" t="s">
        <v>197</v>
      </c>
      <c r="D622" t="s">
        <v>197</v>
      </c>
      <c r="E622" t="s">
        <v>197</v>
      </c>
      <c r="F622" t="s">
        <v>197</v>
      </c>
      <c r="G622" t="s">
        <v>197</v>
      </c>
      <c r="H622" t="s">
        <v>197</v>
      </c>
      <c r="I622" t="s">
        <v>197</v>
      </c>
      <c r="J622" t="s">
        <v>197</v>
      </c>
      <c r="K622" t="s">
        <v>801</v>
      </c>
    </row>
    <row r="623" spans="1:24">
      <c r="B623" t="s">
        <v>197</v>
      </c>
      <c r="C623" t="s">
        <v>197</v>
      </c>
      <c r="D623" t="s">
        <v>197</v>
      </c>
      <c r="E623" t="s">
        <v>197</v>
      </c>
      <c r="F623" t="s">
        <v>197</v>
      </c>
      <c r="G623" t="s">
        <v>197</v>
      </c>
      <c r="H623" t="s">
        <v>197</v>
      </c>
      <c r="I623" t="s">
        <v>197</v>
      </c>
      <c r="J623" t="s">
        <v>197</v>
      </c>
      <c r="K623" t="s">
        <v>802</v>
      </c>
    </row>
    <row r="624" spans="1:24">
      <c r="B624" t="s">
        <v>197</v>
      </c>
      <c r="C624" t="s">
        <v>197</v>
      </c>
      <c r="D624" t="s">
        <v>197</v>
      </c>
      <c r="E624" t="s">
        <v>197</v>
      </c>
      <c r="F624" t="s">
        <v>197</v>
      </c>
      <c r="G624" t="s">
        <v>197</v>
      </c>
      <c r="H624" t="s">
        <v>197</v>
      </c>
      <c r="I624" t="s">
        <v>197</v>
      </c>
      <c r="J624" t="s">
        <v>197</v>
      </c>
      <c r="K624" t="s">
        <v>803</v>
      </c>
    </row>
    <row r="625" spans="1:24">
      <c r="B625" t="s">
        <v>197</v>
      </c>
      <c r="C625" t="s">
        <v>197</v>
      </c>
      <c r="D625" t="s">
        <v>197</v>
      </c>
      <c r="E625" t="s">
        <v>197</v>
      </c>
      <c r="F625" t="s">
        <v>197</v>
      </c>
      <c r="G625" t="s">
        <v>197</v>
      </c>
      <c r="H625" t="s">
        <v>197</v>
      </c>
      <c r="I625" t="s">
        <v>197</v>
      </c>
      <c r="J625" t="s">
        <v>197</v>
      </c>
      <c r="K625" t="s">
        <v>804</v>
      </c>
    </row>
    <row r="626" spans="1:24">
      <c r="B626" t="s">
        <v>197</v>
      </c>
      <c r="C626" t="s">
        <v>197</v>
      </c>
      <c r="D626" t="s">
        <v>197</v>
      </c>
      <c r="E626" t="s">
        <v>197</v>
      </c>
      <c r="F626" t="s">
        <v>197</v>
      </c>
      <c r="G626" t="s">
        <v>197</v>
      </c>
      <c r="H626" t="s">
        <v>197</v>
      </c>
      <c r="I626" t="s">
        <v>197</v>
      </c>
      <c r="J626" t="s">
        <v>197</v>
      </c>
      <c r="K626" t="s">
        <v>805</v>
      </c>
    </row>
    <row r="627" spans="1:24">
      <c r="B627" t="s">
        <v>197</v>
      </c>
      <c r="C627" t="s">
        <v>197</v>
      </c>
      <c r="D627" t="s">
        <v>197</v>
      </c>
      <c r="E627" t="s">
        <v>197</v>
      </c>
      <c r="F627" t="s">
        <v>197</v>
      </c>
      <c r="G627" t="s">
        <v>197</v>
      </c>
      <c r="H627" t="s">
        <v>197</v>
      </c>
      <c r="I627" t="s">
        <v>197</v>
      </c>
      <c r="J627" t="s">
        <v>197</v>
      </c>
      <c r="K627" t="s">
        <v>806</v>
      </c>
    </row>
    <row r="628" spans="1:24">
      <c r="B628" t="s">
        <v>197</v>
      </c>
      <c r="C628" t="s">
        <v>197</v>
      </c>
      <c r="D628" t="s">
        <v>197</v>
      </c>
      <c r="E628" t="s">
        <v>197</v>
      </c>
      <c r="F628" t="s">
        <v>197</v>
      </c>
      <c r="G628" t="s">
        <v>197</v>
      </c>
      <c r="H628" t="s">
        <v>197</v>
      </c>
      <c r="I628" t="s">
        <v>197</v>
      </c>
      <c r="J628" t="s">
        <v>197</v>
      </c>
      <c r="K628" t="s">
        <v>807</v>
      </c>
    </row>
    <row r="629" spans="1:24">
      <c r="A629" t="s">
        <v>845</v>
      </c>
      <c r="K629" t="s">
        <v>846</v>
      </c>
      <c r="W629" t="s">
        <v>171</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848</v>
      </c>
      <c r="K634" t="s">
        <v>849</v>
      </c>
      <c r="W634" t="s">
        <v>171</v>
      </c>
      <c r="X634" t="str">
        <f>A634</f>
        <v>info_time_dml_single_pk_drp</v>
      </c>
    </row>
    <row r="635" spans="1:24">
      <c r="B635" t="s">
        <v>196</v>
      </c>
      <c r="C635" t="s">
        <v>197</v>
      </c>
      <c r="D635" t="s">
        <v>197</v>
      </c>
      <c r="E635" t="s">
        <v>197</v>
      </c>
      <c r="F635" t="s">
        <v>197</v>
      </c>
      <c r="G635" t="s">
        <v>197</v>
      </c>
      <c r="H635" t="s">
        <v>197</v>
      </c>
      <c r="I635" t="s">
        <v>850</v>
      </c>
      <c r="J635" t="s">
        <v>199</v>
      </c>
      <c r="K635" t="s">
        <v>200</v>
      </c>
    </row>
    <row r="636" spans="1:24">
      <c r="B636" t="s">
        <v>197</v>
      </c>
      <c r="C636" t="s">
        <v>197</v>
      </c>
      <c r="D636" t="s">
        <v>197</v>
      </c>
      <c r="E636" t="s">
        <v>197</v>
      </c>
      <c r="F636" t="s">
        <v>197</v>
      </c>
      <c r="G636" t="s">
        <v>197</v>
      </c>
      <c r="H636" t="s">
        <v>197</v>
      </c>
      <c r="I636" t="s">
        <v>197</v>
      </c>
      <c r="J636" t="s">
        <v>197</v>
      </c>
      <c r="K636" t="s">
        <v>800</v>
      </c>
    </row>
    <row r="637" spans="1:24">
      <c r="B637" t="s">
        <v>197</v>
      </c>
      <c r="C637" t="s">
        <v>197</v>
      </c>
      <c r="D637" t="s">
        <v>197</v>
      </c>
      <c r="E637" t="s">
        <v>197</v>
      </c>
      <c r="F637" t="s">
        <v>197</v>
      </c>
      <c r="G637" t="s">
        <v>197</v>
      </c>
      <c r="H637" t="s">
        <v>197</v>
      </c>
      <c r="I637" t="s">
        <v>197</v>
      </c>
      <c r="J637" t="s">
        <v>197</v>
      </c>
      <c r="K637" t="s">
        <v>801</v>
      </c>
    </row>
    <row r="638" spans="1:24">
      <c r="B638" t="s">
        <v>197</v>
      </c>
      <c r="C638" t="s">
        <v>197</v>
      </c>
      <c r="D638" t="s">
        <v>197</v>
      </c>
      <c r="E638" t="s">
        <v>197</v>
      </c>
      <c r="F638" t="s">
        <v>197</v>
      </c>
      <c r="G638" t="s">
        <v>197</v>
      </c>
      <c r="H638" t="s">
        <v>197</v>
      </c>
      <c r="I638" t="s">
        <v>197</v>
      </c>
      <c r="J638" t="s">
        <v>197</v>
      </c>
      <c r="K638" t="s">
        <v>802</v>
      </c>
    </row>
    <row r="639" spans="1:24">
      <c r="B639" t="s">
        <v>197</v>
      </c>
      <c r="C639" t="s">
        <v>197</v>
      </c>
      <c r="D639" t="s">
        <v>197</v>
      </c>
      <c r="E639" t="s">
        <v>197</v>
      </c>
      <c r="F639" t="s">
        <v>197</v>
      </c>
      <c r="G639" t="s">
        <v>197</v>
      </c>
      <c r="H639" t="s">
        <v>197</v>
      </c>
      <c r="I639" t="s">
        <v>197</v>
      </c>
      <c r="J639" t="s">
        <v>197</v>
      </c>
      <c r="K639" t="s">
        <v>803</v>
      </c>
    </row>
    <row r="640" spans="1:24">
      <c r="B640" t="s">
        <v>197</v>
      </c>
      <c r="C640" t="s">
        <v>197</v>
      </c>
      <c r="D640" t="s">
        <v>197</v>
      </c>
      <c r="E640" t="s">
        <v>197</v>
      </c>
      <c r="F640" t="s">
        <v>197</v>
      </c>
      <c r="G640" t="s">
        <v>197</v>
      </c>
      <c r="H640" t="s">
        <v>197</v>
      </c>
      <c r="I640" t="s">
        <v>197</v>
      </c>
      <c r="J640" t="s">
        <v>197</v>
      </c>
      <c r="K640" t="s">
        <v>804</v>
      </c>
    </row>
    <row r="641" spans="1:24">
      <c r="B641" t="s">
        <v>197</v>
      </c>
      <c r="C641" t="s">
        <v>197</v>
      </c>
      <c r="D641" t="s">
        <v>197</v>
      </c>
      <c r="E641" t="s">
        <v>197</v>
      </c>
      <c r="F641" t="s">
        <v>197</v>
      </c>
      <c r="G641" t="s">
        <v>197</v>
      </c>
      <c r="H641" t="s">
        <v>197</v>
      </c>
      <c r="I641" t="s">
        <v>197</v>
      </c>
      <c r="J641" t="s">
        <v>197</v>
      </c>
      <c r="K641" t="s">
        <v>805</v>
      </c>
    </row>
    <row r="642" spans="1:24">
      <c r="B642" t="s">
        <v>197</v>
      </c>
      <c r="C642" t="s">
        <v>197</v>
      </c>
      <c r="D642" t="s">
        <v>197</v>
      </c>
      <c r="E642" t="s">
        <v>197</v>
      </c>
      <c r="F642" t="s">
        <v>197</v>
      </c>
      <c r="G642" t="s">
        <v>197</v>
      </c>
      <c r="H642" t="s">
        <v>197</v>
      </c>
      <c r="I642" t="s">
        <v>197</v>
      </c>
      <c r="J642" t="s">
        <v>197</v>
      </c>
      <c r="K642" t="s">
        <v>806</v>
      </c>
    </row>
    <row r="643" spans="1:24">
      <c r="B643" t="s">
        <v>197</v>
      </c>
      <c r="C643" t="s">
        <v>197</v>
      </c>
      <c r="D643" t="s">
        <v>197</v>
      </c>
      <c r="E643" t="s">
        <v>197</v>
      </c>
      <c r="F643" t="s">
        <v>197</v>
      </c>
      <c r="G643" t="s">
        <v>197</v>
      </c>
      <c r="H643" t="s">
        <v>197</v>
      </c>
      <c r="I643" t="s">
        <v>197</v>
      </c>
      <c r="J643" t="s">
        <v>197</v>
      </c>
      <c r="K643" t="s">
        <v>807</v>
      </c>
    </row>
    <row r="644" spans="1:24">
      <c r="A644" t="s">
        <v>851</v>
      </c>
      <c r="K644" t="s">
        <v>852</v>
      </c>
      <c r="W644" t="s">
        <v>171</v>
      </c>
      <c r="X644" t="str">
        <f>A644</f>
        <v>info_nvarchar_dml_single_pk</v>
      </c>
    </row>
    <row r="645" spans="1:24">
      <c r="B645" t="s">
        <v>196</v>
      </c>
      <c r="C645" t="s">
        <v>197</v>
      </c>
      <c r="D645" t="s">
        <v>197</v>
      </c>
      <c r="E645" t="s">
        <v>197</v>
      </c>
      <c r="F645" t="s">
        <v>197</v>
      </c>
      <c r="G645" t="s">
        <v>197</v>
      </c>
      <c r="H645" t="s">
        <v>197</v>
      </c>
      <c r="I645" t="s">
        <v>853</v>
      </c>
      <c r="J645" t="s">
        <v>199</v>
      </c>
      <c r="K645" t="s">
        <v>200</v>
      </c>
    </row>
    <row r="646" spans="1:24">
      <c r="B646" t="s">
        <v>197</v>
      </c>
      <c r="C646" t="s">
        <v>197</v>
      </c>
      <c r="D646" t="s">
        <v>197</v>
      </c>
      <c r="E646" t="s">
        <v>197</v>
      </c>
      <c r="F646" t="s">
        <v>197</v>
      </c>
      <c r="G646" t="s">
        <v>197</v>
      </c>
      <c r="H646" t="s">
        <v>197</v>
      </c>
      <c r="I646" t="s">
        <v>197</v>
      </c>
      <c r="J646" t="s">
        <v>197</v>
      </c>
      <c r="K646" t="s">
        <v>408</v>
      </c>
    </row>
    <row r="647" spans="1:24">
      <c r="B647" t="s">
        <v>197</v>
      </c>
      <c r="C647" t="s">
        <v>197</v>
      </c>
      <c r="D647" t="s">
        <v>197</v>
      </c>
      <c r="E647" t="s">
        <v>197</v>
      </c>
      <c r="F647" t="s">
        <v>197</v>
      </c>
      <c r="G647" t="s">
        <v>197</v>
      </c>
      <c r="H647" t="s">
        <v>197</v>
      </c>
      <c r="I647" t="s">
        <v>197</v>
      </c>
      <c r="J647" t="s">
        <v>197</v>
      </c>
      <c r="K647" t="s">
        <v>412</v>
      </c>
    </row>
    <row r="648" spans="1:24">
      <c r="B648" t="s">
        <v>197</v>
      </c>
      <c r="C648" t="s">
        <v>197</v>
      </c>
      <c r="D648" t="s">
        <v>197</v>
      </c>
      <c r="E648" t="s">
        <v>197</v>
      </c>
      <c r="F648" t="s">
        <v>197</v>
      </c>
      <c r="G648" t="s">
        <v>197</v>
      </c>
      <c r="H648" t="s">
        <v>197</v>
      </c>
      <c r="I648" t="s">
        <v>197</v>
      </c>
      <c r="J648" t="s">
        <v>197</v>
      </c>
      <c r="K648" t="s">
        <v>730</v>
      </c>
    </row>
    <row r="649" spans="1:24">
      <c r="A649" t="s">
        <v>854</v>
      </c>
      <c r="K649" t="s">
        <v>855</v>
      </c>
      <c r="W649" t="s">
        <v>171</v>
      </c>
      <c r="X649" t="str">
        <f>A649</f>
        <v>info_date_dml_batch2_pk_irp2</v>
      </c>
    </row>
    <row r="650" spans="1:24">
      <c r="B650" t="s">
        <v>196</v>
      </c>
      <c r="C650" t="s">
        <v>197</v>
      </c>
      <c r="D650" t="s">
        <v>197</v>
      </c>
      <c r="E650" t="s">
        <v>197</v>
      </c>
      <c r="F650" t="s">
        <v>197</v>
      </c>
      <c r="G650" t="s">
        <v>197</v>
      </c>
      <c r="H650" t="s">
        <v>197</v>
      </c>
      <c r="I650" t="s">
        <v>856</v>
      </c>
      <c r="J650" t="s">
        <v>199</v>
      </c>
      <c r="K650" t="s">
        <v>200</v>
      </c>
    </row>
    <row r="651" spans="1:24">
      <c r="B651" t="s">
        <v>197</v>
      </c>
      <c r="C651" t="s">
        <v>197</v>
      </c>
      <c r="D651" t="s">
        <v>197</v>
      </c>
      <c r="E651" t="s">
        <v>197</v>
      </c>
      <c r="F651" t="s">
        <v>197</v>
      </c>
      <c r="G651" t="s">
        <v>197</v>
      </c>
      <c r="H651" t="s">
        <v>197</v>
      </c>
      <c r="I651" t="s">
        <v>197</v>
      </c>
      <c r="J651" t="s">
        <v>197</v>
      </c>
      <c r="K651" t="s">
        <v>678</v>
      </c>
    </row>
    <row r="652" spans="1:24">
      <c r="A652" t="s">
        <v>857</v>
      </c>
      <c r="K652" t="s">
        <v>858</v>
      </c>
      <c r="W652" t="s">
        <v>171</v>
      </c>
      <c r="X652" t="str">
        <f>A652</f>
        <v>info_binary_dml_batch1_pk_urp2</v>
      </c>
    </row>
    <row r="653" spans="1:24">
      <c r="B653" t="s">
        <v>196</v>
      </c>
      <c r="C653" t="s">
        <v>197</v>
      </c>
      <c r="D653" t="s">
        <v>197</v>
      </c>
      <c r="E653" t="s">
        <v>197</v>
      </c>
      <c r="F653" t="s">
        <v>197</v>
      </c>
      <c r="G653" t="s">
        <v>197</v>
      </c>
      <c r="H653" t="s">
        <v>197</v>
      </c>
      <c r="I653" t="s">
        <v>859</v>
      </c>
      <c r="J653" t="s">
        <v>199</v>
      </c>
      <c r="K653" t="s">
        <v>200</v>
      </c>
    </row>
    <row r="654" spans="1:24">
      <c r="B654" t="s">
        <v>197</v>
      </c>
      <c r="C654" t="s">
        <v>197</v>
      </c>
      <c r="D654" t="s">
        <v>197</v>
      </c>
      <c r="E654" t="s">
        <v>197</v>
      </c>
      <c r="F654" t="s">
        <v>197</v>
      </c>
      <c r="G654" t="s">
        <v>197</v>
      </c>
      <c r="H654" t="s">
        <v>197</v>
      </c>
      <c r="I654" t="s">
        <v>197</v>
      </c>
      <c r="J654" t="s">
        <v>197</v>
      </c>
      <c r="K654" t="s">
        <v>691</v>
      </c>
    </row>
    <row r="655" spans="1:24">
      <c r="B655" t="s">
        <v>197</v>
      </c>
      <c r="C655" t="s">
        <v>197</v>
      </c>
      <c r="D655" t="s">
        <v>197</v>
      </c>
      <c r="E655" t="s">
        <v>197</v>
      </c>
      <c r="F655" t="s">
        <v>197</v>
      </c>
      <c r="G655" t="s">
        <v>197</v>
      </c>
      <c r="H655" t="s">
        <v>197</v>
      </c>
      <c r="I655" t="s">
        <v>197</v>
      </c>
      <c r="J655" t="s">
        <v>197</v>
      </c>
      <c r="K655" t="s">
        <v>692</v>
      </c>
    </row>
    <row r="656" spans="1:24">
      <c r="B656" t="s">
        <v>197</v>
      </c>
      <c r="C656" t="s">
        <v>197</v>
      </c>
      <c r="D656" t="s">
        <v>197</v>
      </c>
      <c r="E656" t="s">
        <v>197</v>
      </c>
      <c r="F656" t="s">
        <v>197</v>
      </c>
      <c r="G656" t="s">
        <v>197</v>
      </c>
      <c r="H656" t="s">
        <v>197</v>
      </c>
      <c r="I656" t="s">
        <v>197</v>
      </c>
      <c r="J656" t="s">
        <v>197</v>
      </c>
      <c r="K656" t="s">
        <v>693</v>
      </c>
    </row>
    <row r="657" spans="1:24">
      <c r="A657" t="s">
        <v>860</v>
      </c>
      <c r="K657" t="s">
        <v>861</v>
      </c>
      <c r="W657" t="s">
        <v>171</v>
      </c>
      <c r="X657" t="str">
        <f>A657</f>
        <v>info_time_dml_single_pk</v>
      </c>
    </row>
    <row r="658" spans="1:24">
      <c r="B658" t="s">
        <v>196</v>
      </c>
      <c r="C658" t="s">
        <v>197</v>
      </c>
      <c r="D658" t="s">
        <v>197</v>
      </c>
      <c r="E658" t="s">
        <v>197</v>
      </c>
      <c r="F658" t="s">
        <v>197</v>
      </c>
      <c r="G658" t="s">
        <v>197</v>
      </c>
      <c r="H658" t="s">
        <v>197</v>
      </c>
      <c r="I658" t="s">
        <v>862</v>
      </c>
      <c r="J658" t="s">
        <v>199</v>
      </c>
      <c r="K658" t="s">
        <v>200</v>
      </c>
    </row>
    <row r="659" spans="1:24">
      <c r="B659" t="s">
        <v>197</v>
      </c>
      <c r="C659" t="s">
        <v>197</v>
      </c>
      <c r="D659" t="s">
        <v>197</v>
      </c>
      <c r="E659" t="s">
        <v>197</v>
      </c>
      <c r="F659" t="s">
        <v>197</v>
      </c>
      <c r="G659" t="s">
        <v>197</v>
      </c>
      <c r="H659" t="s">
        <v>197</v>
      </c>
      <c r="I659" t="s">
        <v>197</v>
      </c>
      <c r="J659" t="s">
        <v>197</v>
      </c>
      <c r="K659" t="s">
        <v>800</v>
      </c>
    </row>
    <row r="660" spans="1:24">
      <c r="B660" t="s">
        <v>197</v>
      </c>
      <c r="C660" t="s">
        <v>197</v>
      </c>
      <c r="D660" t="s">
        <v>197</v>
      </c>
      <c r="E660" t="s">
        <v>197</v>
      </c>
      <c r="F660" t="s">
        <v>197</v>
      </c>
      <c r="G660" t="s">
        <v>197</v>
      </c>
      <c r="H660" t="s">
        <v>197</v>
      </c>
      <c r="I660" t="s">
        <v>197</v>
      </c>
      <c r="J660" t="s">
        <v>197</v>
      </c>
      <c r="K660" t="s">
        <v>801</v>
      </c>
    </row>
    <row r="661" spans="1:24">
      <c r="B661" t="s">
        <v>197</v>
      </c>
      <c r="C661" t="s">
        <v>197</v>
      </c>
      <c r="D661" t="s">
        <v>197</v>
      </c>
      <c r="E661" t="s">
        <v>197</v>
      </c>
      <c r="F661" t="s">
        <v>197</v>
      </c>
      <c r="G661" t="s">
        <v>197</v>
      </c>
      <c r="H661" t="s">
        <v>197</v>
      </c>
      <c r="I661" t="s">
        <v>197</v>
      </c>
      <c r="J661" t="s">
        <v>197</v>
      </c>
      <c r="K661" t="s">
        <v>802</v>
      </c>
    </row>
    <row r="662" spans="1:24">
      <c r="B662" t="s">
        <v>197</v>
      </c>
      <c r="C662" t="s">
        <v>197</v>
      </c>
      <c r="D662" t="s">
        <v>197</v>
      </c>
      <c r="E662" t="s">
        <v>197</v>
      </c>
      <c r="F662" t="s">
        <v>197</v>
      </c>
      <c r="G662" t="s">
        <v>197</v>
      </c>
      <c r="H662" t="s">
        <v>197</v>
      </c>
      <c r="I662" t="s">
        <v>197</v>
      </c>
      <c r="J662" t="s">
        <v>197</v>
      </c>
      <c r="K662" t="s">
        <v>803</v>
      </c>
    </row>
    <row r="663" spans="1:24">
      <c r="B663" t="s">
        <v>197</v>
      </c>
      <c r="C663" t="s">
        <v>197</v>
      </c>
      <c r="D663" t="s">
        <v>197</v>
      </c>
      <c r="E663" t="s">
        <v>197</v>
      </c>
      <c r="F663" t="s">
        <v>197</v>
      </c>
      <c r="G663" t="s">
        <v>197</v>
      </c>
      <c r="H663" t="s">
        <v>197</v>
      </c>
      <c r="I663" t="s">
        <v>197</v>
      </c>
      <c r="J663" t="s">
        <v>197</v>
      </c>
      <c r="K663" t="s">
        <v>804</v>
      </c>
    </row>
    <row r="664" spans="1:24">
      <c r="B664" t="s">
        <v>197</v>
      </c>
      <c r="C664" t="s">
        <v>197</v>
      </c>
      <c r="D664" t="s">
        <v>197</v>
      </c>
      <c r="E664" t="s">
        <v>197</v>
      </c>
      <c r="F664" t="s">
        <v>197</v>
      </c>
      <c r="G664" t="s">
        <v>197</v>
      </c>
      <c r="H664" t="s">
        <v>197</v>
      </c>
      <c r="I664" t="s">
        <v>197</v>
      </c>
      <c r="J664" t="s">
        <v>197</v>
      </c>
      <c r="K664" t="s">
        <v>805</v>
      </c>
    </row>
    <row r="665" spans="1:24">
      <c r="B665" t="s">
        <v>197</v>
      </c>
      <c r="C665" t="s">
        <v>197</v>
      </c>
      <c r="D665" t="s">
        <v>197</v>
      </c>
      <c r="E665" t="s">
        <v>197</v>
      </c>
      <c r="F665" t="s">
        <v>197</v>
      </c>
      <c r="G665" t="s">
        <v>197</v>
      </c>
      <c r="H665" t="s">
        <v>197</v>
      </c>
      <c r="I665" t="s">
        <v>197</v>
      </c>
      <c r="J665" t="s">
        <v>197</v>
      </c>
      <c r="K665" t="s">
        <v>806</v>
      </c>
    </row>
    <row r="666" spans="1:24">
      <c r="B666" t="s">
        <v>197</v>
      </c>
      <c r="C666" t="s">
        <v>197</v>
      </c>
      <c r="D666" t="s">
        <v>197</v>
      </c>
      <c r="E666" t="s">
        <v>197</v>
      </c>
      <c r="F666" t="s">
        <v>197</v>
      </c>
      <c r="G666" t="s">
        <v>197</v>
      </c>
      <c r="H666" t="s">
        <v>197</v>
      </c>
      <c r="I666" t="s">
        <v>197</v>
      </c>
      <c r="J666" t="s">
        <v>197</v>
      </c>
      <c r="K666" t="s">
        <v>807</v>
      </c>
    </row>
    <row r="667" spans="1:24">
      <c r="A667" t="s">
        <v>863</v>
      </c>
      <c r="K667" t="s">
        <v>864</v>
      </c>
      <c r="W667" s="1" t="str">
        <f>HYPERLINK("#2026042016hbase1!Z2","NO 源备存在差异，共2个")</f>
        <v>NO 源备存在差异，共2个</v>
      </c>
      <c r="X667" t="str">
        <f>A667</f>
        <v>info_int_dml_single_pk_irp</v>
      </c>
    </row>
    <row r="668" spans="1:24">
      <c r="B668" t="s">
        <v>196</v>
      </c>
      <c r="C668" t="s">
        <v>197</v>
      </c>
      <c r="D668" t="s">
        <v>197</v>
      </c>
      <c r="E668" t="s">
        <v>197</v>
      </c>
      <c r="F668" t="s">
        <v>197</v>
      </c>
      <c r="G668" t="s">
        <v>197</v>
      </c>
      <c r="H668" t="s">
        <v>197</v>
      </c>
      <c r="I668" t="s">
        <v>865</v>
      </c>
      <c r="J668" t="s">
        <v>199</v>
      </c>
      <c r="K668" t="s">
        <v>200</v>
      </c>
    </row>
    <row r="669" spans="1:24">
      <c r="B669" t="s">
        <v>197</v>
      </c>
      <c r="C669" t="s">
        <v>197</v>
      </c>
      <c r="D669" t="s">
        <v>197</v>
      </c>
      <c r="E669" t="s">
        <v>197</v>
      </c>
      <c r="F669" t="s">
        <v>197</v>
      </c>
      <c r="G669" t="s">
        <v>197</v>
      </c>
      <c r="H669" t="s">
        <v>197</v>
      </c>
      <c r="I669" t="s">
        <v>197</v>
      </c>
      <c r="J669" t="s">
        <v>197</v>
      </c>
      <c r="K669" t="s">
        <v>549</v>
      </c>
    </row>
    <row r="670" spans="1:24">
      <c r="B670" t="s">
        <v>197</v>
      </c>
      <c r="C670" t="s">
        <v>197</v>
      </c>
      <c r="D670" t="s">
        <v>197</v>
      </c>
      <c r="E670" t="s">
        <v>197</v>
      </c>
      <c r="F670" t="s">
        <v>197</v>
      </c>
      <c r="G670" t="s">
        <v>197</v>
      </c>
      <c r="H670" t="s">
        <v>197</v>
      </c>
      <c r="I670" t="s">
        <v>197</v>
      </c>
      <c r="J670" t="s">
        <v>197</v>
      </c>
      <c r="K670" t="s">
        <v>550</v>
      </c>
    </row>
    <row r="671" spans="1:24">
      <c r="B671" t="s">
        <v>197</v>
      </c>
      <c r="C671" t="s">
        <v>197</v>
      </c>
      <c r="D671" t="s">
        <v>197</v>
      </c>
      <c r="E671" t="s">
        <v>197</v>
      </c>
      <c r="F671" t="s">
        <v>197</v>
      </c>
      <c r="G671" t="s">
        <v>197</v>
      </c>
      <c r="H671" t="s">
        <v>197</v>
      </c>
      <c r="I671" t="s">
        <v>197</v>
      </c>
      <c r="J671" t="s">
        <v>197</v>
      </c>
      <c r="K671" t="s">
        <v>551</v>
      </c>
    </row>
    <row r="672" spans="1:24">
      <c r="B672" t="s">
        <v>197</v>
      </c>
      <c r="C672" t="s">
        <v>197</v>
      </c>
      <c r="D672" t="s">
        <v>197</v>
      </c>
      <c r="E672" t="s">
        <v>197</v>
      </c>
      <c r="F672" t="s">
        <v>197</v>
      </c>
      <c r="G672" t="s">
        <v>197</v>
      </c>
      <c r="H672" t="s">
        <v>197</v>
      </c>
      <c r="I672" t="s">
        <v>197</v>
      </c>
      <c r="J672" t="s">
        <v>197</v>
      </c>
      <c r="K672" t="s">
        <v>552</v>
      </c>
    </row>
    <row r="673" spans="1:24">
      <c r="B673" t="s">
        <v>197</v>
      </c>
      <c r="C673" t="s">
        <v>197</v>
      </c>
      <c r="D673" t="s">
        <v>197</v>
      </c>
      <c r="E673" t="s">
        <v>197</v>
      </c>
      <c r="F673" t="s">
        <v>197</v>
      </c>
      <c r="G673" t="s">
        <v>197</v>
      </c>
      <c r="H673" t="s">
        <v>197</v>
      </c>
      <c r="I673" t="s">
        <v>197</v>
      </c>
      <c r="J673" t="s">
        <v>197</v>
      </c>
      <c r="K673" t="s">
        <v>553</v>
      </c>
    </row>
    <row r="674" spans="1:24">
      <c r="B674" t="s">
        <v>197</v>
      </c>
      <c r="C674" t="s">
        <v>197</v>
      </c>
      <c r="D674" t="s">
        <v>197</v>
      </c>
      <c r="E674" t="s">
        <v>197</v>
      </c>
      <c r="F674" t="s">
        <v>197</v>
      </c>
      <c r="G674" t="s">
        <v>197</v>
      </c>
      <c r="H674" t="s">
        <v>197</v>
      </c>
      <c r="I674" t="s">
        <v>197</v>
      </c>
      <c r="J674" t="s">
        <v>197</v>
      </c>
      <c r="K674" t="s">
        <v>554</v>
      </c>
    </row>
    <row r="675" spans="1:24">
      <c r="B675" t="s">
        <v>197</v>
      </c>
      <c r="C675" t="s">
        <v>197</v>
      </c>
      <c r="D675" t="s">
        <v>197</v>
      </c>
      <c r="E675" t="s">
        <v>197</v>
      </c>
      <c r="F675" t="s">
        <v>197</v>
      </c>
      <c r="G675" t="s">
        <v>197</v>
      </c>
      <c r="H675" t="s">
        <v>197</v>
      </c>
      <c r="I675" t="s">
        <v>197</v>
      </c>
      <c r="J675" t="s">
        <v>197</v>
      </c>
      <c r="K675" t="s">
        <v>555</v>
      </c>
    </row>
    <row r="676" spans="1:24">
      <c r="B676" t="s">
        <v>197</v>
      </c>
      <c r="C676" t="s">
        <v>197</v>
      </c>
      <c r="D676" t="s">
        <v>197</v>
      </c>
      <c r="E676" t="s">
        <v>197</v>
      </c>
      <c r="F676" t="s">
        <v>197</v>
      </c>
      <c r="G676" t="s">
        <v>197</v>
      </c>
      <c r="H676" t="s">
        <v>197</v>
      </c>
      <c r="I676" t="s">
        <v>197</v>
      </c>
      <c r="J676" t="s">
        <v>197</v>
      </c>
      <c r="K676" t="s">
        <v>556</v>
      </c>
    </row>
    <row r="677" spans="1:24">
      <c r="B677" t="s">
        <v>197</v>
      </c>
      <c r="C677" t="s">
        <v>197</v>
      </c>
      <c r="D677" t="s">
        <v>197</v>
      </c>
      <c r="E677" t="s">
        <v>197</v>
      </c>
      <c r="F677" t="s">
        <v>197</v>
      </c>
      <c r="G677" t="s">
        <v>197</v>
      </c>
      <c r="H677" t="s">
        <v>197</v>
      </c>
      <c r="I677" t="s">
        <v>197</v>
      </c>
      <c r="J677" t="s">
        <v>197</v>
      </c>
      <c r="K677" t="s">
        <v>557</v>
      </c>
    </row>
    <row r="678" spans="1:24">
      <c r="B678" t="s">
        <v>197</v>
      </c>
      <c r="C678" t="s">
        <v>197</v>
      </c>
      <c r="D678" t="s">
        <v>197</v>
      </c>
      <c r="E678" t="s">
        <v>197</v>
      </c>
      <c r="F678" t="s">
        <v>197</v>
      </c>
      <c r="G678" t="s">
        <v>197</v>
      </c>
      <c r="H678" t="s">
        <v>197</v>
      </c>
      <c r="I678" t="s">
        <v>197</v>
      </c>
      <c r="J678" t="s">
        <v>197</v>
      </c>
      <c r="K678" t="s">
        <v>558</v>
      </c>
    </row>
    <row r="679" spans="1:24">
      <c r="B679" t="s">
        <v>197</v>
      </c>
      <c r="C679" t="s">
        <v>197</v>
      </c>
      <c r="D679" t="s">
        <v>197</v>
      </c>
      <c r="E679" t="s">
        <v>197</v>
      </c>
      <c r="F679" t="s">
        <v>197</v>
      </c>
      <c r="G679" t="s">
        <v>197</v>
      </c>
      <c r="H679" t="s">
        <v>197</v>
      </c>
      <c r="I679" t="s">
        <v>197</v>
      </c>
      <c r="J679" t="s">
        <v>197</v>
      </c>
      <c r="K679" t="s">
        <v>559</v>
      </c>
    </row>
    <row r="680" spans="1:24">
      <c r="B680" t="s">
        <v>197</v>
      </c>
      <c r="C680" t="s">
        <v>197</v>
      </c>
      <c r="D680" t="s">
        <v>197</v>
      </c>
      <c r="E680" t="s">
        <v>197</v>
      </c>
      <c r="F680" t="s">
        <v>197</v>
      </c>
      <c r="G680" t="s">
        <v>197</v>
      </c>
      <c r="H680" t="s">
        <v>197</v>
      </c>
      <c r="I680" t="s">
        <v>197</v>
      </c>
      <c r="J680" t="s">
        <v>197</v>
      </c>
      <c r="K680" t="s">
        <v>560</v>
      </c>
    </row>
    <row r="681" spans="1:24">
      <c r="B681" t="s">
        <v>197</v>
      </c>
      <c r="C681" t="s">
        <v>197</v>
      </c>
      <c r="D681" t="s">
        <v>197</v>
      </c>
      <c r="E681" t="s">
        <v>197</v>
      </c>
      <c r="F681" t="s">
        <v>197</v>
      </c>
      <c r="G681" t="s">
        <v>197</v>
      </c>
      <c r="H681" t="s">
        <v>197</v>
      </c>
      <c r="I681" t="s">
        <v>197</v>
      </c>
      <c r="J681" t="s">
        <v>197</v>
      </c>
      <c r="K681" t="s">
        <v>561</v>
      </c>
    </row>
    <row r="682" spans="1:24">
      <c r="B682" t="s">
        <v>197</v>
      </c>
      <c r="C682" t="s">
        <v>197</v>
      </c>
      <c r="D682" t="s">
        <v>197</v>
      </c>
      <c r="E682" t="s">
        <v>197</v>
      </c>
      <c r="F682" t="s">
        <v>197</v>
      </c>
      <c r="G682" t="s">
        <v>197</v>
      </c>
      <c r="H682" t="s">
        <v>197</v>
      </c>
      <c r="I682" t="s">
        <v>197</v>
      </c>
      <c r="J682" t="s">
        <v>197</v>
      </c>
      <c r="K682" t="s">
        <v>562</v>
      </c>
    </row>
    <row r="683" spans="1:24">
      <c r="B683" t="s">
        <v>197</v>
      </c>
      <c r="C683" t="s">
        <v>197</v>
      </c>
      <c r="D683" t="s">
        <v>197</v>
      </c>
      <c r="E683" t="s">
        <v>197</v>
      </c>
      <c r="F683" t="s">
        <v>197</v>
      </c>
      <c r="G683" t="s">
        <v>197</v>
      </c>
      <c r="H683" t="s">
        <v>197</v>
      </c>
      <c r="I683" t="s">
        <v>197</v>
      </c>
      <c r="J683" t="s">
        <v>197</v>
      </c>
      <c r="K683" t="s">
        <v>563</v>
      </c>
    </row>
    <row r="684" spans="1:24">
      <c r="B684" t="s">
        <v>197</v>
      </c>
      <c r="C684" t="s">
        <v>197</v>
      </c>
      <c r="D684" t="s">
        <v>197</v>
      </c>
      <c r="E684" t="s">
        <v>197</v>
      </c>
      <c r="F684" t="s">
        <v>197</v>
      </c>
      <c r="G684" t="s">
        <v>197</v>
      </c>
      <c r="H684" t="s">
        <v>197</v>
      </c>
      <c r="I684" t="s">
        <v>197</v>
      </c>
      <c r="J684" t="s">
        <v>197</v>
      </c>
      <c r="K684" t="s">
        <v>564</v>
      </c>
    </row>
    <row r="685" spans="1:24">
      <c r="B685" t="s">
        <v>197</v>
      </c>
      <c r="C685" t="s">
        <v>197</v>
      </c>
      <c r="D685" t="s">
        <v>197</v>
      </c>
      <c r="E685" t="s">
        <v>197</v>
      </c>
      <c r="F685" t="s">
        <v>197</v>
      </c>
      <c r="G685" t="s">
        <v>197</v>
      </c>
      <c r="H685" t="s">
        <v>197</v>
      </c>
      <c r="I685" t="s">
        <v>197</v>
      </c>
      <c r="J685" t="s">
        <v>197</v>
      </c>
      <c r="K685" t="s">
        <v>565</v>
      </c>
    </row>
    <row r="686" spans="1:24">
      <c r="B686" t="s">
        <v>197</v>
      </c>
      <c r="C686" t="s">
        <v>197</v>
      </c>
      <c r="D686" t="s">
        <v>197</v>
      </c>
      <c r="E686" t="s">
        <v>197</v>
      </c>
      <c r="F686" t="s">
        <v>197</v>
      </c>
      <c r="G686" t="s">
        <v>197</v>
      </c>
      <c r="H686" t="s">
        <v>197</v>
      </c>
      <c r="I686" t="s">
        <v>197</v>
      </c>
      <c r="J686" t="s">
        <v>197</v>
      </c>
      <c r="K686" t="s">
        <v>566</v>
      </c>
    </row>
    <row r="687" spans="1:24">
      <c r="B687" t="s">
        <v>197</v>
      </c>
      <c r="C687" t="s">
        <v>197</v>
      </c>
      <c r="D687" t="s">
        <v>197</v>
      </c>
      <c r="E687" t="s">
        <v>197</v>
      </c>
      <c r="F687" t="s">
        <v>197</v>
      </c>
      <c r="G687" t="s">
        <v>197</v>
      </c>
      <c r="H687" t="s">
        <v>197</v>
      </c>
      <c r="I687" t="s">
        <v>197</v>
      </c>
      <c r="J687" t="s">
        <v>197</v>
      </c>
      <c r="K687" t="s">
        <v>567</v>
      </c>
    </row>
    <row r="688" spans="1:24">
      <c r="A688" t="s">
        <v>866</v>
      </c>
      <c r="K688" t="s">
        <v>867</v>
      </c>
      <c r="W688" t="s">
        <v>171</v>
      </c>
      <c r="X688" t="str">
        <f>A688</f>
        <v>info_sdt_dml_single_pk_irp</v>
      </c>
    </row>
    <row r="689" spans="1:24">
      <c r="B689" t="s">
        <v>196</v>
      </c>
      <c r="C689" t="s">
        <v>197</v>
      </c>
      <c r="D689" t="s">
        <v>197</v>
      </c>
      <c r="E689" t="s">
        <v>197</v>
      </c>
      <c r="F689" t="s">
        <v>197</v>
      </c>
      <c r="G689" t="s">
        <v>197</v>
      </c>
      <c r="H689" t="s">
        <v>197</v>
      </c>
      <c r="I689" t="s">
        <v>868</v>
      </c>
      <c r="J689" t="s">
        <v>199</v>
      </c>
      <c r="K689" t="s">
        <v>200</v>
      </c>
    </row>
    <row r="690" spans="1:24">
      <c r="B690" t="s">
        <v>197</v>
      </c>
      <c r="C690" t="s">
        <v>197</v>
      </c>
      <c r="D690" t="s">
        <v>197</v>
      </c>
      <c r="E690" t="s">
        <v>197</v>
      </c>
      <c r="F690" t="s">
        <v>197</v>
      </c>
      <c r="G690" t="s">
        <v>197</v>
      </c>
      <c r="H690" t="s">
        <v>197</v>
      </c>
      <c r="I690" t="s">
        <v>197</v>
      </c>
      <c r="J690" t="s">
        <v>197</v>
      </c>
      <c r="K690" t="s">
        <v>422</v>
      </c>
    </row>
    <row r="691" spans="1:24">
      <c r="A691" t="s">
        <v>869</v>
      </c>
      <c r="K691" t="s">
        <v>870</v>
      </c>
      <c r="W691" t="s">
        <v>171</v>
      </c>
      <c r="X691" t="str">
        <f>A691</f>
        <v>info_varcharmax_dml_batch1_pk_urp1</v>
      </c>
    </row>
    <row r="692" spans="1:24">
      <c r="B692" t="s">
        <v>196</v>
      </c>
      <c r="C692" t="s">
        <v>197</v>
      </c>
      <c r="D692" t="s">
        <v>197</v>
      </c>
      <c r="E692" t="s">
        <v>197</v>
      </c>
      <c r="F692" t="s">
        <v>197</v>
      </c>
      <c r="G692" t="s">
        <v>197</v>
      </c>
      <c r="H692" t="s">
        <v>197</v>
      </c>
      <c r="I692" t="s">
        <v>871</v>
      </c>
      <c r="J692" t="s">
        <v>199</v>
      </c>
      <c r="K692" t="s">
        <v>200</v>
      </c>
    </row>
    <row r="693" spans="1:24">
      <c r="B693" t="s">
        <v>197</v>
      </c>
      <c r="C693" t="s">
        <v>197</v>
      </c>
      <c r="D693" t="s">
        <v>197</v>
      </c>
      <c r="E693" t="s">
        <v>197</v>
      </c>
      <c r="F693" t="s">
        <v>197</v>
      </c>
      <c r="G693" t="s">
        <v>197</v>
      </c>
      <c r="H693" t="s">
        <v>197</v>
      </c>
      <c r="I693" t="s">
        <v>197</v>
      </c>
      <c r="J693" t="s">
        <v>197</v>
      </c>
      <c r="K693" t="s">
        <v>725</v>
      </c>
    </row>
    <row r="694" spans="1:24">
      <c r="B694" t="s">
        <v>197</v>
      </c>
      <c r="C694" t="s">
        <v>197</v>
      </c>
      <c r="D694" t="s">
        <v>197</v>
      </c>
      <c r="E694" t="s">
        <v>197</v>
      </c>
      <c r="F694" t="s">
        <v>197</v>
      </c>
      <c r="G694" t="s">
        <v>197</v>
      </c>
      <c r="H694" t="s">
        <v>197</v>
      </c>
      <c r="I694" t="s">
        <v>197</v>
      </c>
      <c r="J694" t="s">
        <v>197</v>
      </c>
      <c r="K694" t="s">
        <v>726</v>
      </c>
    </row>
    <row r="695" spans="1:24">
      <c r="K695" t="s">
        <v>443</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881</v>
      </c>
      <c r="K710" t="s">
        <v>882</v>
      </c>
      <c r="W710" t="s">
        <v>171</v>
      </c>
      <c r="X710" t="str">
        <f>A710</f>
        <v>info_varcharmax_dml_single_pk_irp</v>
      </c>
    </row>
    <row r="711" spans="1:24">
      <c r="B711" t="s">
        <v>196</v>
      </c>
      <c r="C711" t="s">
        <v>197</v>
      </c>
      <c r="D711" t="s">
        <v>197</v>
      </c>
      <c r="E711" t="s">
        <v>197</v>
      </c>
      <c r="F711" t="s">
        <v>197</v>
      </c>
      <c r="G711" t="s">
        <v>197</v>
      </c>
      <c r="H711" t="s">
        <v>197</v>
      </c>
      <c r="I711" t="s">
        <v>883</v>
      </c>
      <c r="J711" t="s">
        <v>199</v>
      </c>
      <c r="K711" t="s">
        <v>200</v>
      </c>
    </row>
    <row r="712" spans="1:24">
      <c r="B712" t="s">
        <v>197</v>
      </c>
      <c r="C712" t="s">
        <v>197</v>
      </c>
      <c r="D712" t="s">
        <v>197</v>
      </c>
      <c r="E712" t="s">
        <v>197</v>
      </c>
      <c r="F712" t="s">
        <v>197</v>
      </c>
      <c r="G712" t="s">
        <v>197</v>
      </c>
      <c r="H712" t="s">
        <v>197</v>
      </c>
      <c r="I712" t="s">
        <v>197</v>
      </c>
      <c r="J712" t="s">
        <v>197</v>
      </c>
      <c r="K712" t="s">
        <v>725</v>
      </c>
    </row>
    <row r="713" spans="1:24">
      <c r="B713" t="s">
        <v>197</v>
      </c>
      <c r="C713" t="s">
        <v>197</v>
      </c>
      <c r="D713" t="s">
        <v>197</v>
      </c>
      <c r="E713" t="s">
        <v>197</v>
      </c>
      <c r="F713" t="s">
        <v>197</v>
      </c>
      <c r="G713" t="s">
        <v>197</v>
      </c>
      <c r="H713" t="s">
        <v>197</v>
      </c>
      <c r="I713" t="s">
        <v>197</v>
      </c>
      <c r="J713" t="s">
        <v>197</v>
      </c>
      <c r="K713" t="s">
        <v>726</v>
      </c>
    </row>
    <row r="714" spans="1:24">
      <c r="A714" t="s">
        <v>884</v>
      </c>
      <c r="K714" t="s">
        <v>885</v>
      </c>
      <c r="W714" t="s">
        <v>171</v>
      </c>
      <c r="X714" t="str">
        <f>A714</f>
        <v>info_sdt_dml_single_pk_drp</v>
      </c>
    </row>
    <row r="715" spans="1:24">
      <c r="B715" t="s">
        <v>196</v>
      </c>
      <c r="C715" t="s">
        <v>197</v>
      </c>
      <c r="D715" t="s">
        <v>197</v>
      </c>
      <c r="E715" t="s">
        <v>197</v>
      </c>
      <c r="F715" t="s">
        <v>197</v>
      </c>
      <c r="G715" t="s">
        <v>197</v>
      </c>
      <c r="H715" t="s">
        <v>197</v>
      </c>
      <c r="I715" t="s">
        <v>886</v>
      </c>
      <c r="J715" t="s">
        <v>199</v>
      </c>
      <c r="K715" t="s">
        <v>200</v>
      </c>
    </row>
    <row r="716" spans="1:24">
      <c r="B716" t="s">
        <v>197</v>
      </c>
      <c r="C716" t="s">
        <v>197</v>
      </c>
      <c r="D716" t="s">
        <v>197</v>
      </c>
      <c r="E716" t="s">
        <v>197</v>
      </c>
      <c r="F716" t="s">
        <v>197</v>
      </c>
      <c r="G716" t="s">
        <v>197</v>
      </c>
      <c r="H716" t="s">
        <v>197</v>
      </c>
      <c r="I716" t="s">
        <v>197</v>
      </c>
      <c r="J716" t="s">
        <v>197</v>
      </c>
      <c r="K716" t="s">
        <v>422</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890</v>
      </c>
      <c r="K722" t="s">
        <v>891</v>
      </c>
      <c r="W722" t="s">
        <v>171</v>
      </c>
      <c r="X722" t="str">
        <f>A722</f>
        <v>info_sdt_dml_single_pk</v>
      </c>
    </row>
    <row r="723" spans="1:24">
      <c r="B723" t="s">
        <v>196</v>
      </c>
      <c r="C723" t="s">
        <v>197</v>
      </c>
      <c r="D723" t="s">
        <v>197</v>
      </c>
      <c r="E723" t="s">
        <v>197</v>
      </c>
      <c r="F723" t="s">
        <v>197</v>
      </c>
      <c r="G723" t="s">
        <v>197</v>
      </c>
      <c r="H723" t="s">
        <v>197</v>
      </c>
      <c r="I723" t="s">
        <v>892</v>
      </c>
      <c r="J723" t="s">
        <v>199</v>
      </c>
      <c r="K723" t="s">
        <v>200</v>
      </c>
    </row>
    <row r="724" spans="1:24">
      <c r="B724" t="s">
        <v>197</v>
      </c>
      <c r="C724" t="s">
        <v>197</v>
      </c>
      <c r="D724" t="s">
        <v>197</v>
      </c>
      <c r="E724" t="s">
        <v>197</v>
      </c>
      <c r="F724" t="s">
        <v>197</v>
      </c>
      <c r="G724" t="s">
        <v>197</v>
      </c>
      <c r="H724" t="s">
        <v>197</v>
      </c>
      <c r="I724" t="s">
        <v>197</v>
      </c>
      <c r="J724" t="s">
        <v>197</v>
      </c>
      <c r="K724" t="s">
        <v>422</v>
      </c>
    </row>
    <row r="725" spans="1:24">
      <c r="A725" t="s">
        <v>893</v>
      </c>
      <c r="K725" t="s">
        <v>894</v>
      </c>
      <c r="W725" s="1" t="str">
        <f>HYPERLINK("#2026042016hbase1!AA2","NO 源备存在差异，共2个")</f>
        <v>NO 源备存在差异，共2个</v>
      </c>
      <c r="X725" t="str">
        <f>A725</f>
        <v>info_int_dml_single_pk_urp</v>
      </c>
    </row>
    <row r="726" spans="1:24">
      <c r="B726" t="s">
        <v>196</v>
      </c>
      <c r="C726" t="s">
        <v>197</v>
      </c>
      <c r="D726" t="s">
        <v>197</v>
      </c>
      <c r="E726" t="s">
        <v>197</v>
      </c>
      <c r="F726" t="s">
        <v>197</v>
      </c>
      <c r="G726" t="s">
        <v>197</v>
      </c>
      <c r="H726" t="s">
        <v>197</v>
      </c>
      <c r="I726" t="s">
        <v>895</v>
      </c>
      <c r="J726" t="s">
        <v>199</v>
      </c>
      <c r="K726" t="s">
        <v>200</v>
      </c>
    </row>
    <row r="727" spans="1:24">
      <c r="B727" t="s">
        <v>197</v>
      </c>
      <c r="C727" t="s">
        <v>197</v>
      </c>
      <c r="D727" t="s">
        <v>197</v>
      </c>
      <c r="E727" t="s">
        <v>197</v>
      </c>
      <c r="F727" t="s">
        <v>197</v>
      </c>
      <c r="G727" t="s">
        <v>197</v>
      </c>
      <c r="H727" t="s">
        <v>197</v>
      </c>
      <c r="I727" t="s">
        <v>197</v>
      </c>
      <c r="J727" t="s">
        <v>197</v>
      </c>
      <c r="K727" t="s">
        <v>549</v>
      </c>
    </row>
    <row r="728" spans="1:24">
      <c r="B728" t="s">
        <v>197</v>
      </c>
      <c r="C728" t="s">
        <v>197</v>
      </c>
      <c r="D728" t="s">
        <v>197</v>
      </c>
      <c r="E728" t="s">
        <v>197</v>
      </c>
      <c r="F728" t="s">
        <v>197</v>
      </c>
      <c r="G728" t="s">
        <v>197</v>
      </c>
      <c r="H728" t="s">
        <v>197</v>
      </c>
      <c r="I728" t="s">
        <v>197</v>
      </c>
      <c r="J728" t="s">
        <v>197</v>
      </c>
      <c r="K728" t="s">
        <v>550</v>
      </c>
    </row>
    <row r="729" spans="1:24">
      <c r="B729" t="s">
        <v>197</v>
      </c>
      <c r="C729" t="s">
        <v>197</v>
      </c>
      <c r="D729" t="s">
        <v>197</v>
      </c>
      <c r="E729" t="s">
        <v>197</v>
      </c>
      <c r="F729" t="s">
        <v>197</v>
      </c>
      <c r="G729" t="s">
        <v>197</v>
      </c>
      <c r="H729" t="s">
        <v>197</v>
      </c>
      <c r="I729" t="s">
        <v>197</v>
      </c>
      <c r="J729" t="s">
        <v>197</v>
      </c>
      <c r="K729" t="s">
        <v>551</v>
      </c>
    </row>
    <row r="730" spans="1:24">
      <c r="B730" t="s">
        <v>197</v>
      </c>
      <c r="C730" t="s">
        <v>197</v>
      </c>
      <c r="D730" t="s">
        <v>197</v>
      </c>
      <c r="E730" t="s">
        <v>197</v>
      </c>
      <c r="F730" t="s">
        <v>197</v>
      </c>
      <c r="G730" t="s">
        <v>197</v>
      </c>
      <c r="H730" t="s">
        <v>197</v>
      </c>
      <c r="I730" t="s">
        <v>197</v>
      </c>
      <c r="J730" t="s">
        <v>197</v>
      </c>
      <c r="K730" t="s">
        <v>552</v>
      </c>
    </row>
    <row r="731" spans="1:24">
      <c r="B731" t="s">
        <v>197</v>
      </c>
      <c r="C731" t="s">
        <v>197</v>
      </c>
      <c r="D731" t="s">
        <v>197</v>
      </c>
      <c r="E731" t="s">
        <v>197</v>
      </c>
      <c r="F731" t="s">
        <v>197</v>
      </c>
      <c r="G731" t="s">
        <v>197</v>
      </c>
      <c r="H731" t="s">
        <v>197</v>
      </c>
      <c r="I731" t="s">
        <v>197</v>
      </c>
      <c r="J731" t="s">
        <v>197</v>
      </c>
      <c r="K731" t="s">
        <v>553</v>
      </c>
    </row>
    <row r="732" spans="1:24">
      <c r="B732" t="s">
        <v>197</v>
      </c>
      <c r="C732" t="s">
        <v>197</v>
      </c>
      <c r="D732" t="s">
        <v>197</v>
      </c>
      <c r="E732" t="s">
        <v>197</v>
      </c>
      <c r="F732" t="s">
        <v>197</v>
      </c>
      <c r="G732" t="s">
        <v>197</v>
      </c>
      <c r="H732" t="s">
        <v>197</v>
      </c>
      <c r="I732" t="s">
        <v>197</v>
      </c>
      <c r="J732" t="s">
        <v>197</v>
      </c>
      <c r="K732" t="s">
        <v>554</v>
      </c>
    </row>
    <row r="733" spans="1:24">
      <c r="B733" t="s">
        <v>197</v>
      </c>
      <c r="C733" t="s">
        <v>197</v>
      </c>
      <c r="D733" t="s">
        <v>197</v>
      </c>
      <c r="E733" t="s">
        <v>197</v>
      </c>
      <c r="F733" t="s">
        <v>197</v>
      </c>
      <c r="G733" t="s">
        <v>197</v>
      </c>
      <c r="H733" t="s">
        <v>197</v>
      </c>
      <c r="I733" t="s">
        <v>197</v>
      </c>
      <c r="J733" t="s">
        <v>197</v>
      </c>
      <c r="K733" t="s">
        <v>555</v>
      </c>
    </row>
    <row r="734" spans="1:24">
      <c r="B734" t="s">
        <v>197</v>
      </c>
      <c r="C734" t="s">
        <v>197</v>
      </c>
      <c r="D734" t="s">
        <v>197</v>
      </c>
      <c r="E734" t="s">
        <v>197</v>
      </c>
      <c r="F734" t="s">
        <v>197</v>
      </c>
      <c r="G734" t="s">
        <v>197</v>
      </c>
      <c r="H734" t="s">
        <v>197</v>
      </c>
      <c r="I734" t="s">
        <v>197</v>
      </c>
      <c r="J734" t="s">
        <v>197</v>
      </c>
      <c r="K734" t="s">
        <v>556</v>
      </c>
    </row>
    <row r="735" spans="1:24">
      <c r="B735" t="s">
        <v>197</v>
      </c>
      <c r="C735" t="s">
        <v>197</v>
      </c>
      <c r="D735" t="s">
        <v>197</v>
      </c>
      <c r="E735" t="s">
        <v>197</v>
      </c>
      <c r="F735" t="s">
        <v>197</v>
      </c>
      <c r="G735" t="s">
        <v>197</v>
      </c>
      <c r="H735" t="s">
        <v>197</v>
      </c>
      <c r="I735" t="s">
        <v>197</v>
      </c>
      <c r="J735" t="s">
        <v>197</v>
      </c>
      <c r="K735" t="s">
        <v>557</v>
      </c>
    </row>
    <row r="736" spans="1:24">
      <c r="B736" t="s">
        <v>197</v>
      </c>
      <c r="C736" t="s">
        <v>197</v>
      </c>
      <c r="D736" t="s">
        <v>197</v>
      </c>
      <c r="E736" t="s">
        <v>197</v>
      </c>
      <c r="F736" t="s">
        <v>197</v>
      </c>
      <c r="G736" t="s">
        <v>197</v>
      </c>
      <c r="H736" t="s">
        <v>197</v>
      </c>
      <c r="I736" t="s">
        <v>197</v>
      </c>
      <c r="J736" t="s">
        <v>197</v>
      </c>
      <c r="K736" t="s">
        <v>558</v>
      </c>
    </row>
    <row r="737" spans="1:24">
      <c r="B737" t="s">
        <v>197</v>
      </c>
      <c r="C737" t="s">
        <v>197</v>
      </c>
      <c r="D737" t="s">
        <v>197</v>
      </c>
      <c r="E737" t="s">
        <v>197</v>
      </c>
      <c r="F737" t="s">
        <v>197</v>
      </c>
      <c r="G737" t="s">
        <v>197</v>
      </c>
      <c r="H737" t="s">
        <v>197</v>
      </c>
      <c r="I737" t="s">
        <v>197</v>
      </c>
      <c r="J737" t="s">
        <v>197</v>
      </c>
      <c r="K737" t="s">
        <v>559</v>
      </c>
    </row>
    <row r="738" spans="1:24">
      <c r="B738" t="s">
        <v>197</v>
      </c>
      <c r="C738" t="s">
        <v>197</v>
      </c>
      <c r="D738" t="s">
        <v>197</v>
      </c>
      <c r="E738" t="s">
        <v>197</v>
      </c>
      <c r="F738" t="s">
        <v>197</v>
      </c>
      <c r="G738" t="s">
        <v>197</v>
      </c>
      <c r="H738" t="s">
        <v>197</v>
      </c>
      <c r="I738" t="s">
        <v>197</v>
      </c>
      <c r="J738" t="s">
        <v>197</v>
      </c>
      <c r="K738" t="s">
        <v>560</v>
      </c>
    </row>
    <row r="739" spans="1:24">
      <c r="B739" t="s">
        <v>197</v>
      </c>
      <c r="C739" t="s">
        <v>197</v>
      </c>
      <c r="D739" t="s">
        <v>197</v>
      </c>
      <c r="E739" t="s">
        <v>197</v>
      </c>
      <c r="F739" t="s">
        <v>197</v>
      </c>
      <c r="G739" t="s">
        <v>197</v>
      </c>
      <c r="H739" t="s">
        <v>197</v>
      </c>
      <c r="I739" t="s">
        <v>197</v>
      </c>
      <c r="J739" t="s">
        <v>197</v>
      </c>
      <c r="K739" t="s">
        <v>561</v>
      </c>
    </row>
    <row r="740" spans="1:24">
      <c r="B740" t="s">
        <v>197</v>
      </c>
      <c r="C740" t="s">
        <v>197</v>
      </c>
      <c r="D740" t="s">
        <v>197</v>
      </c>
      <c r="E740" t="s">
        <v>197</v>
      </c>
      <c r="F740" t="s">
        <v>197</v>
      </c>
      <c r="G740" t="s">
        <v>197</v>
      </c>
      <c r="H740" t="s">
        <v>197</v>
      </c>
      <c r="I740" t="s">
        <v>197</v>
      </c>
      <c r="J740" t="s">
        <v>197</v>
      </c>
      <c r="K740" t="s">
        <v>562</v>
      </c>
    </row>
    <row r="741" spans="1:24">
      <c r="B741" t="s">
        <v>197</v>
      </c>
      <c r="C741" t="s">
        <v>197</v>
      </c>
      <c r="D741" t="s">
        <v>197</v>
      </c>
      <c r="E741" t="s">
        <v>197</v>
      </c>
      <c r="F741" t="s">
        <v>197</v>
      </c>
      <c r="G741" t="s">
        <v>197</v>
      </c>
      <c r="H741" t="s">
        <v>197</v>
      </c>
      <c r="I741" t="s">
        <v>197</v>
      </c>
      <c r="J741" t="s">
        <v>197</v>
      </c>
      <c r="K741" t="s">
        <v>563</v>
      </c>
    </row>
    <row r="742" spans="1:24">
      <c r="B742" t="s">
        <v>197</v>
      </c>
      <c r="C742" t="s">
        <v>197</v>
      </c>
      <c r="D742" t="s">
        <v>197</v>
      </c>
      <c r="E742" t="s">
        <v>197</v>
      </c>
      <c r="F742" t="s">
        <v>197</v>
      </c>
      <c r="G742" t="s">
        <v>197</v>
      </c>
      <c r="H742" t="s">
        <v>197</v>
      </c>
      <c r="I742" t="s">
        <v>197</v>
      </c>
      <c r="J742" t="s">
        <v>197</v>
      </c>
      <c r="K742" t="s">
        <v>564</v>
      </c>
    </row>
    <row r="743" spans="1:24">
      <c r="B743" t="s">
        <v>197</v>
      </c>
      <c r="C743" t="s">
        <v>197</v>
      </c>
      <c r="D743" t="s">
        <v>197</v>
      </c>
      <c r="E743" t="s">
        <v>197</v>
      </c>
      <c r="F743" t="s">
        <v>197</v>
      </c>
      <c r="G743" t="s">
        <v>197</v>
      </c>
      <c r="H743" t="s">
        <v>197</v>
      </c>
      <c r="I743" t="s">
        <v>197</v>
      </c>
      <c r="J743" t="s">
        <v>197</v>
      </c>
      <c r="K743" t="s">
        <v>565</v>
      </c>
    </row>
    <row r="744" spans="1:24">
      <c r="B744" t="s">
        <v>197</v>
      </c>
      <c r="C744" t="s">
        <v>197</v>
      </c>
      <c r="D744" t="s">
        <v>197</v>
      </c>
      <c r="E744" t="s">
        <v>197</v>
      </c>
      <c r="F744" t="s">
        <v>197</v>
      </c>
      <c r="G744" t="s">
        <v>197</v>
      </c>
      <c r="H744" t="s">
        <v>197</v>
      </c>
      <c r="I744" t="s">
        <v>197</v>
      </c>
      <c r="J744" t="s">
        <v>197</v>
      </c>
      <c r="K744" t="s">
        <v>566</v>
      </c>
    </row>
    <row r="745" spans="1:24">
      <c r="B745" t="s">
        <v>197</v>
      </c>
      <c r="C745" t="s">
        <v>197</v>
      </c>
      <c r="D745" t="s">
        <v>197</v>
      </c>
      <c r="E745" t="s">
        <v>197</v>
      </c>
      <c r="F745" t="s">
        <v>197</v>
      </c>
      <c r="G745" t="s">
        <v>197</v>
      </c>
      <c r="H745" t="s">
        <v>197</v>
      </c>
      <c r="I745" t="s">
        <v>197</v>
      </c>
      <c r="J745" t="s">
        <v>197</v>
      </c>
      <c r="K745" t="s">
        <v>567</v>
      </c>
    </row>
    <row r="746" spans="1:24">
      <c r="A746" t="s">
        <v>899</v>
      </c>
      <c r="K746" t="s">
        <v>900</v>
      </c>
      <c r="W746" t="s">
        <v>171</v>
      </c>
      <c r="X746" t="str">
        <f>A746</f>
        <v>info_varcharmax_dml_single_pk_urp</v>
      </c>
    </row>
    <row r="747" spans="1:24">
      <c r="B747" t="s">
        <v>196</v>
      </c>
      <c r="C747" t="s">
        <v>197</v>
      </c>
      <c r="D747" t="s">
        <v>197</v>
      </c>
      <c r="E747" t="s">
        <v>197</v>
      </c>
      <c r="F747" t="s">
        <v>197</v>
      </c>
      <c r="G747" t="s">
        <v>197</v>
      </c>
      <c r="H747" t="s">
        <v>197</v>
      </c>
      <c r="I747" t="s">
        <v>901</v>
      </c>
      <c r="J747" t="s">
        <v>199</v>
      </c>
      <c r="K747" t="s">
        <v>200</v>
      </c>
    </row>
    <row r="748" spans="1:24">
      <c r="B748" t="s">
        <v>197</v>
      </c>
      <c r="C748" t="s">
        <v>197</v>
      </c>
      <c r="D748" t="s">
        <v>197</v>
      </c>
      <c r="E748" t="s">
        <v>197</v>
      </c>
      <c r="F748" t="s">
        <v>197</v>
      </c>
      <c r="G748" t="s">
        <v>197</v>
      </c>
      <c r="H748" t="s">
        <v>197</v>
      </c>
      <c r="I748" t="s">
        <v>197</v>
      </c>
      <c r="J748" t="s">
        <v>197</v>
      </c>
      <c r="K748" t="s">
        <v>725</v>
      </c>
    </row>
    <row r="749" spans="1:24">
      <c r="B749" t="s">
        <v>197</v>
      </c>
      <c r="C749" t="s">
        <v>197</v>
      </c>
      <c r="D749" t="s">
        <v>197</v>
      </c>
      <c r="E749" t="s">
        <v>197</v>
      </c>
      <c r="F749" t="s">
        <v>197</v>
      </c>
      <c r="G749" t="s">
        <v>197</v>
      </c>
      <c r="H749" t="s">
        <v>197</v>
      </c>
      <c r="I749" t="s">
        <v>197</v>
      </c>
      <c r="J749" t="s">
        <v>197</v>
      </c>
      <c r="K749" t="s">
        <v>726</v>
      </c>
    </row>
    <row r="750" spans="1:24">
      <c r="A750" t="s">
        <v>896</v>
      </c>
      <c r="K750" t="s">
        <v>897</v>
      </c>
      <c r="W750" t="s">
        <v>171</v>
      </c>
      <c r="X750" t="str">
        <f>A750</f>
        <v>info_char_dml_batch1_pk</v>
      </c>
    </row>
    <row r="751" spans="1:24">
      <c r="B751" t="s">
        <v>196</v>
      </c>
      <c r="C751" t="s">
        <v>197</v>
      </c>
      <c r="D751" t="s">
        <v>197</v>
      </c>
      <c r="E751" t="s">
        <v>197</v>
      </c>
      <c r="F751" t="s">
        <v>197</v>
      </c>
      <c r="G751" t="s">
        <v>197</v>
      </c>
      <c r="H751" t="s">
        <v>197</v>
      </c>
      <c r="I751" t="s">
        <v>898</v>
      </c>
      <c r="J751" t="s">
        <v>199</v>
      </c>
      <c r="K751" t="s">
        <v>200</v>
      </c>
    </row>
    <row r="752" spans="1:24">
      <c r="B752" t="s">
        <v>197</v>
      </c>
      <c r="C752" t="s">
        <v>197</v>
      </c>
      <c r="D752" t="s">
        <v>197</v>
      </c>
      <c r="E752" t="s">
        <v>197</v>
      </c>
      <c r="F752" t="s">
        <v>197</v>
      </c>
      <c r="G752" t="s">
        <v>197</v>
      </c>
      <c r="H752" t="s">
        <v>197</v>
      </c>
      <c r="I752" t="s">
        <v>197</v>
      </c>
      <c r="J752" t="s">
        <v>197</v>
      </c>
      <c r="K752" t="s">
        <v>622</v>
      </c>
    </row>
    <row r="753" spans="1:24">
      <c r="B753" t="s">
        <v>197</v>
      </c>
      <c r="C753" t="s">
        <v>197</v>
      </c>
      <c r="D753" t="s">
        <v>197</v>
      </c>
      <c r="E753" t="s">
        <v>197</v>
      </c>
      <c r="F753" t="s">
        <v>197</v>
      </c>
      <c r="G753" t="s">
        <v>197</v>
      </c>
      <c r="H753" t="s">
        <v>197</v>
      </c>
      <c r="I753" t="s">
        <v>197</v>
      </c>
      <c r="J753" t="s">
        <v>197</v>
      </c>
      <c r="K753" t="s">
        <v>623</v>
      </c>
    </row>
    <row r="754" spans="1:24">
      <c r="B754" t="s">
        <v>197</v>
      </c>
      <c r="C754" t="s">
        <v>197</v>
      </c>
      <c r="D754" t="s">
        <v>197</v>
      </c>
      <c r="E754" t="s">
        <v>197</v>
      </c>
      <c r="F754" t="s">
        <v>197</v>
      </c>
      <c r="G754" t="s">
        <v>197</v>
      </c>
      <c r="H754" t="s">
        <v>197</v>
      </c>
      <c r="I754" t="s">
        <v>197</v>
      </c>
      <c r="J754" t="s">
        <v>197</v>
      </c>
      <c r="K754" t="s">
        <v>832</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t="s">
        <v>171</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s="1" t="str">
        <f>HYPERLINK("#2026042016hbase1!AB2","NO 源备存在差异，共2个")</f>
        <v>NO 源备存在差异，共2个</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932</v>
      </c>
      <c r="K811" t="s">
        <v>933</v>
      </c>
      <c r="W811" t="s">
        <v>171</v>
      </c>
      <c r="X811" t="str">
        <f>A811</f>
        <v>info_char_dml_batch1_pk_urp1</v>
      </c>
    </row>
    <row r="812" spans="1:24">
      <c r="B812" t="s">
        <v>196</v>
      </c>
      <c r="C812" t="s">
        <v>197</v>
      </c>
      <c r="D812" t="s">
        <v>197</v>
      </c>
      <c r="E812" t="s">
        <v>197</v>
      </c>
      <c r="F812" t="s">
        <v>197</v>
      </c>
      <c r="G812" t="s">
        <v>197</v>
      </c>
      <c r="H812" t="s">
        <v>197</v>
      </c>
      <c r="I812" t="s">
        <v>934</v>
      </c>
      <c r="J812" t="s">
        <v>199</v>
      </c>
      <c r="K812" t="s">
        <v>200</v>
      </c>
    </row>
    <row r="813" spans="1:24">
      <c r="B813" t="s">
        <v>197</v>
      </c>
      <c r="C813" t="s">
        <v>197</v>
      </c>
      <c r="D813" t="s">
        <v>197</v>
      </c>
      <c r="E813" t="s">
        <v>197</v>
      </c>
      <c r="F813" t="s">
        <v>197</v>
      </c>
      <c r="G813" t="s">
        <v>197</v>
      </c>
      <c r="H813" t="s">
        <v>197</v>
      </c>
      <c r="I813" t="s">
        <v>197</v>
      </c>
      <c r="J813" t="s">
        <v>197</v>
      </c>
      <c r="K813" t="s">
        <v>622</v>
      </c>
    </row>
    <row r="814" spans="1:24">
      <c r="B814" t="s">
        <v>197</v>
      </c>
      <c r="C814" t="s">
        <v>197</v>
      </c>
      <c r="D814" t="s">
        <v>197</v>
      </c>
      <c r="E814" t="s">
        <v>197</v>
      </c>
      <c r="F814" t="s">
        <v>197</v>
      </c>
      <c r="G814" t="s">
        <v>197</v>
      </c>
      <c r="H814" t="s">
        <v>197</v>
      </c>
      <c r="I814" t="s">
        <v>197</v>
      </c>
      <c r="J814" t="s">
        <v>197</v>
      </c>
      <c r="K814" t="s">
        <v>623</v>
      </c>
    </row>
    <row r="815" spans="1:24">
      <c r="B815" t="s">
        <v>197</v>
      </c>
      <c r="C815" t="s">
        <v>197</v>
      </c>
      <c r="D815" t="s">
        <v>197</v>
      </c>
      <c r="E815" t="s">
        <v>197</v>
      </c>
      <c r="F815" t="s">
        <v>197</v>
      </c>
      <c r="G815" t="s">
        <v>197</v>
      </c>
      <c r="H815" t="s">
        <v>197</v>
      </c>
      <c r="I815" t="s">
        <v>197</v>
      </c>
      <c r="J815" t="s">
        <v>197</v>
      </c>
      <c r="K815" t="s">
        <v>832</v>
      </c>
    </row>
    <row r="816" spans="1:24">
      <c r="A816" t="s">
        <v>935</v>
      </c>
      <c r="K816" t="s">
        <v>936</v>
      </c>
      <c r="W816" t="s">
        <v>171</v>
      </c>
      <c r="X816" t="str">
        <f>A816</f>
        <v>info_int_dml_single_pk</v>
      </c>
    </row>
    <row r="817" spans="2:11">
      <c r="B817" t="s">
        <v>196</v>
      </c>
      <c r="C817" t="s">
        <v>197</v>
      </c>
      <c r="D817" t="s">
        <v>197</v>
      </c>
      <c r="E817" t="s">
        <v>197</v>
      </c>
      <c r="F817" t="s">
        <v>197</v>
      </c>
      <c r="G817" t="s">
        <v>197</v>
      </c>
      <c r="H817" t="s">
        <v>197</v>
      </c>
      <c r="I817" t="s">
        <v>937</v>
      </c>
      <c r="J817" t="s">
        <v>199</v>
      </c>
      <c r="K817" t="s">
        <v>200</v>
      </c>
    </row>
    <row r="818" spans="2:11">
      <c r="B818" t="s">
        <v>197</v>
      </c>
      <c r="C818" t="s">
        <v>197</v>
      </c>
      <c r="D818" t="s">
        <v>197</v>
      </c>
      <c r="E818" t="s">
        <v>197</v>
      </c>
      <c r="F818" t="s">
        <v>197</v>
      </c>
      <c r="G818" t="s">
        <v>197</v>
      </c>
      <c r="H818" t="s">
        <v>197</v>
      </c>
      <c r="I818" t="s">
        <v>197</v>
      </c>
      <c r="J818" t="s">
        <v>197</v>
      </c>
      <c r="K818" t="s">
        <v>549</v>
      </c>
    </row>
    <row r="819" spans="2:11">
      <c r="B819" t="s">
        <v>197</v>
      </c>
      <c r="C819" t="s">
        <v>197</v>
      </c>
      <c r="D819" t="s">
        <v>197</v>
      </c>
      <c r="E819" t="s">
        <v>197</v>
      </c>
      <c r="F819" t="s">
        <v>197</v>
      </c>
      <c r="G819" t="s">
        <v>197</v>
      </c>
      <c r="H819" t="s">
        <v>197</v>
      </c>
      <c r="I819" t="s">
        <v>197</v>
      </c>
      <c r="J819" t="s">
        <v>197</v>
      </c>
      <c r="K819" t="s">
        <v>550</v>
      </c>
    </row>
    <row r="820" spans="2:11">
      <c r="B820" t="s">
        <v>197</v>
      </c>
      <c r="C820" t="s">
        <v>197</v>
      </c>
      <c r="D820" t="s">
        <v>197</v>
      </c>
      <c r="E820" t="s">
        <v>197</v>
      </c>
      <c r="F820" t="s">
        <v>197</v>
      </c>
      <c r="G820" t="s">
        <v>197</v>
      </c>
      <c r="H820" t="s">
        <v>197</v>
      </c>
      <c r="I820" t="s">
        <v>197</v>
      </c>
      <c r="J820" t="s">
        <v>197</v>
      </c>
      <c r="K820" t="s">
        <v>551</v>
      </c>
    </row>
    <row r="821" spans="2:11">
      <c r="B821" t="s">
        <v>197</v>
      </c>
      <c r="C821" t="s">
        <v>197</v>
      </c>
      <c r="D821" t="s">
        <v>197</v>
      </c>
      <c r="E821" t="s">
        <v>197</v>
      </c>
      <c r="F821" t="s">
        <v>197</v>
      </c>
      <c r="G821" t="s">
        <v>197</v>
      </c>
      <c r="H821" t="s">
        <v>197</v>
      </c>
      <c r="I821" t="s">
        <v>197</v>
      </c>
      <c r="J821" t="s">
        <v>197</v>
      </c>
      <c r="K821" t="s">
        <v>552</v>
      </c>
    </row>
    <row r="822" spans="2:11">
      <c r="B822" t="s">
        <v>197</v>
      </c>
      <c r="C822" t="s">
        <v>197</v>
      </c>
      <c r="D822" t="s">
        <v>197</v>
      </c>
      <c r="E822" t="s">
        <v>197</v>
      </c>
      <c r="F822" t="s">
        <v>197</v>
      </c>
      <c r="G822" t="s">
        <v>197</v>
      </c>
      <c r="H822" t="s">
        <v>197</v>
      </c>
      <c r="I822" t="s">
        <v>197</v>
      </c>
      <c r="J822" t="s">
        <v>197</v>
      </c>
      <c r="K822" t="s">
        <v>553</v>
      </c>
    </row>
    <row r="823" spans="2:11">
      <c r="B823" t="s">
        <v>197</v>
      </c>
      <c r="C823" t="s">
        <v>197</v>
      </c>
      <c r="D823" t="s">
        <v>197</v>
      </c>
      <c r="E823" t="s">
        <v>197</v>
      </c>
      <c r="F823" t="s">
        <v>197</v>
      </c>
      <c r="G823" t="s">
        <v>197</v>
      </c>
      <c r="H823" t="s">
        <v>197</v>
      </c>
      <c r="I823" t="s">
        <v>197</v>
      </c>
      <c r="J823" t="s">
        <v>197</v>
      </c>
      <c r="K823" t="s">
        <v>554</v>
      </c>
    </row>
    <row r="824" spans="2:11">
      <c r="B824" t="s">
        <v>197</v>
      </c>
      <c r="C824" t="s">
        <v>197</v>
      </c>
      <c r="D824" t="s">
        <v>197</v>
      </c>
      <c r="E824" t="s">
        <v>197</v>
      </c>
      <c r="F824" t="s">
        <v>197</v>
      </c>
      <c r="G824" t="s">
        <v>197</v>
      </c>
      <c r="H824" t="s">
        <v>197</v>
      </c>
      <c r="I824" t="s">
        <v>197</v>
      </c>
      <c r="J824" t="s">
        <v>197</v>
      </c>
      <c r="K824" t="s">
        <v>555</v>
      </c>
    </row>
    <row r="825" spans="2:11">
      <c r="B825" t="s">
        <v>197</v>
      </c>
      <c r="C825" t="s">
        <v>197</v>
      </c>
      <c r="D825" t="s">
        <v>197</v>
      </c>
      <c r="E825" t="s">
        <v>197</v>
      </c>
      <c r="F825" t="s">
        <v>197</v>
      </c>
      <c r="G825" t="s">
        <v>197</v>
      </c>
      <c r="H825" t="s">
        <v>197</v>
      </c>
      <c r="I825" t="s">
        <v>197</v>
      </c>
      <c r="J825" t="s">
        <v>197</v>
      </c>
      <c r="K825" t="s">
        <v>556</v>
      </c>
    </row>
    <row r="826" spans="2:11">
      <c r="B826" t="s">
        <v>197</v>
      </c>
      <c r="C826" t="s">
        <v>197</v>
      </c>
      <c r="D826" t="s">
        <v>197</v>
      </c>
      <c r="E826" t="s">
        <v>197</v>
      </c>
      <c r="F826" t="s">
        <v>197</v>
      </c>
      <c r="G826" t="s">
        <v>197</v>
      </c>
      <c r="H826" t="s">
        <v>197</v>
      </c>
      <c r="I826" t="s">
        <v>197</v>
      </c>
      <c r="J826" t="s">
        <v>197</v>
      </c>
      <c r="K826" t="s">
        <v>557</v>
      </c>
    </row>
    <row r="827" spans="2:11">
      <c r="B827" t="s">
        <v>197</v>
      </c>
      <c r="C827" t="s">
        <v>197</v>
      </c>
      <c r="D827" t="s">
        <v>197</v>
      </c>
      <c r="E827" t="s">
        <v>197</v>
      </c>
      <c r="F827" t="s">
        <v>197</v>
      </c>
      <c r="G827" t="s">
        <v>197</v>
      </c>
      <c r="H827" t="s">
        <v>197</v>
      </c>
      <c r="I827" t="s">
        <v>197</v>
      </c>
      <c r="J827" t="s">
        <v>197</v>
      </c>
      <c r="K827" t="s">
        <v>558</v>
      </c>
    </row>
    <row r="828" spans="2:11">
      <c r="B828" t="s">
        <v>197</v>
      </c>
      <c r="C828" t="s">
        <v>197</v>
      </c>
      <c r="D828" t="s">
        <v>197</v>
      </c>
      <c r="E828" t="s">
        <v>197</v>
      </c>
      <c r="F828" t="s">
        <v>197</v>
      </c>
      <c r="G828" t="s">
        <v>197</v>
      </c>
      <c r="H828" t="s">
        <v>197</v>
      </c>
      <c r="I828" t="s">
        <v>197</v>
      </c>
      <c r="J828" t="s">
        <v>197</v>
      </c>
      <c r="K828" t="s">
        <v>559</v>
      </c>
    </row>
    <row r="829" spans="2:11">
      <c r="B829" t="s">
        <v>197</v>
      </c>
      <c r="C829" t="s">
        <v>197</v>
      </c>
      <c r="D829" t="s">
        <v>197</v>
      </c>
      <c r="E829" t="s">
        <v>197</v>
      </c>
      <c r="F829" t="s">
        <v>197</v>
      </c>
      <c r="G829" t="s">
        <v>197</v>
      </c>
      <c r="H829" t="s">
        <v>197</v>
      </c>
      <c r="I829" t="s">
        <v>197</v>
      </c>
      <c r="J829" t="s">
        <v>197</v>
      </c>
      <c r="K829" t="s">
        <v>560</v>
      </c>
    </row>
    <row r="830" spans="2:11">
      <c r="B830" t="s">
        <v>197</v>
      </c>
      <c r="C830" t="s">
        <v>197</v>
      </c>
      <c r="D830" t="s">
        <v>197</v>
      </c>
      <c r="E830" t="s">
        <v>197</v>
      </c>
      <c r="F830" t="s">
        <v>197</v>
      </c>
      <c r="G830" t="s">
        <v>197</v>
      </c>
      <c r="H830" t="s">
        <v>197</v>
      </c>
      <c r="I830" t="s">
        <v>197</v>
      </c>
      <c r="J830" t="s">
        <v>197</v>
      </c>
      <c r="K830" t="s">
        <v>561</v>
      </c>
    </row>
    <row r="831" spans="2:11">
      <c r="B831" t="s">
        <v>197</v>
      </c>
      <c r="C831" t="s">
        <v>197</v>
      </c>
      <c r="D831" t="s">
        <v>197</v>
      </c>
      <c r="E831" t="s">
        <v>197</v>
      </c>
      <c r="F831" t="s">
        <v>197</v>
      </c>
      <c r="G831" t="s">
        <v>197</v>
      </c>
      <c r="H831" t="s">
        <v>197</v>
      </c>
      <c r="I831" t="s">
        <v>197</v>
      </c>
      <c r="J831" t="s">
        <v>197</v>
      </c>
      <c r="K831" t="s">
        <v>562</v>
      </c>
    </row>
    <row r="832" spans="2:11">
      <c r="B832" t="s">
        <v>197</v>
      </c>
      <c r="C832" t="s">
        <v>197</v>
      </c>
      <c r="D832" t="s">
        <v>197</v>
      </c>
      <c r="E832" t="s">
        <v>197</v>
      </c>
      <c r="F832" t="s">
        <v>197</v>
      </c>
      <c r="G832" t="s">
        <v>197</v>
      </c>
      <c r="H832" t="s">
        <v>197</v>
      </c>
      <c r="I832" t="s">
        <v>197</v>
      </c>
      <c r="J832" t="s">
        <v>197</v>
      </c>
      <c r="K832" t="s">
        <v>563</v>
      </c>
    </row>
    <row r="833" spans="1:24">
      <c r="B833" t="s">
        <v>197</v>
      </c>
      <c r="C833" t="s">
        <v>197</v>
      </c>
      <c r="D833" t="s">
        <v>197</v>
      </c>
      <c r="E833" t="s">
        <v>197</v>
      </c>
      <c r="F833" t="s">
        <v>197</v>
      </c>
      <c r="G833" t="s">
        <v>197</v>
      </c>
      <c r="H833" t="s">
        <v>197</v>
      </c>
      <c r="I833" t="s">
        <v>197</v>
      </c>
      <c r="J833" t="s">
        <v>197</v>
      </c>
      <c r="K833" t="s">
        <v>564</v>
      </c>
    </row>
    <row r="834" spans="1:24">
      <c r="B834" t="s">
        <v>197</v>
      </c>
      <c r="C834" t="s">
        <v>197</v>
      </c>
      <c r="D834" t="s">
        <v>197</v>
      </c>
      <c r="E834" t="s">
        <v>197</v>
      </c>
      <c r="F834" t="s">
        <v>197</v>
      </c>
      <c r="G834" t="s">
        <v>197</v>
      </c>
      <c r="H834" t="s">
        <v>197</v>
      </c>
      <c r="I834" t="s">
        <v>197</v>
      </c>
      <c r="J834" t="s">
        <v>197</v>
      </c>
      <c r="K834" t="s">
        <v>565</v>
      </c>
    </row>
    <row r="835" spans="1:24">
      <c r="B835" t="s">
        <v>197</v>
      </c>
      <c r="C835" t="s">
        <v>197</v>
      </c>
      <c r="D835" t="s">
        <v>197</v>
      </c>
      <c r="E835" t="s">
        <v>197</v>
      </c>
      <c r="F835" t="s">
        <v>197</v>
      </c>
      <c r="G835" t="s">
        <v>197</v>
      </c>
      <c r="H835" t="s">
        <v>197</v>
      </c>
      <c r="I835" t="s">
        <v>197</v>
      </c>
      <c r="J835" t="s">
        <v>197</v>
      </c>
      <c r="K835" t="s">
        <v>566</v>
      </c>
    </row>
    <row r="836" spans="1:24">
      <c r="B836" t="s">
        <v>197</v>
      </c>
      <c r="C836" t="s">
        <v>197</v>
      </c>
      <c r="D836" t="s">
        <v>197</v>
      </c>
      <c r="E836" t="s">
        <v>197</v>
      </c>
      <c r="F836" t="s">
        <v>197</v>
      </c>
      <c r="G836" t="s">
        <v>197</v>
      </c>
      <c r="H836" t="s">
        <v>197</v>
      </c>
      <c r="I836" t="s">
        <v>197</v>
      </c>
      <c r="J836" t="s">
        <v>197</v>
      </c>
      <c r="K836" t="s">
        <v>567</v>
      </c>
    </row>
    <row r="837" spans="1:24">
      <c r="A837" t="s">
        <v>938</v>
      </c>
      <c r="K837" t="s">
        <v>939</v>
      </c>
      <c r="W837" t="s">
        <v>171</v>
      </c>
      <c r="X837" t="str">
        <f>A837</f>
        <v>info_varcharmax_dml_batch1_pk_drp1</v>
      </c>
    </row>
    <row r="838" spans="1:24">
      <c r="B838" t="s">
        <v>196</v>
      </c>
      <c r="C838" t="s">
        <v>197</v>
      </c>
      <c r="D838" t="s">
        <v>197</v>
      </c>
      <c r="E838" t="s">
        <v>197</v>
      </c>
      <c r="F838" t="s">
        <v>197</v>
      </c>
      <c r="G838" t="s">
        <v>197</v>
      </c>
      <c r="H838" t="s">
        <v>197</v>
      </c>
      <c r="I838" t="s">
        <v>940</v>
      </c>
      <c r="J838" t="s">
        <v>199</v>
      </c>
      <c r="K838" t="s">
        <v>200</v>
      </c>
    </row>
    <row r="839" spans="1:24">
      <c r="B839" t="s">
        <v>197</v>
      </c>
      <c r="C839" t="s">
        <v>197</v>
      </c>
      <c r="D839" t="s">
        <v>197</v>
      </c>
      <c r="E839" t="s">
        <v>197</v>
      </c>
      <c r="F839" t="s">
        <v>197</v>
      </c>
      <c r="G839" t="s">
        <v>197</v>
      </c>
      <c r="H839" t="s">
        <v>197</v>
      </c>
      <c r="I839" t="s">
        <v>197</v>
      </c>
      <c r="J839" t="s">
        <v>197</v>
      </c>
      <c r="K839" t="s">
        <v>725</v>
      </c>
    </row>
    <row r="840" spans="1:24">
      <c r="B840" t="s">
        <v>197</v>
      </c>
      <c r="C840" t="s">
        <v>197</v>
      </c>
      <c r="D840" t="s">
        <v>197</v>
      </c>
      <c r="E840" t="s">
        <v>197</v>
      </c>
      <c r="F840" t="s">
        <v>197</v>
      </c>
      <c r="G840" t="s">
        <v>197</v>
      </c>
      <c r="H840" t="s">
        <v>197</v>
      </c>
      <c r="I840" t="s">
        <v>197</v>
      </c>
      <c r="J840" t="s">
        <v>197</v>
      </c>
      <c r="K840" t="s">
        <v>726</v>
      </c>
    </row>
    <row r="841" spans="1:24">
      <c r="K841" t="s">
        <v>443</v>
      </c>
    </row>
    <row r="842" spans="1:24">
      <c r="A842" t="s">
        <v>941</v>
      </c>
      <c r="K842" t="s">
        <v>942</v>
      </c>
      <c r="W842" t="s">
        <v>171</v>
      </c>
      <c r="X842" t="str">
        <f>A842</f>
        <v>info_timestamp_dml_single_pk_irp</v>
      </c>
    </row>
    <row r="843" spans="1:24">
      <c r="B843" t="s">
        <v>196</v>
      </c>
      <c r="C843" t="s">
        <v>197</v>
      </c>
      <c r="D843" t="s">
        <v>197</v>
      </c>
      <c r="E843" t="s">
        <v>197</v>
      </c>
      <c r="F843" t="s">
        <v>197</v>
      </c>
      <c r="G843" t="s">
        <v>197</v>
      </c>
      <c r="H843" t="s">
        <v>197</v>
      </c>
      <c r="I843" t="s">
        <v>943</v>
      </c>
      <c r="J843" t="s">
        <v>199</v>
      </c>
      <c r="K843" t="s">
        <v>200</v>
      </c>
    </row>
    <row r="844" spans="1:24">
      <c r="B844" t="s">
        <v>197</v>
      </c>
      <c r="C844" t="s">
        <v>197</v>
      </c>
      <c r="D844" t="s">
        <v>197</v>
      </c>
      <c r="E844" t="s">
        <v>197</v>
      </c>
      <c r="F844" t="s">
        <v>197</v>
      </c>
      <c r="G844" t="s">
        <v>197</v>
      </c>
      <c r="H844" t="s">
        <v>197</v>
      </c>
      <c r="I844" t="s">
        <v>197</v>
      </c>
      <c r="J844" t="s">
        <v>197</v>
      </c>
      <c r="K844" t="s">
        <v>944</v>
      </c>
    </row>
    <row r="845" spans="1:24">
      <c r="A845" t="s">
        <v>945</v>
      </c>
      <c r="K845" t="s">
        <v>946</v>
      </c>
      <c r="W845" t="s">
        <v>171</v>
      </c>
      <c r="X845" t="str">
        <f>A845</f>
        <v>info_char_dml_batch1_pk_urp2</v>
      </c>
    </row>
    <row r="846" spans="1:24">
      <c r="B846" t="s">
        <v>196</v>
      </c>
      <c r="C846" t="s">
        <v>197</v>
      </c>
      <c r="D846" t="s">
        <v>197</v>
      </c>
      <c r="E846" t="s">
        <v>197</v>
      </c>
      <c r="F846" t="s">
        <v>197</v>
      </c>
      <c r="G846" t="s">
        <v>197</v>
      </c>
      <c r="H846" t="s">
        <v>197</v>
      </c>
      <c r="I846" t="s">
        <v>947</v>
      </c>
      <c r="J846" t="s">
        <v>199</v>
      </c>
      <c r="K846" t="s">
        <v>200</v>
      </c>
    </row>
    <row r="847" spans="1:24">
      <c r="B847" t="s">
        <v>197</v>
      </c>
      <c r="C847" t="s">
        <v>197</v>
      </c>
      <c r="D847" t="s">
        <v>197</v>
      </c>
      <c r="E847" t="s">
        <v>197</v>
      </c>
      <c r="F847" t="s">
        <v>197</v>
      </c>
      <c r="G847" t="s">
        <v>197</v>
      </c>
      <c r="H847" t="s">
        <v>197</v>
      </c>
      <c r="I847" t="s">
        <v>197</v>
      </c>
      <c r="J847" t="s">
        <v>197</v>
      </c>
      <c r="K847" t="s">
        <v>622</v>
      </c>
    </row>
    <row r="848" spans="1:24">
      <c r="B848" t="s">
        <v>197</v>
      </c>
      <c r="C848" t="s">
        <v>197</v>
      </c>
      <c r="D848" t="s">
        <v>197</v>
      </c>
      <c r="E848" t="s">
        <v>197</v>
      </c>
      <c r="F848" t="s">
        <v>197</v>
      </c>
      <c r="G848" t="s">
        <v>197</v>
      </c>
      <c r="H848" t="s">
        <v>197</v>
      </c>
      <c r="I848" t="s">
        <v>197</v>
      </c>
      <c r="J848" t="s">
        <v>197</v>
      </c>
      <c r="K848" t="s">
        <v>623</v>
      </c>
    </row>
    <row r="849" spans="1:24">
      <c r="B849" t="s">
        <v>197</v>
      </c>
      <c r="C849" t="s">
        <v>197</v>
      </c>
      <c r="D849" t="s">
        <v>197</v>
      </c>
      <c r="E849" t="s">
        <v>197</v>
      </c>
      <c r="F849" t="s">
        <v>197</v>
      </c>
      <c r="G849" t="s">
        <v>197</v>
      </c>
      <c r="H849" t="s">
        <v>197</v>
      </c>
      <c r="I849" t="s">
        <v>197</v>
      </c>
      <c r="J849" t="s">
        <v>197</v>
      </c>
      <c r="K849" t="s">
        <v>832</v>
      </c>
    </row>
    <row r="850" spans="1:24">
      <c r="A850" t="s">
        <v>948</v>
      </c>
      <c r="K850" t="s">
        <v>949</v>
      </c>
      <c r="W850" t="s">
        <v>171</v>
      </c>
      <c r="X850" t="str">
        <f>A850</f>
        <v>info_char_dml_single_pk_urp</v>
      </c>
    </row>
    <row r="851" spans="1:24">
      <c r="B851" t="s">
        <v>196</v>
      </c>
      <c r="C851" t="s">
        <v>197</v>
      </c>
      <c r="D851" t="s">
        <v>197</v>
      </c>
      <c r="E851" t="s">
        <v>197</v>
      </c>
      <c r="F851" t="s">
        <v>197</v>
      </c>
      <c r="G851" t="s">
        <v>197</v>
      </c>
      <c r="H851" t="s">
        <v>197</v>
      </c>
      <c r="I851" t="s">
        <v>950</v>
      </c>
      <c r="J851" t="s">
        <v>199</v>
      </c>
      <c r="K851" t="s">
        <v>200</v>
      </c>
    </row>
    <row r="852" spans="1:24">
      <c r="B852" t="s">
        <v>197</v>
      </c>
      <c r="C852" t="s">
        <v>197</v>
      </c>
      <c r="D852" t="s">
        <v>197</v>
      </c>
      <c r="E852" t="s">
        <v>197</v>
      </c>
      <c r="F852" t="s">
        <v>197</v>
      </c>
      <c r="G852" t="s">
        <v>197</v>
      </c>
      <c r="H852" t="s">
        <v>197</v>
      </c>
      <c r="I852" t="s">
        <v>197</v>
      </c>
      <c r="J852" t="s">
        <v>197</v>
      </c>
      <c r="K852" t="s">
        <v>622</v>
      </c>
    </row>
    <row r="853" spans="1:24">
      <c r="B853" t="s">
        <v>197</v>
      </c>
      <c r="C853" t="s">
        <v>197</v>
      </c>
      <c r="D853" t="s">
        <v>197</v>
      </c>
      <c r="E853" t="s">
        <v>197</v>
      </c>
      <c r="F853" t="s">
        <v>197</v>
      </c>
      <c r="G853" t="s">
        <v>197</v>
      </c>
      <c r="H853" t="s">
        <v>197</v>
      </c>
      <c r="I853" t="s">
        <v>197</v>
      </c>
      <c r="J853" t="s">
        <v>197</v>
      </c>
      <c r="K853" t="s">
        <v>623</v>
      </c>
    </row>
    <row r="854" spans="1:24">
      <c r="B854" t="s">
        <v>197</v>
      </c>
      <c r="C854" t="s">
        <v>197</v>
      </c>
      <c r="D854" t="s">
        <v>197</v>
      </c>
      <c r="E854" t="s">
        <v>197</v>
      </c>
      <c r="F854" t="s">
        <v>197</v>
      </c>
      <c r="G854" t="s">
        <v>197</v>
      </c>
      <c r="H854" t="s">
        <v>197</v>
      </c>
      <c r="I854" t="s">
        <v>197</v>
      </c>
      <c r="J854" t="s">
        <v>197</v>
      </c>
      <c r="K854" t="s">
        <v>832</v>
      </c>
    </row>
    <row r="855" spans="1:24">
      <c r="A855" t="s">
        <v>951</v>
      </c>
      <c r="K855" t="s">
        <v>952</v>
      </c>
      <c r="W855" t="s">
        <v>171</v>
      </c>
      <c r="X855" t="str">
        <f>A855</f>
        <v>info_varcharmax_dml_batch1_pk_drp2</v>
      </c>
    </row>
    <row r="856" spans="1:24">
      <c r="B856" t="s">
        <v>196</v>
      </c>
      <c r="C856" t="s">
        <v>197</v>
      </c>
      <c r="D856" t="s">
        <v>197</v>
      </c>
      <c r="E856" t="s">
        <v>197</v>
      </c>
      <c r="F856" t="s">
        <v>197</v>
      </c>
      <c r="G856" t="s">
        <v>197</v>
      </c>
      <c r="H856" t="s">
        <v>197</v>
      </c>
      <c r="I856" t="s">
        <v>953</v>
      </c>
      <c r="J856" t="s">
        <v>199</v>
      </c>
      <c r="K856" t="s">
        <v>200</v>
      </c>
    </row>
    <row r="857" spans="1:24">
      <c r="B857" t="s">
        <v>197</v>
      </c>
      <c r="C857" t="s">
        <v>197</v>
      </c>
      <c r="D857" t="s">
        <v>197</v>
      </c>
      <c r="E857" t="s">
        <v>197</v>
      </c>
      <c r="F857" t="s">
        <v>197</v>
      </c>
      <c r="G857" t="s">
        <v>197</v>
      </c>
      <c r="H857" t="s">
        <v>197</v>
      </c>
      <c r="I857" t="s">
        <v>197</v>
      </c>
      <c r="J857" t="s">
        <v>197</v>
      </c>
      <c r="K857" t="s">
        <v>725</v>
      </c>
    </row>
    <row r="858" spans="1:24">
      <c r="B858" t="s">
        <v>197</v>
      </c>
      <c r="C858" t="s">
        <v>197</v>
      </c>
      <c r="D858" t="s">
        <v>197</v>
      </c>
      <c r="E858" t="s">
        <v>197</v>
      </c>
      <c r="F858" t="s">
        <v>197</v>
      </c>
      <c r="G858" t="s">
        <v>197</v>
      </c>
      <c r="H858" t="s">
        <v>197</v>
      </c>
      <c r="I858" t="s">
        <v>197</v>
      </c>
      <c r="J858" t="s">
        <v>197</v>
      </c>
      <c r="K858" t="s">
        <v>726</v>
      </c>
    </row>
    <row r="859" spans="1:24">
      <c r="K859" t="s">
        <v>443</v>
      </c>
    </row>
    <row r="860" spans="1:24">
      <c r="A860" t="s">
        <v>954</v>
      </c>
      <c r="K860" t="s">
        <v>955</v>
      </c>
      <c r="W860" t="s">
        <v>171</v>
      </c>
      <c r="X860" t="str">
        <f>A860</f>
        <v>info_char_dml_single_pk_drp</v>
      </c>
    </row>
    <row r="861" spans="1:24">
      <c r="B861" t="s">
        <v>196</v>
      </c>
      <c r="C861" t="s">
        <v>197</v>
      </c>
      <c r="D861" t="s">
        <v>197</v>
      </c>
      <c r="E861" t="s">
        <v>197</v>
      </c>
      <c r="F861" t="s">
        <v>197</v>
      </c>
      <c r="G861" t="s">
        <v>197</v>
      </c>
      <c r="H861" t="s">
        <v>197</v>
      </c>
      <c r="I861" t="s">
        <v>956</v>
      </c>
      <c r="J861" t="s">
        <v>199</v>
      </c>
      <c r="K861" t="s">
        <v>200</v>
      </c>
    </row>
    <row r="862" spans="1:24">
      <c r="B862" t="s">
        <v>197</v>
      </c>
      <c r="C862" t="s">
        <v>197</v>
      </c>
      <c r="D862" t="s">
        <v>197</v>
      </c>
      <c r="E862" t="s">
        <v>197</v>
      </c>
      <c r="F862" t="s">
        <v>197</v>
      </c>
      <c r="G862" t="s">
        <v>197</v>
      </c>
      <c r="H862" t="s">
        <v>197</v>
      </c>
      <c r="I862" t="s">
        <v>197</v>
      </c>
      <c r="J862" t="s">
        <v>197</v>
      </c>
      <c r="K862" t="s">
        <v>622</v>
      </c>
    </row>
    <row r="863" spans="1:24">
      <c r="B863" t="s">
        <v>197</v>
      </c>
      <c r="C863" t="s">
        <v>197</v>
      </c>
      <c r="D863" t="s">
        <v>197</v>
      </c>
      <c r="E863" t="s">
        <v>197</v>
      </c>
      <c r="F863" t="s">
        <v>197</v>
      </c>
      <c r="G863" t="s">
        <v>197</v>
      </c>
      <c r="H863" t="s">
        <v>197</v>
      </c>
      <c r="I863" t="s">
        <v>197</v>
      </c>
      <c r="J863" t="s">
        <v>197</v>
      </c>
      <c r="K863" t="s">
        <v>623</v>
      </c>
    </row>
    <row r="864" spans="1:24">
      <c r="B864" t="s">
        <v>197</v>
      </c>
      <c r="C864" t="s">
        <v>197</v>
      </c>
      <c r="D864" t="s">
        <v>197</v>
      </c>
      <c r="E864" t="s">
        <v>197</v>
      </c>
      <c r="F864" t="s">
        <v>197</v>
      </c>
      <c r="G864" t="s">
        <v>197</v>
      </c>
      <c r="H864" t="s">
        <v>197</v>
      </c>
      <c r="I864" t="s">
        <v>197</v>
      </c>
      <c r="J864" t="s">
        <v>197</v>
      </c>
      <c r="K864" t="s">
        <v>832</v>
      </c>
    </row>
    <row r="865" spans="1:24">
      <c r="A865" t="s">
        <v>957</v>
      </c>
      <c r="K865" t="s">
        <v>958</v>
      </c>
      <c r="W865" t="s">
        <v>171</v>
      </c>
      <c r="X865" t="str">
        <f>A865</f>
        <v>info_date_dml_batch1_pk_drp1</v>
      </c>
    </row>
    <row r="866" spans="1:24">
      <c r="B866" t="s">
        <v>196</v>
      </c>
      <c r="C866" t="s">
        <v>197</v>
      </c>
      <c r="D866" t="s">
        <v>197</v>
      </c>
      <c r="E866" t="s">
        <v>197</v>
      </c>
      <c r="F866" t="s">
        <v>197</v>
      </c>
      <c r="G866" t="s">
        <v>197</v>
      </c>
      <c r="H866" t="s">
        <v>197</v>
      </c>
      <c r="I866" t="s">
        <v>959</v>
      </c>
      <c r="J866" t="s">
        <v>199</v>
      </c>
      <c r="K866" t="s">
        <v>200</v>
      </c>
    </row>
    <row r="867" spans="1:24">
      <c r="B867" t="s">
        <v>197</v>
      </c>
      <c r="C867" t="s">
        <v>197</v>
      </c>
      <c r="D867" t="s">
        <v>197</v>
      </c>
      <c r="E867" t="s">
        <v>197</v>
      </c>
      <c r="F867" t="s">
        <v>197</v>
      </c>
      <c r="G867" t="s">
        <v>197</v>
      </c>
      <c r="H867" t="s">
        <v>197</v>
      </c>
      <c r="I867" t="s">
        <v>197</v>
      </c>
      <c r="J867" t="s">
        <v>197</v>
      </c>
      <c r="K867" t="s">
        <v>678</v>
      </c>
    </row>
    <row r="868" spans="1:24">
      <c r="K868" t="s">
        <v>443</v>
      </c>
    </row>
    <row r="869" spans="1:24">
      <c r="A869" t="s">
        <v>960</v>
      </c>
      <c r="K869" t="s">
        <v>961</v>
      </c>
      <c r="W869" t="s">
        <v>171</v>
      </c>
      <c r="X869" t="str">
        <f>A869</f>
        <v>info_varchar_dml_batch1_pk_irp1</v>
      </c>
    </row>
    <row r="870" spans="1:24">
      <c r="B870" t="s">
        <v>196</v>
      </c>
      <c r="C870" t="s">
        <v>197</v>
      </c>
      <c r="D870" t="s">
        <v>197</v>
      </c>
      <c r="E870" t="s">
        <v>197</v>
      </c>
      <c r="F870" t="s">
        <v>197</v>
      </c>
      <c r="G870" t="s">
        <v>197</v>
      </c>
      <c r="H870" t="s">
        <v>197</v>
      </c>
      <c r="I870" t="s">
        <v>962</v>
      </c>
      <c r="J870" t="s">
        <v>199</v>
      </c>
      <c r="K870" t="s">
        <v>200</v>
      </c>
    </row>
    <row r="871" spans="1:24">
      <c r="B871" t="s">
        <v>197</v>
      </c>
      <c r="C871" t="s">
        <v>197</v>
      </c>
      <c r="D871" t="s">
        <v>197</v>
      </c>
      <c r="E871" t="s">
        <v>197</v>
      </c>
      <c r="F871" t="s">
        <v>197</v>
      </c>
      <c r="G871" t="s">
        <v>197</v>
      </c>
      <c r="H871" t="s">
        <v>197</v>
      </c>
      <c r="I871" t="s">
        <v>197</v>
      </c>
      <c r="J871" t="s">
        <v>197</v>
      </c>
      <c r="K871" t="s">
        <v>431</v>
      </c>
    </row>
    <row r="872" spans="1:24">
      <c r="B872" t="s">
        <v>197</v>
      </c>
      <c r="C872" t="s">
        <v>197</v>
      </c>
      <c r="D872" t="s">
        <v>197</v>
      </c>
      <c r="E872" t="s">
        <v>197</v>
      </c>
      <c r="F872" t="s">
        <v>197</v>
      </c>
      <c r="G872" t="s">
        <v>197</v>
      </c>
      <c r="H872" t="s">
        <v>197</v>
      </c>
      <c r="I872" t="s">
        <v>197</v>
      </c>
      <c r="J872" t="s">
        <v>197</v>
      </c>
      <c r="K872" t="s">
        <v>434</v>
      </c>
    </row>
    <row r="873" spans="1:24">
      <c r="B873" t="s">
        <v>197</v>
      </c>
      <c r="C873" t="s">
        <v>197</v>
      </c>
      <c r="D873" t="s">
        <v>197</v>
      </c>
      <c r="E873" t="s">
        <v>197</v>
      </c>
      <c r="F873" t="s">
        <v>197</v>
      </c>
      <c r="G873" t="s">
        <v>197</v>
      </c>
      <c r="H873" t="s">
        <v>197</v>
      </c>
      <c r="I873" t="s">
        <v>197</v>
      </c>
      <c r="J873" t="s">
        <v>197</v>
      </c>
      <c r="K873" t="s">
        <v>963</v>
      </c>
    </row>
    <row r="874" spans="1:24">
      <c r="K874" t="s">
        <v>443</v>
      </c>
    </row>
    <row r="875" spans="1:24">
      <c r="A875" t="s">
        <v>964</v>
      </c>
      <c r="K875" t="s">
        <v>965</v>
      </c>
      <c r="W875" t="s">
        <v>171</v>
      </c>
      <c r="X875" t="str">
        <f>A875</f>
        <v>info_datetime_dml_single_pk_urp</v>
      </c>
    </row>
    <row r="876" spans="1:24">
      <c r="B876" t="s">
        <v>196</v>
      </c>
      <c r="C876" t="s">
        <v>197</v>
      </c>
      <c r="D876" t="s">
        <v>197</v>
      </c>
      <c r="E876" t="s">
        <v>197</v>
      </c>
      <c r="F876" t="s">
        <v>197</v>
      </c>
      <c r="G876" t="s">
        <v>197</v>
      </c>
      <c r="H876" t="s">
        <v>197</v>
      </c>
      <c r="I876" t="s">
        <v>966</v>
      </c>
      <c r="J876" t="s">
        <v>199</v>
      </c>
      <c r="K876" t="s">
        <v>200</v>
      </c>
    </row>
    <row r="877" spans="1:24">
      <c r="B877" t="s">
        <v>197</v>
      </c>
      <c r="C877" t="s">
        <v>197</v>
      </c>
      <c r="D877" t="s">
        <v>197</v>
      </c>
      <c r="E877" t="s">
        <v>197</v>
      </c>
      <c r="F877" t="s">
        <v>197</v>
      </c>
      <c r="G877" t="s">
        <v>197</v>
      </c>
      <c r="H877" t="s">
        <v>197</v>
      </c>
      <c r="I877" t="s">
        <v>197</v>
      </c>
      <c r="J877" t="s">
        <v>197</v>
      </c>
      <c r="K877" t="s">
        <v>574</v>
      </c>
    </row>
    <row r="878" spans="1:24">
      <c r="A878" t="s">
        <v>967</v>
      </c>
      <c r="K878" t="s">
        <v>968</v>
      </c>
      <c r="W878" t="s">
        <v>171</v>
      </c>
      <c r="X878" t="str">
        <f>A878</f>
        <v>info_nchar_dml_batch1_pk</v>
      </c>
    </row>
    <row r="879" spans="1:24">
      <c r="B879" t="s">
        <v>196</v>
      </c>
      <c r="C879" t="s">
        <v>197</v>
      </c>
      <c r="D879" t="s">
        <v>197</v>
      </c>
      <c r="E879" t="s">
        <v>197</v>
      </c>
      <c r="F879" t="s">
        <v>197</v>
      </c>
      <c r="G879" t="s">
        <v>197</v>
      </c>
      <c r="H879" t="s">
        <v>197</v>
      </c>
      <c r="I879" t="s">
        <v>969</v>
      </c>
      <c r="J879" t="s">
        <v>199</v>
      </c>
      <c r="K879" t="s">
        <v>200</v>
      </c>
    </row>
    <row r="880" spans="1:24">
      <c r="B880" t="s">
        <v>197</v>
      </c>
      <c r="C880" t="s">
        <v>197</v>
      </c>
      <c r="D880" t="s">
        <v>197</v>
      </c>
      <c r="E880" t="s">
        <v>197</v>
      </c>
      <c r="F880" t="s">
        <v>197</v>
      </c>
      <c r="G880" t="s">
        <v>197</v>
      </c>
      <c r="H880" t="s">
        <v>197</v>
      </c>
      <c r="I880" t="s">
        <v>197</v>
      </c>
      <c r="J880" t="s">
        <v>197</v>
      </c>
      <c r="K880" t="s">
        <v>514</v>
      </c>
    </row>
    <row r="881" spans="1:24">
      <c r="B881" t="s">
        <v>197</v>
      </c>
      <c r="C881" t="s">
        <v>197</v>
      </c>
      <c r="D881" t="s">
        <v>197</v>
      </c>
      <c r="E881" t="s">
        <v>197</v>
      </c>
      <c r="F881" t="s">
        <v>197</v>
      </c>
      <c r="G881" t="s">
        <v>197</v>
      </c>
      <c r="H881" t="s">
        <v>197</v>
      </c>
      <c r="I881" t="s">
        <v>197</v>
      </c>
      <c r="J881" t="s">
        <v>197</v>
      </c>
      <c r="K881" t="s">
        <v>516</v>
      </c>
    </row>
    <row r="882" spans="1:24">
      <c r="B882" t="s">
        <v>197</v>
      </c>
      <c r="C882" t="s">
        <v>197</v>
      </c>
      <c r="D882" t="s">
        <v>197</v>
      </c>
      <c r="E882" t="s">
        <v>197</v>
      </c>
      <c r="F882" t="s">
        <v>197</v>
      </c>
      <c r="G882" t="s">
        <v>197</v>
      </c>
      <c r="H882" t="s">
        <v>197</v>
      </c>
      <c r="I882" t="s">
        <v>197</v>
      </c>
      <c r="J882" t="s">
        <v>197</v>
      </c>
      <c r="K882" t="s">
        <v>612</v>
      </c>
    </row>
    <row r="883" spans="1:24">
      <c r="A883" t="s">
        <v>970</v>
      </c>
      <c r="K883" t="s">
        <v>971</v>
      </c>
      <c r="W883" t="s">
        <v>171</v>
      </c>
      <c r="X883" t="str">
        <f>A883</f>
        <v>info_varcharmax_dml_single_pk</v>
      </c>
    </row>
    <row r="884" spans="1:24">
      <c r="B884" t="s">
        <v>196</v>
      </c>
      <c r="C884" t="s">
        <v>197</v>
      </c>
      <c r="D884" t="s">
        <v>197</v>
      </c>
      <c r="E884" t="s">
        <v>197</v>
      </c>
      <c r="F884" t="s">
        <v>197</v>
      </c>
      <c r="G884" t="s">
        <v>197</v>
      </c>
      <c r="H884" t="s">
        <v>197</v>
      </c>
      <c r="I884" t="s">
        <v>972</v>
      </c>
      <c r="J884" t="s">
        <v>199</v>
      </c>
      <c r="K884" t="s">
        <v>200</v>
      </c>
    </row>
    <row r="885" spans="1:24">
      <c r="B885" t="s">
        <v>197</v>
      </c>
      <c r="C885" t="s">
        <v>197</v>
      </c>
      <c r="D885" t="s">
        <v>197</v>
      </c>
      <c r="E885" t="s">
        <v>197</v>
      </c>
      <c r="F885" t="s">
        <v>197</v>
      </c>
      <c r="G885" t="s">
        <v>197</v>
      </c>
      <c r="H885" t="s">
        <v>197</v>
      </c>
      <c r="I885" t="s">
        <v>197</v>
      </c>
      <c r="J885" t="s">
        <v>197</v>
      </c>
      <c r="K885" t="s">
        <v>725</v>
      </c>
    </row>
    <row r="886" spans="1:24">
      <c r="B886" t="s">
        <v>197</v>
      </c>
      <c r="C886" t="s">
        <v>197</v>
      </c>
      <c r="D886" t="s">
        <v>197</v>
      </c>
      <c r="E886" t="s">
        <v>197</v>
      </c>
      <c r="F886" t="s">
        <v>197</v>
      </c>
      <c r="G886" t="s">
        <v>197</v>
      </c>
      <c r="H886" t="s">
        <v>197</v>
      </c>
      <c r="I886" t="s">
        <v>197</v>
      </c>
      <c r="J886" t="s">
        <v>197</v>
      </c>
      <c r="K886" t="s">
        <v>726</v>
      </c>
    </row>
    <row r="887" spans="1:24">
      <c r="A887" t="s">
        <v>973</v>
      </c>
      <c r="K887" t="s">
        <v>974</v>
      </c>
      <c r="W887" t="s">
        <v>171</v>
      </c>
      <c r="X887" t="str">
        <f>A887</f>
        <v>info_date_dml_batch1_pk_drp2</v>
      </c>
    </row>
    <row r="888" spans="1:24">
      <c r="B888" t="s">
        <v>196</v>
      </c>
      <c r="C888" t="s">
        <v>197</v>
      </c>
      <c r="D888" t="s">
        <v>197</v>
      </c>
      <c r="E888" t="s">
        <v>197</v>
      </c>
      <c r="F888" t="s">
        <v>197</v>
      </c>
      <c r="G888" t="s">
        <v>197</v>
      </c>
      <c r="H888" t="s">
        <v>197</v>
      </c>
      <c r="I888" t="s">
        <v>975</v>
      </c>
      <c r="J888" t="s">
        <v>199</v>
      </c>
      <c r="K888" t="s">
        <v>200</v>
      </c>
    </row>
    <row r="889" spans="1:24">
      <c r="B889" t="s">
        <v>197</v>
      </c>
      <c r="C889" t="s">
        <v>197</v>
      </c>
      <c r="D889" t="s">
        <v>197</v>
      </c>
      <c r="E889" t="s">
        <v>197</v>
      </c>
      <c r="F889" t="s">
        <v>197</v>
      </c>
      <c r="G889" t="s">
        <v>197</v>
      </c>
      <c r="H889" t="s">
        <v>197</v>
      </c>
      <c r="I889" t="s">
        <v>197</v>
      </c>
      <c r="J889" t="s">
        <v>197</v>
      </c>
      <c r="K889" t="s">
        <v>678</v>
      </c>
    </row>
    <row r="890" spans="1:24">
      <c r="A890" t="s">
        <v>976</v>
      </c>
      <c r="K890" t="s">
        <v>977</v>
      </c>
      <c r="W890" t="s">
        <v>171</v>
      </c>
      <c r="X890" t="str">
        <f>A890</f>
        <v>info_datetime_dml_single_pk_drp</v>
      </c>
    </row>
    <row r="891" spans="1:24">
      <c r="B891" t="s">
        <v>196</v>
      </c>
      <c r="C891" t="s">
        <v>197</v>
      </c>
      <c r="D891" t="s">
        <v>197</v>
      </c>
      <c r="E891" t="s">
        <v>197</v>
      </c>
      <c r="F891" t="s">
        <v>197</v>
      </c>
      <c r="G891" t="s">
        <v>197</v>
      </c>
      <c r="H891" t="s">
        <v>197</v>
      </c>
      <c r="I891" t="s">
        <v>978</v>
      </c>
      <c r="J891" t="s">
        <v>199</v>
      </c>
      <c r="K891" t="s">
        <v>200</v>
      </c>
    </row>
    <row r="892" spans="1:24">
      <c r="B892" t="s">
        <v>197</v>
      </c>
      <c r="C892" t="s">
        <v>197</v>
      </c>
      <c r="D892" t="s">
        <v>197</v>
      </c>
      <c r="E892" t="s">
        <v>197</v>
      </c>
      <c r="F892" t="s">
        <v>197</v>
      </c>
      <c r="G892" t="s">
        <v>197</v>
      </c>
      <c r="H892" t="s">
        <v>197</v>
      </c>
      <c r="I892" t="s">
        <v>197</v>
      </c>
      <c r="J892" t="s">
        <v>197</v>
      </c>
      <c r="K892" t="s">
        <v>574</v>
      </c>
    </row>
    <row r="893" spans="1:24">
      <c r="A893" t="s">
        <v>979</v>
      </c>
      <c r="K893" t="s">
        <v>980</v>
      </c>
      <c r="W893" t="s">
        <v>171</v>
      </c>
      <c r="X893" t="str">
        <f>A893</f>
        <v>info_date_dml_batch1_pk</v>
      </c>
    </row>
    <row r="894" spans="1:24">
      <c r="B894" t="s">
        <v>196</v>
      </c>
      <c r="C894" t="s">
        <v>197</v>
      </c>
      <c r="D894" t="s">
        <v>197</v>
      </c>
      <c r="E894" t="s">
        <v>197</v>
      </c>
      <c r="F894" t="s">
        <v>197</v>
      </c>
      <c r="G894" t="s">
        <v>197</v>
      </c>
      <c r="H894" t="s">
        <v>197</v>
      </c>
      <c r="I894" t="s">
        <v>981</v>
      </c>
      <c r="J894" t="s">
        <v>199</v>
      </c>
      <c r="K894" t="s">
        <v>200</v>
      </c>
    </row>
    <row r="895" spans="1:24">
      <c r="B895" t="s">
        <v>197</v>
      </c>
      <c r="C895" t="s">
        <v>197</v>
      </c>
      <c r="D895" t="s">
        <v>197</v>
      </c>
      <c r="E895" t="s">
        <v>197</v>
      </c>
      <c r="F895" t="s">
        <v>197</v>
      </c>
      <c r="G895" t="s">
        <v>197</v>
      </c>
      <c r="H895" t="s">
        <v>197</v>
      </c>
      <c r="I895" t="s">
        <v>197</v>
      </c>
      <c r="J895" t="s">
        <v>197</v>
      </c>
      <c r="K895" t="s">
        <v>678</v>
      </c>
    </row>
    <row r="896" spans="1:24">
      <c r="A896" t="s">
        <v>982</v>
      </c>
      <c r="K896" t="s">
        <v>983</v>
      </c>
      <c r="W896" t="s">
        <v>171</v>
      </c>
      <c r="X896" t="str">
        <f>A896</f>
        <v>info_nvarchar_dml_batch1_pk_irp1</v>
      </c>
    </row>
    <row r="897" spans="1:24">
      <c r="B897" t="s">
        <v>196</v>
      </c>
      <c r="C897" t="s">
        <v>197</v>
      </c>
      <c r="D897" t="s">
        <v>197</v>
      </c>
      <c r="E897" t="s">
        <v>197</v>
      </c>
      <c r="F897" t="s">
        <v>197</v>
      </c>
      <c r="G897" t="s">
        <v>197</v>
      </c>
      <c r="H897" t="s">
        <v>197</v>
      </c>
      <c r="I897" t="s">
        <v>984</v>
      </c>
      <c r="J897" t="s">
        <v>199</v>
      </c>
      <c r="K897" t="s">
        <v>200</v>
      </c>
    </row>
    <row r="898" spans="1:24">
      <c r="B898" t="s">
        <v>197</v>
      </c>
      <c r="C898" t="s">
        <v>197</v>
      </c>
      <c r="D898" t="s">
        <v>197</v>
      </c>
      <c r="E898" t="s">
        <v>197</v>
      </c>
      <c r="F898" t="s">
        <v>197</v>
      </c>
      <c r="G898" t="s">
        <v>197</v>
      </c>
      <c r="H898" t="s">
        <v>197</v>
      </c>
      <c r="I898" t="s">
        <v>197</v>
      </c>
      <c r="J898" t="s">
        <v>197</v>
      </c>
      <c r="K898" t="s">
        <v>408</v>
      </c>
    </row>
    <row r="899" spans="1:24">
      <c r="B899" t="s">
        <v>197</v>
      </c>
      <c r="C899" t="s">
        <v>197</v>
      </c>
      <c r="D899" t="s">
        <v>197</v>
      </c>
      <c r="E899" t="s">
        <v>197</v>
      </c>
      <c r="F899" t="s">
        <v>197</v>
      </c>
      <c r="G899" t="s">
        <v>197</v>
      </c>
      <c r="H899" t="s">
        <v>197</v>
      </c>
      <c r="I899" t="s">
        <v>197</v>
      </c>
      <c r="J899" t="s">
        <v>197</v>
      </c>
      <c r="K899" t="s">
        <v>412</v>
      </c>
    </row>
    <row r="900" spans="1:24">
      <c r="B900" t="s">
        <v>197</v>
      </c>
      <c r="C900" t="s">
        <v>197</v>
      </c>
      <c r="D900" t="s">
        <v>197</v>
      </c>
      <c r="E900" t="s">
        <v>197</v>
      </c>
      <c r="F900" t="s">
        <v>197</v>
      </c>
      <c r="G900" t="s">
        <v>197</v>
      </c>
      <c r="H900" t="s">
        <v>197</v>
      </c>
      <c r="I900" t="s">
        <v>197</v>
      </c>
      <c r="J900" t="s">
        <v>197</v>
      </c>
      <c r="K900" t="s">
        <v>730</v>
      </c>
    </row>
    <row r="901" spans="1:24">
      <c r="A901" t="s">
        <v>985</v>
      </c>
      <c r="K901" t="s">
        <v>986</v>
      </c>
      <c r="W901" t="s">
        <v>171</v>
      </c>
      <c r="X901" t="str">
        <f>A901</f>
        <v>info_timestamp_dml_single_pk_drp</v>
      </c>
    </row>
    <row r="902" spans="1:24">
      <c r="B902" t="s">
        <v>196</v>
      </c>
      <c r="C902" t="s">
        <v>197</v>
      </c>
      <c r="D902" t="s">
        <v>197</v>
      </c>
      <c r="E902" t="s">
        <v>197</v>
      </c>
      <c r="F902" t="s">
        <v>197</v>
      </c>
      <c r="G902" t="s">
        <v>197</v>
      </c>
      <c r="H902" t="s">
        <v>197</v>
      </c>
      <c r="I902" t="s">
        <v>987</v>
      </c>
      <c r="J902" t="s">
        <v>199</v>
      </c>
      <c r="K902" t="s">
        <v>200</v>
      </c>
    </row>
    <row r="903" spans="1:24">
      <c r="B903" t="s">
        <v>197</v>
      </c>
      <c r="C903" t="s">
        <v>197</v>
      </c>
      <c r="D903" t="s">
        <v>197</v>
      </c>
      <c r="E903" t="s">
        <v>197</v>
      </c>
      <c r="F903" t="s">
        <v>197</v>
      </c>
      <c r="G903" t="s">
        <v>197</v>
      </c>
      <c r="H903" t="s">
        <v>197</v>
      </c>
      <c r="I903" t="s">
        <v>197</v>
      </c>
      <c r="J903" t="s">
        <v>197</v>
      </c>
      <c r="K903" t="s">
        <v>944</v>
      </c>
    </row>
    <row r="904" spans="1:24">
      <c r="A904" t="s">
        <v>988</v>
      </c>
      <c r="K904" t="s">
        <v>989</v>
      </c>
      <c r="W904" t="s">
        <v>171</v>
      </c>
      <c r="X904" t="str">
        <f>A904</f>
        <v>info_time_dml_batch1_pk_irp1</v>
      </c>
    </row>
    <row r="905" spans="1:24">
      <c r="B905" t="s">
        <v>196</v>
      </c>
      <c r="C905" t="s">
        <v>197</v>
      </c>
      <c r="D905" t="s">
        <v>197</v>
      </c>
      <c r="E905" t="s">
        <v>197</v>
      </c>
      <c r="F905" t="s">
        <v>197</v>
      </c>
      <c r="G905" t="s">
        <v>197</v>
      </c>
      <c r="H905" t="s">
        <v>197</v>
      </c>
      <c r="I905" t="s">
        <v>990</v>
      </c>
      <c r="J905" t="s">
        <v>199</v>
      </c>
      <c r="K905" t="s">
        <v>200</v>
      </c>
    </row>
    <row r="906" spans="1:24">
      <c r="B906" t="s">
        <v>197</v>
      </c>
      <c r="C906" t="s">
        <v>197</v>
      </c>
      <c r="D906" t="s">
        <v>197</v>
      </c>
      <c r="E906" t="s">
        <v>197</v>
      </c>
      <c r="F906" t="s">
        <v>197</v>
      </c>
      <c r="G906" t="s">
        <v>197</v>
      </c>
      <c r="H906" t="s">
        <v>197</v>
      </c>
      <c r="I906" t="s">
        <v>197</v>
      </c>
      <c r="J906" t="s">
        <v>197</v>
      </c>
      <c r="K906" t="s">
        <v>800</v>
      </c>
    </row>
    <row r="907" spans="1:24">
      <c r="B907" t="s">
        <v>197</v>
      </c>
      <c r="C907" t="s">
        <v>197</v>
      </c>
      <c r="D907" t="s">
        <v>197</v>
      </c>
      <c r="E907" t="s">
        <v>197</v>
      </c>
      <c r="F907" t="s">
        <v>197</v>
      </c>
      <c r="G907" t="s">
        <v>197</v>
      </c>
      <c r="H907" t="s">
        <v>197</v>
      </c>
      <c r="I907" t="s">
        <v>197</v>
      </c>
      <c r="J907" t="s">
        <v>197</v>
      </c>
      <c r="K907" t="s">
        <v>801</v>
      </c>
    </row>
    <row r="908" spans="1:24">
      <c r="B908" t="s">
        <v>197</v>
      </c>
      <c r="C908" t="s">
        <v>197</v>
      </c>
      <c r="D908" t="s">
        <v>197</v>
      </c>
      <c r="E908" t="s">
        <v>197</v>
      </c>
      <c r="F908" t="s">
        <v>197</v>
      </c>
      <c r="G908" t="s">
        <v>197</v>
      </c>
      <c r="H908" t="s">
        <v>197</v>
      </c>
      <c r="I908" t="s">
        <v>197</v>
      </c>
      <c r="J908" t="s">
        <v>197</v>
      </c>
      <c r="K908" t="s">
        <v>802</v>
      </c>
    </row>
    <row r="909" spans="1:24">
      <c r="B909" t="s">
        <v>197</v>
      </c>
      <c r="C909" t="s">
        <v>197</v>
      </c>
      <c r="D909" t="s">
        <v>197</v>
      </c>
      <c r="E909" t="s">
        <v>197</v>
      </c>
      <c r="F909" t="s">
        <v>197</v>
      </c>
      <c r="G909" t="s">
        <v>197</v>
      </c>
      <c r="H909" t="s">
        <v>197</v>
      </c>
      <c r="I909" t="s">
        <v>197</v>
      </c>
      <c r="J909" t="s">
        <v>197</v>
      </c>
      <c r="K909" t="s">
        <v>803</v>
      </c>
    </row>
    <row r="910" spans="1:24">
      <c r="B910" t="s">
        <v>197</v>
      </c>
      <c r="C910" t="s">
        <v>197</v>
      </c>
      <c r="D910" t="s">
        <v>197</v>
      </c>
      <c r="E910" t="s">
        <v>197</v>
      </c>
      <c r="F910" t="s">
        <v>197</v>
      </c>
      <c r="G910" t="s">
        <v>197</v>
      </c>
      <c r="H910" t="s">
        <v>197</v>
      </c>
      <c r="I910" t="s">
        <v>197</v>
      </c>
      <c r="J910" t="s">
        <v>197</v>
      </c>
      <c r="K910" t="s">
        <v>804</v>
      </c>
    </row>
    <row r="911" spans="1:24">
      <c r="B911" t="s">
        <v>197</v>
      </c>
      <c r="C911" t="s">
        <v>197</v>
      </c>
      <c r="D911" t="s">
        <v>197</v>
      </c>
      <c r="E911" t="s">
        <v>197</v>
      </c>
      <c r="F911" t="s">
        <v>197</v>
      </c>
      <c r="G911" t="s">
        <v>197</v>
      </c>
      <c r="H911" t="s">
        <v>197</v>
      </c>
      <c r="I911" t="s">
        <v>197</v>
      </c>
      <c r="J911" t="s">
        <v>197</v>
      </c>
      <c r="K911" t="s">
        <v>805</v>
      </c>
    </row>
    <row r="912" spans="1:24">
      <c r="B912" t="s">
        <v>197</v>
      </c>
      <c r="C912" t="s">
        <v>197</v>
      </c>
      <c r="D912" t="s">
        <v>197</v>
      </c>
      <c r="E912" t="s">
        <v>197</v>
      </c>
      <c r="F912" t="s">
        <v>197</v>
      </c>
      <c r="G912" t="s">
        <v>197</v>
      </c>
      <c r="H912" t="s">
        <v>197</v>
      </c>
      <c r="I912" t="s">
        <v>197</v>
      </c>
      <c r="J912" t="s">
        <v>197</v>
      </c>
      <c r="K912" t="s">
        <v>806</v>
      </c>
    </row>
    <row r="913" spans="1:24">
      <c r="B913" t="s">
        <v>197</v>
      </c>
      <c r="C913" t="s">
        <v>197</v>
      </c>
      <c r="D913" t="s">
        <v>197</v>
      </c>
      <c r="E913" t="s">
        <v>197</v>
      </c>
      <c r="F913" t="s">
        <v>197</v>
      </c>
      <c r="G913" t="s">
        <v>197</v>
      </c>
      <c r="H913" t="s">
        <v>197</v>
      </c>
      <c r="I913" t="s">
        <v>197</v>
      </c>
      <c r="J913" t="s">
        <v>197</v>
      </c>
      <c r="K913" t="s">
        <v>807</v>
      </c>
    </row>
    <row r="914" spans="1:24">
      <c r="A914" t="s">
        <v>991</v>
      </c>
      <c r="K914" t="s">
        <v>992</v>
      </c>
      <c r="W914" t="s">
        <v>171</v>
      </c>
      <c r="X914" t="str">
        <f>A914</f>
        <v>info_binary_dml_batch1_pk</v>
      </c>
    </row>
    <row r="915" spans="1:24">
      <c r="B915" t="s">
        <v>196</v>
      </c>
      <c r="C915" t="s">
        <v>197</v>
      </c>
      <c r="D915" t="s">
        <v>197</v>
      </c>
      <c r="E915" t="s">
        <v>197</v>
      </c>
      <c r="F915" t="s">
        <v>197</v>
      </c>
      <c r="G915" t="s">
        <v>197</v>
      </c>
      <c r="H915" t="s">
        <v>197</v>
      </c>
      <c r="I915" t="s">
        <v>993</v>
      </c>
      <c r="J915" t="s">
        <v>199</v>
      </c>
      <c r="K915" t="s">
        <v>200</v>
      </c>
    </row>
    <row r="916" spans="1:24">
      <c r="B916" t="s">
        <v>197</v>
      </c>
      <c r="C916" t="s">
        <v>197</v>
      </c>
      <c r="D916" t="s">
        <v>197</v>
      </c>
      <c r="E916" t="s">
        <v>197</v>
      </c>
      <c r="F916" t="s">
        <v>197</v>
      </c>
      <c r="G916" t="s">
        <v>197</v>
      </c>
      <c r="H916" t="s">
        <v>197</v>
      </c>
      <c r="I916" t="s">
        <v>197</v>
      </c>
      <c r="J916" t="s">
        <v>197</v>
      </c>
      <c r="K916" t="s">
        <v>691</v>
      </c>
    </row>
    <row r="917" spans="1:24">
      <c r="B917" t="s">
        <v>197</v>
      </c>
      <c r="C917" t="s">
        <v>197</v>
      </c>
      <c r="D917" t="s">
        <v>197</v>
      </c>
      <c r="E917" t="s">
        <v>197</v>
      </c>
      <c r="F917" t="s">
        <v>197</v>
      </c>
      <c r="G917" t="s">
        <v>197</v>
      </c>
      <c r="H917" t="s">
        <v>197</v>
      </c>
      <c r="I917" t="s">
        <v>197</v>
      </c>
      <c r="J917" t="s">
        <v>197</v>
      </c>
      <c r="K917" t="s">
        <v>692</v>
      </c>
    </row>
    <row r="918" spans="1:24">
      <c r="B918" t="s">
        <v>197</v>
      </c>
      <c r="C918" t="s">
        <v>197</v>
      </c>
      <c r="D918" t="s">
        <v>197</v>
      </c>
      <c r="E918" t="s">
        <v>197</v>
      </c>
      <c r="F918" t="s">
        <v>197</v>
      </c>
      <c r="G918" t="s">
        <v>197</v>
      </c>
      <c r="H918" t="s">
        <v>197</v>
      </c>
      <c r="I918" t="s">
        <v>197</v>
      </c>
      <c r="J918" t="s">
        <v>197</v>
      </c>
      <c r="K918" t="s">
        <v>693</v>
      </c>
    </row>
    <row r="919" spans="1:24">
      <c r="A919" t="s">
        <v>994</v>
      </c>
      <c r="K919" t="s">
        <v>995</v>
      </c>
      <c r="W919" t="s">
        <v>171</v>
      </c>
      <c r="X919" t="str">
        <f>A919</f>
        <v>info_varchar_dml_batch1_pk_irp2</v>
      </c>
    </row>
    <row r="920" spans="1:24">
      <c r="B920" t="s">
        <v>196</v>
      </c>
      <c r="C920" t="s">
        <v>197</v>
      </c>
      <c r="D920" t="s">
        <v>197</v>
      </c>
      <c r="E920" t="s">
        <v>197</v>
      </c>
      <c r="F920" t="s">
        <v>197</v>
      </c>
      <c r="G920" t="s">
        <v>197</v>
      </c>
      <c r="H920" t="s">
        <v>197</v>
      </c>
      <c r="I920" t="s">
        <v>996</v>
      </c>
      <c r="J920" t="s">
        <v>199</v>
      </c>
      <c r="K920" t="s">
        <v>200</v>
      </c>
    </row>
    <row r="921" spans="1:24">
      <c r="B921" t="s">
        <v>197</v>
      </c>
      <c r="C921" t="s">
        <v>197</v>
      </c>
      <c r="D921" t="s">
        <v>197</v>
      </c>
      <c r="E921" t="s">
        <v>197</v>
      </c>
      <c r="F921" t="s">
        <v>197</v>
      </c>
      <c r="G921" t="s">
        <v>197</v>
      </c>
      <c r="H921" t="s">
        <v>197</v>
      </c>
      <c r="I921" t="s">
        <v>197</v>
      </c>
      <c r="J921" t="s">
        <v>197</v>
      </c>
      <c r="K921" t="s">
        <v>431</v>
      </c>
    </row>
    <row r="922" spans="1:24">
      <c r="B922" t="s">
        <v>197</v>
      </c>
      <c r="C922" t="s">
        <v>197</v>
      </c>
      <c r="D922" t="s">
        <v>197</v>
      </c>
      <c r="E922" t="s">
        <v>197</v>
      </c>
      <c r="F922" t="s">
        <v>197</v>
      </c>
      <c r="G922" t="s">
        <v>197</v>
      </c>
      <c r="H922" t="s">
        <v>197</v>
      </c>
      <c r="I922" t="s">
        <v>197</v>
      </c>
      <c r="J922" t="s">
        <v>197</v>
      </c>
      <c r="K922" t="s">
        <v>434</v>
      </c>
    </row>
    <row r="923" spans="1:24">
      <c r="B923" t="s">
        <v>197</v>
      </c>
      <c r="C923" t="s">
        <v>197</v>
      </c>
      <c r="D923" t="s">
        <v>197</v>
      </c>
      <c r="E923" t="s">
        <v>197</v>
      </c>
      <c r="F923" t="s">
        <v>197</v>
      </c>
      <c r="G923" t="s">
        <v>197</v>
      </c>
      <c r="H923" t="s">
        <v>197</v>
      </c>
      <c r="I923" t="s">
        <v>197</v>
      </c>
      <c r="J923" t="s">
        <v>197</v>
      </c>
      <c r="K923" t="s">
        <v>963</v>
      </c>
    </row>
    <row r="924" spans="1:24">
      <c r="K924" t="s">
        <v>443</v>
      </c>
    </row>
    <row r="925" spans="1:24">
      <c r="A925" t="s">
        <v>997</v>
      </c>
      <c r="K925" t="s">
        <v>998</v>
      </c>
      <c r="W925" t="s">
        <v>171</v>
      </c>
      <c r="X925" t="str">
        <f>A925</f>
        <v>info_time_dml_batch1_pk_irp2</v>
      </c>
    </row>
    <row r="926" spans="1:24">
      <c r="B926" t="s">
        <v>196</v>
      </c>
      <c r="C926" t="s">
        <v>197</v>
      </c>
      <c r="D926" t="s">
        <v>197</v>
      </c>
      <c r="E926" t="s">
        <v>197</v>
      </c>
      <c r="F926" t="s">
        <v>197</v>
      </c>
      <c r="G926" t="s">
        <v>197</v>
      </c>
      <c r="H926" t="s">
        <v>197</v>
      </c>
      <c r="I926" t="s">
        <v>999</v>
      </c>
      <c r="J926" t="s">
        <v>199</v>
      </c>
      <c r="K926" t="s">
        <v>200</v>
      </c>
    </row>
    <row r="927" spans="1:24">
      <c r="B927" t="s">
        <v>197</v>
      </c>
      <c r="C927" t="s">
        <v>197</v>
      </c>
      <c r="D927" t="s">
        <v>197</v>
      </c>
      <c r="E927" t="s">
        <v>197</v>
      </c>
      <c r="F927" t="s">
        <v>197</v>
      </c>
      <c r="G927" t="s">
        <v>197</v>
      </c>
      <c r="H927" t="s">
        <v>197</v>
      </c>
      <c r="I927" t="s">
        <v>197</v>
      </c>
      <c r="J927" t="s">
        <v>197</v>
      </c>
      <c r="K927" t="s">
        <v>800</v>
      </c>
    </row>
    <row r="928" spans="1:24">
      <c r="B928" t="s">
        <v>197</v>
      </c>
      <c r="C928" t="s">
        <v>197</v>
      </c>
      <c r="D928" t="s">
        <v>197</v>
      </c>
      <c r="E928" t="s">
        <v>197</v>
      </c>
      <c r="F928" t="s">
        <v>197</v>
      </c>
      <c r="G928" t="s">
        <v>197</v>
      </c>
      <c r="H928" t="s">
        <v>197</v>
      </c>
      <c r="I928" t="s">
        <v>197</v>
      </c>
      <c r="J928" t="s">
        <v>197</v>
      </c>
      <c r="K928" t="s">
        <v>801</v>
      </c>
    </row>
    <row r="929" spans="1:24">
      <c r="B929" t="s">
        <v>197</v>
      </c>
      <c r="C929" t="s">
        <v>197</v>
      </c>
      <c r="D929" t="s">
        <v>197</v>
      </c>
      <c r="E929" t="s">
        <v>197</v>
      </c>
      <c r="F929" t="s">
        <v>197</v>
      </c>
      <c r="G929" t="s">
        <v>197</v>
      </c>
      <c r="H929" t="s">
        <v>197</v>
      </c>
      <c r="I929" t="s">
        <v>197</v>
      </c>
      <c r="J929" t="s">
        <v>197</v>
      </c>
      <c r="K929" t="s">
        <v>802</v>
      </c>
    </row>
    <row r="930" spans="1:24">
      <c r="B930" t="s">
        <v>197</v>
      </c>
      <c r="C930" t="s">
        <v>197</v>
      </c>
      <c r="D930" t="s">
        <v>197</v>
      </c>
      <c r="E930" t="s">
        <v>197</v>
      </c>
      <c r="F930" t="s">
        <v>197</v>
      </c>
      <c r="G930" t="s">
        <v>197</v>
      </c>
      <c r="H930" t="s">
        <v>197</v>
      </c>
      <c r="I930" t="s">
        <v>197</v>
      </c>
      <c r="J930" t="s">
        <v>197</v>
      </c>
      <c r="K930" t="s">
        <v>803</v>
      </c>
    </row>
    <row r="931" spans="1:24">
      <c r="B931" t="s">
        <v>197</v>
      </c>
      <c r="C931" t="s">
        <v>197</v>
      </c>
      <c r="D931" t="s">
        <v>197</v>
      </c>
      <c r="E931" t="s">
        <v>197</v>
      </c>
      <c r="F931" t="s">
        <v>197</v>
      </c>
      <c r="G931" t="s">
        <v>197</v>
      </c>
      <c r="H931" t="s">
        <v>197</v>
      </c>
      <c r="I931" t="s">
        <v>197</v>
      </c>
      <c r="J931" t="s">
        <v>197</v>
      </c>
      <c r="K931" t="s">
        <v>804</v>
      </c>
    </row>
    <row r="932" spans="1:24">
      <c r="B932" t="s">
        <v>197</v>
      </c>
      <c r="C932" t="s">
        <v>197</v>
      </c>
      <c r="D932" t="s">
        <v>197</v>
      </c>
      <c r="E932" t="s">
        <v>197</v>
      </c>
      <c r="F932" t="s">
        <v>197</v>
      </c>
      <c r="G932" t="s">
        <v>197</v>
      </c>
      <c r="H932" t="s">
        <v>197</v>
      </c>
      <c r="I932" t="s">
        <v>197</v>
      </c>
      <c r="J932" t="s">
        <v>197</v>
      </c>
      <c r="K932" t="s">
        <v>805</v>
      </c>
    </row>
    <row r="933" spans="1:24">
      <c r="B933" t="s">
        <v>197</v>
      </c>
      <c r="C933" t="s">
        <v>197</v>
      </c>
      <c r="D933" t="s">
        <v>197</v>
      </c>
      <c r="E933" t="s">
        <v>197</v>
      </c>
      <c r="F933" t="s">
        <v>197</v>
      </c>
      <c r="G933" t="s">
        <v>197</v>
      </c>
      <c r="H933" t="s">
        <v>197</v>
      </c>
      <c r="I933" t="s">
        <v>197</v>
      </c>
      <c r="J933" t="s">
        <v>197</v>
      </c>
      <c r="K933" t="s">
        <v>806</v>
      </c>
    </row>
    <row r="934" spans="1:24">
      <c r="B934" t="s">
        <v>197</v>
      </c>
      <c r="C934" t="s">
        <v>197</v>
      </c>
      <c r="D934" t="s">
        <v>197</v>
      </c>
      <c r="E934" t="s">
        <v>197</v>
      </c>
      <c r="F934" t="s">
        <v>197</v>
      </c>
      <c r="G934" t="s">
        <v>197</v>
      </c>
      <c r="H934" t="s">
        <v>197</v>
      </c>
      <c r="I934" t="s">
        <v>197</v>
      </c>
      <c r="J934" t="s">
        <v>197</v>
      </c>
      <c r="K934" t="s">
        <v>807</v>
      </c>
    </row>
    <row r="935" spans="1:24">
      <c r="A935" t="s">
        <v>1003</v>
      </c>
      <c r="K935" t="s">
        <v>1004</v>
      </c>
      <c r="W935" s="1" t="str">
        <f>HYPERLINK("#2026042016hbase1!AC2","NO 源备存在差异，共2个")</f>
        <v>NO 源备存在差异，共2个</v>
      </c>
      <c r="X935" t="str">
        <f>A935</f>
        <v>info_sql_variant_dml_single_pk_irp</v>
      </c>
    </row>
    <row r="936" spans="1:24">
      <c r="B936" t="s">
        <v>196</v>
      </c>
      <c r="C936" t="s">
        <v>197</v>
      </c>
      <c r="D936" t="s">
        <v>197</v>
      </c>
      <c r="E936" t="s">
        <v>197</v>
      </c>
      <c r="F936" t="s">
        <v>197</v>
      </c>
      <c r="G936" t="s">
        <v>197</v>
      </c>
      <c r="H936" t="s">
        <v>197</v>
      </c>
      <c r="I936" t="s">
        <v>1005</v>
      </c>
      <c r="J936" t="s">
        <v>199</v>
      </c>
      <c r="K936" t="s">
        <v>200</v>
      </c>
    </row>
    <row r="937" spans="1:24">
      <c r="B937" t="s">
        <v>197</v>
      </c>
      <c r="C937" t="s">
        <v>197</v>
      </c>
      <c r="D937" t="s">
        <v>197</v>
      </c>
      <c r="E937" t="s">
        <v>197</v>
      </c>
      <c r="F937" t="s">
        <v>197</v>
      </c>
      <c r="G937" t="s">
        <v>197</v>
      </c>
      <c r="H937" t="s">
        <v>197</v>
      </c>
      <c r="I937" t="s">
        <v>197</v>
      </c>
      <c r="J937" t="s">
        <v>197</v>
      </c>
      <c r="K937" t="s">
        <v>1006</v>
      </c>
    </row>
    <row r="938" spans="1:24">
      <c r="B938" t="s">
        <v>197</v>
      </c>
      <c r="C938" t="s">
        <v>197</v>
      </c>
      <c r="D938" t="s">
        <v>197</v>
      </c>
      <c r="E938" t="s">
        <v>197</v>
      </c>
      <c r="F938" t="s">
        <v>197</v>
      </c>
      <c r="G938" t="s">
        <v>197</v>
      </c>
      <c r="H938" t="s">
        <v>197</v>
      </c>
      <c r="I938" t="s">
        <v>197</v>
      </c>
      <c r="J938" t="s">
        <v>197</v>
      </c>
      <c r="K938" t="s">
        <v>1007</v>
      </c>
    </row>
    <row r="939" spans="1:24">
      <c r="B939" t="s">
        <v>197</v>
      </c>
      <c r="C939" t="s">
        <v>197</v>
      </c>
      <c r="D939" t="s">
        <v>197</v>
      </c>
      <c r="E939" t="s">
        <v>197</v>
      </c>
      <c r="F939" t="s">
        <v>197</v>
      </c>
      <c r="G939" t="s">
        <v>197</v>
      </c>
      <c r="H939" t="s">
        <v>197</v>
      </c>
      <c r="I939" t="s">
        <v>197</v>
      </c>
      <c r="J939" t="s">
        <v>197</v>
      </c>
      <c r="K939" t="s">
        <v>1008</v>
      </c>
    </row>
    <row r="940" spans="1:24">
      <c r="B940" t="s">
        <v>197</v>
      </c>
      <c r="C940" t="s">
        <v>197</v>
      </c>
      <c r="D940" t="s">
        <v>197</v>
      </c>
      <c r="E940" t="s">
        <v>197</v>
      </c>
      <c r="F940" t="s">
        <v>197</v>
      </c>
      <c r="G940" t="s">
        <v>197</v>
      </c>
      <c r="H940" t="s">
        <v>197</v>
      </c>
      <c r="I940" t="s">
        <v>197</v>
      </c>
      <c r="J940" t="s">
        <v>197</v>
      </c>
      <c r="K940" t="s">
        <v>1009</v>
      </c>
    </row>
    <row r="941" spans="1:24">
      <c r="B941" t="s">
        <v>197</v>
      </c>
      <c r="C941" t="s">
        <v>197</v>
      </c>
      <c r="D941" t="s">
        <v>197</v>
      </c>
      <c r="E941" t="s">
        <v>197</v>
      </c>
      <c r="F941" t="s">
        <v>197</v>
      </c>
      <c r="G941" t="s">
        <v>197</v>
      </c>
      <c r="H941" t="s">
        <v>197</v>
      </c>
      <c r="I941" t="s">
        <v>197</v>
      </c>
      <c r="J941" t="s">
        <v>197</v>
      </c>
      <c r="K941" t="s">
        <v>1010</v>
      </c>
    </row>
    <row r="942" spans="1:24">
      <c r="B942" t="s">
        <v>197</v>
      </c>
      <c r="C942" t="s">
        <v>197</v>
      </c>
      <c r="D942" t="s">
        <v>197</v>
      </c>
      <c r="E942" t="s">
        <v>197</v>
      </c>
      <c r="F942" t="s">
        <v>197</v>
      </c>
      <c r="G942" t="s">
        <v>197</v>
      </c>
      <c r="H942" t="s">
        <v>197</v>
      </c>
      <c r="I942" t="s">
        <v>197</v>
      </c>
      <c r="J942" t="s">
        <v>197</v>
      </c>
      <c r="K942" t="s">
        <v>1011</v>
      </c>
    </row>
    <row r="943" spans="1:24">
      <c r="B943" t="s">
        <v>197</v>
      </c>
      <c r="C943" t="s">
        <v>197</v>
      </c>
      <c r="D943" t="s">
        <v>197</v>
      </c>
      <c r="E943" t="s">
        <v>197</v>
      </c>
      <c r="F943" t="s">
        <v>197</v>
      </c>
      <c r="G943" t="s">
        <v>197</v>
      </c>
      <c r="H943" t="s">
        <v>197</v>
      </c>
      <c r="I943" t="s">
        <v>197</v>
      </c>
      <c r="J943" t="s">
        <v>197</v>
      </c>
      <c r="K943" t="s">
        <v>1012</v>
      </c>
    </row>
    <row r="944" spans="1:24">
      <c r="B944" t="s">
        <v>197</v>
      </c>
      <c r="C944" t="s">
        <v>197</v>
      </c>
      <c r="D944" t="s">
        <v>197</v>
      </c>
      <c r="E944" t="s">
        <v>197</v>
      </c>
      <c r="F944" t="s">
        <v>197</v>
      </c>
      <c r="G944" t="s">
        <v>197</v>
      </c>
      <c r="H944" t="s">
        <v>197</v>
      </c>
      <c r="I944" t="s">
        <v>197</v>
      </c>
      <c r="J944" t="s">
        <v>197</v>
      </c>
      <c r="K944" t="s">
        <v>1013</v>
      </c>
    </row>
    <row r="945" spans="2:11">
      <c r="B945" t="s">
        <v>197</v>
      </c>
      <c r="C945" t="s">
        <v>197</v>
      </c>
      <c r="D945" t="s">
        <v>197</v>
      </c>
      <c r="E945" t="s">
        <v>197</v>
      </c>
      <c r="F945" t="s">
        <v>197</v>
      </c>
      <c r="G945" t="s">
        <v>197</v>
      </c>
      <c r="H945" t="s">
        <v>197</v>
      </c>
      <c r="I945" t="s">
        <v>197</v>
      </c>
      <c r="J945" t="s">
        <v>197</v>
      </c>
      <c r="K945" t="s">
        <v>1014</v>
      </c>
    </row>
    <row r="946" spans="2:11">
      <c r="B946" t="s">
        <v>197</v>
      </c>
      <c r="C946" t="s">
        <v>197</v>
      </c>
      <c r="D946" t="s">
        <v>197</v>
      </c>
      <c r="E946" t="s">
        <v>197</v>
      </c>
      <c r="F946" t="s">
        <v>197</v>
      </c>
      <c r="G946" t="s">
        <v>197</v>
      </c>
      <c r="H946" t="s">
        <v>197</v>
      </c>
      <c r="I946" t="s">
        <v>197</v>
      </c>
      <c r="J946" t="s">
        <v>197</v>
      </c>
      <c r="K946" t="s">
        <v>1015</v>
      </c>
    </row>
    <row r="947" spans="2:11">
      <c r="B947" t="s">
        <v>197</v>
      </c>
      <c r="C947" t="s">
        <v>197</v>
      </c>
      <c r="D947" t="s">
        <v>197</v>
      </c>
      <c r="E947" t="s">
        <v>197</v>
      </c>
      <c r="F947" t="s">
        <v>197</v>
      </c>
      <c r="G947" t="s">
        <v>197</v>
      </c>
      <c r="H947" t="s">
        <v>197</v>
      </c>
      <c r="I947" t="s">
        <v>197</v>
      </c>
      <c r="J947" t="s">
        <v>197</v>
      </c>
      <c r="K947" t="s">
        <v>1016</v>
      </c>
    </row>
    <row r="948" spans="2:11">
      <c r="B948" t="s">
        <v>197</v>
      </c>
      <c r="C948" t="s">
        <v>197</v>
      </c>
      <c r="D948" t="s">
        <v>197</v>
      </c>
      <c r="E948" t="s">
        <v>197</v>
      </c>
      <c r="F948" t="s">
        <v>197</v>
      </c>
      <c r="G948" t="s">
        <v>197</v>
      </c>
      <c r="H948" t="s">
        <v>197</v>
      </c>
      <c r="I948" t="s">
        <v>197</v>
      </c>
      <c r="J948" t="s">
        <v>197</v>
      </c>
      <c r="K948" t="s">
        <v>1017</v>
      </c>
    </row>
    <row r="949" spans="2:11">
      <c r="B949" t="s">
        <v>197</v>
      </c>
      <c r="C949" t="s">
        <v>197</v>
      </c>
      <c r="D949" t="s">
        <v>197</v>
      </c>
      <c r="E949" t="s">
        <v>197</v>
      </c>
      <c r="F949" t="s">
        <v>197</v>
      </c>
      <c r="G949" t="s">
        <v>197</v>
      </c>
      <c r="H949" t="s">
        <v>197</v>
      </c>
      <c r="I949" t="s">
        <v>197</v>
      </c>
      <c r="J949" t="s">
        <v>197</v>
      </c>
      <c r="K949" t="s">
        <v>1018</v>
      </c>
    </row>
    <row r="950" spans="2:11">
      <c r="B950" t="s">
        <v>197</v>
      </c>
      <c r="C950" t="s">
        <v>197</v>
      </c>
      <c r="D950" t="s">
        <v>197</v>
      </c>
      <c r="E950" t="s">
        <v>197</v>
      </c>
      <c r="F950" t="s">
        <v>197</v>
      </c>
      <c r="G950" t="s">
        <v>197</v>
      </c>
      <c r="H950" t="s">
        <v>197</v>
      </c>
      <c r="I950" t="s">
        <v>197</v>
      </c>
      <c r="J950" t="s">
        <v>197</v>
      </c>
      <c r="K950" t="s">
        <v>1019</v>
      </c>
    </row>
    <row r="951" spans="2:11">
      <c r="B951" t="s">
        <v>197</v>
      </c>
      <c r="C951" t="s">
        <v>197</v>
      </c>
      <c r="D951" t="s">
        <v>197</v>
      </c>
      <c r="E951" t="s">
        <v>197</v>
      </c>
      <c r="F951" t="s">
        <v>197</v>
      </c>
      <c r="G951" t="s">
        <v>197</v>
      </c>
      <c r="H951" t="s">
        <v>197</v>
      </c>
      <c r="I951" t="s">
        <v>197</v>
      </c>
      <c r="J951" t="s">
        <v>197</v>
      </c>
      <c r="K951" t="s">
        <v>1020</v>
      </c>
    </row>
    <row r="952" spans="2:11">
      <c r="B952" t="s">
        <v>197</v>
      </c>
      <c r="C952" t="s">
        <v>197</v>
      </c>
      <c r="D952" t="s">
        <v>197</v>
      </c>
      <c r="E952" t="s">
        <v>197</v>
      </c>
      <c r="F952" t="s">
        <v>197</v>
      </c>
      <c r="G952" t="s">
        <v>197</v>
      </c>
      <c r="H952" t="s">
        <v>197</v>
      </c>
      <c r="I952" t="s">
        <v>197</v>
      </c>
      <c r="J952" t="s">
        <v>197</v>
      </c>
      <c r="K952" t="s">
        <v>1021</v>
      </c>
    </row>
    <row r="953" spans="2:11">
      <c r="B953" t="s">
        <v>197</v>
      </c>
      <c r="C953" t="s">
        <v>197</v>
      </c>
      <c r="D953" t="s">
        <v>197</v>
      </c>
      <c r="E953" t="s">
        <v>197</v>
      </c>
      <c r="F953" t="s">
        <v>197</v>
      </c>
      <c r="G953" t="s">
        <v>197</v>
      </c>
      <c r="H953" t="s">
        <v>197</v>
      </c>
      <c r="I953" t="s">
        <v>197</v>
      </c>
      <c r="J953" t="s">
        <v>197</v>
      </c>
      <c r="K953" t="s">
        <v>1022</v>
      </c>
    </row>
    <row r="954" spans="2:11">
      <c r="B954" t="s">
        <v>197</v>
      </c>
      <c r="C954" t="s">
        <v>197</v>
      </c>
      <c r="D954" t="s">
        <v>197</v>
      </c>
      <c r="E954" t="s">
        <v>197</v>
      </c>
      <c r="F954" t="s">
        <v>197</v>
      </c>
      <c r="G954" t="s">
        <v>197</v>
      </c>
      <c r="H954" t="s">
        <v>197</v>
      </c>
      <c r="I954" t="s">
        <v>197</v>
      </c>
      <c r="J954" t="s">
        <v>197</v>
      </c>
      <c r="K954" t="s">
        <v>1023</v>
      </c>
    </row>
    <row r="955" spans="2:11">
      <c r="B955" t="s">
        <v>197</v>
      </c>
      <c r="C955" t="s">
        <v>197</v>
      </c>
      <c r="D955" t="s">
        <v>197</v>
      </c>
      <c r="E955" t="s">
        <v>197</v>
      </c>
      <c r="F955" t="s">
        <v>197</v>
      </c>
      <c r="G955" t="s">
        <v>197</v>
      </c>
      <c r="H955" t="s">
        <v>197</v>
      </c>
      <c r="I955" t="s">
        <v>197</v>
      </c>
      <c r="J955" t="s">
        <v>197</v>
      </c>
      <c r="K955" t="s">
        <v>1024</v>
      </c>
    </row>
    <row r="956" spans="2:11">
      <c r="B956" t="s">
        <v>197</v>
      </c>
      <c r="C956" t="s">
        <v>197</v>
      </c>
      <c r="D956" t="s">
        <v>197</v>
      </c>
      <c r="E956" t="s">
        <v>197</v>
      </c>
      <c r="F956" t="s">
        <v>197</v>
      </c>
      <c r="G956" t="s">
        <v>197</v>
      </c>
      <c r="H956" t="s">
        <v>197</v>
      </c>
      <c r="I956" t="s">
        <v>197</v>
      </c>
      <c r="J956" t="s">
        <v>197</v>
      </c>
      <c r="K956" t="s">
        <v>1025</v>
      </c>
    </row>
    <row r="957" spans="2:11">
      <c r="B957" t="s">
        <v>197</v>
      </c>
      <c r="C957" t="s">
        <v>197</v>
      </c>
      <c r="D957" t="s">
        <v>197</v>
      </c>
      <c r="E957" t="s">
        <v>197</v>
      </c>
      <c r="F957" t="s">
        <v>197</v>
      </c>
      <c r="G957" t="s">
        <v>197</v>
      </c>
      <c r="H957" t="s">
        <v>197</v>
      </c>
      <c r="I957" t="s">
        <v>197</v>
      </c>
      <c r="J957" t="s">
        <v>197</v>
      </c>
      <c r="K957" t="s">
        <v>1026</v>
      </c>
    </row>
    <row r="958" spans="2:11">
      <c r="B958" t="s">
        <v>197</v>
      </c>
      <c r="C958" t="s">
        <v>197</v>
      </c>
      <c r="D958" t="s">
        <v>197</v>
      </c>
      <c r="E958" t="s">
        <v>197</v>
      </c>
      <c r="F958" t="s">
        <v>197</v>
      </c>
      <c r="G958" t="s">
        <v>197</v>
      </c>
      <c r="H958" t="s">
        <v>197</v>
      </c>
      <c r="I958" t="s">
        <v>197</v>
      </c>
      <c r="J958" t="s">
        <v>197</v>
      </c>
      <c r="K958" t="s">
        <v>1027</v>
      </c>
    </row>
    <row r="959" spans="2:11">
      <c r="B959" t="s">
        <v>197</v>
      </c>
      <c r="C959" t="s">
        <v>197</v>
      </c>
      <c r="D959" t="s">
        <v>197</v>
      </c>
      <c r="E959" t="s">
        <v>197</v>
      </c>
      <c r="F959" t="s">
        <v>197</v>
      </c>
      <c r="G959" t="s">
        <v>197</v>
      </c>
      <c r="H959" t="s">
        <v>197</v>
      </c>
      <c r="I959" t="s">
        <v>197</v>
      </c>
      <c r="J959" t="s">
        <v>197</v>
      </c>
      <c r="K959" t="s">
        <v>1028</v>
      </c>
    </row>
    <row r="960" spans="2:11">
      <c r="B960" t="s">
        <v>197</v>
      </c>
      <c r="C960" t="s">
        <v>197</v>
      </c>
      <c r="D960" t="s">
        <v>197</v>
      </c>
      <c r="E960" t="s">
        <v>197</v>
      </c>
      <c r="F960" t="s">
        <v>197</v>
      </c>
      <c r="G960" t="s">
        <v>197</v>
      </c>
      <c r="H960" t="s">
        <v>197</v>
      </c>
      <c r="I960" t="s">
        <v>197</v>
      </c>
      <c r="J960" t="s">
        <v>197</v>
      </c>
      <c r="K960" t="s">
        <v>1029</v>
      </c>
    </row>
    <row r="961" spans="1:24">
      <c r="A961" t="s">
        <v>1000</v>
      </c>
      <c r="K961" t="s">
        <v>1001</v>
      </c>
      <c r="W961" t="s">
        <v>171</v>
      </c>
      <c r="X961" t="str">
        <f>A961</f>
        <v>info_datetime_dml_single_pk</v>
      </c>
    </row>
    <row r="962" spans="1:24">
      <c r="B962" t="s">
        <v>196</v>
      </c>
      <c r="C962" t="s">
        <v>197</v>
      </c>
      <c r="D962" t="s">
        <v>197</v>
      </c>
      <c r="E962" t="s">
        <v>197</v>
      </c>
      <c r="F962" t="s">
        <v>197</v>
      </c>
      <c r="G962" t="s">
        <v>197</v>
      </c>
      <c r="H962" t="s">
        <v>197</v>
      </c>
      <c r="I962" t="s">
        <v>1002</v>
      </c>
      <c r="J962" t="s">
        <v>199</v>
      </c>
      <c r="K962" t="s">
        <v>200</v>
      </c>
    </row>
    <row r="963" spans="1:24">
      <c r="B963" t="s">
        <v>197</v>
      </c>
      <c r="C963" t="s">
        <v>197</v>
      </c>
      <c r="D963" t="s">
        <v>197</v>
      </c>
      <c r="E963" t="s">
        <v>197</v>
      </c>
      <c r="F963" t="s">
        <v>197</v>
      </c>
      <c r="G963" t="s">
        <v>197</v>
      </c>
      <c r="H963" t="s">
        <v>197</v>
      </c>
      <c r="I963" t="s">
        <v>197</v>
      </c>
      <c r="J963" t="s">
        <v>197</v>
      </c>
      <c r="K963" t="s">
        <v>574</v>
      </c>
    </row>
    <row r="964" spans="1:24">
      <c r="A964" t="s">
        <v>1030</v>
      </c>
      <c r="K964" t="s">
        <v>1031</v>
      </c>
      <c r="W964" t="s">
        <v>171</v>
      </c>
      <c r="X964" t="str">
        <f>A964</f>
        <v>info_varcharmax_dml_batch1_pk</v>
      </c>
    </row>
    <row r="965" spans="1:24">
      <c r="B965" t="s">
        <v>196</v>
      </c>
      <c r="C965" t="s">
        <v>197</v>
      </c>
      <c r="D965" t="s">
        <v>197</v>
      </c>
      <c r="E965" t="s">
        <v>197</v>
      </c>
      <c r="F965" t="s">
        <v>197</v>
      </c>
      <c r="G965" t="s">
        <v>197</v>
      </c>
      <c r="H965" t="s">
        <v>197</v>
      </c>
      <c r="I965" t="s">
        <v>1032</v>
      </c>
      <c r="J965" t="s">
        <v>199</v>
      </c>
      <c r="K965" t="s">
        <v>200</v>
      </c>
    </row>
    <row r="966" spans="1:24">
      <c r="B966" t="s">
        <v>197</v>
      </c>
      <c r="C966" t="s">
        <v>197</v>
      </c>
      <c r="D966" t="s">
        <v>197</v>
      </c>
      <c r="E966" t="s">
        <v>197</v>
      </c>
      <c r="F966" t="s">
        <v>197</v>
      </c>
      <c r="G966" t="s">
        <v>197</v>
      </c>
      <c r="H966" t="s">
        <v>197</v>
      </c>
      <c r="I966" t="s">
        <v>197</v>
      </c>
      <c r="J966" t="s">
        <v>197</v>
      </c>
      <c r="K966" t="s">
        <v>725</v>
      </c>
    </row>
    <row r="967" spans="1:24">
      <c r="B967" t="s">
        <v>197</v>
      </c>
      <c r="C967" t="s">
        <v>197</v>
      </c>
      <c r="D967" t="s">
        <v>197</v>
      </c>
      <c r="E967" t="s">
        <v>197</v>
      </c>
      <c r="F967" t="s">
        <v>197</v>
      </c>
      <c r="G967" t="s">
        <v>197</v>
      </c>
      <c r="H967" t="s">
        <v>197</v>
      </c>
      <c r="I967" t="s">
        <v>197</v>
      </c>
      <c r="J967" t="s">
        <v>197</v>
      </c>
      <c r="K967" t="s">
        <v>726</v>
      </c>
    </row>
    <row r="968" spans="1:24">
      <c r="K968" t="s">
        <v>443</v>
      </c>
    </row>
    <row r="969" spans="1:24">
      <c r="A969" t="s">
        <v>1033</v>
      </c>
      <c r="K969" t="s">
        <v>1034</v>
      </c>
      <c r="W969" t="s">
        <v>171</v>
      </c>
      <c r="X969" t="str">
        <f>A969</f>
        <v>info_nvarchar_dml_batch1_pk_irp2</v>
      </c>
    </row>
    <row r="970" spans="1:24">
      <c r="B970" t="s">
        <v>196</v>
      </c>
      <c r="C970" t="s">
        <v>197</v>
      </c>
      <c r="D970" t="s">
        <v>197</v>
      </c>
      <c r="E970" t="s">
        <v>197</v>
      </c>
      <c r="F970" t="s">
        <v>197</v>
      </c>
      <c r="G970" t="s">
        <v>197</v>
      </c>
      <c r="H970" t="s">
        <v>197</v>
      </c>
      <c r="I970" t="s">
        <v>1035</v>
      </c>
      <c r="J970" t="s">
        <v>199</v>
      </c>
      <c r="K970" t="s">
        <v>200</v>
      </c>
    </row>
    <row r="971" spans="1:24">
      <c r="B971" t="s">
        <v>197</v>
      </c>
      <c r="C971" t="s">
        <v>197</v>
      </c>
      <c r="D971" t="s">
        <v>197</v>
      </c>
      <c r="E971" t="s">
        <v>197</v>
      </c>
      <c r="F971" t="s">
        <v>197</v>
      </c>
      <c r="G971" t="s">
        <v>197</v>
      </c>
      <c r="H971" t="s">
        <v>197</v>
      </c>
      <c r="I971" t="s">
        <v>197</v>
      </c>
      <c r="J971" t="s">
        <v>197</v>
      </c>
      <c r="K971" t="s">
        <v>408</v>
      </c>
    </row>
    <row r="972" spans="1:24">
      <c r="B972" t="s">
        <v>197</v>
      </c>
      <c r="C972" t="s">
        <v>197</v>
      </c>
      <c r="D972" t="s">
        <v>197</v>
      </c>
      <c r="E972" t="s">
        <v>197</v>
      </c>
      <c r="F972" t="s">
        <v>197</v>
      </c>
      <c r="G972" t="s">
        <v>197</v>
      </c>
      <c r="H972" t="s">
        <v>197</v>
      </c>
      <c r="I972" t="s">
        <v>197</v>
      </c>
      <c r="J972" t="s">
        <v>197</v>
      </c>
      <c r="K972" t="s">
        <v>412</v>
      </c>
    </row>
    <row r="973" spans="1:24">
      <c r="B973" t="s">
        <v>197</v>
      </c>
      <c r="C973" t="s">
        <v>197</v>
      </c>
      <c r="D973" t="s">
        <v>197</v>
      </c>
      <c r="E973" t="s">
        <v>197</v>
      </c>
      <c r="F973" t="s">
        <v>197</v>
      </c>
      <c r="G973" t="s">
        <v>197</v>
      </c>
      <c r="H973" t="s">
        <v>197</v>
      </c>
      <c r="I973" t="s">
        <v>197</v>
      </c>
      <c r="J973" t="s">
        <v>197</v>
      </c>
      <c r="K973" t="s">
        <v>416</v>
      </c>
    </row>
    <row r="974" spans="1:24">
      <c r="A974" t="s">
        <v>1036</v>
      </c>
      <c r="K974" t="s">
        <v>1037</v>
      </c>
      <c r="W974" t="s">
        <v>171</v>
      </c>
      <c r="X974" t="str">
        <f>A974</f>
        <v>info_uniqueidentifier_dml_single_pk_irp</v>
      </c>
    </row>
    <row r="975" spans="1:24">
      <c r="B975" t="s">
        <v>196</v>
      </c>
      <c r="C975" t="s">
        <v>197</v>
      </c>
      <c r="D975" t="s">
        <v>197</v>
      </c>
      <c r="E975" t="s">
        <v>197</v>
      </c>
      <c r="F975" t="s">
        <v>197</v>
      </c>
      <c r="G975" t="s">
        <v>197</v>
      </c>
      <c r="H975" t="s">
        <v>197</v>
      </c>
      <c r="I975" t="s">
        <v>1038</v>
      </c>
      <c r="J975" t="s">
        <v>199</v>
      </c>
      <c r="K975" t="s">
        <v>200</v>
      </c>
    </row>
    <row r="976" spans="1:24">
      <c r="B976" t="s">
        <v>197</v>
      </c>
      <c r="C976" t="s">
        <v>197</v>
      </c>
      <c r="D976" t="s">
        <v>197</v>
      </c>
      <c r="E976" t="s">
        <v>197</v>
      </c>
      <c r="F976" t="s">
        <v>197</v>
      </c>
      <c r="G976" t="s">
        <v>197</v>
      </c>
      <c r="H976" t="s">
        <v>197</v>
      </c>
      <c r="I976" t="s">
        <v>197</v>
      </c>
      <c r="J976" t="s">
        <v>197</v>
      </c>
      <c r="K976" t="s">
        <v>1039</v>
      </c>
    </row>
    <row r="977" spans="1:24">
      <c r="A977" t="s">
        <v>1040</v>
      </c>
      <c r="K977" t="s">
        <v>1041</v>
      </c>
      <c r="W977" t="s">
        <v>171</v>
      </c>
      <c r="X977" t="str">
        <f>A977</f>
        <v>info_datetime2_dml_single_pk_irp</v>
      </c>
    </row>
    <row r="978" spans="1:24">
      <c r="B978" t="s">
        <v>196</v>
      </c>
      <c r="C978" t="s">
        <v>197</v>
      </c>
      <c r="D978" t="s">
        <v>197</v>
      </c>
      <c r="E978" t="s">
        <v>197</v>
      </c>
      <c r="F978" t="s">
        <v>197</v>
      </c>
      <c r="G978" t="s">
        <v>197</v>
      </c>
      <c r="H978" t="s">
        <v>197</v>
      </c>
      <c r="I978" t="s">
        <v>1042</v>
      </c>
      <c r="J978" t="s">
        <v>199</v>
      </c>
      <c r="K978" t="s">
        <v>200</v>
      </c>
    </row>
    <row r="979" spans="1:24">
      <c r="B979" t="s">
        <v>197</v>
      </c>
      <c r="C979" t="s">
        <v>197</v>
      </c>
      <c r="D979" t="s">
        <v>197</v>
      </c>
      <c r="E979" t="s">
        <v>197</v>
      </c>
      <c r="F979" t="s">
        <v>197</v>
      </c>
      <c r="G979" t="s">
        <v>197</v>
      </c>
      <c r="H979" t="s">
        <v>197</v>
      </c>
      <c r="I979" t="s">
        <v>197</v>
      </c>
      <c r="J979" t="s">
        <v>197</v>
      </c>
      <c r="K979" t="s">
        <v>667</v>
      </c>
    </row>
    <row r="980" spans="1:24">
      <c r="B980" t="s">
        <v>197</v>
      </c>
      <c r="C980" t="s">
        <v>197</v>
      </c>
      <c r="D980" t="s">
        <v>197</v>
      </c>
      <c r="E980" t="s">
        <v>197</v>
      </c>
      <c r="F980" t="s">
        <v>197</v>
      </c>
      <c r="G980" t="s">
        <v>197</v>
      </c>
      <c r="H980" t="s">
        <v>197</v>
      </c>
      <c r="I980" t="s">
        <v>197</v>
      </c>
      <c r="J980" t="s">
        <v>197</v>
      </c>
      <c r="K980" t="s">
        <v>668</v>
      </c>
    </row>
    <row r="981" spans="1:24">
      <c r="B981" t="s">
        <v>197</v>
      </c>
      <c r="C981" t="s">
        <v>197</v>
      </c>
      <c r="D981" t="s">
        <v>197</v>
      </c>
      <c r="E981" t="s">
        <v>197</v>
      </c>
      <c r="F981" t="s">
        <v>197</v>
      </c>
      <c r="G981" t="s">
        <v>197</v>
      </c>
      <c r="H981" t="s">
        <v>197</v>
      </c>
      <c r="I981" t="s">
        <v>197</v>
      </c>
      <c r="J981" t="s">
        <v>197</v>
      </c>
      <c r="K981" t="s">
        <v>669</v>
      </c>
    </row>
    <row r="982" spans="1:24">
      <c r="B982" t="s">
        <v>197</v>
      </c>
      <c r="C982" t="s">
        <v>197</v>
      </c>
      <c r="D982" t="s">
        <v>197</v>
      </c>
      <c r="E982" t="s">
        <v>197</v>
      </c>
      <c r="F982" t="s">
        <v>197</v>
      </c>
      <c r="G982" t="s">
        <v>197</v>
      </c>
      <c r="H982" t="s">
        <v>197</v>
      </c>
      <c r="I982" t="s">
        <v>197</v>
      </c>
      <c r="J982" t="s">
        <v>197</v>
      </c>
      <c r="K982" t="s">
        <v>670</v>
      </c>
    </row>
    <row r="983" spans="1:24">
      <c r="B983" t="s">
        <v>197</v>
      </c>
      <c r="C983" t="s">
        <v>197</v>
      </c>
      <c r="D983" t="s">
        <v>197</v>
      </c>
      <c r="E983" t="s">
        <v>197</v>
      </c>
      <c r="F983" t="s">
        <v>197</v>
      </c>
      <c r="G983" t="s">
        <v>197</v>
      </c>
      <c r="H983" t="s">
        <v>197</v>
      </c>
      <c r="I983" t="s">
        <v>197</v>
      </c>
      <c r="J983" t="s">
        <v>197</v>
      </c>
      <c r="K983" t="s">
        <v>671</v>
      </c>
    </row>
    <row r="984" spans="1:24">
      <c r="B984" t="s">
        <v>197</v>
      </c>
      <c r="C984" t="s">
        <v>197</v>
      </c>
      <c r="D984" t="s">
        <v>197</v>
      </c>
      <c r="E984" t="s">
        <v>197</v>
      </c>
      <c r="F984" t="s">
        <v>197</v>
      </c>
      <c r="G984" t="s">
        <v>197</v>
      </c>
      <c r="H984" t="s">
        <v>197</v>
      </c>
      <c r="I984" t="s">
        <v>197</v>
      </c>
      <c r="J984" t="s">
        <v>197</v>
      </c>
      <c r="K984" t="s">
        <v>672</v>
      </c>
    </row>
    <row r="985" spans="1:24">
      <c r="B985" t="s">
        <v>197</v>
      </c>
      <c r="C985" t="s">
        <v>197</v>
      </c>
      <c r="D985" t="s">
        <v>197</v>
      </c>
      <c r="E985" t="s">
        <v>197</v>
      </c>
      <c r="F985" t="s">
        <v>197</v>
      </c>
      <c r="G985" t="s">
        <v>197</v>
      </c>
      <c r="H985" t="s">
        <v>197</v>
      </c>
      <c r="I985" t="s">
        <v>197</v>
      </c>
      <c r="J985" t="s">
        <v>197</v>
      </c>
      <c r="K985" t="s">
        <v>673</v>
      </c>
    </row>
    <row r="986" spans="1:24">
      <c r="B986" t="s">
        <v>197</v>
      </c>
      <c r="C986" t="s">
        <v>197</v>
      </c>
      <c r="D986" t="s">
        <v>197</v>
      </c>
      <c r="E986" t="s">
        <v>197</v>
      </c>
      <c r="F986" t="s">
        <v>197</v>
      </c>
      <c r="G986" t="s">
        <v>197</v>
      </c>
      <c r="H986" t="s">
        <v>197</v>
      </c>
      <c r="I986" t="s">
        <v>197</v>
      </c>
      <c r="J986" t="s">
        <v>197</v>
      </c>
      <c r="K986" t="s">
        <v>674</v>
      </c>
    </row>
    <row r="987" spans="1:24">
      <c r="A987" t="s">
        <v>1043</v>
      </c>
      <c r="K987" t="s">
        <v>1044</v>
      </c>
      <c r="W987" t="s">
        <v>171</v>
      </c>
      <c r="X987" t="str">
        <f>A987</f>
        <v>info_char_dml_single_pk</v>
      </c>
    </row>
    <row r="988" spans="1:24">
      <c r="B988" t="s">
        <v>196</v>
      </c>
      <c r="C988" t="s">
        <v>197</v>
      </c>
      <c r="D988" t="s">
        <v>197</v>
      </c>
      <c r="E988" t="s">
        <v>197</v>
      </c>
      <c r="F988" t="s">
        <v>197</v>
      </c>
      <c r="G988" t="s">
        <v>197</v>
      </c>
      <c r="H988" t="s">
        <v>197</v>
      </c>
      <c r="I988" t="s">
        <v>1045</v>
      </c>
      <c r="J988" t="s">
        <v>199</v>
      </c>
      <c r="K988" t="s">
        <v>200</v>
      </c>
    </row>
    <row r="989" spans="1:24">
      <c r="B989" t="s">
        <v>197</v>
      </c>
      <c r="C989" t="s">
        <v>197</v>
      </c>
      <c r="D989" t="s">
        <v>197</v>
      </c>
      <c r="E989" t="s">
        <v>197</v>
      </c>
      <c r="F989" t="s">
        <v>197</v>
      </c>
      <c r="G989" t="s">
        <v>197</v>
      </c>
      <c r="H989" t="s">
        <v>197</v>
      </c>
      <c r="I989" t="s">
        <v>197</v>
      </c>
      <c r="J989" t="s">
        <v>197</v>
      </c>
      <c r="K989" t="s">
        <v>622</v>
      </c>
    </row>
    <row r="990" spans="1:24">
      <c r="B990" t="s">
        <v>197</v>
      </c>
      <c r="C990" t="s">
        <v>197</v>
      </c>
      <c r="D990" t="s">
        <v>197</v>
      </c>
      <c r="E990" t="s">
        <v>197</v>
      </c>
      <c r="F990" t="s">
        <v>197</v>
      </c>
      <c r="G990" t="s">
        <v>197</v>
      </c>
      <c r="H990" t="s">
        <v>197</v>
      </c>
      <c r="I990" t="s">
        <v>197</v>
      </c>
      <c r="J990" t="s">
        <v>197</v>
      </c>
      <c r="K990" t="s">
        <v>623</v>
      </c>
    </row>
    <row r="991" spans="1:24">
      <c r="B991" t="s">
        <v>197</v>
      </c>
      <c r="C991" t="s">
        <v>197</v>
      </c>
      <c r="D991" t="s">
        <v>197</v>
      </c>
      <c r="E991" t="s">
        <v>197</v>
      </c>
      <c r="F991" t="s">
        <v>197</v>
      </c>
      <c r="G991" t="s">
        <v>197</v>
      </c>
      <c r="H991" t="s">
        <v>197</v>
      </c>
      <c r="I991" t="s">
        <v>197</v>
      </c>
      <c r="J991" t="s">
        <v>197</v>
      </c>
      <c r="K991" t="s">
        <v>832</v>
      </c>
    </row>
    <row r="992" spans="1:24">
      <c r="A992" t="s">
        <v>1046</v>
      </c>
      <c r="K992" t="s">
        <v>1047</v>
      </c>
      <c r="W992" t="s">
        <v>171</v>
      </c>
      <c r="X992" t="str">
        <f>A992</f>
        <v>info_varbinary_dml_batch1_pk_irp1</v>
      </c>
    </row>
    <row r="993" spans="1:24">
      <c r="B993" t="s">
        <v>196</v>
      </c>
      <c r="C993" t="s">
        <v>197</v>
      </c>
      <c r="D993" t="s">
        <v>197</v>
      </c>
      <c r="E993" t="s">
        <v>197</v>
      </c>
      <c r="F993" t="s">
        <v>197</v>
      </c>
      <c r="G993" t="s">
        <v>197</v>
      </c>
      <c r="H993" t="s">
        <v>197</v>
      </c>
      <c r="I993" t="s">
        <v>1048</v>
      </c>
      <c r="J993" t="s">
        <v>199</v>
      </c>
      <c r="K993" t="s">
        <v>200</v>
      </c>
    </row>
    <row r="994" spans="1:24">
      <c r="B994" t="s">
        <v>197</v>
      </c>
      <c r="C994" t="s">
        <v>197</v>
      </c>
      <c r="D994" t="s">
        <v>197</v>
      </c>
      <c r="E994" t="s">
        <v>197</v>
      </c>
      <c r="F994" t="s">
        <v>197</v>
      </c>
      <c r="G994" t="s">
        <v>197</v>
      </c>
      <c r="H994" t="s">
        <v>197</v>
      </c>
      <c r="I994" t="s">
        <v>197</v>
      </c>
      <c r="J994" t="s">
        <v>197</v>
      </c>
      <c r="K994" t="s">
        <v>495</v>
      </c>
    </row>
    <row r="995" spans="1:24">
      <c r="B995" t="s">
        <v>197</v>
      </c>
      <c r="C995" t="s">
        <v>197</v>
      </c>
      <c r="D995" t="s">
        <v>197</v>
      </c>
      <c r="E995" t="s">
        <v>197</v>
      </c>
      <c r="F995" t="s">
        <v>197</v>
      </c>
      <c r="G995" t="s">
        <v>197</v>
      </c>
      <c r="H995" t="s">
        <v>197</v>
      </c>
      <c r="I995" t="s">
        <v>197</v>
      </c>
      <c r="J995" t="s">
        <v>197</v>
      </c>
      <c r="K995" t="s">
        <v>499</v>
      </c>
    </row>
    <row r="996" spans="1:24">
      <c r="B996" t="s">
        <v>197</v>
      </c>
      <c r="C996" t="s">
        <v>197</v>
      </c>
      <c r="D996" t="s">
        <v>197</v>
      </c>
      <c r="E996" t="s">
        <v>197</v>
      </c>
      <c r="F996" t="s">
        <v>197</v>
      </c>
      <c r="G996" t="s">
        <v>197</v>
      </c>
      <c r="H996" t="s">
        <v>197</v>
      </c>
      <c r="I996" t="s">
        <v>197</v>
      </c>
      <c r="J996" t="s">
        <v>197</v>
      </c>
      <c r="K996" t="s">
        <v>503</v>
      </c>
    </row>
    <row r="997" spans="1:24">
      <c r="A997" t="s">
        <v>1049</v>
      </c>
      <c r="K997" t="s">
        <v>1050</v>
      </c>
      <c r="W997" s="1" t="str">
        <f>HYPERLINK("#2026042016hbase1!AD2","NO 源备存在差异，共8个")</f>
        <v>NO 源备存在差异，共8个</v>
      </c>
      <c r="X997" t="str">
        <f>A997</f>
        <v>info_geography_dml_single_pk_irp</v>
      </c>
    </row>
    <row r="998" spans="1:24">
      <c r="B998" t="s">
        <v>196</v>
      </c>
      <c r="C998" t="s">
        <v>197</v>
      </c>
      <c r="D998" t="s">
        <v>197</v>
      </c>
      <c r="E998" t="s">
        <v>197</v>
      </c>
      <c r="F998" t="s">
        <v>197</v>
      </c>
      <c r="G998" t="s">
        <v>197</v>
      </c>
      <c r="H998" t="s">
        <v>197</v>
      </c>
      <c r="I998" t="s">
        <v>1051</v>
      </c>
      <c r="J998" t="s">
        <v>199</v>
      </c>
      <c r="K998" t="s">
        <v>200</v>
      </c>
    </row>
    <row r="999" spans="1:24">
      <c r="B999" t="s">
        <v>197</v>
      </c>
      <c r="C999" t="s">
        <v>197</v>
      </c>
      <c r="D999" t="s">
        <v>197</v>
      </c>
      <c r="E999" t="s">
        <v>197</v>
      </c>
      <c r="F999" t="s">
        <v>197</v>
      </c>
      <c r="G999" t="s">
        <v>197</v>
      </c>
      <c r="H999" t="s">
        <v>197</v>
      </c>
      <c r="I999" t="s">
        <v>197</v>
      </c>
      <c r="J999" t="s">
        <v>197</v>
      </c>
      <c r="K999" t="s">
        <v>1052</v>
      </c>
    </row>
    <row r="1000" spans="1:24">
      <c r="A1000" t="s">
        <v>1053</v>
      </c>
      <c r="K1000" t="s">
        <v>1054</v>
      </c>
      <c r="W1000" t="s">
        <v>171</v>
      </c>
      <c r="X1000" t="str">
        <f>A1000</f>
        <v>info_varchar_dml_single_pk_irp</v>
      </c>
    </row>
    <row r="1001" spans="1:24">
      <c r="B1001" t="s">
        <v>196</v>
      </c>
      <c r="C1001" t="s">
        <v>197</v>
      </c>
      <c r="D1001" t="s">
        <v>197</v>
      </c>
      <c r="E1001" t="s">
        <v>197</v>
      </c>
      <c r="F1001" t="s">
        <v>197</v>
      </c>
      <c r="G1001" t="s">
        <v>197</v>
      </c>
      <c r="H1001" t="s">
        <v>197</v>
      </c>
      <c r="I1001" t="s">
        <v>1055</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1056</v>
      </c>
    </row>
    <row r="1004" spans="1:24">
      <c r="B1004" t="s">
        <v>197</v>
      </c>
      <c r="C1004" t="s">
        <v>197</v>
      </c>
      <c r="D1004" t="s">
        <v>197</v>
      </c>
      <c r="E1004" t="s">
        <v>197</v>
      </c>
      <c r="F1004" t="s">
        <v>197</v>
      </c>
      <c r="G1004" t="s">
        <v>197</v>
      </c>
      <c r="H1004" t="s">
        <v>197</v>
      </c>
      <c r="I1004" t="s">
        <v>197</v>
      </c>
      <c r="J1004" t="s">
        <v>197</v>
      </c>
      <c r="K1004" t="s">
        <v>963</v>
      </c>
    </row>
    <row r="1005" spans="1:24">
      <c r="A1005" t="s">
        <v>1057</v>
      </c>
      <c r="K1005" t="s">
        <v>1058</v>
      </c>
      <c r="W1005" t="s">
        <v>171</v>
      </c>
      <c r="X1005" t="str">
        <f>A1005</f>
        <v>info_time_dml_batch2_pk_irp1</v>
      </c>
    </row>
    <row r="1006" spans="1:24">
      <c r="B1006" t="s">
        <v>196</v>
      </c>
      <c r="C1006" t="s">
        <v>197</v>
      </c>
      <c r="D1006" t="s">
        <v>197</v>
      </c>
      <c r="E1006" t="s">
        <v>197</v>
      </c>
      <c r="F1006" t="s">
        <v>197</v>
      </c>
      <c r="G1006" t="s">
        <v>197</v>
      </c>
      <c r="H1006" t="s">
        <v>197</v>
      </c>
      <c r="I1006" t="s">
        <v>1059</v>
      </c>
      <c r="J1006" t="s">
        <v>199</v>
      </c>
      <c r="K1006" t="s">
        <v>200</v>
      </c>
    </row>
    <row r="1007" spans="1:24">
      <c r="B1007" t="s">
        <v>197</v>
      </c>
      <c r="C1007" t="s">
        <v>197</v>
      </c>
      <c r="D1007" t="s">
        <v>197</v>
      </c>
      <c r="E1007" t="s">
        <v>197</v>
      </c>
      <c r="F1007" t="s">
        <v>197</v>
      </c>
      <c r="G1007" t="s">
        <v>197</v>
      </c>
      <c r="H1007" t="s">
        <v>197</v>
      </c>
      <c r="I1007" t="s">
        <v>197</v>
      </c>
      <c r="J1007" t="s">
        <v>197</v>
      </c>
      <c r="K1007" t="s">
        <v>800</v>
      </c>
    </row>
    <row r="1008" spans="1:24">
      <c r="B1008" t="s">
        <v>197</v>
      </c>
      <c r="C1008" t="s">
        <v>197</v>
      </c>
      <c r="D1008" t="s">
        <v>197</v>
      </c>
      <c r="E1008" t="s">
        <v>197</v>
      </c>
      <c r="F1008" t="s">
        <v>197</v>
      </c>
      <c r="G1008" t="s">
        <v>197</v>
      </c>
      <c r="H1008" t="s">
        <v>197</v>
      </c>
      <c r="I1008" t="s">
        <v>197</v>
      </c>
      <c r="J1008" t="s">
        <v>197</v>
      </c>
      <c r="K1008" t="s">
        <v>801</v>
      </c>
    </row>
    <row r="1009" spans="1:24">
      <c r="B1009" t="s">
        <v>197</v>
      </c>
      <c r="C1009" t="s">
        <v>197</v>
      </c>
      <c r="D1009" t="s">
        <v>197</v>
      </c>
      <c r="E1009" t="s">
        <v>197</v>
      </c>
      <c r="F1009" t="s">
        <v>197</v>
      </c>
      <c r="G1009" t="s">
        <v>197</v>
      </c>
      <c r="H1009" t="s">
        <v>197</v>
      </c>
      <c r="I1009" t="s">
        <v>197</v>
      </c>
      <c r="J1009" t="s">
        <v>197</v>
      </c>
      <c r="K1009" t="s">
        <v>802</v>
      </c>
    </row>
    <row r="1010" spans="1:24">
      <c r="B1010" t="s">
        <v>197</v>
      </c>
      <c r="C1010" t="s">
        <v>197</v>
      </c>
      <c r="D1010" t="s">
        <v>197</v>
      </c>
      <c r="E1010" t="s">
        <v>197</v>
      </c>
      <c r="F1010" t="s">
        <v>197</v>
      </c>
      <c r="G1010" t="s">
        <v>197</v>
      </c>
      <c r="H1010" t="s">
        <v>197</v>
      </c>
      <c r="I1010" t="s">
        <v>197</v>
      </c>
      <c r="J1010" t="s">
        <v>197</v>
      </c>
      <c r="K1010" t="s">
        <v>803</v>
      </c>
    </row>
    <row r="1011" spans="1:24">
      <c r="B1011" t="s">
        <v>197</v>
      </c>
      <c r="C1011" t="s">
        <v>197</v>
      </c>
      <c r="D1011" t="s">
        <v>197</v>
      </c>
      <c r="E1011" t="s">
        <v>197</v>
      </c>
      <c r="F1011" t="s">
        <v>197</v>
      </c>
      <c r="G1011" t="s">
        <v>197</v>
      </c>
      <c r="H1011" t="s">
        <v>197</v>
      </c>
      <c r="I1011" t="s">
        <v>197</v>
      </c>
      <c r="J1011" t="s">
        <v>197</v>
      </c>
      <c r="K1011" t="s">
        <v>804</v>
      </c>
    </row>
    <row r="1012" spans="1:24">
      <c r="B1012" t="s">
        <v>197</v>
      </c>
      <c r="C1012" t="s">
        <v>197</v>
      </c>
      <c r="D1012" t="s">
        <v>197</v>
      </c>
      <c r="E1012" t="s">
        <v>197</v>
      </c>
      <c r="F1012" t="s">
        <v>197</v>
      </c>
      <c r="G1012" t="s">
        <v>197</v>
      </c>
      <c r="H1012" t="s">
        <v>197</v>
      </c>
      <c r="I1012" t="s">
        <v>197</v>
      </c>
      <c r="J1012" t="s">
        <v>197</v>
      </c>
      <c r="K1012" t="s">
        <v>805</v>
      </c>
    </row>
    <row r="1013" spans="1:24">
      <c r="B1013" t="s">
        <v>197</v>
      </c>
      <c r="C1013" t="s">
        <v>197</v>
      </c>
      <c r="D1013" t="s">
        <v>197</v>
      </c>
      <c r="E1013" t="s">
        <v>197</v>
      </c>
      <c r="F1013" t="s">
        <v>197</v>
      </c>
      <c r="G1013" t="s">
        <v>197</v>
      </c>
      <c r="H1013" t="s">
        <v>197</v>
      </c>
      <c r="I1013" t="s">
        <v>197</v>
      </c>
      <c r="J1013" t="s">
        <v>197</v>
      </c>
      <c r="K1013" t="s">
        <v>806</v>
      </c>
    </row>
    <row r="1014" spans="1:24">
      <c r="B1014" t="s">
        <v>197</v>
      </c>
      <c r="C1014" t="s">
        <v>197</v>
      </c>
      <c r="D1014" t="s">
        <v>197</v>
      </c>
      <c r="E1014" t="s">
        <v>197</v>
      </c>
      <c r="F1014" t="s">
        <v>197</v>
      </c>
      <c r="G1014" t="s">
        <v>197</v>
      </c>
      <c r="H1014" t="s">
        <v>197</v>
      </c>
      <c r="I1014" t="s">
        <v>197</v>
      </c>
      <c r="J1014" t="s">
        <v>197</v>
      </c>
      <c r="K1014" t="s">
        <v>807</v>
      </c>
    </row>
    <row r="1015" spans="1:24">
      <c r="A1015" t="s">
        <v>1060</v>
      </c>
      <c r="K1015" t="s">
        <v>1061</v>
      </c>
      <c r="W1015" t="s">
        <v>171</v>
      </c>
      <c r="X1015" t="str">
        <f>A1015</f>
        <v>info_varchar_dml_batch2_pk_irp1</v>
      </c>
    </row>
    <row r="1016" spans="1:24">
      <c r="B1016" t="s">
        <v>196</v>
      </c>
      <c r="C1016" t="s">
        <v>197</v>
      </c>
      <c r="D1016" t="s">
        <v>197</v>
      </c>
      <c r="E1016" t="s">
        <v>197</v>
      </c>
      <c r="F1016" t="s">
        <v>197</v>
      </c>
      <c r="G1016" t="s">
        <v>197</v>
      </c>
      <c r="H1016" t="s">
        <v>197</v>
      </c>
      <c r="I1016" t="s">
        <v>1062</v>
      </c>
      <c r="J1016" t="s">
        <v>199</v>
      </c>
      <c r="K1016" t="s">
        <v>200</v>
      </c>
    </row>
    <row r="1017" spans="1:24">
      <c r="B1017" t="s">
        <v>197</v>
      </c>
      <c r="C1017" t="s">
        <v>197</v>
      </c>
      <c r="D1017" t="s">
        <v>197</v>
      </c>
      <c r="E1017" t="s">
        <v>197</v>
      </c>
      <c r="F1017" t="s">
        <v>197</v>
      </c>
      <c r="G1017" t="s">
        <v>197</v>
      </c>
      <c r="H1017" t="s">
        <v>197</v>
      </c>
      <c r="I1017" t="s">
        <v>197</v>
      </c>
      <c r="J1017" t="s">
        <v>197</v>
      </c>
      <c r="K1017" t="s">
        <v>431</v>
      </c>
    </row>
    <row r="1018" spans="1:24">
      <c r="B1018" t="s">
        <v>197</v>
      </c>
      <c r="C1018" t="s">
        <v>197</v>
      </c>
      <c r="D1018" t="s">
        <v>197</v>
      </c>
      <c r="E1018" t="s">
        <v>197</v>
      </c>
      <c r="F1018" t="s">
        <v>197</v>
      </c>
      <c r="G1018" t="s">
        <v>197</v>
      </c>
      <c r="H1018" t="s">
        <v>197</v>
      </c>
      <c r="I1018" t="s">
        <v>197</v>
      </c>
      <c r="J1018" t="s">
        <v>197</v>
      </c>
      <c r="K1018" t="s">
        <v>434</v>
      </c>
    </row>
    <row r="1019" spans="1:24">
      <c r="B1019" t="s">
        <v>197</v>
      </c>
      <c r="C1019" t="s">
        <v>197</v>
      </c>
      <c r="D1019" t="s">
        <v>197</v>
      </c>
      <c r="E1019" t="s">
        <v>197</v>
      </c>
      <c r="F1019" t="s">
        <v>197</v>
      </c>
      <c r="G1019" t="s">
        <v>197</v>
      </c>
      <c r="H1019" t="s">
        <v>197</v>
      </c>
      <c r="I1019" t="s">
        <v>197</v>
      </c>
      <c r="J1019" t="s">
        <v>197</v>
      </c>
      <c r="K1019" t="s">
        <v>963</v>
      </c>
    </row>
    <row r="1020" spans="1:24">
      <c r="K1020" t="s">
        <v>443</v>
      </c>
    </row>
    <row r="1021" spans="1:24">
      <c r="A1021" t="s">
        <v>1063</v>
      </c>
      <c r="K1021" t="s">
        <v>1064</v>
      </c>
      <c r="W1021" t="s">
        <v>171</v>
      </c>
      <c r="X1021" t="str">
        <f>A1021</f>
        <v>info_varbinary_dml_batch1_pk_irp2</v>
      </c>
    </row>
    <row r="1022" spans="1:24">
      <c r="B1022" t="s">
        <v>196</v>
      </c>
      <c r="C1022" t="s">
        <v>197</v>
      </c>
      <c r="D1022" t="s">
        <v>197</v>
      </c>
      <c r="E1022" t="s">
        <v>197</v>
      </c>
      <c r="F1022" t="s">
        <v>197</v>
      </c>
      <c r="G1022" t="s">
        <v>197</v>
      </c>
      <c r="H1022" t="s">
        <v>197</v>
      </c>
      <c r="I1022" t="s">
        <v>1065</v>
      </c>
      <c r="J1022" t="s">
        <v>199</v>
      </c>
      <c r="K1022" t="s">
        <v>200</v>
      </c>
    </row>
    <row r="1023" spans="1:24">
      <c r="B1023" t="s">
        <v>197</v>
      </c>
      <c r="C1023" t="s">
        <v>197</v>
      </c>
      <c r="D1023" t="s">
        <v>197</v>
      </c>
      <c r="E1023" t="s">
        <v>197</v>
      </c>
      <c r="F1023" t="s">
        <v>197</v>
      </c>
      <c r="G1023" t="s">
        <v>197</v>
      </c>
      <c r="H1023" t="s">
        <v>197</v>
      </c>
      <c r="I1023" t="s">
        <v>197</v>
      </c>
      <c r="J1023" t="s">
        <v>197</v>
      </c>
      <c r="K1023" t="s">
        <v>495</v>
      </c>
    </row>
    <row r="1024" spans="1:24">
      <c r="B1024" t="s">
        <v>197</v>
      </c>
      <c r="C1024" t="s">
        <v>197</v>
      </c>
      <c r="D1024" t="s">
        <v>197</v>
      </c>
      <c r="E1024" t="s">
        <v>197</v>
      </c>
      <c r="F1024" t="s">
        <v>197</v>
      </c>
      <c r="G1024" t="s">
        <v>197</v>
      </c>
      <c r="H1024" t="s">
        <v>197</v>
      </c>
      <c r="I1024" t="s">
        <v>197</v>
      </c>
      <c r="J1024" t="s">
        <v>197</v>
      </c>
      <c r="K1024" t="s">
        <v>499</v>
      </c>
    </row>
    <row r="1025" spans="1:24">
      <c r="B1025" t="s">
        <v>197</v>
      </c>
      <c r="C1025" t="s">
        <v>197</v>
      </c>
      <c r="D1025" t="s">
        <v>197</v>
      </c>
      <c r="E1025" t="s">
        <v>197</v>
      </c>
      <c r="F1025" t="s">
        <v>197</v>
      </c>
      <c r="G1025" t="s">
        <v>197</v>
      </c>
      <c r="H1025" t="s">
        <v>197</v>
      </c>
      <c r="I1025" t="s">
        <v>197</v>
      </c>
      <c r="J1025" t="s">
        <v>197</v>
      </c>
      <c r="K1025" t="s">
        <v>503</v>
      </c>
    </row>
    <row r="1026" spans="1:24">
      <c r="A1026" t="s">
        <v>1066</v>
      </c>
      <c r="K1026" t="s">
        <v>1067</v>
      </c>
      <c r="W1026" s="1" t="str">
        <f>HYPERLINK("#2026042016hbase1!AE2","NO 源备存在差异，共2个")</f>
        <v>NO 源备存在差异，共2个</v>
      </c>
      <c r="X1026" t="str">
        <f>A1026</f>
        <v>info_sql_variant_dml_single_pk_urp</v>
      </c>
    </row>
    <row r="1027" spans="1:24">
      <c r="B1027" t="s">
        <v>196</v>
      </c>
      <c r="C1027" t="s">
        <v>197</v>
      </c>
      <c r="D1027" t="s">
        <v>197</v>
      </c>
      <c r="E1027" t="s">
        <v>197</v>
      </c>
      <c r="F1027" t="s">
        <v>197</v>
      </c>
      <c r="G1027" t="s">
        <v>197</v>
      </c>
      <c r="H1027" t="s">
        <v>197</v>
      </c>
      <c r="I1027" t="s">
        <v>1068</v>
      </c>
      <c r="J1027" t="s">
        <v>199</v>
      </c>
      <c r="K1027" t="s">
        <v>200</v>
      </c>
    </row>
    <row r="1028" spans="1:24">
      <c r="B1028" t="s">
        <v>197</v>
      </c>
      <c r="C1028" t="s">
        <v>197</v>
      </c>
      <c r="D1028" t="s">
        <v>197</v>
      </c>
      <c r="E1028" t="s">
        <v>197</v>
      </c>
      <c r="F1028" t="s">
        <v>197</v>
      </c>
      <c r="G1028" t="s">
        <v>197</v>
      </c>
      <c r="H1028" t="s">
        <v>197</v>
      </c>
      <c r="I1028" t="s">
        <v>197</v>
      </c>
      <c r="J1028" t="s">
        <v>197</v>
      </c>
      <c r="K1028" t="s">
        <v>1006</v>
      </c>
    </row>
    <row r="1029" spans="1:24">
      <c r="B1029" t="s">
        <v>197</v>
      </c>
      <c r="C1029" t="s">
        <v>197</v>
      </c>
      <c r="D1029" t="s">
        <v>197</v>
      </c>
      <c r="E1029" t="s">
        <v>197</v>
      </c>
      <c r="F1029" t="s">
        <v>197</v>
      </c>
      <c r="G1029" t="s">
        <v>197</v>
      </c>
      <c r="H1029" t="s">
        <v>197</v>
      </c>
      <c r="I1029" t="s">
        <v>197</v>
      </c>
      <c r="J1029" t="s">
        <v>197</v>
      </c>
      <c r="K1029" t="s">
        <v>1007</v>
      </c>
    </row>
    <row r="1030" spans="1:24">
      <c r="B1030" t="s">
        <v>197</v>
      </c>
      <c r="C1030" t="s">
        <v>197</v>
      </c>
      <c r="D1030" t="s">
        <v>197</v>
      </c>
      <c r="E1030" t="s">
        <v>197</v>
      </c>
      <c r="F1030" t="s">
        <v>197</v>
      </c>
      <c r="G1030" t="s">
        <v>197</v>
      </c>
      <c r="H1030" t="s">
        <v>197</v>
      </c>
      <c r="I1030" t="s">
        <v>197</v>
      </c>
      <c r="J1030" t="s">
        <v>197</v>
      </c>
      <c r="K1030" t="s">
        <v>1008</v>
      </c>
    </row>
    <row r="1031" spans="1:24">
      <c r="B1031" t="s">
        <v>197</v>
      </c>
      <c r="C1031" t="s">
        <v>197</v>
      </c>
      <c r="D1031" t="s">
        <v>197</v>
      </c>
      <c r="E1031" t="s">
        <v>197</v>
      </c>
      <c r="F1031" t="s">
        <v>197</v>
      </c>
      <c r="G1031" t="s">
        <v>197</v>
      </c>
      <c r="H1031" t="s">
        <v>197</v>
      </c>
      <c r="I1031" t="s">
        <v>197</v>
      </c>
      <c r="J1031" t="s">
        <v>197</v>
      </c>
      <c r="K1031" t="s">
        <v>1009</v>
      </c>
    </row>
    <row r="1032" spans="1:24">
      <c r="B1032" t="s">
        <v>197</v>
      </c>
      <c r="C1032" t="s">
        <v>197</v>
      </c>
      <c r="D1032" t="s">
        <v>197</v>
      </c>
      <c r="E1032" t="s">
        <v>197</v>
      </c>
      <c r="F1032" t="s">
        <v>197</v>
      </c>
      <c r="G1032" t="s">
        <v>197</v>
      </c>
      <c r="H1032" t="s">
        <v>197</v>
      </c>
      <c r="I1032" t="s">
        <v>197</v>
      </c>
      <c r="J1032" t="s">
        <v>197</v>
      </c>
      <c r="K1032" t="s">
        <v>1010</v>
      </c>
    </row>
    <row r="1033" spans="1:24">
      <c r="B1033" t="s">
        <v>197</v>
      </c>
      <c r="C1033" t="s">
        <v>197</v>
      </c>
      <c r="D1033" t="s">
        <v>197</v>
      </c>
      <c r="E1033" t="s">
        <v>197</v>
      </c>
      <c r="F1033" t="s">
        <v>197</v>
      </c>
      <c r="G1033" t="s">
        <v>197</v>
      </c>
      <c r="H1033" t="s">
        <v>197</v>
      </c>
      <c r="I1033" t="s">
        <v>197</v>
      </c>
      <c r="J1033" t="s">
        <v>197</v>
      </c>
      <c r="K1033" t="s">
        <v>1011</v>
      </c>
    </row>
    <row r="1034" spans="1:24">
      <c r="B1034" t="s">
        <v>197</v>
      </c>
      <c r="C1034" t="s">
        <v>197</v>
      </c>
      <c r="D1034" t="s">
        <v>197</v>
      </c>
      <c r="E1034" t="s">
        <v>197</v>
      </c>
      <c r="F1034" t="s">
        <v>197</v>
      </c>
      <c r="G1034" t="s">
        <v>197</v>
      </c>
      <c r="H1034" t="s">
        <v>197</v>
      </c>
      <c r="I1034" t="s">
        <v>197</v>
      </c>
      <c r="J1034" t="s">
        <v>197</v>
      </c>
      <c r="K1034" t="s">
        <v>1012</v>
      </c>
    </row>
    <row r="1035" spans="1:24">
      <c r="B1035" t="s">
        <v>197</v>
      </c>
      <c r="C1035" t="s">
        <v>197</v>
      </c>
      <c r="D1035" t="s">
        <v>197</v>
      </c>
      <c r="E1035" t="s">
        <v>197</v>
      </c>
      <c r="F1035" t="s">
        <v>197</v>
      </c>
      <c r="G1035" t="s">
        <v>197</v>
      </c>
      <c r="H1035" t="s">
        <v>197</v>
      </c>
      <c r="I1035" t="s">
        <v>197</v>
      </c>
      <c r="J1035" t="s">
        <v>197</v>
      </c>
      <c r="K1035" t="s">
        <v>1013</v>
      </c>
    </row>
    <row r="1036" spans="1:24">
      <c r="B1036" t="s">
        <v>197</v>
      </c>
      <c r="C1036" t="s">
        <v>197</v>
      </c>
      <c r="D1036" t="s">
        <v>197</v>
      </c>
      <c r="E1036" t="s">
        <v>197</v>
      </c>
      <c r="F1036" t="s">
        <v>197</v>
      </c>
      <c r="G1036" t="s">
        <v>197</v>
      </c>
      <c r="H1036" t="s">
        <v>197</v>
      </c>
      <c r="I1036" t="s">
        <v>197</v>
      </c>
      <c r="J1036" t="s">
        <v>197</v>
      </c>
      <c r="K1036" t="s">
        <v>1014</v>
      </c>
    </row>
    <row r="1037" spans="1:24">
      <c r="B1037" t="s">
        <v>197</v>
      </c>
      <c r="C1037" t="s">
        <v>197</v>
      </c>
      <c r="D1037" t="s">
        <v>197</v>
      </c>
      <c r="E1037" t="s">
        <v>197</v>
      </c>
      <c r="F1037" t="s">
        <v>197</v>
      </c>
      <c r="G1037" t="s">
        <v>197</v>
      </c>
      <c r="H1037" t="s">
        <v>197</v>
      </c>
      <c r="I1037" t="s">
        <v>197</v>
      </c>
      <c r="J1037" t="s">
        <v>197</v>
      </c>
      <c r="K1037" t="s">
        <v>1015</v>
      </c>
    </row>
    <row r="1038" spans="1:24">
      <c r="B1038" t="s">
        <v>197</v>
      </c>
      <c r="C1038" t="s">
        <v>197</v>
      </c>
      <c r="D1038" t="s">
        <v>197</v>
      </c>
      <c r="E1038" t="s">
        <v>197</v>
      </c>
      <c r="F1038" t="s">
        <v>197</v>
      </c>
      <c r="G1038" t="s">
        <v>197</v>
      </c>
      <c r="H1038" t="s">
        <v>197</v>
      </c>
      <c r="I1038" t="s">
        <v>197</v>
      </c>
      <c r="J1038" t="s">
        <v>197</v>
      </c>
      <c r="K1038" t="s">
        <v>1016</v>
      </c>
    </row>
    <row r="1039" spans="1:24">
      <c r="B1039" t="s">
        <v>197</v>
      </c>
      <c r="C1039" t="s">
        <v>197</v>
      </c>
      <c r="D1039" t="s">
        <v>197</v>
      </c>
      <c r="E1039" t="s">
        <v>197</v>
      </c>
      <c r="F1039" t="s">
        <v>197</v>
      </c>
      <c r="G1039" t="s">
        <v>197</v>
      </c>
      <c r="H1039" t="s">
        <v>197</v>
      </c>
      <c r="I1039" t="s">
        <v>197</v>
      </c>
      <c r="J1039" t="s">
        <v>197</v>
      </c>
      <c r="K1039" t="s">
        <v>1017</v>
      </c>
    </row>
    <row r="1040" spans="1:24">
      <c r="B1040" t="s">
        <v>197</v>
      </c>
      <c r="C1040" t="s">
        <v>197</v>
      </c>
      <c r="D1040" t="s">
        <v>197</v>
      </c>
      <c r="E1040" t="s">
        <v>197</v>
      </c>
      <c r="F1040" t="s">
        <v>197</v>
      </c>
      <c r="G1040" t="s">
        <v>197</v>
      </c>
      <c r="H1040" t="s">
        <v>197</v>
      </c>
      <c r="I1040" t="s">
        <v>197</v>
      </c>
      <c r="J1040" t="s">
        <v>197</v>
      </c>
      <c r="K1040" t="s">
        <v>1018</v>
      </c>
    </row>
    <row r="1041" spans="1:24">
      <c r="B1041" t="s">
        <v>197</v>
      </c>
      <c r="C1041" t="s">
        <v>197</v>
      </c>
      <c r="D1041" t="s">
        <v>197</v>
      </c>
      <c r="E1041" t="s">
        <v>197</v>
      </c>
      <c r="F1041" t="s">
        <v>197</v>
      </c>
      <c r="G1041" t="s">
        <v>197</v>
      </c>
      <c r="H1041" t="s">
        <v>197</v>
      </c>
      <c r="I1041" t="s">
        <v>197</v>
      </c>
      <c r="J1041" t="s">
        <v>197</v>
      </c>
      <c r="K1041" t="s">
        <v>1019</v>
      </c>
    </row>
    <row r="1042" spans="1:24">
      <c r="B1042" t="s">
        <v>197</v>
      </c>
      <c r="C1042" t="s">
        <v>197</v>
      </c>
      <c r="D1042" t="s">
        <v>197</v>
      </c>
      <c r="E1042" t="s">
        <v>197</v>
      </c>
      <c r="F1042" t="s">
        <v>197</v>
      </c>
      <c r="G1042" t="s">
        <v>197</v>
      </c>
      <c r="H1042" t="s">
        <v>197</v>
      </c>
      <c r="I1042" t="s">
        <v>197</v>
      </c>
      <c r="J1042" t="s">
        <v>197</v>
      </c>
      <c r="K1042" t="s">
        <v>1020</v>
      </c>
    </row>
    <row r="1043" spans="1:24">
      <c r="B1043" t="s">
        <v>197</v>
      </c>
      <c r="C1043" t="s">
        <v>197</v>
      </c>
      <c r="D1043" t="s">
        <v>197</v>
      </c>
      <c r="E1043" t="s">
        <v>197</v>
      </c>
      <c r="F1043" t="s">
        <v>197</v>
      </c>
      <c r="G1043" t="s">
        <v>197</v>
      </c>
      <c r="H1043" t="s">
        <v>197</v>
      </c>
      <c r="I1043" t="s">
        <v>197</v>
      </c>
      <c r="J1043" t="s">
        <v>197</v>
      </c>
      <c r="K1043" t="s">
        <v>1021</v>
      </c>
    </row>
    <row r="1044" spans="1:24">
      <c r="B1044" t="s">
        <v>197</v>
      </c>
      <c r="C1044" t="s">
        <v>197</v>
      </c>
      <c r="D1044" t="s">
        <v>197</v>
      </c>
      <c r="E1044" t="s">
        <v>197</v>
      </c>
      <c r="F1044" t="s">
        <v>197</v>
      </c>
      <c r="G1044" t="s">
        <v>197</v>
      </c>
      <c r="H1044" t="s">
        <v>197</v>
      </c>
      <c r="I1044" t="s">
        <v>197</v>
      </c>
      <c r="J1044" t="s">
        <v>197</v>
      </c>
      <c r="K1044" t="s">
        <v>1022</v>
      </c>
    </row>
    <row r="1045" spans="1:24">
      <c r="B1045" t="s">
        <v>197</v>
      </c>
      <c r="C1045" t="s">
        <v>197</v>
      </c>
      <c r="D1045" t="s">
        <v>197</v>
      </c>
      <c r="E1045" t="s">
        <v>197</v>
      </c>
      <c r="F1045" t="s">
        <v>197</v>
      </c>
      <c r="G1045" t="s">
        <v>197</v>
      </c>
      <c r="H1045" t="s">
        <v>197</v>
      </c>
      <c r="I1045" t="s">
        <v>197</v>
      </c>
      <c r="J1045" t="s">
        <v>197</v>
      </c>
      <c r="K1045" t="s">
        <v>1023</v>
      </c>
    </row>
    <row r="1046" spans="1:24">
      <c r="B1046" t="s">
        <v>197</v>
      </c>
      <c r="C1046" t="s">
        <v>197</v>
      </c>
      <c r="D1046" t="s">
        <v>197</v>
      </c>
      <c r="E1046" t="s">
        <v>197</v>
      </c>
      <c r="F1046" t="s">
        <v>197</v>
      </c>
      <c r="G1046" t="s">
        <v>197</v>
      </c>
      <c r="H1046" t="s">
        <v>197</v>
      </c>
      <c r="I1046" t="s">
        <v>197</v>
      </c>
      <c r="J1046" t="s">
        <v>197</v>
      </c>
      <c r="K1046" t="s">
        <v>1024</v>
      </c>
    </row>
    <row r="1047" spans="1:24">
      <c r="B1047" t="s">
        <v>197</v>
      </c>
      <c r="C1047" t="s">
        <v>197</v>
      </c>
      <c r="D1047" t="s">
        <v>197</v>
      </c>
      <c r="E1047" t="s">
        <v>197</v>
      </c>
      <c r="F1047" t="s">
        <v>197</v>
      </c>
      <c r="G1047" t="s">
        <v>197</v>
      </c>
      <c r="H1047" t="s">
        <v>197</v>
      </c>
      <c r="I1047" t="s">
        <v>197</v>
      </c>
      <c r="J1047" t="s">
        <v>197</v>
      </c>
      <c r="K1047" t="s">
        <v>1025</v>
      </c>
    </row>
    <row r="1048" spans="1:24">
      <c r="B1048" t="s">
        <v>197</v>
      </c>
      <c r="C1048" t="s">
        <v>197</v>
      </c>
      <c r="D1048" t="s">
        <v>197</v>
      </c>
      <c r="E1048" t="s">
        <v>197</v>
      </c>
      <c r="F1048" t="s">
        <v>197</v>
      </c>
      <c r="G1048" t="s">
        <v>197</v>
      </c>
      <c r="H1048" t="s">
        <v>197</v>
      </c>
      <c r="I1048" t="s">
        <v>197</v>
      </c>
      <c r="J1048" t="s">
        <v>197</v>
      </c>
      <c r="K1048" t="s">
        <v>1026</v>
      </c>
    </row>
    <row r="1049" spans="1:24">
      <c r="B1049" t="s">
        <v>197</v>
      </c>
      <c r="C1049" t="s">
        <v>197</v>
      </c>
      <c r="D1049" t="s">
        <v>197</v>
      </c>
      <c r="E1049" t="s">
        <v>197</v>
      </c>
      <c r="F1049" t="s">
        <v>197</v>
      </c>
      <c r="G1049" t="s">
        <v>197</v>
      </c>
      <c r="H1049" t="s">
        <v>197</v>
      </c>
      <c r="I1049" t="s">
        <v>197</v>
      </c>
      <c r="J1049" t="s">
        <v>197</v>
      </c>
      <c r="K1049" t="s">
        <v>1027</v>
      </c>
    </row>
    <row r="1050" spans="1:24">
      <c r="B1050" t="s">
        <v>197</v>
      </c>
      <c r="C1050" t="s">
        <v>197</v>
      </c>
      <c r="D1050" t="s">
        <v>197</v>
      </c>
      <c r="E1050" t="s">
        <v>197</v>
      </c>
      <c r="F1050" t="s">
        <v>197</v>
      </c>
      <c r="G1050" t="s">
        <v>197</v>
      </c>
      <c r="H1050" t="s">
        <v>197</v>
      </c>
      <c r="I1050" t="s">
        <v>197</v>
      </c>
      <c r="J1050" t="s">
        <v>197</v>
      </c>
      <c r="K1050" t="s">
        <v>1028</v>
      </c>
    </row>
    <row r="1051" spans="1:24">
      <c r="B1051" t="s">
        <v>197</v>
      </c>
      <c r="C1051" t="s">
        <v>197</v>
      </c>
      <c r="D1051" t="s">
        <v>197</v>
      </c>
      <c r="E1051" t="s">
        <v>197</v>
      </c>
      <c r="F1051" t="s">
        <v>197</v>
      </c>
      <c r="G1051" t="s">
        <v>197</v>
      </c>
      <c r="H1051" t="s">
        <v>197</v>
      </c>
      <c r="I1051" t="s">
        <v>197</v>
      </c>
      <c r="J1051" t="s">
        <v>197</v>
      </c>
      <c r="K1051" t="s">
        <v>1029</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1072</v>
      </c>
      <c r="K1058" t="s">
        <v>1073</v>
      </c>
      <c r="W1058" s="1" t="str">
        <f>HYPERLINK("#2026042016hbase1!AF2","NO 源备存在差异，共2个")</f>
        <v>NO 源备存在差异，共2个</v>
      </c>
      <c r="X1058" t="str">
        <f>A1058</f>
        <v>info_sql_variant_dml_single_pk_drp</v>
      </c>
    </row>
    <row r="1059" spans="1:24">
      <c r="B1059" t="s">
        <v>196</v>
      </c>
      <c r="C1059" t="s">
        <v>197</v>
      </c>
      <c r="D1059" t="s">
        <v>197</v>
      </c>
      <c r="E1059" t="s">
        <v>197</v>
      </c>
      <c r="F1059" t="s">
        <v>197</v>
      </c>
      <c r="G1059" t="s">
        <v>197</v>
      </c>
      <c r="H1059" t="s">
        <v>197</v>
      </c>
      <c r="I1059" t="s">
        <v>1074</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1075</v>
      </c>
      <c r="K1084" t="s">
        <v>1076</v>
      </c>
      <c r="W1084" s="1" t="str">
        <f>HYPERLINK("#2026042016hbase1!AG2","NO 源备存在差异，共4个")</f>
        <v>NO 源备存在差异，共4个</v>
      </c>
      <c r="X1084" t="str">
        <f>A1084</f>
        <v>info_int_dml_batch1_pk_irp1</v>
      </c>
    </row>
    <row r="1085" spans="1:24">
      <c r="B1085" t="s">
        <v>196</v>
      </c>
      <c r="C1085" t="s">
        <v>197</v>
      </c>
      <c r="D1085" t="s">
        <v>197</v>
      </c>
      <c r="E1085" t="s">
        <v>197</v>
      </c>
      <c r="F1085" t="s">
        <v>197</v>
      </c>
      <c r="G1085" t="s">
        <v>197</v>
      </c>
      <c r="H1085" t="s">
        <v>197</v>
      </c>
      <c r="I1085" t="s">
        <v>1077</v>
      </c>
      <c r="J1085" t="s">
        <v>199</v>
      </c>
      <c r="K1085" t="s">
        <v>200</v>
      </c>
    </row>
    <row r="1086" spans="1:24">
      <c r="B1086" t="s">
        <v>197</v>
      </c>
      <c r="C1086" t="s">
        <v>197</v>
      </c>
      <c r="D1086" t="s">
        <v>197</v>
      </c>
      <c r="E1086" t="s">
        <v>197</v>
      </c>
      <c r="F1086" t="s">
        <v>197</v>
      </c>
      <c r="G1086" t="s">
        <v>197</v>
      </c>
      <c r="H1086" t="s">
        <v>197</v>
      </c>
      <c r="I1086" t="s">
        <v>197</v>
      </c>
      <c r="J1086" t="s">
        <v>197</v>
      </c>
      <c r="K1086" t="s">
        <v>549</v>
      </c>
    </row>
    <row r="1087" spans="1:24">
      <c r="B1087" t="s">
        <v>197</v>
      </c>
      <c r="C1087" t="s">
        <v>197</v>
      </c>
      <c r="D1087" t="s">
        <v>197</v>
      </c>
      <c r="E1087" t="s">
        <v>197</v>
      </c>
      <c r="F1087" t="s">
        <v>197</v>
      </c>
      <c r="G1087" t="s">
        <v>197</v>
      </c>
      <c r="H1087" t="s">
        <v>197</v>
      </c>
      <c r="I1087" t="s">
        <v>197</v>
      </c>
      <c r="J1087" t="s">
        <v>197</v>
      </c>
      <c r="K1087" t="s">
        <v>550</v>
      </c>
    </row>
    <row r="1088" spans="1:24">
      <c r="B1088" t="s">
        <v>197</v>
      </c>
      <c r="C1088" t="s">
        <v>197</v>
      </c>
      <c r="D1088" t="s">
        <v>197</v>
      </c>
      <c r="E1088" t="s">
        <v>197</v>
      </c>
      <c r="F1088" t="s">
        <v>197</v>
      </c>
      <c r="G1088" t="s">
        <v>197</v>
      </c>
      <c r="H1088" t="s">
        <v>197</v>
      </c>
      <c r="I1088" t="s">
        <v>197</v>
      </c>
      <c r="J1088" t="s">
        <v>197</v>
      </c>
      <c r="K1088" t="s">
        <v>551</v>
      </c>
    </row>
    <row r="1089" spans="2:11">
      <c r="B1089" t="s">
        <v>197</v>
      </c>
      <c r="C1089" t="s">
        <v>197</v>
      </c>
      <c r="D1089" t="s">
        <v>197</v>
      </c>
      <c r="E1089" t="s">
        <v>197</v>
      </c>
      <c r="F1089" t="s">
        <v>197</v>
      </c>
      <c r="G1089" t="s">
        <v>197</v>
      </c>
      <c r="H1089" t="s">
        <v>197</v>
      </c>
      <c r="I1089" t="s">
        <v>197</v>
      </c>
      <c r="J1089" t="s">
        <v>197</v>
      </c>
      <c r="K1089" t="s">
        <v>552</v>
      </c>
    </row>
    <row r="1090" spans="2:11">
      <c r="B1090" t="s">
        <v>197</v>
      </c>
      <c r="C1090" t="s">
        <v>197</v>
      </c>
      <c r="D1090" t="s">
        <v>197</v>
      </c>
      <c r="E1090" t="s">
        <v>197</v>
      </c>
      <c r="F1090" t="s">
        <v>197</v>
      </c>
      <c r="G1090" t="s">
        <v>197</v>
      </c>
      <c r="H1090" t="s">
        <v>197</v>
      </c>
      <c r="I1090" t="s">
        <v>197</v>
      </c>
      <c r="J1090" t="s">
        <v>197</v>
      </c>
      <c r="K1090" t="s">
        <v>553</v>
      </c>
    </row>
    <row r="1091" spans="2:11">
      <c r="B1091" t="s">
        <v>197</v>
      </c>
      <c r="C1091" t="s">
        <v>197</v>
      </c>
      <c r="D1091" t="s">
        <v>197</v>
      </c>
      <c r="E1091" t="s">
        <v>197</v>
      </c>
      <c r="F1091" t="s">
        <v>197</v>
      </c>
      <c r="G1091" t="s">
        <v>197</v>
      </c>
      <c r="H1091" t="s">
        <v>197</v>
      </c>
      <c r="I1091" t="s">
        <v>197</v>
      </c>
      <c r="J1091" t="s">
        <v>197</v>
      </c>
      <c r="K1091" t="s">
        <v>554</v>
      </c>
    </row>
    <row r="1092" spans="2:11">
      <c r="B1092" t="s">
        <v>197</v>
      </c>
      <c r="C1092" t="s">
        <v>197</v>
      </c>
      <c r="D1092" t="s">
        <v>197</v>
      </c>
      <c r="E1092" t="s">
        <v>197</v>
      </c>
      <c r="F1092" t="s">
        <v>197</v>
      </c>
      <c r="G1092" t="s">
        <v>197</v>
      </c>
      <c r="H1092" t="s">
        <v>197</v>
      </c>
      <c r="I1092" t="s">
        <v>197</v>
      </c>
      <c r="J1092" t="s">
        <v>197</v>
      </c>
      <c r="K1092" t="s">
        <v>555</v>
      </c>
    </row>
    <row r="1093" spans="2:11">
      <c r="B1093" t="s">
        <v>197</v>
      </c>
      <c r="C1093" t="s">
        <v>197</v>
      </c>
      <c r="D1093" t="s">
        <v>197</v>
      </c>
      <c r="E1093" t="s">
        <v>197</v>
      </c>
      <c r="F1093" t="s">
        <v>197</v>
      </c>
      <c r="G1093" t="s">
        <v>197</v>
      </c>
      <c r="H1093" t="s">
        <v>197</v>
      </c>
      <c r="I1093" t="s">
        <v>197</v>
      </c>
      <c r="J1093" t="s">
        <v>197</v>
      </c>
      <c r="K1093" t="s">
        <v>556</v>
      </c>
    </row>
    <row r="1094" spans="2:11">
      <c r="B1094" t="s">
        <v>197</v>
      </c>
      <c r="C1094" t="s">
        <v>197</v>
      </c>
      <c r="D1094" t="s">
        <v>197</v>
      </c>
      <c r="E1094" t="s">
        <v>197</v>
      </c>
      <c r="F1094" t="s">
        <v>197</v>
      </c>
      <c r="G1094" t="s">
        <v>197</v>
      </c>
      <c r="H1094" t="s">
        <v>197</v>
      </c>
      <c r="I1094" t="s">
        <v>197</v>
      </c>
      <c r="J1094" t="s">
        <v>197</v>
      </c>
      <c r="K1094" t="s">
        <v>557</v>
      </c>
    </row>
    <row r="1095" spans="2:11">
      <c r="B1095" t="s">
        <v>197</v>
      </c>
      <c r="C1095" t="s">
        <v>197</v>
      </c>
      <c r="D1095" t="s">
        <v>197</v>
      </c>
      <c r="E1095" t="s">
        <v>197</v>
      </c>
      <c r="F1095" t="s">
        <v>197</v>
      </c>
      <c r="G1095" t="s">
        <v>197</v>
      </c>
      <c r="H1095" t="s">
        <v>197</v>
      </c>
      <c r="I1095" t="s">
        <v>197</v>
      </c>
      <c r="J1095" t="s">
        <v>197</v>
      </c>
      <c r="K1095" t="s">
        <v>558</v>
      </c>
    </row>
    <row r="1096" spans="2:11">
      <c r="B1096" t="s">
        <v>197</v>
      </c>
      <c r="C1096" t="s">
        <v>197</v>
      </c>
      <c r="D1096" t="s">
        <v>197</v>
      </c>
      <c r="E1096" t="s">
        <v>197</v>
      </c>
      <c r="F1096" t="s">
        <v>197</v>
      </c>
      <c r="G1096" t="s">
        <v>197</v>
      </c>
      <c r="H1096" t="s">
        <v>197</v>
      </c>
      <c r="I1096" t="s">
        <v>197</v>
      </c>
      <c r="J1096" t="s">
        <v>197</v>
      </c>
      <c r="K1096" t="s">
        <v>559</v>
      </c>
    </row>
    <row r="1097" spans="2:11">
      <c r="B1097" t="s">
        <v>197</v>
      </c>
      <c r="C1097" t="s">
        <v>197</v>
      </c>
      <c r="D1097" t="s">
        <v>197</v>
      </c>
      <c r="E1097" t="s">
        <v>197</v>
      </c>
      <c r="F1097" t="s">
        <v>197</v>
      </c>
      <c r="G1097" t="s">
        <v>197</v>
      </c>
      <c r="H1097" t="s">
        <v>197</v>
      </c>
      <c r="I1097" t="s">
        <v>197</v>
      </c>
      <c r="J1097" t="s">
        <v>197</v>
      </c>
      <c r="K1097" t="s">
        <v>560</v>
      </c>
    </row>
    <row r="1098" spans="2:11">
      <c r="B1098" t="s">
        <v>197</v>
      </c>
      <c r="C1098" t="s">
        <v>197</v>
      </c>
      <c r="D1098" t="s">
        <v>197</v>
      </c>
      <c r="E1098" t="s">
        <v>197</v>
      </c>
      <c r="F1098" t="s">
        <v>197</v>
      </c>
      <c r="G1098" t="s">
        <v>197</v>
      </c>
      <c r="H1098" t="s">
        <v>197</v>
      </c>
      <c r="I1098" t="s">
        <v>197</v>
      </c>
      <c r="J1098" t="s">
        <v>197</v>
      </c>
      <c r="K1098" t="s">
        <v>561</v>
      </c>
    </row>
    <row r="1099" spans="2:11">
      <c r="B1099" t="s">
        <v>197</v>
      </c>
      <c r="C1099" t="s">
        <v>197</v>
      </c>
      <c r="D1099" t="s">
        <v>197</v>
      </c>
      <c r="E1099" t="s">
        <v>197</v>
      </c>
      <c r="F1099" t="s">
        <v>197</v>
      </c>
      <c r="G1099" t="s">
        <v>197</v>
      </c>
      <c r="H1099" t="s">
        <v>197</v>
      </c>
      <c r="I1099" t="s">
        <v>197</v>
      </c>
      <c r="J1099" t="s">
        <v>197</v>
      </c>
      <c r="K1099" t="s">
        <v>562</v>
      </c>
    </row>
    <row r="1100" spans="2:11">
      <c r="B1100" t="s">
        <v>197</v>
      </c>
      <c r="C1100" t="s">
        <v>197</v>
      </c>
      <c r="D1100" t="s">
        <v>197</v>
      </c>
      <c r="E1100" t="s">
        <v>197</v>
      </c>
      <c r="F1100" t="s">
        <v>197</v>
      </c>
      <c r="G1100" t="s">
        <v>197</v>
      </c>
      <c r="H1100" t="s">
        <v>197</v>
      </c>
      <c r="I1100" t="s">
        <v>197</v>
      </c>
      <c r="J1100" t="s">
        <v>197</v>
      </c>
      <c r="K1100" t="s">
        <v>563</v>
      </c>
    </row>
    <row r="1101" spans="2:11">
      <c r="B1101" t="s">
        <v>197</v>
      </c>
      <c r="C1101" t="s">
        <v>197</v>
      </c>
      <c r="D1101" t="s">
        <v>197</v>
      </c>
      <c r="E1101" t="s">
        <v>197</v>
      </c>
      <c r="F1101" t="s">
        <v>197</v>
      </c>
      <c r="G1101" t="s">
        <v>197</v>
      </c>
      <c r="H1101" t="s">
        <v>197</v>
      </c>
      <c r="I1101" t="s">
        <v>197</v>
      </c>
      <c r="J1101" t="s">
        <v>197</v>
      </c>
      <c r="K1101" t="s">
        <v>564</v>
      </c>
    </row>
    <row r="1102" spans="2:11">
      <c r="B1102" t="s">
        <v>197</v>
      </c>
      <c r="C1102" t="s">
        <v>197</v>
      </c>
      <c r="D1102" t="s">
        <v>197</v>
      </c>
      <c r="E1102" t="s">
        <v>197</v>
      </c>
      <c r="F1102" t="s">
        <v>197</v>
      </c>
      <c r="G1102" t="s">
        <v>197</v>
      </c>
      <c r="H1102" t="s">
        <v>197</v>
      </c>
      <c r="I1102" t="s">
        <v>197</v>
      </c>
      <c r="J1102" t="s">
        <v>197</v>
      </c>
      <c r="K1102" t="s">
        <v>565</v>
      </c>
    </row>
    <row r="1103" spans="2:11">
      <c r="B1103" t="s">
        <v>197</v>
      </c>
      <c r="C1103" t="s">
        <v>197</v>
      </c>
      <c r="D1103" t="s">
        <v>197</v>
      </c>
      <c r="E1103" t="s">
        <v>197</v>
      </c>
      <c r="F1103" t="s">
        <v>197</v>
      </c>
      <c r="G1103" t="s">
        <v>197</v>
      </c>
      <c r="H1103" t="s">
        <v>197</v>
      </c>
      <c r="I1103" t="s">
        <v>197</v>
      </c>
      <c r="J1103" t="s">
        <v>197</v>
      </c>
      <c r="K1103" t="s">
        <v>566</v>
      </c>
    </row>
    <row r="1104" spans="2:11">
      <c r="B1104" t="s">
        <v>197</v>
      </c>
      <c r="C1104" t="s">
        <v>197</v>
      </c>
      <c r="D1104" t="s">
        <v>197</v>
      </c>
      <c r="E1104" t="s">
        <v>197</v>
      </c>
      <c r="F1104" t="s">
        <v>197</v>
      </c>
      <c r="G1104" t="s">
        <v>197</v>
      </c>
      <c r="H1104" t="s">
        <v>197</v>
      </c>
      <c r="I1104" t="s">
        <v>197</v>
      </c>
      <c r="J1104" t="s">
        <v>197</v>
      </c>
      <c r="K1104" t="s">
        <v>567</v>
      </c>
    </row>
    <row r="1105" spans="1:24">
      <c r="A1105" t="s">
        <v>1081</v>
      </c>
      <c r="K1105" t="s">
        <v>1082</v>
      </c>
      <c r="W1105" t="s">
        <v>171</v>
      </c>
      <c r="X1105" t="str">
        <f>A1105</f>
        <v>info_nvarchar_dml_batch2_pk_irp1</v>
      </c>
    </row>
    <row r="1106" spans="1:24">
      <c r="B1106" t="s">
        <v>196</v>
      </c>
      <c r="C1106" t="s">
        <v>197</v>
      </c>
      <c r="D1106" t="s">
        <v>197</v>
      </c>
      <c r="E1106" t="s">
        <v>197</v>
      </c>
      <c r="F1106" t="s">
        <v>197</v>
      </c>
      <c r="G1106" t="s">
        <v>197</v>
      </c>
      <c r="H1106" t="s">
        <v>197</v>
      </c>
      <c r="I1106" t="s">
        <v>1083</v>
      </c>
      <c r="J1106" t="s">
        <v>199</v>
      </c>
      <c r="K1106" t="s">
        <v>200</v>
      </c>
    </row>
    <row r="1107" spans="1:24">
      <c r="B1107" t="s">
        <v>197</v>
      </c>
      <c r="C1107" t="s">
        <v>197</v>
      </c>
      <c r="D1107" t="s">
        <v>197</v>
      </c>
      <c r="E1107" t="s">
        <v>197</v>
      </c>
      <c r="F1107" t="s">
        <v>197</v>
      </c>
      <c r="G1107" t="s">
        <v>197</v>
      </c>
      <c r="H1107" t="s">
        <v>197</v>
      </c>
      <c r="I1107" t="s">
        <v>197</v>
      </c>
      <c r="J1107" t="s">
        <v>197</v>
      </c>
      <c r="K1107" t="s">
        <v>408</v>
      </c>
    </row>
    <row r="1108" spans="1:24">
      <c r="B1108" t="s">
        <v>197</v>
      </c>
      <c r="C1108" t="s">
        <v>197</v>
      </c>
      <c r="D1108" t="s">
        <v>197</v>
      </c>
      <c r="E1108" t="s">
        <v>197</v>
      </c>
      <c r="F1108" t="s">
        <v>197</v>
      </c>
      <c r="G1108" t="s">
        <v>197</v>
      </c>
      <c r="H1108" t="s">
        <v>197</v>
      </c>
      <c r="I1108" t="s">
        <v>197</v>
      </c>
      <c r="J1108" t="s">
        <v>197</v>
      </c>
      <c r="K1108" t="s">
        <v>412</v>
      </c>
    </row>
    <row r="1109" spans="1:24">
      <c r="B1109" t="s">
        <v>197</v>
      </c>
      <c r="C1109" t="s">
        <v>197</v>
      </c>
      <c r="D1109" t="s">
        <v>197</v>
      </c>
      <c r="E1109" t="s">
        <v>197</v>
      </c>
      <c r="F1109" t="s">
        <v>197</v>
      </c>
      <c r="G1109" t="s">
        <v>197</v>
      </c>
      <c r="H1109" t="s">
        <v>197</v>
      </c>
      <c r="I1109" t="s">
        <v>197</v>
      </c>
      <c r="J1109" t="s">
        <v>197</v>
      </c>
      <c r="K1109" t="s">
        <v>416</v>
      </c>
    </row>
    <row r="1110" spans="1:24">
      <c r="A1110" t="s">
        <v>1078</v>
      </c>
      <c r="K1110" t="s">
        <v>1079</v>
      </c>
      <c r="W1110" t="s">
        <v>171</v>
      </c>
      <c r="X1110" t="str">
        <f>A1110</f>
        <v>info_uniqueidentifier_dml_single_pk_urp</v>
      </c>
    </row>
    <row r="1111" spans="1:24">
      <c r="B1111" t="s">
        <v>196</v>
      </c>
      <c r="C1111" t="s">
        <v>197</v>
      </c>
      <c r="D1111" t="s">
        <v>197</v>
      </c>
      <c r="E1111" t="s">
        <v>197</v>
      </c>
      <c r="F1111" t="s">
        <v>197</v>
      </c>
      <c r="G1111" t="s">
        <v>197</v>
      </c>
      <c r="H1111" t="s">
        <v>197</v>
      </c>
      <c r="I1111" t="s">
        <v>1080</v>
      </c>
      <c r="J1111" t="s">
        <v>199</v>
      </c>
      <c r="K1111" t="s">
        <v>200</v>
      </c>
    </row>
    <row r="1112" spans="1:24">
      <c r="B1112" t="s">
        <v>197</v>
      </c>
      <c r="C1112" t="s">
        <v>197</v>
      </c>
      <c r="D1112" t="s">
        <v>197</v>
      </c>
      <c r="E1112" t="s">
        <v>197</v>
      </c>
      <c r="F1112" t="s">
        <v>197</v>
      </c>
      <c r="G1112" t="s">
        <v>197</v>
      </c>
      <c r="H1112" t="s">
        <v>197</v>
      </c>
      <c r="I1112" t="s">
        <v>197</v>
      </c>
      <c r="J1112" t="s">
        <v>197</v>
      </c>
      <c r="K1112" t="s">
        <v>1039</v>
      </c>
    </row>
    <row r="1113" spans="1:24">
      <c r="A1113" t="s">
        <v>1084</v>
      </c>
      <c r="K1113" t="s">
        <v>1085</v>
      </c>
      <c r="W1113" t="s">
        <v>171</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1087</v>
      </c>
      <c r="K1123" t="s">
        <v>1088</v>
      </c>
      <c r="W1123" s="1" t="str">
        <f>HYPERLINK("#2026042016hbase1!AH2","NO 源备存在差异，共4个")</f>
        <v>NO 源备存在差异，共4个</v>
      </c>
      <c r="X1123" t="str">
        <f>A1123</f>
        <v>info_geography_dml_single_pk_urp</v>
      </c>
    </row>
    <row r="1124" spans="1:24">
      <c r="B1124" t="s">
        <v>196</v>
      </c>
      <c r="C1124" t="s">
        <v>197</v>
      </c>
      <c r="D1124" t="s">
        <v>197</v>
      </c>
      <c r="E1124" t="s">
        <v>197</v>
      </c>
      <c r="F1124" t="s">
        <v>197</v>
      </c>
      <c r="G1124" t="s">
        <v>197</v>
      </c>
      <c r="H1124" t="s">
        <v>197</v>
      </c>
      <c r="I1124" t="s">
        <v>1089</v>
      </c>
      <c r="J1124" t="s">
        <v>199</v>
      </c>
      <c r="K1124" t="s">
        <v>200</v>
      </c>
    </row>
    <row r="1125" spans="1:24">
      <c r="B1125" t="s">
        <v>197</v>
      </c>
      <c r="C1125" t="s">
        <v>197</v>
      </c>
      <c r="D1125" t="s">
        <v>197</v>
      </c>
      <c r="E1125" t="s">
        <v>197</v>
      </c>
      <c r="F1125" t="s">
        <v>197</v>
      </c>
      <c r="G1125" t="s">
        <v>197</v>
      </c>
      <c r="H1125" t="s">
        <v>197</v>
      </c>
      <c r="I1125" t="s">
        <v>197</v>
      </c>
      <c r="J1125" t="s">
        <v>197</v>
      </c>
      <c r="K1125" t="s">
        <v>1052</v>
      </c>
    </row>
    <row r="1126" spans="1:24">
      <c r="A1126" t="s">
        <v>1090</v>
      </c>
      <c r="K1126" t="s">
        <v>1091</v>
      </c>
      <c r="W1126" t="s">
        <v>171</v>
      </c>
      <c r="X1126" t="str">
        <f>A1126</f>
        <v>info_time_dml_batch2_pk_irp2</v>
      </c>
    </row>
    <row r="1127" spans="1:24">
      <c r="B1127" t="s">
        <v>196</v>
      </c>
      <c r="C1127" t="s">
        <v>197</v>
      </c>
      <c r="D1127" t="s">
        <v>197</v>
      </c>
      <c r="E1127" t="s">
        <v>197</v>
      </c>
      <c r="F1127" t="s">
        <v>197</v>
      </c>
      <c r="G1127" t="s">
        <v>197</v>
      </c>
      <c r="H1127" t="s">
        <v>197</v>
      </c>
      <c r="I1127" t="s">
        <v>1092</v>
      </c>
      <c r="J1127" t="s">
        <v>199</v>
      </c>
      <c r="K1127" t="s">
        <v>200</v>
      </c>
    </row>
    <row r="1128" spans="1:24">
      <c r="B1128" t="s">
        <v>197</v>
      </c>
      <c r="C1128" t="s">
        <v>197</v>
      </c>
      <c r="D1128" t="s">
        <v>197</v>
      </c>
      <c r="E1128" t="s">
        <v>197</v>
      </c>
      <c r="F1128" t="s">
        <v>197</v>
      </c>
      <c r="G1128" t="s">
        <v>197</v>
      </c>
      <c r="H1128" t="s">
        <v>197</v>
      </c>
      <c r="I1128" t="s">
        <v>197</v>
      </c>
      <c r="J1128" t="s">
        <v>197</v>
      </c>
      <c r="K1128" t="s">
        <v>800</v>
      </c>
    </row>
    <row r="1129" spans="1:24">
      <c r="B1129" t="s">
        <v>197</v>
      </c>
      <c r="C1129" t="s">
        <v>197</v>
      </c>
      <c r="D1129" t="s">
        <v>197</v>
      </c>
      <c r="E1129" t="s">
        <v>197</v>
      </c>
      <c r="F1129" t="s">
        <v>197</v>
      </c>
      <c r="G1129" t="s">
        <v>197</v>
      </c>
      <c r="H1129" t="s">
        <v>197</v>
      </c>
      <c r="I1129" t="s">
        <v>197</v>
      </c>
      <c r="J1129" t="s">
        <v>197</v>
      </c>
      <c r="K1129" t="s">
        <v>801</v>
      </c>
    </row>
    <row r="1130" spans="1:24">
      <c r="B1130" t="s">
        <v>197</v>
      </c>
      <c r="C1130" t="s">
        <v>197</v>
      </c>
      <c r="D1130" t="s">
        <v>197</v>
      </c>
      <c r="E1130" t="s">
        <v>197</v>
      </c>
      <c r="F1130" t="s">
        <v>197</v>
      </c>
      <c r="G1130" t="s">
        <v>197</v>
      </c>
      <c r="H1130" t="s">
        <v>197</v>
      </c>
      <c r="I1130" t="s">
        <v>197</v>
      </c>
      <c r="J1130" t="s">
        <v>197</v>
      </c>
      <c r="K1130" t="s">
        <v>802</v>
      </c>
    </row>
    <row r="1131" spans="1:24">
      <c r="B1131" t="s">
        <v>197</v>
      </c>
      <c r="C1131" t="s">
        <v>197</v>
      </c>
      <c r="D1131" t="s">
        <v>197</v>
      </c>
      <c r="E1131" t="s">
        <v>197</v>
      </c>
      <c r="F1131" t="s">
        <v>197</v>
      </c>
      <c r="G1131" t="s">
        <v>197</v>
      </c>
      <c r="H1131" t="s">
        <v>197</v>
      </c>
      <c r="I1131" t="s">
        <v>197</v>
      </c>
      <c r="J1131" t="s">
        <v>197</v>
      </c>
      <c r="K1131" t="s">
        <v>803</v>
      </c>
    </row>
    <row r="1132" spans="1:24">
      <c r="B1132" t="s">
        <v>197</v>
      </c>
      <c r="C1132" t="s">
        <v>197</v>
      </c>
      <c r="D1132" t="s">
        <v>197</v>
      </c>
      <c r="E1132" t="s">
        <v>197</v>
      </c>
      <c r="F1132" t="s">
        <v>197</v>
      </c>
      <c r="G1132" t="s">
        <v>197</v>
      </c>
      <c r="H1132" t="s">
        <v>197</v>
      </c>
      <c r="I1132" t="s">
        <v>197</v>
      </c>
      <c r="J1132" t="s">
        <v>197</v>
      </c>
      <c r="K1132" t="s">
        <v>804</v>
      </c>
    </row>
    <row r="1133" spans="1:24">
      <c r="B1133" t="s">
        <v>197</v>
      </c>
      <c r="C1133" t="s">
        <v>197</v>
      </c>
      <c r="D1133" t="s">
        <v>197</v>
      </c>
      <c r="E1133" t="s">
        <v>197</v>
      </c>
      <c r="F1133" t="s">
        <v>197</v>
      </c>
      <c r="G1133" t="s">
        <v>197</v>
      </c>
      <c r="H1133" t="s">
        <v>197</v>
      </c>
      <c r="I1133" t="s">
        <v>197</v>
      </c>
      <c r="J1133" t="s">
        <v>197</v>
      </c>
      <c r="K1133" t="s">
        <v>805</v>
      </c>
    </row>
    <row r="1134" spans="1:24">
      <c r="B1134" t="s">
        <v>197</v>
      </c>
      <c r="C1134" t="s">
        <v>197</v>
      </c>
      <c r="D1134" t="s">
        <v>197</v>
      </c>
      <c r="E1134" t="s">
        <v>197</v>
      </c>
      <c r="F1134" t="s">
        <v>197</v>
      </c>
      <c r="G1134" t="s">
        <v>197</v>
      </c>
      <c r="H1134" t="s">
        <v>197</v>
      </c>
      <c r="I1134" t="s">
        <v>197</v>
      </c>
      <c r="J1134" t="s">
        <v>197</v>
      </c>
      <c r="K1134" t="s">
        <v>806</v>
      </c>
    </row>
    <row r="1135" spans="1:24">
      <c r="B1135" t="s">
        <v>197</v>
      </c>
      <c r="C1135" t="s">
        <v>197</v>
      </c>
      <c r="D1135" t="s">
        <v>197</v>
      </c>
      <c r="E1135" t="s">
        <v>197</v>
      </c>
      <c r="F1135" t="s">
        <v>197</v>
      </c>
      <c r="G1135" t="s">
        <v>197</v>
      </c>
      <c r="H1135" t="s">
        <v>197</v>
      </c>
      <c r="I1135" t="s">
        <v>197</v>
      </c>
      <c r="J1135" t="s">
        <v>197</v>
      </c>
      <c r="K1135" t="s">
        <v>807</v>
      </c>
    </row>
    <row r="1136" spans="1:24">
      <c r="A1136" t="s">
        <v>1093</v>
      </c>
      <c r="K1136" t="s">
        <v>1094</v>
      </c>
      <c r="W1136" t="s">
        <v>171</v>
      </c>
      <c r="X1136" t="str">
        <f>A1136</f>
        <v>info_varbinary_dml_batch2_pk_irp1</v>
      </c>
    </row>
    <row r="1137" spans="1:24">
      <c r="B1137" t="s">
        <v>196</v>
      </c>
      <c r="C1137" t="s">
        <v>197</v>
      </c>
      <c r="D1137" t="s">
        <v>197</v>
      </c>
      <c r="E1137" t="s">
        <v>197</v>
      </c>
      <c r="F1137" t="s">
        <v>197</v>
      </c>
      <c r="G1137" t="s">
        <v>197</v>
      </c>
      <c r="H1137" t="s">
        <v>197</v>
      </c>
      <c r="I1137" t="s">
        <v>1095</v>
      </c>
      <c r="J1137" t="s">
        <v>199</v>
      </c>
      <c r="K1137" t="s">
        <v>200</v>
      </c>
    </row>
    <row r="1138" spans="1:24">
      <c r="B1138" t="s">
        <v>197</v>
      </c>
      <c r="C1138" t="s">
        <v>197</v>
      </c>
      <c r="D1138" t="s">
        <v>197</v>
      </c>
      <c r="E1138" t="s">
        <v>197</v>
      </c>
      <c r="F1138" t="s">
        <v>197</v>
      </c>
      <c r="G1138" t="s">
        <v>197</v>
      </c>
      <c r="H1138" t="s">
        <v>197</v>
      </c>
      <c r="I1138" t="s">
        <v>197</v>
      </c>
      <c r="J1138" t="s">
        <v>197</v>
      </c>
      <c r="K1138" t="s">
        <v>495</v>
      </c>
    </row>
    <row r="1139" spans="1:24">
      <c r="B1139" t="s">
        <v>197</v>
      </c>
      <c r="C1139" t="s">
        <v>197</v>
      </c>
      <c r="D1139" t="s">
        <v>197</v>
      </c>
      <c r="E1139" t="s">
        <v>197</v>
      </c>
      <c r="F1139" t="s">
        <v>197</v>
      </c>
      <c r="G1139" t="s">
        <v>197</v>
      </c>
      <c r="H1139" t="s">
        <v>197</v>
      </c>
      <c r="I1139" t="s">
        <v>197</v>
      </c>
      <c r="J1139" t="s">
        <v>197</v>
      </c>
      <c r="K1139" t="s">
        <v>499</v>
      </c>
    </row>
    <row r="1140" spans="1:24">
      <c r="B1140" t="s">
        <v>197</v>
      </c>
      <c r="C1140" t="s">
        <v>197</v>
      </c>
      <c r="D1140" t="s">
        <v>197</v>
      </c>
      <c r="E1140" t="s">
        <v>197</v>
      </c>
      <c r="F1140" t="s">
        <v>197</v>
      </c>
      <c r="G1140" t="s">
        <v>197</v>
      </c>
      <c r="H1140" t="s">
        <v>197</v>
      </c>
      <c r="I1140" t="s">
        <v>197</v>
      </c>
      <c r="J1140" t="s">
        <v>197</v>
      </c>
      <c r="K1140" t="s">
        <v>503</v>
      </c>
    </row>
    <row r="1141" spans="1:24">
      <c r="A1141" t="s">
        <v>1096</v>
      </c>
      <c r="K1141" t="s">
        <v>1097</v>
      </c>
      <c r="W1141" t="s">
        <v>171</v>
      </c>
      <c r="X1141" t="str">
        <f>A1141</f>
        <v>info_time_dml_batch1_pk_urp1</v>
      </c>
    </row>
    <row r="1142" spans="1:24">
      <c r="B1142" t="s">
        <v>196</v>
      </c>
      <c r="C1142" t="s">
        <v>197</v>
      </c>
      <c r="D1142" t="s">
        <v>197</v>
      </c>
      <c r="E1142" t="s">
        <v>197</v>
      </c>
      <c r="F1142" t="s">
        <v>197</v>
      </c>
      <c r="G1142" t="s">
        <v>197</v>
      </c>
      <c r="H1142" t="s">
        <v>197</v>
      </c>
      <c r="I1142" t="s">
        <v>1098</v>
      </c>
      <c r="J1142" t="s">
        <v>199</v>
      </c>
      <c r="K1142" t="s">
        <v>200</v>
      </c>
    </row>
    <row r="1143" spans="1:24">
      <c r="B1143" t="s">
        <v>197</v>
      </c>
      <c r="C1143" t="s">
        <v>197</v>
      </c>
      <c r="D1143" t="s">
        <v>197</v>
      </c>
      <c r="E1143" t="s">
        <v>197</v>
      </c>
      <c r="F1143" t="s">
        <v>197</v>
      </c>
      <c r="G1143" t="s">
        <v>197</v>
      </c>
      <c r="H1143" t="s">
        <v>197</v>
      </c>
      <c r="I1143" t="s">
        <v>197</v>
      </c>
      <c r="J1143" t="s">
        <v>197</v>
      </c>
      <c r="K1143" t="s">
        <v>800</v>
      </c>
    </row>
    <row r="1144" spans="1:24">
      <c r="B1144" t="s">
        <v>197</v>
      </c>
      <c r="C1144" t="s">
        <v>197</v>
      </c>
      <c r="D1144" t="s">
        <v>197</v>
      </c>
      <c r="E1144" t="s">
        <v>197</v>
      </c>
      <c r="F1144" t="s">
        <v>197</v>
      </c>
      <c r="G1144" t="s">
        <v>197</v>
      </c>
      <c r="H1144" t="s">
        <v>197</v>
      </c>
      <c r="I1144" t="s">
        <v>197</v>
      </c>
      <c r="J1144" t="s">
        <v>197</v>
      </c>
      <c r="K1144" t="s">
        <v>801</v>
      </c>
    </row>
    <row r="1145" spans="1:24">
      <c r="B1145" t="s">
        <v>197</v>
      </c>
      <c r="C1145" t="s">
        <v>197</v>
      </c>
      <c r="D1145" t="s">
        <v>197</v>
      </c>
      <c r="E1145" t="s">
        <v>197</v>
      </c>
      <c r="F1145" t="s">
        <v>197</v>
      </c>
      <c r="G1145" t="s">
        <v>197</v>
      </c>
      <c r="H1145" t="s">
        <v>197</v>
      </c>
      <c r="I1145" t="s">
        <v>197</v>
      </c>
      <c r="J1145" t="s">
        <v>197</v>
      </c>
      <c r="K1145" t="s">
        <v>802</v>
      </c>
    </row>
    <row r="1146" spans="1:24">
      <c r="B1146" t="s">
        <v>197</v>
      </c>
      <c r="C1146" t="s">
        <v>197</v>
      </c>
      <c r="D1146" t="s">
        <v>197</v>
      </c>
      <c r="E1146" t="s">
        <v>197</v>
      </c>
      <c r="F1146" t="s">
        <v>197</v>
      </c>
      <c r="G1146" t="s">
        <v>197</v>
      </c>
      <c r="H1146" t="s">
        <v>197</v>
      </c>
      <c r="I1146" t="s">
        <v>197</v>
      </c>
      <c r="J1146" t="s">
        <v>197</v>
      </c>
      <c r="K1146" t="s">
        <v>803</v>
      </c>
    </row>
    <row r="1147" spans="1:24">
      <c r="B1147" t="s">
        <v>197</v>
      </c>
      <c r="C1147" t="s">
        <v>197</v>
      </c>
      <c r="D1147" t="s">
        <v>197</v>
      </c>
      <c r="E1147" t="s">
        <v>197</v>
      </c>
      <c r="F1147" t="s">
        <v>197</v>
      </c>
      <c r="G1147" t="s">
        <v>197</v>
      </c>
      <c r="H1147" t="s">
        <v>197</v>
      </c>
      <c r="I1147" t="s">
        <v>197</v>
      </c>
      <c r="J1147" t="s">
        <v>197</v>
      </c>
      <c r="K1147" t="s">
        <v>804</v>
      </c>
    </row>
    <row r="1148" spans="1:24">
      <c r="B1148" t="s">
        <v>197</v>
      </c>
      <c r="C1148" t="s">
        <v>197</v>
      </c>
      <c r="D1148" t="s">
        <v>197</v>
      </c>
      <c r="E1148" t="s">
        <v>197</v>
      </c>
      <c r="F1148" t="s">
        <v>197</v>
      </c>
      <c r="G1148" t="s">
        <v>197</v>
      </c>
      <c r="H1148" t="s">
        <v>197</v>
      </c>
      <c r="I1148" t="s">
        <v>197</v>
      </c>
      <c r="J1148" t="s">
        <v>197</v>
      </c>
      <c r="K1148" t="s">
        <v>805</v>
      </c>
    </row>
    <row r="1149" spans="1:24">
      <c r="B1149" t="s">
        <v>197</v>
      </c>
      <c r="C1149" t="s">
        <v>197</v>
      </c>
      <c r="D1149" t="s">
        <v>197</v>
      </c>
      <c r="E1149" t="s">
        <v>197</v>
      </c>
      <c r="F1149" t="s">
        <v>197</v>
      </c>
      <c r="G1149" t="s">
        <v>197</v>
      </c>
      <c r="H1149" t="s">
        <v>197</v>
      </c>
      <c r="I1149" t="s">
        <v>197</v>
      </c>
      <c r="J1149" t="s">
        <v>197</v>
      </c>
      <c r="K1149" t="s">
        <v>806</v>
      </c>
    </row>
    <row r="1150" spans="1:24">
      <c r="B1150" t="s">
        <v>197</v>
      </c>
      <c r="C1150" t="s">
        <v>197</v>
      </c>
      <c r="D1150" t="s">
        <v>197</v>
      </c>
      <c r="E1150" t="s">
        <v>197</v>
      </c>
      <c r="F1150" t="s">
        <v>197</v>
      </c>
      <c r="G1150" t="s">
        <v>197</v>
      </c>
      <c r="H1150" t="s">
        <v>197</v>
      </c>
      <c r="I1150" t="s">
        <v>197</v>
      </c>
      <c r="J1150" t="s">
        <v>197</v>
      </c>
      <c r="K1150" t="s">
        <v>807</v>
      </c>
    </row>
    <row r="1151" spans="1:24">
      <c r="A1151" t="s">
        <v>1099</v>
      </c>
      <c r="K1151" t="s">
        <v>1100</v>
      </c>
      <c r="W1151" s="1" t="str">
        <f>HYPERLINK("#2026042016hbase1!AI2","NO 源备存在差异，共2个")</f>
        <v>NO 源备存在差异，共2个</v>
      </c>
      <c r="X1151" t="str">
        <f>A1151</f>
        <v>info_sql_variant_dml_single_pk</v>
      </c>
    </row>
    <row r="1152" spans="1:24">
      <c r="B1152" t="s">
        <v>196</v>
      </c>
      <c r="C1152" t="s">
        <v>197</v>
      </c>
      <c r="D1152" t="s">
        <v>197</v>
      </c>
      <c r="E1152" t="s">
        <v>197</v>
      </c>
      <c r="F1152" t="s">
        <v>197</v>
      </c>
      <c r="G1152" t="s">
        <v>197</v>
      </c>
      <c r="H1152" t="s">
        <v>197</v>
      </c>
      <c r="I1152" t="s">
        <v>1101</v>
      </c>
      <c r="J1152" t="s">
        <v>199</v>
      </c>
      <c r="K1152" t="s">
        <v>200</v>
      </c>
    </row>
    <row r="1153" spans="2:11">
      <c r="B1153" t="s">
        <v>197</v>
      </c>
      <c r="C1153" t="s">
        <v>197</v>
      </c>
      <c r="D1153" t="s">
        <v>197</v>
      </c>
      <c r="E1153" t="s">
        <v>197</v>
      </c>
      <c r="F1153" t="s">
        <v>197</v>
      </c>
      <c r="G1153" t="s">
        <v>197</v>
      </c>
      <c r="H1153" t="s">
        <v>197</v>
      </c>
      <c r="I1153" t="s">
        <v>197</v>
      </c>
      <c r="J1153" t="s">
        <v>197</v>
      </c>
      <c r="K1153" t="s">
        <v>1006</v>
      </c>
    </row>
    <row r="1154" spans="2:11">
      <c r="B1154" t="s">
        <v>197</v>
      </c>
      <c r="C1154" t="s">
        <v>197</v>
      </c>
      <c r="D1154" t="s">
        <v>197</v>
      </c>
      <c r="E1154" t="s">
        <v>197</v>
      </c>
      <c r="F1154" t="s">
        <v>197</v>
      </c>
      <c r="G1154" t="s">
        <v>197</v>
      </c>
      <c r="H1154" t="s">
        <v>197</v>
      </c>
      <c r="I1154" t="s">
        <v>197</v>
      </c>
      <c r="J1154" t="s">
        <v>197</v>
      </c>
      <c r="K1154" t="s">
        <v>1007</v>
      </c>
    </row>
    <row r="1155" spans="2:11">
      <c r="B1155" t="s">
        <v>197</v>
      </c>
      <c r="C1155" t="s">
        <v>197</v>
      </c>
      <c r="D1155" t="s">
        <v>197</v>
      </c>
      <c r="E1155" t="s">
        <v>197</v>
      </c>
      <c r="F1155" t="s">
        <v>197</v>
      </c>
      <c r="G1155" t="s">
        <v>197</v>
      </c>
      <c r="H1155" t="s">
        <v>197</v>
      </c>
      <c r="I1155" t="s">
        <v>197</v>
      </c>
      <c r="J1155" t="s">
        <v>197</v>
      </c>
      <c r="K1155" t="s">
        <v>1008</v>
      </c>
    </row>
    <row r="1156" spans="2:11">
      <c r="B1156" t="s">
        <v>197</v>
      </c>
      <c r="C1156" t="s">
        <v>197</v>
      </c>
      <c r="D1156" t="s">
        <v>197</v>
      </c>
      <c r="E1156" t="s">
        <v>197</v>
      </c>
      <c r="F1156" t="s">
        <v>197</v>
      </c>
      <c r="G1156" t="s">
        <v>197</v>
      </c>
      <c r="H1156" t="s">
        <v>197</v>
      </c>
      <c r="I1156" t="s">
        <v>197</v>
      </c>
      <c r="J1156" t="s">
        <v>197</v>
      </c>
      <c r="K1156" t="s">
        <v>1009</v>
      </c>
    </row>
    <row r="1157" spans="2:11">
      <c r="B1157" t="s">
        <v>197</v>
      </c>
      <c r="C1157" t="s">
        <v>197</v>
      </c>
      <c r="D1157" t="s">
        <v>197</v>
      </c>
      <c r="E1157" t="s">
        <v>197</v>
      </c>
      <c r="F1157" t="s">
        <v>197</v>
      </c>
      <c r="G1157" t="s">
        <v>197</v>
      </c>
      <c r="H1157" t="s">
        <v>197</v>
      </c>
      <c r="I1157" t="s">
        <v>197</v>
      </c>
      <c r="J1157" t="s">
        <v>197</v>
      </c>
      <c r="K1157" t="s">
        <v>1010</v>
      </c>
    </row>
    <row r="1158" spans="2:11">
      <c r="B1158" t="s">
        <v>197</v>
      </c>
      <c r="C1158" t="s">
        <v>197</v>
      </c>
      <c r="D1158" t="s">
        <v>197</v>
      </c>
      <c r="E1158" t="s">
        <v>197</v>
      </c>
      <c r="F1158" t="s">
        <v>197</v>
      </c>
      <c r="G1158" t="s">
        <v>197</v>
      </c>
      <c r="H1158" t="s">
        <v>197</v>
      </c>
      <c r="I1158" t="s">
        <v>197</v>
      </c>
      <c r="J1158" t="s">
        <v>197</v>
      </c>
      <c r="K1158" t="s">
        <v>1011</v>
      </c>
    </row>
    <row r="1159" spans="2:11">
      <c r="B1159" t="s">
        <v>197</v>
      </c>
      <c r="C1159" t="s">
        <v>197</v>
      </c>
      <c r="D1159" t="s">
        <v>197</v>
      </c>
      <c r="E1159" t="s">
        <v>197</v>
      </c>
      <c r="F1159" t="s">
        <v>197</v>
      </c>
      <c r="G1159" t="s">
        <v>197</v>
      </c>
      <c r="H1159" t="s">
        <v>197</v>
      </c>
      <c r="I1159" t="s">
        <v>197</v>
      </c>
      <c r="J1159" t="s">
        <v>197</v>
      </c>
      <c r="K1159" t="s">
        <v>1012</v>
      </c>
    </row>
    <row r="1160" spans="2:11">
      <c r="B1160" t="s">
        <v>197</v>
      </c>
      <c r="C1160" t="s">
        <v>197</v>
      </c>
      <c r="D1160" t="s">
        <v>197</v>
      </c>
      <c r="E1160" t="s">
        <v>197</v>
      </c>
      <c r="F1160" t="s">
        <v>197</v>
      </c>
      <c r="G1160" t="s">
        <v>197</v>
      </c>
      <c r="H1160" t="s">
        <v>197</v>
      </c>
      <c r="I1160" t="s">
        <v>197</v>
      </c>
      <c r="J1160" t="s">
        <v>197</v>
      </c>
      <c r="K1160" t="s">
        <v>1013</v>
      </c>
    </row>
    <row r="1161" spans="2:11">
      <c r="B1161" t="s">
        <v>197</v>
      </c>
      <c r="C1161" t="s">
        <v>197</v>
      </c>
      <c r="D1161" t="s">
        <v>197</v>
      </c>
      <c r="E1161" t="s">
        <v>197</v>
      </c>
      <c r="F1161" t="s">
        <v>197</v>
      </c>
      <c r="G1161" t="s">
        <v>197</v>
      </c>
      <c r="H1161" t="s">
        <v>197</v>
      </c>
      <c r="I1161" t="s">
        <v>197</v>
      </c>
      <c r="J1161" t="s">
        <v>197</v>
      </c>
      <c r="K1161" t="s">
        <v>1014</v>
      </c>
    </row>
    <row r="1162" spans="2:11">
      <c r="B1162" t="s">
        <v>197</v>
      </c>
      <c r="C1162" t="s">
        <v>197</v>
      </c>
      <c r="D1162" t="s">
        <v>197</v>
      </c>
      <c r="E1162" t="s">
        <v>197</v>
      </c>
      <c r="F1162" t="s">
        <v>197</v>
      </c>
      <c r="G1162" t="s">
        <v>197</v>
      </c>
      <c r="H1162" t="s">
        <v>197</v>
      </c>
      <c r="I1162" t="s">
        <v>197</v>
      </c>
      <c r="J1162" t="s">
        <v>197</v>
      </c>
      <c r="K1162" t="s">
        <v>1015</v>
      </c>
    </row>
    <row r="1163" spans="2:11">
      <c r="B1163" t="s">
        <v>197</v>
      </c>
      <c r="C1163" t="s">
        <v>197</v>
      </c>
      <c r="D1163" t="s">
        <v>197</v>
      </c>
      <c r="E1163" t="s">
        <v>197</v>
      </c>
      <c r="F1163" t="s">
        <v>197</v>
      </c>
      <c r="G1163" t="s">
        <v>197</v>
      </c>
      <c r="H1163" t="s">
        <v>197</v>
      </c>
      <c r="I1163" t="s">
        <v>197</v>
      </c>
      <c r="J1163" t="s">
        <v>197</v>
      </c>
      <c r="K1163" t="s">
        <v>1016</v>
      </c>
    </row>
    <row r="1164" spans="2:11">
      <c r="B1164" t="s">
        <v>197</v>
      </c>
      <c r="C1164" t="s">
        <v>197</v>
      </c>
      <c r="D1164" t="s">
        <v>197</v>
      </c>
      <c r="E1164" t="s">
        <v>197</v>
      </c>
      <c r="F1164" t="s">
        <v>197</v>
      </c>
      <c r="G1164" t="s">
        <v>197</v>
      </c>
      <c r="H1164" t="s">
        <v>197</v>
      </c>
      <c r="I1164" t="s">
        <v>197</v>
      </c>
      <c r="J1164" t="s">
        <v>197</v>
      </c>
      <c r="K1164" t="s">
        <v>1017</v>
      </c>
    </row>
    <row r="1165" spans="2:11">
      <c r="B1165" t="s">
        <v>197</v>
      </c>
      <c r="C1165" t="s">
        <v>197</v>
      </c>
      <c r="D1165" t="s">
        <v>197</v>
      </c>
      <c r="E1165" t="s">
        <v>197</v>
      </c>
      <c r="F1165" t="s">
        <v>197</v>
      </c>
      <c r="G1165" t="s">
        <v>197</v>
      </c>
      <c r="H1165" t="s">
        <v>197</v>
      </c>
      <c r="I1165" t="s">
        <v>197</v>
      </c>
      <c r="J1165" t="s">
        <v>197</v>
      </c>
      <c r="K1165" t="s">
        <v>1018</v>
      </c>
    </row>
    <row r="1166" spans="2:11">
      <c r="B1166" t="s">
        <v>197</v>
      </c>
      <c r="C1166" t="s">
        <v>197</v>
      </c>
      <c r="D1166" t="s">
        <v>197</v>
      </c>
      <c r="E1166" t="s">
        <v>197</v>
      </c>
      <c r="F1166" t="s">
        <v>197</v>
      </c>
      <c r="G1166" t="s">
        <v>197</v>
      </c>
      <c r="H1166" t="s">
        <v>197</v>
      </c>
      <c r="I1166" t="s">
        <v>197</v>
      </c>
      <c r="J1166" t="s">
        <v>197</v>
      </c>
      <c r="K1166" t="s">
        <v>1019</v>
      </c>
    </row>
    <row r="1167" spans="2:11">
      <c r="B1167" t="s">
        <v>197</v>
      </c>
      <c r="C1167" t="s">
        <v>197</v>
      </c>
      <c r="D1167" t="s">
        <v>197</v>
      </c>
      <c r="E1167" t="s">
        <v>197</v>
      </c>
      <c r="F1167" t="s">
        <v>197</v>
      </c>
      <c r="G1167" t="s">
        <v>197</v>
      </c>
      <c r="H1167" t="s">
        <v>197</v>
      </c>
      <c r="I1167" t="s">
        <v>197</v>
      </c>
      <c r="J1167" t="s">
        <v>197</v>
      </c>
      <c r="K1167" t="s">
        <v>1020</v>
      </c>
    </row>
    <row r="1168" spans="2:11">
      <c r="B1168" t="s">
        <v>197</v>
      </c>
      <c r="C1168" t="s">
        <v>197</v>
      </c>
      <c r="D1168" t="s">
        <v>197</v>
      </c>
      <c r="E1168" t="s">
        <v>197</v>
      </c>
      <c r="F1168" t="s">
        <v>197</v>
      </c>
      <c r="G1168" t="s">
        <v>197</v>
      </c>
      <c r="H1168" t="s">
        <v>197</v>
      </c>
      <c r="I1168" t="s">
        <v>197</v>
      </c>
      <c r="J1168" t="s">
        <v>197</v>
      </c>
      <c r="K1168" t="s">
        <v>1021</v>
      </c>
    </row>
    <row r="1169" spans="1:24">
      <c r="B1169" t="s">
        <v>197</v>
      </c>
      <c r="C1169" t="s">
        <v>197</v>
      </c>
      <c r="D1169" t="s">
        <v>197</v>
      </c>
      <c r="E1169" t="s">
        <v>197</v>
      </c>
      <c r="F1169" t="s">
        <v>197</v>
      </c>
      <c r="G1169" t="s">
        <v>197</v>
      </c>
      <c r="H1169" t="s">
        <v>197</v>
      </c>
      <c r="I1169" t="s">
        <v>197</v>
      </c>
      <c r="J1169" t="s">
        <v>197</v>
      </c>
      <c r="K1169" t="s">
        <v>1022</v>
      </c>
    </row>
    <row r="1170" spans="1:24">
      <c r="B1170" t="s">
        <v>197</v>
      </c>
      <c r="C1170" t="s">
        <v>197</v>
      </c>
      <c r="D1170" t="s">
        <v>197</v>
      </c>
      <c r="E1170" t="s">
        <v>197</v>
      </c>
      <c r="F1170" t="s">
        <v>197</v>
      </c>
      <c r="G1170" t="s">
        <v>197</v>
      </c>
      <c r="H1170" t="s">
        <v>197</v>
      </c>
      <c r="I1170" t="s">
        <v>197</v>
      </c>
      <c r="J1170" t="s">
        <v>197</v>
      </c>
      <c r="K1170" t="s">
        <v>1023</v>
      </c>
    </row>
    <row r="1171" spans="1:24">
      <c r="B1171" t="s">
        <v>197</v>
      </c>
      <c r="C1171" t="s">
        <v>197</v>
      </c>
      <c r="D1171" t="s">
        <v>197</v>
      </c>
      <c r="E1171" t="s">
        <v>197</v>
      </c>
      <c r="F1171" t="s">
        <v>197</v>
      </c>
      <c r="G1171" t="s">
        <v>197</v>
      </c>
      <c r="H1171" t="s">
        <v>197</v>
      </c>
      <c r="I1171" t="s">
        <v>197</v>
      </c>
      <c r="J1171" t="s">
        <v>197</v>
      </c>
      <c r="K1171" t="s">
        <v>1024</v>
      </c>
    </row>
    <row r="1172" spans="1:24">
      <c r="B1172" t="s">
        <v>197</v>
      </c>
      <c r="C1172" t="s">
        <v>197</v>
      </c>
      <c r="D1172" t="s">
        <v>197</v>
      </c>
      <c r="E1172" t="s">
        <v>197</v>
      </c>
      <c r="F1172" t="s">
        <v>197</v>
      </c>
      <c r="G1172" t="s">
        <v>197</v>
      </c>
      <c r="H1172" t="s">
        <v>197</v>
      </c>
      <c r="I1172" t="s">
        <v>197</v>
      </c>
      <c r="J1172" t="s">
        <v>197</v>
      </c>
      <c r="K1172" t="s">
        <v>1025</v>
      </c>
    </row>
    <row r="1173" spans="1:24">
      <c r="B1173" t="s">
        <v>197</v>
      </c>
      <c r="C1173" t="s">
        <v>197</v>
      </c>
      <c r="D1173" t="s">
        <v>197</v>
      </c>
      <c r="E1173" t="s">
        <v>197</v>
      </c>
      <c r="F1173" t="s">
        <v>197</v>
      </c>
      <c r="G1173" t="s">
        <v>197</v>
      </c>
      <c r="H1173" t="s">
        <v>197</v>
      </c>
      <c r="I1173" t="s">
        <v>197</v>
      </c>
      <c r="J1173" t="s">
        <v>197</v>
      </c>
      <c r="K1173" t="s">
        <v>1026</v>
      </c>
    </row>
    <row r="1174" spans="1:24">
      <c r="B1174" t="s">
        <v>197</v>
      </c>
      <c r="C1174" t="s">
        <v>197</v>
      </c>
      <c r="D1174" t="s">
        <v>197</v>
      </c>
      <c r="E1174" t="s">
        <v>197</v>
      </c>
      <c r="F1174" t="s">
        <v>197</v>
      </c>
      <c r="G1174" t="s">
        <v>197</v>
      </c>
      <c r="H1174" t="s">
        <v>197</v>
      </c>
      <c r="I1174" t="s">
        <v>197</v>
      </c>
      <c r="J1174" t="s">
        <v>197</v>
      </c>
      <c r="K1174" t="s">
        <v>1027</v>
      </c>
    </row>
    <row r="1175" spans="1:24">
      <c r="B1175" t="s">
        <v>197</v>
      </c>
      <c r="C1175" t="s">
        <v>197</v>
      </c>
      <c r="D1175" t="s">
        <v>197</v>
      </c>
      <c r="E1175" t="s">
        <v>197</v>
      </c>
      <c r="F1175" t="s">
        <v>197</v>
      </c>
      <c r="G1175" t="s">
        <v>197</v>
      </c>
      <c r="H1175" t="s">
        <v>197</v>
      </c>
      <c r="I1175" t="s">
        <v>197</v>
      </c>
      <c r="J1175" t="s">
        <v>197</v>
      </c>
      <c r="K1175" t="s">
        <v>1028</v>
      </c>
    </row>
    <row r="1176" spans="1:24">
      <c r="B1176" t="s">
        <v>197</v>
      </c>
      <c r="C1176" t="s">
        <v>197</v>
      </c>
      <c r="D1176" t="s">
        <v>197</v>
      </c>
      <c r="E1176" t="s">
        <v>197</v>
      </c>
      <c r="F1176" t="s">
        <v>197</v>
      </c>
      <c r="G1176" t="s">
        <v>197</v>
      </c>
      <c r="H1176" t="s">
        <v>197</v>
      </c>
      <c r="I1176" t="s">
        <v>197</v>
      </c>
      <c r="J1176" t="s">
        <v>197</v>
      </c>
      <c r="K1176" t="s">
        <v>1029</v>
      </c>
    </row>
    <row r="1177" spans="1:24">
      <c r="A1177" t="s">
        <v>1102</v>
      </c>
      <c r="K1177" t="s">
        <v>1103</v>
      </c>
      <c r="W1177" t="s">
        <v>171</v>
      </c>
      <c r="X1177" t="str">
        <f>A1177</f>
        <v>info_uniqueidentifier_dml_single_pk_drp</v>
      </c>
    </row>
    <row r="1178" spans="1:24">
      <c r="B1178" t="s">
        <v>196</v>
      </c>
      <c r="C1178" t="s">
        <v>197</v>
      </c>
      <c r="D1178" t="s">
        <v>197</v>
      </c>
      <c r="E1178" t="s">
        <v>197</v>
      </c>
      <c r="F1178" t="s">
        <v>197</v>
      </c>
      <c r="G1178" t="s">
        <v>197</v>
      </c>
      <c r="H1178" t="s">
        <v>197</v>
      </c>
      <c r="I1178" t="s">
        <v>1104</v>
      </c>
      <c r="J1178" t="s">
        <v>199</v>
      </c>
      <c r="K1178" t="s">
        <v>200</v>
      </c>
    </row>
    <row r="1179" spans="1:24">
      <c r="B1179" t="s">
        <v>197</v>
      </c>
      <c r="C1179" t="s">
        <v>197</v>
      </c>
      <c r="D1179" t="s">
        <v>197</v>
      </c>
      <c r="E1179" t="s">
        <v>197</v>
      </c>
      <c r="F1179" t="s">
        <v>197</v>
      </c>
      <c r="G1179" t="s">
        <v>197</v>
      </c>
      <c r="H1179" t="s">
        <v>197</v>
      </c>
      <c r="I1179" t="s">
        <v>197</v>
      </c>
      <c r="J1179" t="s">
        <v>197</v>
      </c>
      <c r="K1179" t="s">
        <v>1039</v>
      </c>
    </row>
    <row r="1180" spans="1:24">
      <c r="A1180" t="s">
        <v>1105</v>
      </c>
      <c r="K1180" t="s">
        <v>1106</v>
      </c>
      <c r="W1180" t="s">
        <v>171</v>
      </c>
      <c r="X1180" t="str">
        <f>A1180</f>
        <v>info_time_dml_batch1_pk_urp2</v>
      </c>
    </row>
    <row r="1181" spans="1:24">
      <c r="B1181" t="s">
        <v>196</v>
      </c>
      <c r="C1181" t="s">
        <v>197</v>
      </c>
      <c r="D1181" t="s">
        <v>197</v>
      </c>
      <c r="E1181" t="s">
        <v>197</v>
      </c>
      <c r="F1181" t="s">
        <v>197</v>
      </c>
      <c r="G1181" t="s">
        <v>197</v>
      </c>
      <c r="H1181" t="s">
        <v>197</v>
      </c>
      <c r="I1181" t="s">
        <v>1107</v>
      </c>
      <c r="J1181" t="s">
        <v>199</v>
      </c>
      <c r="K1181" t="s">
        <v>200</v>
      </c>
    </row>
    <row r="1182" spans="1:24">
      <c r="B1182" t="s">
        <v>197</v>
      </c>
      <c r="C1182" t="s">
        <v>197</v>
      </c>
      <c r="D1182" t="s">
        <v>197</v>
      </c>
      <c r="E1182" t="s">
        <v>197</v>
      </c>
      <c r="F1182" t="s">
        <v>197</v>
      </c>
      <c r="G1182" t="s">
        <v>197</v>
      </c>
      <c r="H1182" t="s">
        <v>197</v>
      </c>
      <c r="I1182" t="s">
        <v>197</v>
      </c>
      <c r="J1182" t="s">
        <v>197</v>
      </c>
      <c r="K1182" t="s">
        <v>800</v>
      </c>
    </row>
    <row r="1183" spans="1:24">
      <c r="B1183" t="s">
        <v>197</v>
      </c>
      <c r="C1183" t="s">
        <v>197</v>
      </c>
      <c r="D1183" t="s">
        <v>197</v>
      </c>
      <c r="E1183" t="s">
        <v>197</v>
      </c>
      <c r="F1183" t="s">
        <v>197</v>
      </c>
      <c r="G1183" t="s">
        <v>197</v>
      </c>
      <c r="H1183" t="s">
        <v>197</v>
      </c>
      <c r="I1183" t="s">
        <v>197</v>
      </c>
      <c r="J1183" t="s">
        <v>197</v>
      </c>
      <c r="K1183" t="s">
        <v>801</v>
      </c>
    </row>
    <row r="1184" spans="1:24">
      <c r="B1184" t="s">
        <v>197</v>
      </c>
      <c r="C1184" t="s">
        <v>197</v>
      </c>
      <c r="D1184" t="s">
        <v>197</v>
      </c>
      <c r="E1184" t="s">
        <v>197</v>
      </c>
      <c r="F1184" t="s">
        <v>197</v>
      </c>
      <c r="G1184" t="s">
        <v>197</v>
      </c>
      <c r="H1184" t="s">
        <v>197</v>
      </c>
      <c r="I1184" t="s">
        <v>197</v>
      </c>
      <c r="J1184" t="s">
        <v>197</v>
      </c>
      <c r="K1184" t="s">
        <v>802</v>
      </c>
    </row>
    <row r="1185" spans="1:24">
      <c r="B1185" t="s">
        <v>197</v>
      </c>
      <c r="C1185" t="s">
        <v>197</v>
      </c>
      <c r="D1185" t="s">
        <v>197</v>
      </c>
      <c r="E1185" t="s">
        <v>197</v>
      </c>
      <c r="F1185" t="s">
        <v>197</v>
      </c>
      <c r="G1185" t="s">
        <v>197</v>
      </c>
      <c r="H1185" t="s">
        <v>197</v>
      </c>
      <c r="I1185" t="s">
        <v>197</v>
      </c>
      <c r="J1185" t="s">
        <v>197</v>
      </c>
      <c r="K1185" t="s">
        <v>803</v>
      </c>
    </row>
    <row r="1186" spans="1:24">
      <c r="B1186" t="s">
        <v>197</v>
      </c>
      <c r="C1186" t="s">
        <v>197</v>
      </c>
      <c r="D1186" t="s">
        <v>197</v>
      </c>
      <c r="E1186" t="s">
        <v>197</v>
      </c>
      <c r="F1186" t="s">
        <v>197</v>
      </c>
      <c r="G1186" t="s">
        <v>197</v>
      </c>
      <c r="H1186" t="s">
        <v>197</v>
      </c>
      <c r="I1186" t="s">
        <v>197</v>
      </c>
      <c r="J1186" t="s">
        <v>197</v>
      </c>
      <c r="K1186" t="s">
        <v>804</v>
      </c>
    </row>
    <row r="1187" spans="1:24">
      <c r="B1187" t="s">
        <v>197</v>
      </c>
      <c r="C1187" t="s">
        <v>197</v>
      </c>
      <c r="D1187" t="s">
        <v>197</v>
      </c>
      <c r="E1187" t="s">
        <v>197</v>
      </c>
      <c r="F1187" t="s">
        <v>197</v>
      </c>
      <c r="G1187" t="s">
        <v>197</v>
      </c>
      <c r="H1187" t="s">
        <v>197</v>
      </c>
      <c r="I1187" t="s">
        <v>197</v>
      </c>
      <c r="J1187" t="s">
        <v>197</v>
      </c>
      <c r="K1187" t="s">
        <v>805</v>
      </c>
    </row>
    <row r="1188" spans="1:24">
      <c r="B1188" t="s">
        <v>197</v>
      </c>
      <c r="C1188" t="s">
        <v>197</v>
      </c>
      <c r="D1188" t="s">
        <v>197</v>
      </c>
      <c r="E1188" t="s">
        <v>197</v>
      </c>
      <c r="F1188" t="s">
        <v>197</v>
      </c>
      <c r="G1188" t="s">
        <v>197</v>
      </c>
      <c r="H1188" t="s">
        <v>197</v>
      </c>
      <c r="I1188" t="s">
        <v>197</v>
      </c>
      <c r="J1188" t="s">
        <v>197</v>
      </c>
      <c r="K1188" t="s">
        <v>806</v>
      </c>
    </row>
    <row r="1189" spans="1:24">
      <c r="B1189" t="s">
        <v>197</v>
      </c>
      <c r="C1189" t="s">
        <v>197</v>
      </c>
      <c r="D1189" t="s">
        <v>197</v>
      </c>
      <c r="E1189" t="s">
        <v>197</v>
      </c>
      <c r="F1189" t="s">
        <v>197</v>
      </c>
      <c r="G1189" t="s">
        <v>197</v>
      </c>
      <c r="H1189" t="s">
        <v>197</v>
      </c>
      <c r="I1189" t="s">
        <v>197</v>
      </c>
      <c r="J1189" t="s">
        <v>197</v>
      </c>
      <c r="K1189" t="s">
        <v>807</v>
      </c>
    </row>
    <row r="1190" spans="1:24">
      <c r="A1190" t="s">
        <v>1108</v>
      </c>
      <c r="K1190" t="s">
        <v>1109</v>
      </c>
      <c r="W1190" t="s">
        <v>171</v>
      </c>
      <c r="X1190" t="str">
        <f>A1190</f>
        <v>info_datetime2_dml_single_pk_drp</v>
      </c>
    </row>
    <row r="1191" spans="1:24">
      <c r="B1191" t="s">
        <v>196</v>
      </c>
      <c r="C1191" t="s">
        <v>197</v>
      </c>
      <c r="D1191" t="s">
        <v>197</v>
      </c>
      <c r="E1191" t="s">
        <v>197</v>
      </c>
      <c r="F1191" t="s">
        <v>197</v>
      </c>
      <c r="G1191" t="s">
        <v>197</v>
      </c>
      <c r="H1191" t="s">
        <v>197</v>
      </c>
      <c r="I1191" t="s">
        <v>1110</v>
      </c>
      <c r="J1191" t="s">
        <v>199</v>
      </c>
      <c r="K1191" t="s">
        <v>200</v>
      </c>
    </row>
    <row r="1192" spans="1:24">
      <c r="B1192" t="s">
        <v>197</v>
      </c>
      <c r="C1192" t="s">
        <v>197</v>
      </c>
      <c r="D1192" t="s">
        <v>197</v>
      </c>
      <c r="E1192" t="s">
        <v>197</v>
      </c>
      <c r="F1192" t="s">
        <v>197</v>
      </c>
      <c r="G1192" t="s">
        <v>197</v>
      </c>
      <c r="H1192" t="s">
        <v>197</v>
      </c>
      <c r="I1192" t="s">
        <v>197</v>
      </c>
      <c r="J1192" t="s">
        <v>197</v>
      </c>
      <c r="K1192" t="s">
        <v>667</v>
      </c>
    </row>
    <row r="1193" spans="1:24">
      <c r="B1193" t="s">
        <v>197</v>
      </c>
      <c r="C1193" t="s">
        <v>197</v>
      </c>
      <c r="D1193" t="s">
        <v>197</v>
      </c>
      <c r="E1193" t="s">
        <v>197</v>
      </c>
      <c r="F1193" t="s">
        <v>197</v>
      </c>
      <c r="G1193" t="s">
        <v>197</v>
      </c>
      <c r="H1193" t="s">
        <v>197</v>
      </c>
      <c r="I1193" t="s">
        <v>197</v>
      </c>
      <c r="J1193" t="s">
        <v>197</v>
      </c>
      <c r="K1193" t="s">
        <v>668</v>
      </c>
    </row>
    <row r="1194" spans="1:24">
      <c r="B1194" t="s">
        <v>197</v>
      </c>
      <c r="C1194" t="s">
        <v>197</v>
      </c>
      <c r="D1194" t="s">
        <v>197</v>
      </c>
      <c r="E1194" t="s">
        <v>197</v>
      </c>
      <c r="F1194" t="s">
        <v>197</v>
      </c>
      <c r="G1194" t="s">
        <v>197</v>
      </c>
      <c r="H1194" t="s">
        <v>197</v>
      </c>
      <c r="I1194" t="s">
        <v>197</v>
      </c>
      <c r="J1194" t="s">
        <v>197</v>
      </c>
      <c r="K1194" t="s">
        <v>669</v>
      </c>
    </row>
    <row r="1195" spans="1:24">
      <c r="B1195" t="s">
        <v>197</v>
      </c>
      <c r="C1195" t="s">
        <v>197</v>
      </c>
      <c r="D1195" t="s">
        <v>197</v>
      </c>
      <c r="E1195" t="s">
        <v>197</v>
      </c>
      <c r="F1195" t="s">
        <v>197</v>
      </c>
      <c r="G1195" t="s">
        <v>197</v>
      </c>
      <c r="H1195" t="s">
        <v>197</v>
      </c>
      <c r="I1195" t="s">
        <v>197</v>
      </c>
      <c r="J1195" t="s">
        <v>197</v>
      </c>
      <c r="K1195" t="s">
        <v>670</v>
      </c>
    </row>
    <row r="1196" spans="1:24">
      <c r="B1196" t="s">
        <v>197</v>
      </c>
      <c r="C1196" t="s">
        <v>197</v>
      </c>
      <c r="D1196" t="s">
        <v>197</v>
      </c>
      <c r="E1196" t="s">
        <v>197</v>
      </c>
      <c r="F1196" t="s">
        <v>197</v>
      </c>
      <c r="G1196" t="s">
        <v>197</v>
      </c>
      <c r="H1196" t="s">
        <v>197</v>
      </c>
      <c r="I1196" t="s">
        <v>197</v>
      </c>
      <c r="J1196" t="s">
        <v>197</v>
      </c>
      <c r="K1196" t="s">
        <v>671</v>
      </c>
    </row>
    <row r="1197" spans="1:24">
      <c r="B1197" t="s">
        <v>197</v>
      </c>
      <c r="C1197" t="s">
        <v>197</v>
      </c>
      <c r="D1197" t="s">
        <v>197</v>
      </c>
      <c r="E1197" t="s">
        <v>197</v>
      </c>
      <c r="F1197" t="s">
        <v>197</v>
      </c>
      <c r="G1197" t="s">
        <v>197</v>
      </c>
      <c r="H1197" t="s">
        <v>197</v>
      </c>
      <c r="I1197" t="s">
        <v>197</v>
      </c>
      <c r="J1197" t="s">
        <v>197</v>
      </c>
      <c r="K1197" t="s">
        <v>672</v>
      </c>
    </row>
    <row r="1198" spans="1:24">
      <c r="B1198" t="s">
        <v>197</v>
      </c>
      <c r="C1198" t="s">
        <v>197</v>
      </c>
      <c r="D1198" t="s">
        <v>197</v>
      </c>
      <c r="E1198" t="s">
        <v>197</v>
      </c>
      <c r="F1198" t="s">
        <v>197</v>
      </c>
      <c r="G1198" t="s">
        <v>197</v>
      </c>
      <c r="H1198" t="s">
        <v>197</v>
      </c>
      <c r="I1198" t="s">
        <v>197</v>
      </c>
      <c r="J1198" t="s">
        <v>197</v>
      </c>
      <c r="K1198" t="s">
        <v>673</v>
      </c>
    </row>
    <row r="1199" spans="1:24">
      <c r="B1199" t="s">
        <v>197</v>
      </c>
      <c r="C1199" t="s">
        <v>197</v>
      </c>
      <c r="D1199" t="s">
        <v>197</v>
      </c>
      <c r="E1199" t="s">
        <v>197</v>
      </c>
      <c r="F1199" t="s">
        <v>197</v>
      </c>
      <c r="G1199" t="s">
        <v>197</v>
      </c>
      <c r="H1199" t="s">
        <v>197</v>
      </c>
      <c r="I1199" t="s">
        <v>197</v>
      </c>
      <c r="J1199" t="s">
        <v>197</v>
      </c>
      <c r="K1199" t="s">
        <v>674</v>
      </c>
    </row>
    <row r="1200" spans="1:24">
      <c r="A1200" t="s">
        <v>1111</v>
      </c>
      <c r="K1200" t="s">
        <v>1112</v>
      </c>
      <c r="W1200" t="s">
        <v>171</v>
      </c>
      <c r="X1200" t="str">
        <f>A1200</f>
        <v>info_varchar_dml_single_pk_urp</v>
      </c>
    </row>
    <row r="1201" spans="1:24">
      <c r="B1201" t="s">
        <v>196</v>
      </c>
      <c r="C1201" t="s">
        <v>197</v>
      </c>
      <c r="D1201" t="s">
        <v>197</v>
      </c>
      <c r="E1201" t="s">
        <v>197</v>
      </c>
      <c r="F1201" t="s">
        <v>197</v>
      </c>
      <c r="G1201" t="s">
        <v>197</v>
      </c>
      <c r="H1201" t="s">
        <v>197</v>
      </c>
      <c r="I1201" t="s">
        <v>1113</v>
      </c>
      <c r="J1201" t="s">
        <v>199</v>
      </c>
      <c r="K1201" t="s">
        <v>200</v>
      </c>
    </row>
    <row r="1202" spans="1:24">
      <c r="B1202" t="s">
        <v>197</v>
      </c>
      <c r="C1202" t="s">
        <v>197</v>
      </c>
      <c r="D1202" t="s">
        <v>197</v>
      </c>
      <c r="E1202" t="s">
        <v>197</v>
      </c>
      <c r="F1202" t="s">
        <v>197</v>
      </c>
      <c r="G1202" t="s">
        <v>197</v>
      </c>
      <c r="H1202" t="s">
        <v>197</v>
      </c>
      <c r="I1202" t="s">
        <v>197</v>
      </c>
      <c r="J1202" t="s">
        <v>197</v>
      </c>
      <c r="K1202" t="s">
        <v>431</v>
      </c>
    </row>
    <row r="1203" spans="1:24">
      <c r="B1203" t="s">
        <v>197</v>
      </c>
      <c r="C1203" t="s">
        <v>197</v>
      </c>
      <c r="D1203" t="s">
        <v>197</v>
      </c>
      <c r="E1203" t="s">
        <v>197</v>
      </c>
      <c r="F1203" t="s">
        <v>197</v>
      </c>
      <c r="G1203" t="s">
        <v>197</v>
      </c>
      <c r="H1203" t="s">
        <v>197</v>
      </c>
      <c r="I1203" t="s">
        <v>197</v>
      </c>
      <c r="J1203" t="s">
        <v>197</v>
      </c>
      <c r="K1203" t="s">
        <v>1056</v>
      </c>
    </row>
    <row r="1204" spans="1:24">
      <c r="B1204" t="s">
        <v>197</v>
      </c>
      <c r="C1204" t="s">
        <v>197</v>
      </c>
      <c r="D1204" t="s">
        <v>197</v>
      </c>
      <c r="E1204" t="s">
        <v>197</v>
      </c>
      <c r="F1204" t="s">
        <v>197</v>
      </c>
      <c r="G1204" t="s">
        <v>197</v>
      </c>
      <c r="H1204" t="s">
        <v>197</v>
      </c>
      <c r="I1204" t="s">
        <v>197</v>
      </c>
      <c r="J1204" t="s">
        <v>197</v>
      </c>
      <c r="K1204" t="s">
        <v>963</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1117</v>
      </c>
      <c r="K1216" t="s">
        <v>1118</v>
      </c>
      <c r="W1216" s="1" t="str">
        <f>HYPERLINK("#2026042016hbase1!AJ2","NO 源备存在差异，共8个")</f>
        <v>NO 源备存在差异，共8个</v>
      </c>
      <c r="X1216" t="str">
        <f>A1216</f>
        <v>info_int_dml_batch1_pk_irp2</v>
      </c>
    </row>
    <row r="1217" spans="2:11">
      <c r="B1217" t="s">
        <v>196</v>
      </c>
      <c r="C1217" t="s">
        <v>197</v>
      </c>
      <c r="D1217" t="s">
        <v>197</v>
      </c>
      <c r="E1217" t="s">
        <v>197</v>
      </c>
      <c r="F1217" t="s">
        <v>197</v>
      </c>
      <c r="G1217" t="s">
        <v>197</v>
      </c>
      <c r="H1217" t="s">
        <v>197</v>
      </c>
      <c r="I1217" t="s">
        <v>1119</v>
      </c>
      <c r="J1217" t="s">
        <v>199</v>
      </c>
      <c r="K1217" t="s">
        <v>200</v>
      </c>
    </row>
    <row r="1218" spans="2:11">
      <c r="B1218" t="s">
        <v>197</v>
      </c>
      <c r="C1218" t="s">
        <v>197</v>
      </c>
      <c r="D1218" t="s">
        <v>197</v>
      </c>
      <c r="E1218" t="s">
        <v>197</v>
      </c>
      <c r="F1218" t="s">
        <v>197</v>
      </c>
      <c r="G1218" t="s">
        <v>197</v>
      </c>
      <c r="H1218" t="s">
        <v>197</v>
      </c>
      <c r="I1218" t="s">
        <v>197</v>
      </c>
      <c r="J1218" t="s">
        <v>197</v>
      </c>
      <c r="K1218" t="s">
        <v>549</v>
      </c>
    </row>
    <row r="1219" spans="2:11">
      <c r="B1219" t="s">
        <v>197</v>
      </c>
      <c r="C1219" t="s">
        <v>197</v>
      </c>
      <c r="D1219" t="s">
        <v>197</v>
      </c>
      <c r="E1219" t="s">
        <v>197</v>
      </c>
      <c r="F1219" t="s">
        <v>197</v>
      </c>
      <c r="G1219" t="s">
        <v>197</v>
      </c>
      <c r="H1219" t="s">
        <v>197</v>
      </c>
      <c r="I1219" t="s">
        <v>197</v>
      </c>
      <c r="J1219" t="s">
        <v>197</v>
      </c>
      <c r="K1219" t="s">
        <v>550</v>
      </c>
    </row>
    <row r="1220" spans="2:11">
      <c r="B1220" t="s">
        <v>197</v>
      </c>
      <c r="C1220" t="s">
        <v>197</v>
      </c>
      <c r="D1220" t="s">
        <v>197</v>
      </c>
      <c r="E1220" t="s">
        <v>197</v>
      </c>
      <c r="F1220" t="s">
        <v>197</v>
      </c>
      <c r="G1220" t="s">
        <v>197</v>
      </c>
      <c r="H1220" t="s">
        <v>197</v>
      </c>
      <c r="I1220" t="s">
        <v>197</v>
      </c>
      <c r="J1220" t="s">
        <v>197</v>
      </c>
      <c r="K1220" t="s">
        <v>551</v>
      </c>
    </row>
    <row r="1221" spans="2:11">
      <c r="B1221" t="s">
        <v>197</v>
      </c>
      <c r="C1221" t="s">
        <v>197</v>
      </c>
      <c r="D1221" t="s">
        <v>197</v>
      </c>
      <c r="E1221" t="s">
        <v>197</v>
      </c>
      <c r="F1221" t="s">
        <v>197</v>
      </c>
      <c r="G1221" t="s">
        <v>197</v>
      </c>
      <c r="H1221" t="s">
        <v>197</v>
      </c>
      <c r="I1221" t="s">
        <v>197</v>
      </c>
      <c r="J1221" t="s">
        <v>197</v>
      </c>
      <c r="K1221" t="s">
        <v>552</v>
      </c>
    </row>
    <row r="1222" spans="2:11">
      <c r="B1222" t="s">
        <v>197</v>
      </c>
      <c r="C1222" t="s">
        <v>197</v>
      </c>
      <c r="D1222" t="s">
        <v>197</v>
      </c>
      <c r="E1222" t="s">
        <v>197</v>
      </c>
      <c r="F1222" t="s">
        <v>197</v>
      </c>
      <c r="G1222" t="s">
        <v>197</v>
      </c>
      <c r="H1222" t="s">
        <v>197</v>
      </c>
      <c r="I1222" t="s">
        <v>197</v>
      </c>
      <c r="J1222" t="s">
        <v>197</v>
      </c>
      <c r="K1222" t="s">
        <v>553</v>
      </c>
    </row>
    <row r="1223" spans="2:11">
      <c r="B1223" t="s">
        <v>197</v>
      </c>
      <c r="C1223" t="s">
        <v>197</v>
      </c>
      <c r="D1223" t="s">
        <v>197</v>
      </c>
      <c r="E1223" t="s">
        <v>197</v>
      </c>
      <c r="F1223" t="s">
        <v>197</v>
      </c>
      <c r="G1223" t="s">
        <v>197</v>
      </c>
      <c r="H1223" t="s">
        <v>197</v>
      </c>
      <c r="I1223" t="s">
        <v>197</v>
      </c>
      <c r="J1223" t="s">
        <v>197</v>
      </c>
      <c r="K1223" t="s">
        <v>554</v>
      </c>
    </row>
    <row r="1224" spans="2:11">
      <c r="B1224" t="s">
        <v>197</v>
      </c>
      <c r="C1224" t="s">
        <v>197</v>
      </c>
      <c r="D1224" t="s">
        <v>197</v>
      </c>
      <c r="E1224" t="s">
        <v>197</v>
      </c>
      <c r="F1224" t="s">
        <v>197</v>
      </c>
      <c r="G1224" t="s">
        <v>197</v>
      </c>
      <c r="H1224" t="s">
        <v>197</v>
      </c>
      <c r="I1224" t="s">
        <v>197</v>
      </c>
      <c r="J1224" t="s">
        <v>197</v>
      </c>
      <c r="K1224" t="s">
        <v>555</v>
      </c>
    </row>
    <row r="1225" spans="2:11">
      <c r="B1225" t="s">
        <v>197</v>
      </c>
      <c r="C1225" t="s">
        <v>197</v>
      </c>
      <c r="D1225" t="s">
        <v>197</v>
      </c>
      <c r="E1225" t="s">
        <v>197</v>
      </c>
      <c r="F1225" t="s">
        <v>197</v>
      </c>
      <c r="G1225" t="s">
        <v>197</v>
      </c>
      <c r="H1225" t="s">
        <v>197</v>
      </c>
      <c r="I1225" t="s">
        <v>197</v>
      </c>
      <c r="J1225" t="s">
        <v>197</v>
      </c>
      <c r="K1225" t="s">
        <v>556</v>
      </c>
    </row>
    <row r="1226" spans="2:11">
      <c r="B1226" t="s">
        <v>197</v>
      </c>
      <c r="C1226" t="s">
        <v>197</v>
      </c>
      <c r="D1226" t="s">
        <v>197</v>
      </c>
      <c r="E1226" t="s">
        <v>197</v>
      </c>
      <c r="F1226" t="s">
        <v>197</v>
      </c>
      <c r="G1226" t="s">
        <v>197</v>
      </c>
      <c r="H1226" t="s">
        <v>197</v>
      </c>
      <c r="I1226" t="s">
        <v>197</v>
      </c>
      <c r="J1226" t="s">
        <v>197</v>
      </c>
      <c r="K1226" t="s">
        <v>557</v>
      </c>
    </row>
    <row r="1227" spans="2:11">
      <c r="B1227" t="s">
        <v>197</v>
      </c>
      <c r="C1227" t="s">
        <v>197</v>
      </c>
      <c r="D1227" t="s">
        <v>197</v>
      </c>
      <c r="E1227" t="s">
        <v>197</v>
      </c>
      <c r="F1227" t="s">
        <v>197</v>
      </c>
      <c r="G1227" t="s">
        <v>197</v>
      </c>
      <c r="H1227" t="s">
        <v>197</v>
      </c>
      <c r="I1227" t="s">
        <v>197</v>
      </c>
      <c r="J1227" t="s">
        <v>197</v>
      </c>
      <c r="K1227" t="s">
        <v>558</v>
      </c>
    </row>
    <row r="1228" spans="2:11">
      <c r="B1228" t="s">
        <v>197</v>
      </c>
      <c r="C1228" t="s">
        <v>197</v>
      </c>
      <c r="D1228" t="s">
        <v>197</v>
      </c>
      <c r="E1228" t="s">
        <v>197</v>
      </c>
      <c r="F1228" t="s">
        <v>197</v>
      </c>
      <c r="G1228" t="s">
        <v>197</v>
      </c>
      <c r="H1228" t="s">
        <v>197</v>
      </c>
      <c r="I1228" t="s">
        <v>197</v>
      </c>
      <c r="J1228" t="s">
        <v>197</v>
      </c>
      <c r="K1228" t="s">
        <v>559</v>
      </c>
    </row>
    <row r="1229" spans="2:11">
      <c r="B1229" t="s">
        <v>197</v>
      </c>
      <c r="C1229" t="s">
        <v>197</v>
      </c>
      <c r="D1229" t="s">
        <v>197</v>
      </c>
      <c r="E1229" t="s">
        <v>197</v>
      </c>
      <c r="F1229" t="s">
        <v>197</v>
      </c>
      <c r="G1229" t="s">
        <v>197</v>
      </c>
      <c r="H1229" t="s">
        <v>197</v>
      </c>
      <c r="I1229" t="s">
        <v>197</v>
      </c>
      <c r="J1229" t="s">
        <v>197</v>
      </c>
      <c r="K1229" t="s">
        <v>560</v>
      </c>
    </row>
    <row r="1230" spans="2:11">
      <c r="B1230" t="s">
        <v>197</v>
      </c>
      <c r="C1230" t="s">
        <v>197</v>
      </c>
      <c r="D1230" t="s">
        <v>197</v>
      </c>
      <c r="E1230" t="s">
        <v>197</v>
      </c>
      <c r="F1230" t="s">
        <v>197</v>
      </c>
      <c r="G1230" t="s">
        <v>197</v>
      </c>
      <c r="H1230" t="s">
        <v>197</v>
      </c>
      <c r="I1230" t="s">
        <v>197</v>
      </c>
      <c r="J1230" t="s">
        <v>197</v>
      </c>
      <c r="K1230" t="s">
        <v>561</v>
      </c>
    </row>
    <row r="1231" spans="2:11">
      <c r="B1231" t="s">
        <v>197</v>
      </c>
      <c r="C1231" t="s">
        <v>197</v>
      </c>
      <c r="D1231" t="s">
        <v>197</v>
      </c>
      <c r="E1231" t="s">
        <v>197</v>
      </c>
      <c r="F1231" t="s">
        <v>197</v>
      </c>
      <c r="G1231" t="s">
        <v>197</v>
      </c>
      <c r="H1231" t="s">
        <v>197</v>
      </c>
      <c r="I1231" t="s">
        <v>197</v>
      </c>
      <c r="J1231" t="s">
        <v>197</v>
      </c>
      <c r="K1231" t="s">
        <v>562</v>
      </c>
    </row>
    <row r="1232" spans="2:11">
      <c r="B1232" t="s">
        <v>197</v>
      </c>
      <c r="C1232" t="s">
        <v>197</v>
      </c>
      <c r="D1232" t="s">
        <v>197</v>
      </c>
      <c r="E1232" t="s">
        <v>197</v>
      </c>
      <c r="F1232" t="s">
        <v>197</v>
      </c>
      <c r="G1232" t="s">
        <v>197</v>
      </c>
      <c r="H1232" t="s">
        <v>197</v>
      </c>
      <c r="I1232" t="s">
        <v>197</v>
      </c>
      <c r="J1232" t="s">
        <v>197</v>
      </c>
      <c r="K1232" t="s">
        <v>563</v>
      </c>
    </row>
    <row r="1233" spans="1:24">
      <c r="B1233" t="s">
        <v>197</v>
      </c>
      <c r="C1233" t="s">
        <v>197</v>
      </c>
      <c r="D1233" t="s">
        <v>197</v>
      </c>
      <c r="E1233" t="s">
        <v>197</v>
      </c>
      <c r="F1233" t="s">
        <v>197</v>
      </c>
      <c r="G1233" t="s">
        <v>197</v>
      </c>
      <c r="H1233" t="s">
        <v>197</v>
      </c>
      <c r="I1233" t="s">
        <v>197</v>
      </c>
      <c r="J1233" t="s">
        <v>197</v>
      </c>
      <c r="K1233" t="s">
        <v>564</v>
      </c>
    </row>
    <row r="1234" spans="1:24">
      <c r="B1234" t="s">
        <v>197</v>
      </c>
      <c r="C1234" t="s">
        <v>197</v>
      </c>
      <c r="D1234" t="s">
        <v>197</v>
      </c>
      <c r="E1234" t="s">
        <v>197</v>
      </c>
      <c r="F1234" t="s">
        <v>197</v>
      </c>
      <c r="G1234" t="s">
        <v>197</v>
      </c>
      <c r="H1234" t="s">
        <v>197</v>
      </c>
      <c r="I1234" t="s">
        <v>197</v>
      </c>
      <c r="J1234" t="s">
        <v>197</v>
      </c>
      <c r="K1234" t="s">
        <v>565</v>
      </c>
    </row>
    <row r="1235" spans="1:24">
      <c r="B1235" t="s">
        <v>197</v>
      </c>
      <c r="C1235" t="s">
        <v>197</v>
      </c>
      <c r="D1235" t="s">
        <v>197</v>
      </c>
      <c r="E1235" t="s">
        <v>197</v>
      </c>
      <c r="F1235" t="s">
        <v>197</v>
      </c>
      <c r="G1235" t="s">
        <v>197</v>
      </c>
      <c r="H1235" t="s">
        <v>197</v>
      </c>
      <c r="I1235" t="s">
        <v>197</v>
      </c>
      <c r="J1235" t="s">
        <v>197</v>
      </c>
      <c r="K1235" t="s">
        <v>566</v>
      </c>
    </row>
    <row r="1236" spans="1:24">
      <c r="B1236" t="s">
        <v>197</v>
      </c>
      <c r="C1236" t="s">
        <v>197</v>
      </c>
      <c r="D1236" t="s">
        <v>197</v>
      </c>
      <c r="E1236" t="s">
        <v>197</v>
      </c>
      <c r="F1236" t="s">
        <v>197</v>
      </c>
      <c r="G1236" t="s">
        <v>197</v>
      </c>
      <c r="H1236" t="s">
        <v>197</v>
      </c>
      <c r="I1236" t="s">
        <v>197</v>
      </c>
      <c r="J1236" t="s">
        <v>197</v>
      </c>
      <c r="K1236" t="s">
        <v>567</v>
      </c>
    </row>
    <row r="1237" spans="1:24">
      <c r="A1237" t="s">
        <v>1120</v>
      </c>
      <c r="K1237" t="s">
        <v>1121</v>
      </c>
      <c r="W1237" t="s">
        <v>171</v>
      </c>
      <c r="X1237" t="str">
        <f>A1237</f>
        <v>info_uniqueidentifier_dml_single_pk</v>
      </c>
    </row>
    <row r="1238" spans="1:24">
      <c r="B1238" t="s">
        <v>196</v>
      </c>
      <c r="C1238" t="s">
        <v>197</v>
      </c>
      <c r="D1238" t="s">
        <v>197</v>
      </c>
      <c r="E1238" t="s">
        <v>197</v>
      </c>
      <c r="F1238" t="s">
        <v>197</v>
      </c>
      <c r="G1238" t="s">
        <v>197</v>
      </c>
      <c r="H1238" t="s">
        <v>197</v>
      </c>
      <c r="I1238" t="s">
        <v>1122</v>
      </c>
      <c r="J1238" t="s">
        <v>199</v>
      </c>
      <c r="K1238" t="s">
        <v>200</v>
      </c>
    </row>
    <row r="1239" spans="1:24">
      <c r="B1239" t="s">
        <v>197</v>
      </c>
      <c r="C1239" t="s">
        <v>197</v>
      </c>
      <c r="D1239" t="s">
        <v>197</v>
      </c>
      <c r="E1239" t="s">
        <v>197</v>
      </c>
      <c r="F1239" t="s">
        <v>197</v>
      </c>
      <c r="G1239" t="s">
        <v>197</v>
      </c>
      <c r="H1239" t="s">
        <v>197</v>
      </c>
      <c r="I1239" t="s">
        <v>197</v>
      </c>
      <c r="J1239" t="s">
        <v>197</v>
      </c>
      <c r="K1239" t="s">
        <v>1039</v>
      </c>
    </row>
    <row r="1240" spans="1:24">
      <c r="A1240" t="s">
        <v>1123</v>
      </c>
      <c r="K1240" t="s">
        <v>1124</v>
      </c>
      <c r="W1240" t="s">
        <v>171</v>
      </c>
      <c r="X1240" t="str">
        <f>A1240</f>
        <v>info_datetime2_dml_single_pk</v>
      </c>
    </row>
    <row r="1241" spans="1:24">
      <c r="B1241" t="s">
        <v>196</v>
      </c>
      <c r="C1241" t="s">
        <v>197</v>
      </c>
      <c r="D1241" t="s">
        <v>197</v>
      </c>
      <c r="E1241" t="s">
        <v>197</v>
      </c>
      <c r="F1241" t="s">
        <v>197</v>
      </c>
      <c r="G1241" t="s">
        <v>197</v>
      </c>
      <c r="H1241" t="s">
        <v>197</v>
      </c>
      <c r="I1241" t="s">
        <v>1125</v>
      </c>
      <c r="J1241" t="s">
        <v>199</v>
      </c>
      <c r="K1241" t="s">
        <v>200</v>
      </c>
    </row>
    <row r="1242" spans="1:24">
      <c r="B1242" t="s">
        <v>197</v>
      </c>
      <c r="C1242" t="s">
        <v>197</v>
      </c>
      <c r="D1242" t="s">
        <v>197</v>
      </c>
      <c r="E1242" t="s">
        <v>197</v>
      </c>
      <c r="F1242" t="s">
        <v>197</v>
      </c>
      <c r="G1242" t="s">
        <v>197</v>
      </c>
      <c r="H1242" t="s">
        <v>197</v>
      </c>
      <c r="I1242" t="s">
        <v>197</v>
      </c>
      <c r="J1242" t="s">
        <v>197</v>
      </c>
      <c r="K1242" t="s">
        <v>667</v>
      </c>
    </row>
    <row r="1243" spans="1:24">
      <c r="B1243" t="s">
        <v>197</v>
      </c>
      <c r="C1243" t="s">
        <v>197</v>
      </c>
      <c r="D1243" t="s">
        <v>197</v>
      </c>
      <c r="E1243" t="s">
        <v>197</v>
      </c>
      <c r="F1243" t="s">
        <v>197</v>
      </c>
      <c r="G1243" t="s">
        <v>197</v>
      </c>
      <c r="H1243" t="s">
        <v>197</v>
      </c>
      <c r="I1243" t="s">
        <v>197</v>
      </c>
      <c r="J1243" t="s">
        <v>197</v>
      </c>
      <c r="K1243" t="s">
        <v>668</v>
      </c>
    </row>
    <row r="1244" spans="1:24">
      <c r="B1244" t="s">
        <v>197</v>
      </c>
      <c r="C1244" t="s">
        <v>197</v>
      </c>
      <c r="D1244" t="s">
        <v>197</v>
      </c>
      <c r="E1244" t="s">
        <v>197</v>
      </c>
      <c r="F1244" t="s">
        <v>197</v>
      </c>
      <c r="G1244" t="s">
        <v>197</v>
      </c>
      <c r="H1244" t="s">
        <v>197</v>
      </c>
      <c r="I1244" t="s">
        <v>197</v>
      </c>
      <c r="J1244" t="s">
        <v>197</v>
      </c>
      <c r="K1244" t="s">
        <v>669</v>
      </c>
    </row>
    <row r="1245" spans="1:24">
      <c r="B1245" t="s">
        <v>197</v>
      </c>
      <c r="C1245" t="s">
        <v>197</v>
      </c>
      <c r="D1245" t="s">
        <v>197</v>
      </c>
      <c r="E1245" t="s">
        <v>197</v>
      </c>
      <c r="F1245" t="s">
        <v>197</v>
      </c>
      <c r="G1245" t="s">
        <v>197</v>
      </c>
      <c r="H1245" t="s">
        <v>197</v>
      </c>
      <c r="I1245" t="s">
        <v>197</v>
      </c>
      <c r="J1245" t="s">
        <v>197</v>
      </c>
      <c r="K1245" t="s">
        <v>670</v>
      </c>
    </row>
    <row r="1246" spans="1:24">
      <c r="B1246" t="s">
        <v>197</v>
      </c>
      <c r="C1246" t="s">
        <v>197</v>
      </c>
      <c r="D1246" t="s">
        <v>197</v>
      </c>
      <c r="E1246" t="s">
        <v>197</v>
      </c>
      <c r="F1246" t="s">
        <v>197</v>
      </c>
      <c r="G1246" t="s">
        <v>197</v>
      </c>
      <c r="H1246" t="s">
        <v>197</v>
      </c>
      <c r="I1246" t="s">
        <v>197</v>
      </c>
      <c r="J1246" t="s">
        <v>197</v>
      </c>
      <c r="K1246" t="s">
        <v>671</v>
      </c>
    </row>
    <row r="1247" spans="1:24">
      <c r="B1247" t="s">
        <v>197</v>
      </c>
      <c r="C1247" t="s">
        <v>197</v>
      </c>
      <c r="D1247" t="s">
        <v>197</v>
      </c>
      <c r="E1247" t="s">
        <v>197</v>
      </c>
      <c r="F1247" t="s">
        <v>197</v>
      </c>
      <c r="G1247" t="s">
        <v>197</v>
      </c>
      <c r="H1247" t="s">
        <v>197</v>
      </c>
      <c r="I1247" t="s">
        <v>197</v>
      </c>
      <c r="J1247" t="s">
        <v>197</v>
      </c>
      <c r="K1247" t="s">
        <v>672</v>
      </c>
    </row>
    <row r="1248" spans="1:24">
      <c r="B1248" t="s">
        <v>197</v>
      </c>
      <c r="C1248" t="s">
        <v>197</v>
      </c>
      <c r="D1248" t="s">
        <v>197</v>
      </c>
      <c r="E1248" t="s">
        <v>197</v>
      </c>
      <c r="F1248" t="s">
        <v>197</v>
      </c>
      <c r="G1248" t="s">
        <v>197</v>
      </c>
      <c r="H1248" t="s">
        <v>197</v>
      </c>
      <c r="I1248" t="s">
        <v>197</v>
      </c>
      <c r="J1248" t="s">
        <v>197</v>
      </c>
      <c r="K1248" t="s">
        <v>673</v>
      </c>
    </row>
    <row r="1249" spans="1:24">
      <c r="B1249" t="s">
        <v>197</v>
      </c>
      <c r="C1249" t="s">
        <v>197</v>
      </c>
      <c r="D1249" t="s">
        <v>197</v>
      </c>
      <c r="E1249" t="s">
        <v>197</v>
      </c>
      <c r="F1249" t="s">
        <v>197</v>
      </c>
      <c r="G1249" t="s">
        <v>197</v>
      </c>
      <c r="H1249" t="s">
        <v>197</v>
      </c>
      <c r="I1249" t="s">
        <v>197</v>
      </c>
      <c r="J1249" t="s">
        <v>197</v>
      </c>
      <c r="K1249" t="s">
        <v>674</v>
      </c>
    </row>
    <row r="1250" spans="1:24">
      <c r="A1250" t="s">
        <v>1129</v>
      </c>
      <c r="K1250" t="s">
        <v>1130</v>
      </c>
      <c r="W1250" s="1" t="str">
        <f>HYPERLINK("#2026042016hbase1!AK2","NO 源备存在差异，共4个")</f>
        <v>NO 源备存在差异，共4个</v>
      </c>
      <c r="X1250" t="str">
        <f>A1250</f>
        <v>info_geography_dml_single_pk_drp</v>
      </c>
    </row>
    <row r="1251" spans="1:24">
      <c r="B1251" t="s">
        <v>196</v>
      </c>
      <c r="C1251" t="s">
        <v>197</v>
      </c>
      <c r="D1251" t="s">
        <v>197</v>
      </c>
      <c r="E1251" t="s">
        <v>197</v>
      </c>
      <c r="F1251" t="s">
        <v>197</v>
      </c>
      <c r="G1251" t="s">
        <v>197</v>
      </c>
      <c r="H1251" t="s">
        <v>197</v>
      </c>
      <c r="I1251" t="s">
        <v>1131</v>
      </c>
      <c r="J1251" t="s">
        <v>199</v>
      </c>
      <c r="K1251" t="s">
        <v>200</v>
      </c>
    </row>
    <row r="1252" spans="1:24">
      <c r="B1252" t="s">
        <v>197</v>
      </c>
      <c r="C1252" t="s">
        <v>197</v>
      </c>
      <c r="D1252" t="s">
        <v>197</v>
      </c>
      <c r="E1252" t="s">
        <v>197</v>
      </c>
      <c r="F1252" t="s">
        <v>197</v>
      </c>
      <c r="G1252" t="s">
        <v>197</v>
      </c>
      <c r="H1252" t="s">
        <v>197</v>
      </c>
      <c r="I1252" t="s">
        <v>197</v>
      </c>
      <c r="J1252" t="s">
        <v>197</v>
      </c>
      <c r="K1252" t="s">
        <v>1052</v>
      </c>
    </row>
    <row r="1253" spans="1:24">
      <c r="A1253" t="s">
        <v>1126</v>
      </c>
      <c r="K1253" t="s">
        <v>1127</v>
      </c>
      <c r="W1253" t="s">
        <v>171</v>
      </c>
      <c r="X1253" t="str">
        <f>A1253</f>
        <v>info_varchar_dml_single_pk_drp</v>
      </c>
    </row>
    <row r="1254" spans="1:24">
      <c r="B1254" t="s">
        <v>196</v>
      </c>
      <c r="C1254" t="s">
        <v>197</v>
      </c>
      <c r="D1254" t="s">
        <v>197</v>
      </c>
      <c r="E1254" t="s">
        <v>197</v>
      </c>
      <c r="F1254" t="s">
        <v>197</v>
      </c>
      <c r="G1254" t="s">
        <v>197</v>
      </c>
      <c r="H1254" t="s">
        <v>197</v>
      </c>
      <c r="I1254" t="s">
        <v>1128</v>
      </c>
      <c r="J1254" t="s">
        <v>199</v>
      </c>
      <c r="K1254" t="s">
        <v>200</v>
      </c>
    </row>
    <row r="1255" spans="1:24">
      <c r="B1255" t="s">
        <v>197</v>
      </c>
      <c r="C1255" t="s">
        <v>197</v>
      </c>
      <c r="D1255" t="s">
        <v>197</v>
      </c>
      <c r="E1255" t="s">
        <v>197</v>
      </c>
      <c r="F1255" t="s">
        <v>197</v>
      </c>
      <c r="G1255" t="s">
        <v>197</v>
      </c>
      <c r="H1255" t="s">
        <v>197</v>
      </c>
      <c r="I1255" t="s">
        <v>197</v>
      </c>
      <c r="J1255" t="s">
        <v>197</v>
      </c>
      <c r="K1255" t="s">
        <v>431</v>
      </c>
    </row>
    <row r="1256" spans="1:24">
      <c r="B1256" t="s">
        <v>197</v>
      </c>
      <c r="C1256" t="s">
        <v>197</v>
      </c>
      <c r="D1256" t="s">
        <v>197</v>
      </c>
      <c r="E1256" t="s">
        <v>197</v>
      </c>
      <c r="F1256" t="s">
        <v>197</v>
      </c>
      <c r="G1256" t="s">
        <v>197</v>
      </c>
      <c r="H1256" t="s">
        <v>197</v>
      </c>
      <c r="I1256" t="s">
        <v>197</v>
      </c>
      <c r="J1256" t="s">
        <v>197</v>
      </c>
      <c r="K1256" t="s">
        <v>1056</v>
      </c>
    </row>
    <row r="1257" spans="1:24">
      <c r="B1257" t="s">
        <v>197</v>
      </c>
      <c r="C1257" t="s">
        <v>197</v>
      </c>
      <c r="D1257" t="s">
        <v>197</v>
      </c>
      <c r="E1257" t="s">
        <v>197</v>
      </c>
      <c r="F1257" t="s">
        <v>197</v>
      </c>
      <c r="G1257" t="s">
        <v>197</v>
      </c>
      <c r="H1257" t="s">
        <v>197</v>
      </c>
      <c r="I1257" t="s">
        <v>197</v>
      </c>
      <c r="J1257" t="s">
        <v>197</v>
      </c>
      <c r="K1257" t="s">
        <v>963</v>
      </c>
    </row>
    <row r="1258" spans="1:24">
      <c r="A1258" t="s">
        <v>1132</v>
      </c>
      <c r="K1258" t="s">
        <v>1133</v>
      </c>
      <c r="W1258" t="s">
        <v>171</v>
      </c>
      <c r="X1258" t="str">
        <f>A1258</f>
        <v>info_time_dml_batch1_pk_drp2</v>
      </c>
    </row>
    <row r="1259" spans="1:24">
      <c r="B1259" t="s">
        <v>196</v>
      </c>
      <c r="C1259" t="s">
        <v>197</v>
      </c>
      <c r="D1259" t="s">
        <v>197</v>
      </c>
      <c r="E1259" t="s">
        <v>197</v>
      </c>
      <c r="F1259" t="s">
        <v>197</v>
      </c>
      <c r="G1259" t="s">
        <v>197</v>
      </c>
      <c r="H1259" t="s">
        <v>197</v>
      </c>
      <c r="I1259" t="s">
        <v>1134</v>
      </c>
      <c r="J1259" t="s">
        <v>199</v>
      </c>
      <c r="K1259" t="s">
        <v>200</v>
      </c>
    </row>
    <row r="1260" spans="1:24">
      <c r="B1260" t="s">
        <v>197</v>
      </c>
      <c r="C1260" t="s">
        <v>197</v>
      </c>
      <c r="D1260" t="s">
        <v>197</v>
      </c>
      <c r="E1260" t="s">
        <v>197</v>
      </c>
      <c r="F1260" t="s">
        <v>197</v>
      </c>
      <c r="G1260" t="s">
        <v>197</v>
      </c>
      <c r="H1260" t="s">
        <v>197</v>
      </c>
      <c r="I1260" t="s">
        <v>197</v>
      </c>
      <c r="J1260" t="s">
        <v>197</v>
      </c>
      <c r="K1260" t="s">
        <v>800</v>
      </c>
    </row>
    <row r="1261" spans="1:24">
      <c r="B1261" t="s">
        <v>197</v>
      </c>
      <c r="C1261" t="s">
        <v>197</v>
      </c>
      <c r="D1261" t="s">
        <v>197</v>
      </c>
      <c r="E1261" t="s">
        <v>197</v>
      </c>
      <c r="F1261" t="s">
        <v>197</v>
      </c>
      <c r="G1261" t="s">
        <v>197</v>
      </c>
      <c r="H1261" t="s">
        <v>197</v>
      </c>
      <c r="I1261" t="s">
        <v>197</v>
      </c>
      <c r="J1261" t="s">
        <v>197</v>
      </c>
      <c r="K1261" t="s">
        <v>801</v>
      </c>
    </row>
    <row r="1262" spans="1:24">
      <c r="B1262" t="s">
        <v>197</v>
      </c>
      <c r="C1262" t="s">
        <v>197</v>
      </c>
      <c r="D1262" t="s">
        <v>197</v>
      </c>
      <c r="E1262" t="s">
        <v>197</v>
      </c>
      <c r="F1262" t="s">
        <v>197</v>
      </c>
      <c r="G1262" t="s">
        <v>197</v>
      </c>
      <c r="H1262" t="s">
        <v>197</v>
      </c>
      <c r="I1262" t="s">
        <v>197</v>
      </c>
      <c r="J1262" t="s">
        <v>197</v>
      </c>
      <c r="K1262" t="s">
        <v>802</v>
      </c>
    </row>
    <row r="1263" spans="1:24">
      <c r="B1263" t="s">
        <v>197</v>
      </c>
      <c r="C1263" t="s">
        <v>197</v>
      </c>
      <c r="D1263" t="s">
        <v>197</v>
      </c>
      <c r="E1263" t="s">
        <v>197</v>
      </c>
      <c r="F1263" t="s">
        <v>197</v>
      </c>
      <c r="G1263" t="s">
        <v>197</v>
      </c>
      <c r="H1263" t="s">
        <v>197</v>
      </c>
      <c r="I1263" t="s">
        <v>197</v>
      </c>
      <c r="J1263" t="s">
        <v>197</v>
      </c>
      <c r="K1263" t="s">
        <v>803</v>
      </c>
    </row>
    <row r="1264" spans="1:24">
      <c r="B1264" t="s">
        <v>197</v>
      </c>
      <c r="C1264" t="s">
        <v>197</v>
      </c>
      <c r="D1264" t="s">
        <v>197</v>
      </c>
      <c r="E1264" t="s">
        <v>197</v>
      </c>
      <c r="F1264" t="s">
        <v>197</v>
      </c>
      <c r="G1264" t="s">
        <v>197</v>
      </c>
      <c r="H1264" t="s">
        <v>197</v>
      </c>
      <c r="I1264" t="s">
        <v>197</v>
      </c>
      <c r="J1264" t="s">
        <v>197</v>
      </c>
      <c r="K1264" t="s">
        <v>804</v>
      </c>
    </row>
    <row r="1265" spans="1:24">
      <c r="B1265" t="s">
        <v>197</v>
      </c>
      <c r="C1265" t="s">
        <v>197</v>
      </c>
      <c r="D1265" t="s">
        <v>197</v>
      </c>
      <c r="E1265" t="s">
        <v>197</v>
      </c>
      <c r="F1265" t="s">
        <v>197</v>
      </c>
      <c r="G1265" t="s">
        <v>197</v>
      </c>
      <c r="H1265" t="s">
        <v>197</v>
      </c>
      <c r="I1265" t="s">
        <v>197</v>
      </c>
      <c r="J1265" t="s">
        <v>197</v>
      </c>
      <c r="K1265" t="s">
        <v>805</v>
      </c>
    </row>
    <row r="1266" spans="1:24">
      <c r="B1266" t="s">
        <v>197</v>
      </c>
      <c r="C1266" t="s">
        <v>197</v>
      </c>
      <c r="D1266" t="s">
        <v>197</v>
      </c>
      <c r="E1266" t="s">
        <v>197</v>
      </c>
      <c r="F1266" t="s">
        <v>197</v>
      </c>
      <c r="G1266" t="s">
        <v>197</v>
      </c>
      <c r="H1266" t="s">
        <v>197</v>
      </c>
      <c r="I1266" t="s">
        <v>197</v>
      </c>
      <c r="J1266" t="s">
        <v>197</v>
      </c>
      <c r="K1266" t="s">
        <v>806</v>
      </c>
    </row>
    <row r="1267" spans="1:24">
      <c r="B1267" t="s">
        <v>197</v>
      </c>
      <c r="C1267" t="s">
        <v>197</v>
      </c>
      <c r="D1267" t="s">
        <v>197</v>
      </c>
      <c r="E1267" t="s">
        <v>197</v>
      </c>
      <c r="F1267" t="s">
        <v>197</v>
      </c>
      <c r="G1267" t="s">
        <v>197</v>
      </c>
      <c r="H1267" t="s">
        <v>197</v>
      </c>
      <c r="I1267" t="s">
        <v>197</v>
      </c>
      <c r="J1267" t="s">
        <v>197</v>
      </c>
      <c r="K1267" t="s">
        <v>807</v>
      </c>
    </row>
    <row r="1268" spans="1:24">
      <c r="A1268" t="s">
        <v>1135</v>
      </c>
      <c r="K1268" t="s">
        <v>1136</v>
      </c>
      <c r="W1268" t="s">
        <v>171</v>
      </c>
      <c r="X1268" t="str">
        <f>A1268</f>
        <v>info_varchar_dml_batch1_pk_urp1</v>
      </c>
    </row>
    <row r="1269" spans="1:24">
      <c r="B1269" t="s">
        <v>196</v>
      </c>
      <c r="C1269" t="s">
        <v>197</v>
      </c>
      <c r="D1269" t="s">
        <v>197</v>
      </c>
      <c r="E1269" t="s">
        <v>197</v>
      </c>
      <c r="F1269" t="s">
        <v>197</v>
      </c>
      <c r="G1269" t="s">
        <v>197</v>
      </c>
      <c r="H1269" t="s">
        <v>197</v>
      </c>
      <c r="I1269" t="s">
        <v>1137</v>
      </c>
      <c r="J1269" t="s">
        <v>199</v>
      </c>
      <c r="K1269" t="s">
        <v>200</v>
      </c>
    </row>
    <row r="1270" spans="1:24">
      <c r="B1270" t="s">
        <v>197</v>
      </c>
      <c r="C1270" t="s">
        <v>197</v>
      </c>
      <c r="D1270" t="s">
        <v>197</v>
      </c>
      <c r="E1270" t="s">
        <v>197</v>
      </c>
      <c r="F1270" t="s">
        <v>197</v>
      </c>
      <c r="G1270" t="s">
        <v>197</v>
      </c>
      <c r="H1270" t="s">
        <v>197</v>
      </c>
      <c r="I1270" t="s">
        <v>197</v>
      </c>
      <c r="J1270" t="s">
        <v>197</v>
      </c>
      <c r="K1270" t="s">
        <v>431</v>
      </c>
    </row>
    <row r="1271" spans="1:24">
      <c r="B1271" t="s">
        <v>197</v>
      </c>
      <c r="C1271" t="s">
        <v>197</v>
      </c>
      <c r="D1271" t="s">
        <v>197</v>
      </c>
      <c r="E1271" t="s">
        <v>197</v>
      </c>
      <c r="F1271" t="s">
        <v>197</v>
      </c>
      <c r="G1271" t="s">
        <v>197</v>
      </c>
      <c r="H1271" t="s">
        <v>197</v>
      </c>
      <c r="I1271" t="s">
        <v>197</v>
      </c>
      <c r="J1271" t="s">
        <v>197</v>
      </c>
      <c r="K1271" t="s">
        <v>434</v>
      </c>
    </row>
    <row r="1272" spans="1:24">
      <c r="B1272" t="s">
        <v>197</v>
      </c>
      <c r="C1272" t="s">
        <v>197</v>
      </c>
      <c r="D1272" t="s">
        <v>197</v>
      </c>
      <c r="E1272" t="s">
        <v>197</v>
      </c>
      <c r="F1272" t="s">
        <v>197</v>
      </c>
      <c r="G1272" t="s">
        <v>197</v>
      </c>
      <c r="H1272" t="s">
        <v>197</v>
      </c>
      <c r="I1272" t="s">
        <v>197</v>
      </c>
      <c r="J1272" t="s">
        <v>197</v>
      </c>
      <c r="K1272" t="s">
        <v>439</v>
      </c>
    </row>
    <row r="1273" spans="1:24">
      <c r="A1273" t="s">
        <v>1141</v>
      </c>
      <c r="K1273" t="s">
        <v>1142</v>
      </c>
      <c r="W1273" t="s">
        <v>171</v>
      </c>
      <c r="X1273" t="str">
        <f>A1273</f>
        <v>info_nvarchar_dml_batch2_pk_irp2</v>
      </c>
    </row>
    <row r="1274" spans="1:24">
      <c r="B1274" t="s">
        <v>196</v>
      </c>
      <c r="C1274" t="s">
        <v>197</v>
      </c>
      <c r="D1274" t="s">
        <v>197</v>
      </c>
      <c r="E1274" t="s">
        <v>197</v>
      </c>
      <c r="F1274" t="s">
        <v>197</v>
      </c>
      <c r="G1274" t="s">
        <v>197</v>
      </c>
      <c r="H1274" t="s">
        <v>197</v>
      </c>
      <c r="I1274" t="s">
        <v>1143</v>
      </c>
      <c r="J1274" t="s">
        <v>199</v>
      </c>
      <c r="K1274" t="s">
        <v>200</v>
      </c>
    </row>
    <row r="1275" spans="1:24">
      <c r="B1275" t="s">
        <v>197</v>
      </c>
      <c r="C1275" t="s">
        <v>197</v>
      </c>
      <c r="D1275" t="s">
        <v>197</v>
      </c>
      <c r="E1275" t="s">
        <v>197</v>
      </c>
      <c r="F1275" t="s">
        <v>197</v>
      </c>
      <c r="G1275" t="s">
        <v>197</v>
      </c>
      <c r="H1275" t="s">
        <v>197</v>
      </c>
      <c r="I1275" t="s">
        <v>197</v>
      </c>
      <c r="J1275" t="s">
        <v>197</v>
      </c>
      <c r="K1275" t="s">
        <v>408</v>
      </c>
    </row>
    <row r="1276" spans="1:24">
      <c r="B1276" t="s">
        <v>197</v>
      </c>
      <c r="C1276" t="s">
        <v>197</v>
      </c>
      <c r="D1276" t="s">
        <v>197</v>
      </c>
      <c r="E1276" t="s">
        <v>197</v>
      </c>
      <c r="F1276" t="s">
        <v>197</v>
      </c>
      <c r="G1276" t="s">
        <v>197</v>
      </c>
      <c r="H1276" t="s">
        <v>197</v>
      </c>
      <c r="I1276" t="s">
        <v>197</v>
      </c>
      <c r="J1276" t="s">
        <v>197</v>
      </c>
      <c r="K1276" t="s">
        <v>412</v>
      </c>
    </row>
    <row r="1277" spans="1:24">
      <c r="B1277" t="s">
        <v>197</v>
      </c>
      <c r="C1277" t="s">
        <v>197</v>
      </c>
      <c r="D1277" t="s">
        <v>197</v>
      </c>
      <c r="E1277" t="s">
        <v>197</v>
      </c>
      <c r="F1277" t="s">
        <v>197</v>
      </c>
      <c r="G1277" t="s">
        <v>197</v>
      </c>
      <c r="H1277" t="s">
        <v>197</v>
      </c>
      <c r="I1277" t="s">
        <v>197</v>
      </c>
      <c r="J1277" t="s">
        <v>197</v>
      </c>
      <c r="K1277" t="s">
        <v>416</v>
      </c>
    </row>
    <row r="1278" spans="1:24">
      <c r="A1278" t="s">
        <v>1138</v>
      </c>
      <c r="K1278" t="s">
        <v>1139</v>
      </c>
      <c r="W1278" t="s">
        <v>171</v>
      </c>
      <c r="X1278" t="str">
        <f>A1278</f>
        <v>info_geography_dml_single_pk</v>
      </c>
    </row>
    <row r="1279" spans="1:24">
      <c r="B1279" t="s">
        <v>196</v>
      </c>
      <c r="C1279" t="s">
        <v>197</v>
      </c>
      <c r="D1279" t="s">
        <v>197</v>
      </c>
      <c r="E1279" t="s">
        <v>197</v>
      </c>
      <c r="F1279" t="s">
        <v>197</v>
      </c>
      <c r="G1279" t="s">
        <v>197</v>
      </c>
      <c r="H1279" t="s">
        <v>197</v>
      </c>
      <c r="I1279" t="s">
        <v>1140</v>
      </c>
      <c r="J1279" t="s">
        <v>199</v>
      </c>
      <c r="K1279" t="s">
        <v>200</v>
      </c>
    </row>
    <row r="1280" spans="1:24">
      <c r="B1280" t="s">
        <v>197</v>
      </c>
      <c r="C1280" t="s">
        <v>197</v>
      </c>
      <c r="D1280" t="s">
        <v>197</v>
      </c>
      <c r="E1280" t="s">
        <v>197</v>
      </c>
      <c r="F1280" t="s">
        <v>197</v>
      </c>
      <c r="G1280" t="s">
        <v>197</v>
      </c>
      <c r="H1280" t="s">
        <v>197</v>
      </c>
      <c r="I1280" t="s">
        <v>197</v>
      </c>
      <c r="J1280" t="s">
        <v>197</v>
      </c>
      <c r="K1280" t="s">
        <v>1052</v>
      </c>
    </row>
    <row r="1281" spans="1:24">
      <c r="A1281" t="s">
        <v>1150</v>
      </c>
      <c r="K1281" t="s">
        <v>1151</v>
      </c>
      <c r="W1281" t="s">
        <v>171</v>
      </c>
      <c r="X1281" t="str">
        <f>A1281</f>
        <v>info_time_dml_batch1_pk</v>
      </c>
    </row>
    <row r="1282" spans="1:24">
      <c r="B1282" t="s">
        <v>196</v>
      </c>
      <c r="C1282" t="s">
        <v>197</v>
      </c>
      <c r="D1282" t="s">
        <v>197</v>
      </c>
      <c r="E1282" t="s">
        <v>197</v>
      </c>
      <c r="F1282" t="s">
        <v>197</v>
      </c>
      <c r="G1282" t="s">
        <v>197</v>
      </c>
      <c r="H1282" t="s">
        <v>197</v>
      </c>
      <c r="I1282" t="s">
        <v>1152</v>
      </c>
      <c r="J1282" t="s">
        <v>199</v>
      </c>
      <c r="K1282" t="s">
        <v>200</v>
      </c>
    </row>
    <row r="1283" spans="1:24">
      <c r="B1283" t="s">
        <v>197</v>
      </c>
      <c r="C1283" t="s">
        <v>197</v>
      </c>
      <c r="D1283" t="s">
        <v>197</v>
      </c>
      <c r="E1283" t="s">
        <v>197</v>
      </c>
      <c r="F1283" t="s">
        <v>197</v>
      </c>
      <c r="G1283" t="s">
        <v>197</v>
      </c>
      <c r="H1283" t="s">
        <v>197</v>
      </c>
      <c r="I1283" t="s">
        <v>197</v>
      </c>
      <c r="J1283" t="s">
        <v>197</v>
      </c>
      <c r="K1283" t="s">
        <v>800</v>
      </c>
    </row>
    <row r="1284" spans="1:24">
      <c r="B1284" t="s">
        <v>197</v>
      </c>
      <c r="C1284" t="s">
        <v>197</v>
      </c>
      <c r="D1284" t="s">
        <v>197</v>
      </c>
      <c r="E1284" t="s">
        <v>197</v>
      </c>
      <c r="F1284" t="s">
        <v>197</v>
      </c>
      <c r="G1284" t="s">
        <v>197</v>
      </c>
      <c r="H1284" t="s">
        <v>197</v>
      </c>
      <c r="I1284" t="s">
        <v>197</v>
      </c>
      <c r="J1284" t="s">
        <v>197</v>
      </c>
      <c r="K1284" t="s">
        <v>801</v>
      </c>
    </row>
    <row r="1285" spans="1:24">
      <c r="B1285" t="s">
        <v>197</v>
      </c>
      <c r="C1285" t="s">
        <v>197</v>
      </c>
      <c r="D1285" t="s">
        <v>197</v>
      </c>
      <c r="E1285" t="s">
        <v>197</v>
      </c>
      <c r="F1285" t="s">
        <v>197</v>
      </c>
      <c r="G1285" t="s">
        <v>197</v>
      </c>
      <c r="H1285" t="s">
        <v>197</v>
      </c>
      <c r="I1285" t="s">
        <v>197</v>
      </c>
      <c r="J1285" t="s">
        <v>197</v>
      </c>
      <c r="K1285" t="s">
        <v>802</v>
      </c>
    </row>
    <row r="1286" spans="1:24">
      <c r="B1286" t="s">
        <v>197</v>
      </c>
      <c r="C1286" t="s">
        <v>197</v>
      </c>
      <c r="D1286" t="s">
        <v>197</v>
      </c>
      <c r="E1286" t="s">
        <v>197</v>
      </c>
      <c r="F1286" t="s">
        <v>197</v>
      </c>
      <c r="G1286" t="s">
        <v>197</v>
      </c>
      <c r="H1286" t="s">
        <v>197</v>
      </c>
      <c r="I1286" t="s">
        <v>197</v>
      </c>
      <c r="J1286" t="s">
        <v>197</v>
      </c>
      <c r="K1286" t="s">
        <v>803</v>
      </c>
    </row>
    <row r="1287" spans="1:24">
      <c r="B1287" t="s">
        <v>197</v>
      </c>
      <c r="C1287" t="s">
        <v>197</v>
      </c>
      <c r="D1287" t="s">
        <v>197</v>
      </c>
      <c r="E1287" t="s">
        <v>197</v>
      </c>
      <c r="F1287" t="s">
        <v>197</v>
      </c>
      <c r="G1287" t="s">
        <v>197</v>
      </c>
      <c r="H1287" t="s">
        <v>197</v>
      </c>
      <c r="I1287" t="s">
        <v>197</v>
      </c>
      <c r="J1287" t="s">
        <v>197</v>
      </c>
      <c r="K1287" t="s">
        <v>804</v>
      </c>
    </row>
    <row r="1288" spans="1:24">
      <c r="B1288" t="s">
        <v>197</v>
      </c>
      <c r="C1288" t="s">
        <v>197</v>
      </c>
      <c r="D1288" t="s">
        <v>197</v>
      </c>
      <c r="E1288" t="s">
        <v>197</v>
      </c>
      <c r="F1288" t="s">
        <v>197</v>
      </c>
      <c r="G1288" t="s">
        <v>197</v>
      </c>
      <c r="H1288" t="s">
        <v>197</v>
      </c>
      <c r="I1288" t="s">
        <v>197</v>
      </c>
      <c r="J1288" t="s">
        <v>197</v>
      </c>
      <c r="K1288" t="s">
        <v>805</v>
      </c>
    </row>
    <row r="1289" spans="1:24">
      <c r="B1289" t="s">
        <v>197</v>
      </c>
      <c r="C1289" t="s">
        <v>197</v>
      </c>
      <c r="D1289" t="s">
        <v>197</v>
      </c>
      <c r="E1289" t="s">
        <v>197</v>
      </c>
      <c r="F1289" t="s">
        <v>197</v>
      </c>
      <c r="G1289" t="s">
        <v>197</v>
      </c>
      <c r="H1289" t="s">
        <v>197</v>
      </c>
      <c r="I1289" t="s">
        <v>197</v>
      </c>
      <c r="J1289" t="s">
        <v>197</v>
      </c>
      <c r="K1289" t="s">
        <v>806</v>
      </c>
    </row>
    <row r="1290" spans="1:24">
      <c r="B1290" t="s">
        <v>197</v>
      </c>
      <c r="C1290" t="s">
        <v>197</v>
      </c>
      <c r="D1290" t="s">
        <v>197</v>
      </c>
      <c r="E1290" t="s">
        <v>197</v>
      </c>
      <c r="F1290" t="s">
        <v>197</v>
      </c>
      <c r="G1290" t="s">
        <v>197</v>
      </c>
      <c r="H1290" t="s">
        <v>197</v>
      </c>
      <c r="I1290" t="s">
        <v>197</v>
      </c>
      <c r="J1290" t="s">
        <v>197</v>
      </c>
      <c r="K1290" t="s">
        <v>807</v>
      </c>
    </row>
    <row r="1291" spans="1:24">
      <c r="A1291" t="s">
        <v>697</v>
      </c>
      <c r="K1291" t="s">
        <v>698</v>
      </c>
      <c r="W1291" t="s">
        <v>171</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1153</v>
      </c>
      <c r="K1312" t="s">
        <v>1154</v>
      </c>
      <c r="W1312" t="s">
        <v>171</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1144</v>
      </c>
      <c r="K1315" t="s">
        <v>1145</v>
      </c>
      <c r="W1315" s="1" t="str">
        <f>HYPERLINK("#2026042016hbase1!AL2","NO 源备存在差异，共4个")</f>
        <v>NO 源备存在差异，共4个</v>
      </c>
      <c r="X1315" t="str">
        <f>A1315</f>
        <v>info_int_dml_batch2_pk_irp1</v>
      </c>
    </row>
    <row r="1316" spans="1:24">
      <c r="B1316" t="s">
        <v>196</v>
      </c>
      <c r="C1316" t="s">
        <v>197</v>
      </c>
      <c r="D1316" t="s">
        <v>197</v>
      </c>
      <c r="E1316" t="s">
        <v>197</v>
      </c>
      <c r="F1316" t="s">
        <v>197</v>
      </c>
      <c r="G1316" t="s">
        <v>197</v>
      </c>
      <c r="H1316" t="s">
        <v>197</v>
      </c>
      <c r="I1316" t="s">
        <v>1146</v>
      </c>
      <c r="J1316" t="s">
        <v>199</v>
      </c>
      <c r="K1316" t="s">
        <v>200</v>
      </c>
    </row>
    <row r="1317" spans="1:24">
      <c r="B1317" t="s">
        <v>197</v>
      </c>
      <c r="C1317" t="s">
        <v>197</v>
      </c>
      <c r="D1317" t="s">
        <v>197</v>
      </c>
      <c r="E1317" t="s">
        <v>197</v>
      </c>
      <c r="F1317" t="s">
        <v>197</v>
      </c>
      <c r="G1317" t="s">
        <v>197</v>
      </c>
      <c r="H1317" t="s">
        <v>197</v>
      </c>
      <c r="I1317" t="s">
        <v>197</v>
      </c>
      <c r="J1317" t="s">
        <v>197</v>
      </c>
      <c r="K1317" t="s">
        <v>549</v>
      </c>
    </row>
    <row r="1318" spans="1:24">
      <c r="B1318" t="s">
        <v>197</v>
      </c>
      <c r="C1318" t="s">
        <v>197</v>
      </c>
      <c r="D1318" t="s">
        <v>197</v>
      </c>
      <c r="E1318" t="s">
        <v>197</v>
      </c>
      <c r="F1318" t="s">
        <v>197</v>
      </c>
      <c r="G1318" t="s">
        <v>197</v>
      </c>
      <c r="H1318" t="s">
        <v>197</v>
      </c>
      <c r="I1318" t="s">
        <v>197</v>
      </c>
      <c r="J1318" t="s">
        <v>197</v>
      </c>
      <c r="K1318" t="s">
        <v>550</v>
      </c>
    </row>
    <row r="1319" spans="1:24">
      <c r="B1319" t="s">
        <v>197</v>
      </c>
      <c r="C1319" t="s">
        <v>197</v>
      </c>
      <c r="D1319" t="s">
        <v>197</v>
      </c>
      <c r="E1319" t="s">
        <v>197</v>
      </c>
      <c r="F1319" t="s">
        <v>197</v>
      </c>
      <c r="G1319" t="s">
        <v>197</v>
      </c>
      <c r="H1319" t="s">
        <v>197</v>
      </c>
      <c r="I1319" t="s">
        <v>197</v>
      </c>
      <c r="J1319" t="s">
        <v>197</v>
      </c>
      <c r="K1319" t="s">
        <v>551</v>
      </c>
    </row>
    <row r="1320" spans="1:24">
      <c r="B1320" t="s">
        <v>197</v>
      </c>
      <c r="C1320" t="s">
        <v>197</v>
      </c>
      <c r="D1320" t="s">
        <v>197</v>
      </c>
      <c r="E1320" t="s">
        <v>197</v>
      </c>
      <c r="F1320" t="s">
        <v>197</v>
      </c>
      <c r="G1320" t="s">
        <v>197</v>
      </c>
      <c r="H1320" t="s">
        <v>197</v>
      </c>
      <c r="I1320" t="s">
        <v>197</v>
      </c>
      <c r="J1320" t="s">
        <v>197</v>
      </c>
      <c r="K1320" t="s">
        <v>552</v>
      </c>
    </row>
    <row r="1321" spans="1:24">
      <c r="B1321" t="s">
        <v>197</v>
      </c>
      <c r="C1321" t="s">
        <v>197</v>
      </c>
      <c r="D1321" t="s">
        <v>197</v>
      </c>
      <c r="E1321" t="s">
        <v>197</v>
      </c>
      <c r="F1321" t="s">
        <v>197</v>
      </c>
      <c r="G1321" t="s">
        <v>197</v>
      </c>
      <c r="H1321" t="s">
        <v>197</v>
      </c>
      <c r="I1321" t="s">
        <v>197</v>
      </c>
      <c r="J1321" t="s">
        <v>197</v>
      </c>
      <c r="K1321" t="s">
        <v>553</v>
      </c>
    </row>
    <row r="1322" spans="1:24">
      <c r="B1322" t="s">
        <v>197</v>
      </c>
      <c r="C1322" t="s">
        <v>197</v>
      </c>
      <c r="D1322" t="s">
        <v>197</v>
      </c>
      <c r="E1322" t="s">
        <v>197</v>
      </c>
      <c r="F1322" t="s">
        <v>197</v>
      </c>
      <c r="G1322" t="s">
        <v>197</v>
      </c>
      <c r="H1322" t="s">
        <v>197</v>
      </c>
      <c r="I1322" t="s">
        <v>197</v>
      </c>
      <c r="J1322" t="s">
        <v>197</v>
      </c>
      <c r="K1322" t="s">
        <v>554</v>
      </c>
    </row>
    <row r="1323" spans="1:24">
      <c r="B1323" t="s">
        <v>197</v>
      </c>
      <c r="C1323" t="s">
        <v>197</v>
      </c>
      <c r="D1323" t="s">
        <v>197</v>
      </c>
      <c r="E1323" t="s">
        <v>197</v>
      </c>
      <c r="F1323" t="s">
        <v>197</v>
      </c>
      <c r="G1323" t="s">
        <v>197</v>
      </c>
      <c r="H1323" t="s">
        <v>197</v>
      </c>
      <c r="I1323" t="s">
        <v>197</v>
      </c>
      <c r="J1323" t="s">
        <v>197</v>
      </c>
      <c r="K1323" t="s">
        <v>555</v>
      </c>
    </row>
    <row r="1324" spans="1:24">
      <c r="B1324" t="s">
        <v>197</v>
      </c>
      <c r="C1324" t="s">
        <v>197</v>
      </c>
      <c r="D1324" t="s">
        <v>197</v>
      </c>
      <c r="E1324" t="s">
        <v>197</v>
      </c>
      <c r="F1324" t="s">
        <v>197</v>
      </c>
      <c r="G1324" t="s">
        <v>197</v>
      </c>
      <c r="H1324" t="s">
        <v>197</v>
      </c>
      <c r="I1324" t="s">
        <v>197</v>
      </c>
      <c r="J1324" t="s">
        <v>197</v>
      </c>
      <c r="K1324" t="s">
        <v>556</v>
      </c>
    </row>
    <row r="1325" spans="1:24">
      <c r="B1325" t="s">
        <v>197</v>
      </c>
      <c r="C1325" t="s">
        <v>197</v>
      </c>
      <c r="D1325" t="s">
        <v>197</v>
      </c>
      <c r="E1325" t="s">
        <v>197</v>
      </c>
      <c r="F1325" t="s">
        <v>197</v>
      </c>
      <c r="G1325" t="s">
        <v>197</v>
      </c>
      <c r="H1325" t="s">
        <v>197</v>
      </c>
      <c r="I1325" t="s">
        <v>197</v>
      </c>
      <c r="J1325" t="s">
        <v>197</v>
      </c>
      <c r="K1325" t="s">
        <v>557</v>
      </c>
    </row>
    <row r="1326" spans="1:24">
      <c r="B1326" t="s">
        <v>197</v>
      </c>
      <c r="C1326" t="s">
        <v>197</v>
      </c>
      <c r="D1326" t="s">
        <v>197</v>
      </c>
      <c r="E1326" t="s">
        <v>197</v>
      </c>
      <c r="F1326" t="s">
        <v>197</v>
      </c>
      <c r="G1326" t="s">
        <v>197</v>
      </c>
      <c r="H1326" t="s">
        <v>197</v>
      </c>
      <c r="I1326" t="s">
        <v>197</v>
      </c>
      <c r="J1326" t="s">
        <v>197</v>
      </c>
      <c r="K1326" t="s">
        <v>558</v>
      </c>
    </row>
    <row r="1327" spans="1:24">
      <c r="B1327" t="s">
        <v>197</v>
      </c>
      <c r="C1327" t="s">
        <v>197</v>
      </c>
      <c r="D1327" t="s">
        <v>197</v>
      </c>
      <c r="E1327" t="s">
        <v>197</v>
      </c>
      <c r="F1327" t="s">
        <v>197</v>
      </c>
      <c r="G1327" t="s">
        <v>197</v>
      </c>
      <c r="H1327" t="s">
        <v>197</v>
      </c>
      <c r="I1327" t="s">
        <v>197</v>
      </c>
      <c r="J1327" t="s">
        <v>197</v>
      </c>
      <c r="K1327" t="s">
        <v>559</v>
      </c>
    </row>
    <row r="1328" spans="1:24">
      <c r="B1328" t="s">
        <v>197</v>
      </c>
      <c r="C1328" t="s">
        <v>197</v>
      </c>
      <c r="D1328" t="s">
        <v>197</v>
      </c>
      <c r="E1328" t="s">
        <v>197</v>
      </c>
      <c r="F1328" t="s">
        <v>197</v>
      </c>
      <c r="G1328" t="s">
        <v>197</v>
      </c>
      <c r="H1328" t="s">
        <v>197</v>
      </c>
      <c r="I1328" t="s">
        <v>197</v>
      </c>
      <c r="J1328" t="s">
        <v>197</v>
      </c>
      <c r="K1328" t="s">
        <v>560</v>
      </c>
    </row>
    <row r="1329" spans="1:24">
      <c r="B1329" t="s">
        <v>197</v>
      </c>
      <c r="C1329" t="s">
        <v>197</v>
      </c>
      <c r="D1329" t="s">
        <v>197</v>
      </c>
      <c r="E1329" t="s">
        <v>197</v>
      </c>
      <c r="F1329" t="s">
        <v>197</v>
      </c>
      <c r="G1329" t="s">
        <v>197</v>
      </c>
      <c r="H1329" t="s">
        <v>197</v>
      </c>
      <c r="I1329" t="s">
        <v>197</v>
      </c>
      <c r="J1329" t="s">
        <v>197</v>
      </c>
      <c r="K1329" t="s">
        <v>561</v>
      </c>
    </row>
    <row r="1330" spans="1:24">
      <c r="B1330" t="s">
        <v>197</v>
      </c>
      <c r="C1330" t="s">
        <v>197</v>
      </c>
      <c r="D1330" t="s">
        <v>197</v>
      </c>
      <c r="E1330" t="s">
        <v>197</v>
      </c>
      <c r="F1330" t="s">
        <v>197</v>
      </c>
      <c r="G1330" t="s">
        <v>197</v>
      </c>
      <c r="H1330" t="s">
        <v>197</v>
      </c>
      <c r="I1330" t="s">
        <v>197</v>
      </c>
      <c r="J1330" t="s">
        <v>197</v>
      </c>
      <c r="K1330" t="s">
        <v>562</v>
      </c>
    </row>
    <row r="1331" spans="1:24">
      <c r="B1331" t="s">
        <v>197</v>
      </c>
      <c r="C1331" t="s">
        <v>197</v>
      </c>
      <c r="D1331" t="s">
        <v>197</v>
      </c>
      <c r="E1331" t="s">
        <v>197</v>
      </c>
      <c r="F1331" t="s">
        <v>197</v>
      </c>
      <c r="G1331" t="s">
        <v>197</v>
      </c>
      <c r="H1331" t="s">
        <v>197</v>
      </c>
      <c r="I1331" t="s">
        <v>197</v>
      </c>
      <c r="J1331" t="s">
        <v>197</v>
      </c>
      <c r="K1331" t="s">
        <v>563</v>
      </c>
    </row>
    <row r="1332" spans="1:24">
      <c r="B1332" t="s">
        <v>197</v>
      </c>
      <c r="C1332" t="s">
        <v>197</v>
      </c>
      <c r="D1332" t="s">
        <v>197</v>
      </c>
      <c r="E1332" t="s">
        <v>197</v>
      </c>
      <c r="F1332" t="s">
        <v>197</v>
      </c>
      <c r="G1332" t="s">
        <v>197</v>
      </c>
      <c r="H1332" t="s">
        <v>197</v>
      </c>
      <c r="I1332" t="s">
        <v>197</v>
      </c>
      <c r="J1332" t="s">
        <v>197</v>
      </c>
      <c r="K1332" t="s">
        <v>564</v>
      </c>
    </row>
    <row r="1333" spans="1:24">
      <c r="B1333" t="s">
        <v>197</v>
      </c>
      <c r="C1333" t="s">
        <v>197</v>
      </c>
      <c r="D1333" t="s">
        <v>197</v>
      </c>
      <c r="E1333" t="s">
        <v>197</v>
      </c>
      <c r="F1333" t="s">
        <v>197</v>
      </c>
      <c r="G1333" t="s">
        <v>197</v>
      </c>
      <c r="H1333" t="s">
        <v>197</v>
      </c>
      <c r="I1333" t="s">
        <v>197</v>
      </c>
      <c r="J1333" t="s">
        <v>197</v>
      </c>
      <c r="K1333" t="s">
        <v>565</v>
      </c>
    </row>
    <row r="1334" spans="1:24">
      <c r="B1334" t="s">
        <v>197</v>
      </c>
      <c r="C1334" t="s">
        <v>197</v>
      </c>
      <c r="D1334" t="s">
        <v>197</v>
      </c>
      <c r="E1334" t="s">
        <v>197</v>
      </c>
      <c r="F1334" t="s">
        <v>197</v>
      </c>
      <c r="G1334" t="s">
        <v>197</v>
      </c>
      <c r="H1334" t="s">
        <v>197</v>
      </c>
      <c r="I1334" t="s">
        <v>197</v>
      </c>
      <c r="J1334" t="s">
        <v>197</v>
      </c>
      <c r="K1334" t="s">
        <v>566</v>
      </c>
    </row>
    <row r="1335" spans="1:24">
      <c r="B1335" t="s">
        <v>197</v>
      </c>
      <c r="C1335" t="s">
        <v>197</v>
      </c>
      <c r="D1335" t="s">
        <v>197</v>
      </c>
      <c r="E1335" t="s">
        <v>197</v>
      </c>
      <c r="F1335" t="s">
        <v>197</v>
      </c>
      <c r="G1335" t="s">
        <v>197</v>
      </c>
      <c r="H1335" t="s">
        <v>197</v>
      </c>
      <c r="I1335" t="s">
        <v>197</v>
      </c>
      <c r="J1335" t="s">
        <v>197</v>
      </c>
      <c r="K1335" t="s">
        <v>567</v>
      </c>
    </row>
    <row r="1336" spans="1:24">
      <c r="A1336" t="s">
        <v>1147</v>
      </c>
      <c r="K1336" t="s">
        <v>1148</v>
      </c>
      <c r="W1336" t="s">
        <v>171</v>
      </c>
      <c r="X1336" t="str">
        <f>A1336</f>
        <v>info_varbinary_dml_batch2_pk_irp2</v>
      </c>
    </row>
    <row r="1337" spans="1:24">
      <c r="B1337" t="s">
        <v>196</v>
      </c>
      <c r="C1337" t="s">
        <v>197</v>
      </c>
      <c r="D1337" t="s">
        <v>197</v>
      </c>
      <c r="E1337" t="s">
        <v>197</v>
      </c>
      <c r="F1337" t="s">
        <v>197</v>
      </c>
      <c r="G1337" t="s">
        <v>197</v>
      </c>
      <c r="H1337" t="s">
        <v>197</v>
      </c>
      <c r="I1337" t="s">
        <v>1149</v>
      </c>
      <c r="J1337" t="s">
        <v>199</v>
      </c>
      <c r="K1337" t="s">
        <v>200</v>
      </c>
    </row>
    <row r="1338" spans="1:24">
      <c r="B1338" t="s">
        <v>197</v>
      </c>
      <c r="C1338" t="s">
        <v>197</v>
      </c>
      <c r="D1338" t="s">
        <v>197</v>
      </c>
      <c r="E1338" t="s">
        <v>197</v>
      </c>
      <c r="F1338" t="s">
        <v>197</v>
      </c>
      <c r="G1338" t="s">
        <v>197</v>
      </c>
      <c r="H1338" t="s">
        <v>197</v>
      </c>
      <c r="I1338" t="s">
        <v>197</v>
      </c>
      <c r="J1338" t="s">
        <v>197</v>
      </c>
      <c r="K1338" t="s">
        <v>495</v>
      </c>
    </row>
    <row r="1339" spans="1:24">
      <c r="B1339" t="s">
        <v>197</v>
      </c>
      <c r="C1339" t="s">
        <v>197</v>
      </c>
      <c r="D1339" t="s">
        <v>197</v>
      </c>
      <c r="E1339" t="s">
        <v>197</v>
      </c>
      <c r="F1339" t="s">
        <v>197</v>
      </c>
      <c r="G1339" t="s">
        <v>197</v>
      </c>
      <c r="H1339" t="s">
        <v>197</v>
      </c>
      <c r="I1339" t="s">
        <v>197</v>
      </c>
      <c r="J1339" t="s">
        <v>197</v>
      </c>
      <c r="K1339" t="s">
        <v>499</v>
      </c>
    </row>
    <row r="1340" spans="1:24">
      <c r="B1340" t="s">
        <v>197</v>
      </c>
      <c r="C1340" t="s">
        <v>197</v>
      </c>
      <c r="D1340" t="s">
        <v>197</v>
      </c>
      <c r="E1340" t="s">
        <v>197</v>
      </c>
      <c r="F1340" t="s">
        <v>197</v>
      </c>
      <c r="G1340" t="s">
        <v>197</v>
      </c>
      <c r="H1340" t="s">
        <v>197</v>
      </c>
      <c r="I1340" t="s">
        <v>197</v>
      </c>
      <c r="J1340" t="s">
        <v>197</v>
      </c>
      <c r="K1340" t="s">
        <v>503</v>
      </c>
    </row>
    <row r="1341" spans="1:24">
      <c r="A1341" t="s">
        <v>1156</v>
      </c>
      <c r="K1341" t="s">
        <v>1157</v>
      </c>
      <c r="W1341" t="s">
        <v>171</v>
      </c>
      <c r="X1341" t="str">
        <f>A1341</f>
        <v>info_sdt_dml_batch1_pk_irp2</v>
      </c>
    </row>
    <row r="1342" spans="1:24">
      <c r="B1342" t="s">
        <v>196</v>
      </c>
      <c r="C1342" t="s">
        <v>197</v>
      </c>
      <c r="D1342" t="s">
        <v>197</v>
      </c>
      <c r="E1342" t="s">
        <v>197</v>
      </c>
      <c r="F1342" t="s">
        <v>197</v>
      </c>
      <c r="G1342" t="s">
        <v>197</v>
      </c>
      <c r="H1342" t="s">
        <v>197</v>
      </c>
      <c r="I1342" t="s">
        <v>1158</v>
      </c>
      <c r="J1342" t="s">
        <v>199</v>
      </c>
      <c r="K1342" t="s">
        <v>200</v>
      </c>
    </row>
    <row r="1343" spans="1:24">
      <c r="B1343" t="s">
        <v>197</v>
      </c>
      <c r="C1343" t="s">
        <v>197</v>
      </c>
      <c r="D1343" t="s">
        <v>197</v>
      </c>
      <c r="E1343" t="s">
        <v>197</v>
      </c>
      <c r="F1343" t="s">
        <v>197</v>
      </c>
      <c r="G1343" t="s">
        <v>197</v>
      </c>
      <c r="H1343" t="s">
        <v>197</v>
      </c>
      <c r="I1343" t="s">
        <v>197</v>
      </c>
      <c r="J1343" t="s">
        <v>197</v>
      </c>
      <c r="K1343" t="s">
        <v>422</v>
      </c>
    </row>
    <row r="1344" spans="1:24">
      <c r="A1344" t="s">
        <v>1159</v>
      </c>
      <c r="K1344" t="s">
        <v>1160</v>
      </c>
      <c r="W1344" t="s">
        <v>171</v>
      </c>
      <c r="X1344" t="str">
        <f>A1344</f>
        <v>info_datetimeoffset_dml_single_pk_irp</v>
      </c>
    </row>
    <row r="1345" spans="1:24">
      <c r="B1345" t="s">
        <v>196</v>
      </c>
      <c r="C1345" t="s">
        <v>197</v>
      </c>
      <c r="D1345" t="s">
        <v>197</v>
      </c>
      <c r="E1345" t="s">
        <v>197</v>
      </c>
      <c r="F1345" t="s">
        <v>197</v>
      </c>
      <c r="G1345" t="s">
        <v>197</v>
      </c>
      <c r="H1345" t="s">
        <v>197</v>
      </c>
      <c r="I1345" t="s">
        <v>1161</v>
      </c>
      <c r="J1345" t="s">
        <v>199</v>
      </c>
      <c r="K1345" t="s">
        <v>200</v>
      </c>
    </row>
    <row r="1346" spans="1:24">
      <c r="B1346" t="s">
        <v>197</v>
      </c>
      <c r="C1346" t="s">
        <v>197</v>
      </c>
      <c r="D1346" t="s">
        <v>197</v>
      </c>
      <c r="E1346" t="s">
        <v>197</v>
      </c>
      <c r="F1346" t="s">
        <v>197</v>
      </c>
      <c r="G1346" t="s">
        <v>197</v>
      </c>
      <c r="H1346" t="s">
        <v>197</v>
      </c>
      <c r="I1346" t="s">
        <v>197</v>
      </c>
      <c r="J1346" t="s">
        <v>197</v>
      </c>
      <c r="K1346" t="s">
        <v>301</v>
      </c>
    </row>
    <row r="1347" spans="1:24">
      <c r="B1347" t="s">
        <v>197</v>
      </c>
      <c r="C1347" t="s">
        <v>197</v>
      </c>
      <c r="D1347" t="s">
        <v>197</v>
      </c>
      <c r="E1347" t="s">
        <v>197</v>
      </c>
      <c r="F1347" t="s">
        <v>197</v>
      </c>
      <c r="G1347" t="s">
        <v>197</v>
      </c>
      <c r="H1347" t="s">
        <v>197</v>
      </c>
      <c r="I1347" t="s">
        <v>197</v>
      </c>
      <c r="J1347" t="s">
        <v>197</v>
      </c>
      <c r="K1347" t="s">
        <v>314</v>
      </c>
    </row>
    <row r="1348" spans="1:24">
      <c r="B1348" t="s">
        <v>197</v>
      </c>
      <c r="C1348" t="s">
        <v>197</v>
      </c>
      <c r="D1348" t="s">
        <v>197</v>
      </c>
      <c r="E1348" t="s">
        <v>197</v>
      </c>
      <c r="F1348" t="s">
        <v>197</v>
      </c>
      <c r="G1348" t="s">
        <v>197</v>
      </c>
      <c r="H1348" t="s">
        <v>197</v>
      </c>
      <c r="I1348" t="s">
        <v>197</v>
      </c>
      <c r="J1348" t="s">
        <v>197</v>
      </c>
      <c r="K1348" t="s">
        <v>324</v>
      </c>
    </row>
    <row r="1349" spans="1:24">
      <c r="B1349" t="s">
        <v>197</v>
      </c>
      <c r="C1349" t="s">
        <v>197</v>
      </c>
      <c r="D1349" t="s">
        <v>197</v>
      </c>
      <c r="E1349" t="s">
        <v>197</v>
      </c>
      <c r="F1349" t="s">
        <v>197</v>
      </c>
      <c r="G1349" t="s">
        <v>197</v>
      </c>
      <c r="H1349" t="s">
        <v>197</v>
      </c>
      <c r="I1349" t="s">
        <v>197</v>
      </c>
      <c r="J1349" t="s">
        <v>197</v>
      </c>
      <c r="K1349" t="s">
        <v>335</v>
      </c>
    </row>
    <row r="1350" spans="1:24">
      <c r="B1350" t="s">
        <v>197</v>
      </c>
      <c r="C1350" t="s">
        <v>197</v>
      </c>
      <c r="D1350" t="s">
        <v>197</v>
      </c>
      <c r="E1350" t="s">
        <v>197</v>
      </c>
      <c r="F1350" t="s">
        <v>197</v>
      </c>
      <c r="G1350" t="s">
        <v>197</v>
      </c>
      <c r="H1350" t="s">
        <v>197</v>
      </c>
      <c r="I1350" t="s">
        <v>197</v>
      </c>
      <c r="J1350" t="s">
        <v>197</v>
      </c>
      <c r="K1350" t="s">
        <v>350</v>
      </c>
    </row>
    <row r="1351" spans="1:24">
      <c r="B1351" t="s">
        <v>197</v>
      </c>
      <c r="C1351" t="s">
        <v>197</v>
      </c>
      <c r="D1351" t="s">
        <v>197</v>
      </c>
      <c r="E1351" t="s">
        <v>197</v>
      </c>
      <c r="F1351" t="s">
        <v>197</v>
      </c>
      <c r="G1351" t="s">
        <v>197</v>
      </c>
      <c r="H1351" t="s">
        <v>197</v>
      </c>
      <c r="I1351" t="s">
        <v>197</v>
      </c>
      <c r="J1351" t="s">
        <v>197</v>
      </c>
      <c r="K1351" t="s">
        <v>360</v>
      </c>
    </row>
    <row r="1352" spans="1:24">
      <c r="B1352" t="s">
        <v>197</v>
      </c>
      <c r="C1352" t="s">
        <v>197</v>
      </c>
      <c r="D1352" t="s">
        <v>197</v>
      </c>
      <c r="E1352" t="s">
        <v>197</v>
      </c>
      <c r="F1352" t="s">
        <v>197</v>
      </c>
      <c r="G1352" t="s">
        <v>197</v>
      </c>
      <c r="H1352" t="s">
        <v>197</v>
      </c>
      <c r="I1352" t="s">
        <v>197</v>
      </c>
      <c r="J1352" t="s">
        <v>197</v>
      </c>
      <c r="K1352" t="s">
        <v>367</v>
      </c>
    </row>
    <row r="1353" spans="1:24">
      <c r="B1353" t="s">
        <v>197</v>
      </c>
      <c r="C1353" t="s">
        <v>197</v>
      </c>
      <c r="D1353" t="s">
        <v>197</v>
      </c>
      <c r="E1353" t="s">
        <v>197</v>
      </c>
      <c r="F1353" t="s">
        <v>197</v>
      </c>
      <c r="G1353" t="s">
        <v>197</v>
      </c>
      <c r="H1353" t="s">
        <v>197</v>
      </c>
      <c r="I1353" t="s">
        <v>197</v>
      </c>
      <c r="J1353" t="s">
        <v>197</v>
      </c>
      <c r="K1353" t="s">
        <v>373</v>
      </c>
    </row>
    <row r="1354" spans="1:24">
      <c r="A1354" t="s">
        <v>1168</v>
      </c>
      <c r="K1354" t="s">
        <v>1169</v>
      </c>
      <c r="W1354" t="s">
        <v>171</v>
      </c>
      <c r="X1354" t="str">
        <f>A1354</f>
        <v>info_varchar_dml_single_pk</v>
      </c>
    </row>
    <row r="1355" spans="1:24">
      <c r="B1355" t="s">
        <v>196</v>
      </c>
      <c r="C1355" t="s">
        <v>197</v>
      </c>
      <c r="D1355" t="s">
        <v>197</v>
      </c>
      <c r="E1355" t="s">
        <v>197</v>
      </c>
      <c r="F1355" t="s">
        <v>197</v>
      </c>
      <c r="G1355" t="s">
        <v>197</v>
      </c>
      <c r="H1355" t="s">
        <v>197</v>
      </c>
      <c r="I1355" t="s">
        <v>1170</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1056</v>
      </c>
    </row>
    <row r="1358" spans="1:24">
      <c r="B1358" t="s">
        <v>197</v>
      </c>
      <c r="C1358" t="s">
        <v>197</v>
      </c>
      <c r="D1358" t="s">
        <v>197</v>
      </c>
      <c r="E1358" t="s">
        <v>197</v>
      </c>
      <c r="F1358" t="s">
        <v>197</v>
      </c>
      <c r="G1358" t="s">
        <v>197</v>
      </c>
      <c r="H1358" t="s">
        <v>197</v>
      </c>
      <c r="I1358" t="s">
        <v>197</v>
      </c>
      <c r="J1358" t="s">
        <v>197</v>
      </c>
      <c r="K1358" t="s">
        <v>963</v>
      </c>
    </row>
    <row r="1359" spans="1:24">
      <c r="A1359" t="s">
        <v>1162</v>
      </c>
      <c r="K1359" t="s">
        <v>1163</v>
      </c>
      <c r="W1359" t="s">
        <v>171</v>
      </c>
      <c r="X1359" t="str">
        <f>A1359</f>
        <v>info_varchar_dml_batch1_pk_urp2</v>
      </c>
    </row>
    <row r="1360" spans="1:24">
      <c r="B1360" t="s">
        <v>196</v>
      </c>
      <c r="C1360" t="s">
        <v>197</v>
      </c>
      <c r="D1360" t="s">
        <v>197</v>
      </c>
      <c r="E1360" t="s">
        <v>197</v>
      </c>
      <c r="F1360" t="s">
        <v>197</v>
      </c>
      <c r="G1360" t="s">
        <v>197</v>
      </c>
      <c r="H1360" t="s">
        <v>197</v>
      </c>
      <c r="I1360" t="s">
        <v>1164</v>
      </c>
      <c r="J1360" t="s">
        <v>199</v>
      </c>
      <c r="K1360" t="s">
        <v>200</v>
      </c>
    </row>
    <row r="1361" spans="1:24">
      <c r="B1361" t="s">
        <v>197</v>
      </c>
      <c r="C1361" t="s">
        <v>197</v>
      </c>
      <c r="D1361" t="s">
        <v>197</v>
      </c>
      <c r="E1361" t="s">
        <v>197</v>
      </c>
      <c r="F1361" t="s">
        <v>197</v>
      </c>
      <c r="G1361" t="s">
        <v>197</v>
      </c>
      <c r="H1361" t="s">
        <v>197</v>
      </c>
      <c r="I1361" t="s">
        <v>197</v>
      </c>
      <c r="J1361" t="s">
        <v>197</v>
      </c>
      <c r="K1361" t="s">
        <v>431</v>
      </c>
    </row>
    <row r="1362" spans="1:24">
      <c r="B1362" t="s">
        <v>197</v>
      </c>
      <c r="C1362" t="s">
        <v>197</v>
      </c>
      <c r="D1362" t="s">
        <v>197</v>
      </c>
      <c r="E1362" t="s">
        <v>197</v>
      </c>
      <c r="F1362" t="s">
        <v>197</v>
      </c>
      <c r="G1362" t="s">
        <v>197</v>
      </c>
      <c r="H1362" t="s">
        <v>197</v>
      </c>
      <c r="I1362" t="s">
        <v>197</v>
      </c>
      <c r="J1362" t="s">
        <v>197</v>
      </c>
      <c r="K1362" t="s">
        <v>434</v>
      </c>
    </row>
    <row r="1363" spans="1:24">
      <c r="B1363" t="s">
        <v>197</v>
      </c>
      <c r="C1363" t="s">
        <v>197</v>
      </c>
      <c r="D1363" t="s">
        <v>197</v>
      </c>
      <c r="E1363" t="s">
        <v>197</v>
      </c>
      <c r="F1363" t="s">
        <v>197</v>
      </c>
      <c r="G1363" t="s">
        <v>197</v>
      </c>
      <c r="H1363" t="s">
        <v>197</v>
      </c>
      <c r="I1363" t="s">
        <v>197</v>
      </c>
      <c r="J1363" t="s">
        <v>197</v>
      </c>
      <c r="K1363" t="s">
        <v>439</v>
      </c>
    </row>
    <row r="1364" spans="1:24">
      <c r="A1364" t="s">
        <v>1165</v>
      </c>
      <c r="K1364" t="s">
        <v>1166</v>
      </c>
      <c r="W1364" s="1" t="str">
        <f>HYPERLINK("#2026042016hbase1!AM2","NO 源备存在差异，共8个")</f>
        <v>NO 源备存在差异，共8个</v>
      </c>
      <c r="X1364" t="str">
        <f>A1364</f>
        <v>info_int_dml_batch2_pk_irp2</v>
      </c>
    </row>
    <row r="1365" spans="1:24">
      <c r="B1365" t="s">
        <v>196</v>
      </c>
      <c r="C1365" t="s">
        <v>197</v>
      </c>
      <c r="D1365" t="s">
        <v>197</v>
      </c>
      <c r="E1365" t="s">
        <v>197</v>
      </c>
      <c r="F1365" t="s">
        <v>197</v>
      </c>
      <c r="G1365" t="s">
        <v>197</v>
      </c>
      <c r="H1365" t="s">
        <v>197</v>
      </c>
      <c r="I1365" t="s">
        <v>1167</v>
      </c>
      <c r="J1365" t="s">
        <v>199</v>
      </c>
      <c r="K1365" t="s">
        <v>200</v>
      </c>
    </row>
    <row r="1366" spans="1:24">
      <c r="B1366" t="s">
        <v>197</v>
      </c>
      <c r="C1366" t="s">
        <v>197</v>
      </c>
      <c r="D1366" t="s">
        <v>197</v>
      </c>
      <c r="E1366" t="s">
        <v>197</v>
      </c>
      <c r="F1366" t="s">
        <v>197</v>
      </c>
      <c r="G1366" t="s">
        <v>197</v>
      </c>
      <c r="H1366" t="s">
        <v>197</v>
      </c>
      <c r="I1366" t="s">
        <v>197</v>
      </c>
      <c r="J1366" t="s">
        <v>197</v>
      </c>
      <c r="K1366" t="s">
        <v>549</v>
      </c>
    </row>
    <row r="1367" spans="1:24">
      <c r="B1367" t="s">
        <v>197</v>
      </c>
      <c r="C1367" t="s">
        <v>197</v>
      </c>
      <c r="D1367" t="s">
        <v>197</v>
      </c>
      <c r="E1367" t="s">
        <v>197</v>
      </c>
      <c r="F1367" t="s">
        <v>197</v>
      </c>
      <c r="G1367" t="s">
        <v>197</v>
      </c>
      <c r="H1367" t="s">
        <v>197</v>
      </c>
      <c r="I1367" t="s">
        <v>197</v>
      </c>
      <c r="J1367" t="s">
        <v>197</v>
      </c>
      <c r="K1367" t="s">
        <v>550</v>
      </c>
    </row>
    <row r="1368" spans="1:24">
      <c r="B1368" t="s">
        <v>197</v>
      </c>
      <c r="C1368" t="s">
        <v>197</v>
      </c>
      <c r="D1368" t="s">
        <v>197</v>
      </c>
      <c r="E1368" t="s">
        <v>197</v>
      </c>
      <c r="F1368" t="s">
        <v>197</v>
      </c>
      <c r="G1368" t="s">
        <v>197</v>
      </c>
      <c r="H1368" t="s">
        <v>197</v>
      </c>
      <c r="I1368" t="s">
        <v>197</v>
      </c>
      <c r="J1368" t="s">
        <v>197</v>
      </c>
      <c r="K1368" t="s">
        <v>551</v>
      </c>
    </row>
    <row r="1369" spans="1:24">
      <c r="B1369" t="s">
        <v>197</v>
      </c>
      <c r="C1369" t="s">
        <v>197</v>
      </c>
      <c r="D1369" t="s">
        <v>197</v>
      </c>
      <c r="E1369" t="s">
        <v>197</v>
      </c>
      <c r="F1369" t="s">
        <v>197</v>
      </c>
      <c r="G1369" t="s">
        <v>197</v>
      </c>
      <c r="H1369" t="s">
        <v>197</v>
      </c>
      <c r="I1369" t="s">
        <v>197</v>
      </c>
      <c r="J1369" t="s">
        <v>197</v>
      </c>
      <c r="K1369" t="s">
        <v>552</v>
      </c>
    </row>
    <row r="1370" spans="1:24">
      <c r="B1370" t="s">
        <v>197</v>
      </c>
      <c r="C1370" t="s">
        <v>197</v>
      </c>
      <c r="D1370" t="s">
        <v>197</v>
      </c>
      <c r="E1370" t="s">
        <v>197</v>
      </c>
      <c r="F1370" t="s">
        <v>197</v>
      </c>
      <c r="G1370" t="s">
        <v>197</v>
      </c>
      <c r="H1370" t="s">
        <v>197</v>
      </c>
      <c r="I1370" t="s">
        <v>197</v>
      </c>
      <c r="J1370" t="s">
        <v>197</v>
      </c>
      <c r="K1370" t="s">
        <v>553</v>
      </c>
    </row>
    <row r="1371" spans="1:24">
      <c r="B1371" t="s">
        <v>197</v>
      </c>
      <c r="C1371" t="s">
        <v>197</v>
      </c>
      <c r="D1371" t="s">
        <v>197</v>
      </c>
      <c r="E1371" t="s">
        <v>197</v>
      </c>
      <c r="F1371" t="s">
        <v>197</v>
      </c>
      <c r="G1371" t="s">
        <v>197</v>
      </c>
      <c r="H1371" t="s">
        <v>197</v>
      </c>
      <c r="I1371" t="s">
        <v>197</v>
      </c>
      <c r="J1371" t="s">
        <v>197</v>
      </c>
      <c r="K1371" t="s">
        <v>554</v>
      </c>
    </row>
    <row r="1372" spans="1:24">
      <c r="B1372" t="s">
        <v>197</v>
      </c>
      <c r="C1372" t="s">
        <v>197</v>
      </c>
      <c r="D1372" t="s">
        <v>197</v>
      </c>
      <c r="E1372" t="s">
        <v>197</v>
      </c>
      <c r="F1372" t="s">
        <v>197</v>
      </c>
      <c r="G1372" t="s">
        <v>197</v>
      </c>
      <c r="H1372" t="s">
        <v>197</v>
      </c>
      <c r="I1372" t="s">
        <v>197</v>
      </c>
      <c r="J1372" t="s">
        <v>197</v>
      </c>
      <c r="K1372" t="s">
        <v>555</v>
      </c>
    </row>
    <row r="1373" spans="1:24">
      <c r="B1373" t="s">
        <v>197</v>
      </c>
      <c r="C1373" t="s">
        <v>197</v>
      </c>
      <c r="D1373" t="s">
        <v>197</v>
      </c>
      <c r="E1373" t="s">
        <v>197</v>
      </c>
      <c r="F1373" t="s">
        <v>197</v>
      </c>
      <c r="G1373" t="s">
        <v>197</v>
      </c>
      <c r="H1373" t="s">
        <v>197</v>
      </c>
      <c r="I1373" t="s">
        <v>197</v>
      </c>
      <c r="J1373" t="s">
        <v>197</v>
      </c>
      <c r="K1373" t="s">
        <v>556</v>
      </c>
    </row>
    <row r="1374" spans="1:24">
      <c r="B1374" t="s">
        <v>197</v>
      </c>
      <c r="C1374" t="s">
        <v>197</v>
      </c>
      <c r="D1374" t="s">
        <v>197</v>
      </c>
      <c r="E1374" t="s">
        <v>197</v>
      </c>
      <c r="F1374" t="s">
        <v>197</v>
      </c>
      <c r="G1374" t="s">
        <v>197</v>
      </c>
      <c r="H1374" t="s">
        <v>197</v>
      </c>
      <c r="I1374" t="s">
        <v>197</v>
      </c>
      <c r="J1374" t="s">
        <v>197</v>
      </c>
      <c r="K1374" t="s">
        <v>557</v>
      </c>
    </row>
    <row r="1375" spans="1:24">
      <c r="B1375" t="s">
        <v>197</v>
      </c>
      <c r="C1375" t="s">
        <v>197</v>
      </c>
      <c r="D1375" t="s">
        <v>197</v>
      </c>
      <c r="E1375" t="s">
        <v>197</v>
      </c>
      <c r="F1375" t="s">
        <v>197</v>
      </c>
      <c r="G1375" t="s">
        <v>197</v>
      </c>
      <c r="H1375" t="s">
        <v>197</v>
      </c>
      <c r="I1375" t="s">
        <v>197</v>
      </c>
      <c r="J1375" t="s">
        <v>197</v>
      </c>
      <c r="K1375" t="s">
        <v>558</v>
      </c>
    </row>
    <row r="1376" spans="1:24">
      <c r="B1376" t="s">
        <v>197</v>
      </c>
      <c r="C1376" t="s">
        <v>197</v>
      </c>
      <c r="D1376" t="s">
        <v>197</v>
      </c>
      <c r="E1376" t="s">
        <v>197</v>
      </c>
      <c r="F1376" t="s">
        <v>197</v>
      </c>
      <c r="G1376" t="s">
        <v>197</v>
      </c>
      <c r="H1376" t="s">
        <v>197</v>
      </c>
      <c r="I1376" t="s">
        <v>197</v>
      </c>
      <c r="J1376" t="s">
        <v>197</v>
      </c>
      <c r="K1376" t="s">
        <v>559</v>
      </c>
    </row>
    <row r="1377" spans="1:24">
      <c r="B1377" t="s">
        <v>197</v>
      </c>
      <c r="C1377" t="s">
        <v>197</v>
      </c>
      <c r="D1377" t="s">
        <v>197</v>
      </c>
      <c r="E1377" t="s">
        <v>197</v>
      </c>
      <c r="F1377" t="s">
        <v>197</v>
      </c>
      <c r="G1377" t="s">
        <v>197</v>
      </c>
      <c r="H1377" t="s">
        <v>197</v>
      </c>
      <c r="I1377" t="s">
        <v>197</v>
      </c>
      <c r="J1377" t="s">
        <v>197</v>
      </c>
      <c r="K1377" t="s">
        <v>560</v>
      </c>
    </row>
    <row r="1378" spans="1:24">
      <c r="B1378" t="s">
        <v>197</v>
      </c>
      <c r="C1378" t="s">
        <v>197</v>
      </c>
      <c r="D1378" t="s">
        <v>197</v>
      </c>
      <c r="E1378" t="s">
        <v>197</v>
      </c>
      <c r="F1378" t="s">
        <v>197</v>
      </c>
      <c r="G1378" t="s">
        <v>197</v>
      </c>
      <c r="H1378" t="s">
        <v>197</v>
      </c>
      <c r="I1378" t="s">
        <v>197</v>
      </c>
      <c r="J1378" t="s">
        <v>197</v>
      </c>
      <c r="K1378" t="s">
        <v>561</v>
      </c>
    </row>
    <row r="1379" spans="1:24">
      <c r="B1379" t="s">
        <v>197</v>
      </c>
      <c r="C1379" t="s">
        <v>197</v>
      </c>
      <c r="D1379" t="s">
        <v>197</v>
      </c>
      <c r="E1379" t="s">
        <v>197</v>
      </c>
      <c r="F1379" t="s">
        <v>197</v>
      </c>
      <c r="G1379" t="s">
        <v>197</v>
      </c>
      <c r="H1379" t="s">
        <v>197</v>
      </c>
      <c r="I1379" t="s">
        <v>197</v>
      </c>
      <c r="J1379" t="s">
        <v>197</v>
      </c>
      <c r="K1379" t="s">
        <v>562</v>
      </c>
    </row>
    <row r="1380" spans="1:24">
      <c r="B1380" t="s">
        <v>197</v>
      </c>
      <c r="C1380" t="s">
        <v>197</v>
      </c>
      <c r="D1380" t="s">
        <v>197</v>
      </c>
      <c r="E1380" t="s">
        <v>197</v>
      </c>
      <c r="F1380" t="s">
        <v>197</v>
      </c>
      <c r="G1380" t="s">
        <v>197</v>
      </c>
      <c r="H1380" t="s">
        <v>197</v>
      </c>
      <c r="I1380" t="s">
        <v>197</v>
      </c>
      <c r="J1380" t="s">
        <v>197</v>
      </c>
      <c r="K1380" t="s">
        <v>563</v>
      </c>
    </row>
    <row r="1381" spans="1:24">
      <c r="B1381" t="s">
        <v>197</v>
      </c>
      <c r="C1381" t="s">
        <v>197</v>
      </c>
      <c r="D1381" t="s">
        <v>197</v>
      </c>
      <c r="E1381" t="s">
        <v>197</v>
      </c>
      <c r="F1381" t="s">
        <v>197</v>
      </c>
      <c r="G1381" t="s">
        <v>197</v>
      </c>
      <c r="H1381" t="s">
        <v>197</v>
      </c>
      <c r="I1381" t="s">
        <v>197</v>
      </c>
      <c r="J1381" t="s">
        <v>197</v>
      </c>
      <c r="K1381" t="s">
        <v>564</v>
      </c>
    </row>
    <row r="1382" spans="1:24">
      <c r="B1382" t="s">
        <v>197</v>
      </c>
      <c r="C1382" t="s">
        <v>197</v>
      </c>
      <c r="D1382" t="s">
        <v>197</v>
      </c>
      <c r="E1382" t="s">
        <v>197</v>
      </c>
      <c r="F1382" t="s">
        <v>197</v>
      </c>
      <c r="G1382" t="s">
        <v>197</v>
      </c>
      <c r="H1382" t="s">
        <v>197</v>
      </c>
      <c r="I1382" t="s">
        <v>197</v>
      </c>
      <c r="J1382" t="s">
        <v>197</v>
      </c>
      <c r="K1382" t="s">
        <v>565</v>
      </c>
    </row>
    <row r="1383" spans="1:24">
      <c r="B1383" t="s">
        <v>197</v>
      </c>
      <c r="C1383" t="s">
        <v>197</v>
      </c>
      <c r="D1383" t="s">
        <v>197</v>
      </c>
      <c r="E1383" t="s">
        <v>197</v>
      </c>
      <c r="F1383" t="s">
        <v>197</v>
      </c>
      <c r="G1383" t="s">
        <v>197</v>
      </c>
      <c r="H1383" t="s">
        <v>197</v>
      </c>
      <c r="I1383" t="s">
        <v>197</v>
      </c>
      <c r="J1383" t="s">
        <v>197</v>
      </c>
      <c r="K1383" t="s">
        <v>566</v>
      </c>
    </row>
    <row r="1384" spans="1:24">
      <c r="B1384" t="s">
        <v>197</v>
      </c>
      <c r="C1384" t="s">
        <v>197</v>
      </c>
      <c r="D1384" t="s">
        <v>197</v>
      </c>
      <c r="E1384" t="s">
        <v>197</v>
      </c>
      <c r="F1384" t="s">
        <v>197</v>
      </c>
      <c r="G1384" t="s">
        <v>197</v>
      </c>
      <c r="H1384" t="s">
        <v>197</v>
      </c>
      <c r="I1384" t="s">
        <v>197</v>
      </c>
      <c r="J1384" t="s">
        <v>197</v>
      </c>
      <c r="K1384" t="s">
        <v>567</v>
      </c>
    </row>
    <row r="1385" spans="1:24">
      <c r="A1385" t="s">
        <v>1171</v>
      </c>
      <c r="K1385" t="s">
        <v>1172</v>
      </c>
      <c r="W1385" t="s">
        <v>171</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6"/>
    <mergeCell ref="A7:A9"/>
    <mergeCell ref="A10:A14"/>
    <mergeCell ref="A15:A24"/>
    <mergeCell ref="A25:A27"/>
    <mergeCell ref="A28:A33"/>
    <mergeCell ref="A34:A36"/>
    <mergeCell ref="A37:A39"/>
    <mergeCell ref="A40:A42"/>
    <mergeCell ref="A43:A47"/>
    <mergeCell ref="A48:A52"/>
    <mergeCell ref="A53:A56"/>
    <mergeCell ref="A57:A66"/>
    <mergeCell ref="A67:A70"/>
    <mergeCell ref="A71:A73"/>
    <mergeCell ref="A74:A76"/>
    <mergeCell ref="A77:A81"/>
    <mergeCell ref="A82:A86"/>
    <mergeCell ref="A87:A89"/>
    <mergeCell ref="A90:A110"/>
    <mergeCell ref="A111:A113"/>
    <mergeCell ref="A114:A116"/>
    <mergeCell ref="A117:A121"/>
    <mergeCell ref="A122:A124"/>
    <mergeCell ref="A125:A134"/>
    <mergeCell ref="A135:A138"/>
    <mergeCell ref="A139:A141"/>
    <mergeCell ref="A142:A147"/>
    <mergeCell ref="A148:A168"/>
    <mergeCell ref="A169:A173"/>
    <mergeCell ref="A174:A176"/>
    <mergeCell ref="A177:A181"/>
    <mergeCell ref="A182:A186"/>
    <mergeCell ref="A187:A189"/>
    <mergeCell ref="A190:A192"/>
    <mergeCell ref="A193:A214"/>
    <mergeCell ref="A215:A220"/>
    <mergeCell ref="A221:A223"/>
    <mergeCell ref="A224:A226"/>
    <mergeCell ref="A227:A231"/>
    <mergeCell ref="A232:A234"/>
    <mergeCell ref="A235:A239"/>
    <mergeCell ref="A240:A242"/>
    <mergeCell ref="A243:A246"/>
    <mergeCell ref="A247:A251"/>
    <mergeCell ref="A252:A254"/>
    <mergeCell ref="A255:A259"/>
    <mergeCell ref="A260:A262"/>
    <mergeCell ref="A263:A268"/>
    <mergeCell ref="A269:A273"/>
    <mergeCell ref="A274:A283"/>
    <mergeCell ref="A284:A286"/>
    <mergeCell ref="A287:A296"/>
    <mergeCell ref="A297:A306"/>
    <mergeCell ref="A307:A311"/>
    <mergeCell ref="A312:A332"/>
    <mergeCell ref="A333:A342"/>
    <mergeCell ref="A343:A348"/>
    <mergeCell ref="A349:A351"/>
    <mergeCell ref="A352:A361"/>
    <mergeCell ref="A362:A367"/>
    <mergeCell ref="A368:A372"/>
    <mergeCell ref="A373:A375"/>
    <mergeCell ref="A376:A385"/>
    <mergeCell ref="A386:A390"/>
    <mergeCell ref="A391:A395"/>
    <mergeCell ref="A396:A406"/>
    <mergeCell ref="A407:A411"/>
    <mergeCell ref="A412:A416"/>
    <mergeCell ref="A417:A426"/>
    <mergeCell ref="A427:A429"/>
    <mergeCell ref="A430:A434"/>
    <mergeCell ref="A435:A444"/>
    <mergeCell ref="A445:A449"/>
    <mergeCell ref="A450:A454"/>
    <mergeCell ref="A455:A457"/>
    <mergeCell ref="A458:A460"/>
    <mergeCell ref="A461:A470"/>
    <mergeCell ref="A471:A473"/>
    <mergeCell ref="A474:A478"/>
    <mergeCell ref="A479:A482"/>
    <mergeCell ref="A483:A492"/>
    <mergeCell ref="A493:A502"/>
    <mergeCell ref="A503:A507"/>
    <mergeCell ref="A508:A512"/>
    <mergeCell ref="A513:A522"/>
    <mergeCell ref="A523:A527"/>
    <mergeCell ref="A528:A537"/>
    <mergeCell ref="A538:A547"/>
    <mergeCell ref="A548:A557"/>
    <mergeCell ref="A558:A560"/>
    <mergeCell ref="A561:A565"/>
    <mergeCell ref="A566:A576"/>
    <mergeCell ref="A577:A581"/>
    <mergeCell ref="A582:A584"/>
    <mergeCell ref="A585:A594"/>
    <mergeCell ref="A595:A600"/>
    <mergeCell ref="A601:A610"/>
    <mergeCell ref="A611:A615"/>
    <mergeCell ref="A616:A618"/>
    <mergeCell ref="A619:A628"/>
    <mergeCell ref="A629:A633"/>
    <mergeCell ref="A634:A643"/>
    <mergeCell ref="A644:A648"/>
    <mergeCell ref="A649:A651"/>
    <mergeCell ref="A652:A656"/>
    <mergeCell ref="A657:A666"/>
    <mergeCell ref="A667:A687"/>
    <mergeCell ref="A688:A690"/>
    <mergeCell ref="A691:A695"/>
    <mergeCell ref="A696:A701"/>
    <mergeCell ref="A702:A704"/>
    <mergeCell ref="A705:A709"/>
    <mergeCell ref="A710:A713"/>
    <mergeCell ref="A714:A716"/>
    <mergeCell ref="A717:A721"/>
    <mergeCell ref="A722:A724"/>
    <mergeCell ref="A725:A745"/>
    <mergeCell ref="A746:A749"/>
    <mergeCell ref="A750:A754"/>
    <mergeCell ref="A755:A760"/>
    <mergeCell ref="A761:A765"/>
    <mergeCell ref="A766:A771"/>
    <mergeCell ref="A772:A774"/>
    <mergeCell ref="A775:A777"/>
    <mergeCell ref="A778:A782"/>
    <mergeCell ref="A783:A785"/>
    <mergeCell ref="A786:A806"/>
    <mergeCell ref="A807:A810"/>
    <mergeCell ref="A811:A815"/>
    <mergeCell ref="A816:A836"/>
    <mergeCell ref="A837:A841"/>
    <mergeCell ref="A842:A844"/>
    <mergeCell ref="A845:A849"/>
    <mergeCell ref="A850:A854"/>
    <mergeCell ref="A855:A859"/>
    <mergeCell ref="A860:A864"/>
    <mergeCell ref="A865:A868"/>
    <mergeCell ref="A869:A874"/>
    <mergeCell ref="A875:A877"/>
    <mergeCell ref="A878:A882"/>
    <mergeCell ref="A883:A886"/>
    <mergeCell ref="A887:A889"/>
    <mergeCell ref="A890:A892"/>
    <mergeCell ref="A893:A895"/>
    <mergeCell ref="A896:A900"/>
    <mergeCell ref="A901:A903"/>
    <mergeCell ref="A904:A913"/>
    <mergeCell ref="A914:A918"/>
    <mergeCell ref="A919:A924"/>
    <mergeCell ref="A925:A934"/>
    <mergeCell ref="A935:A960"/>
    <mergeCell ref="A961:A963"/>
    <mergeCell ref="A964:A968"/>
    <mergeCell ref="A969:A973"/>
    <mergeCell ref="A974:A976"/>
    <mergeCell ref="A977:A986"/>
    <mergeCell ref="A987:A991"/>
    <mergeCell ref="A992:A996"/>
    <mergeCell ref="A997:A999"/>
    <mergeCell ref="A1000:A1004"/>
    <mergeCell ref="A1005:A1014"/>
    <mergeCell ref="A1015:A1020"/>
    <mergeCell ref="A1021:A1025"/>
    <mergeCell ref="A1026:A1051"/>
    <mergeCell ref="A1052:A1057"/>
    <mergeCell ref="A1058:A1083"/>
    <mergeCell ref="A1084:A1104"/>
    <mergeCell ref="A1105:A1109"/>
    <mergeCell ref="A1110:A1112"/>
    <mergeCell ref="A1113:A1122"/>
    <mergeCell ref="A1123:A1125"/>
    <mergeCell ref="A1126:A1135"/>
    <mergeCell ref="A1136:A1140"/>
    <mergeCell ref="A1141:A1150"/>
    <mergeCell ref="A1151:A1176"/>
    <mergeCell ref="A1177:A1179"/>
    <mergeCell ref="A1180:A1189"/>
    <mergeCell ref="A1190:A1199"/>
    <mergeCell ref="A1200:A1204"/>
    <mergeCell ref="A1205:A1215"/>
    <mergeCell ref="A1216:A1236"/>
    <mergeCell ref="A1237:A1239"/>
    <mergeCell ref="A1240:A1249"/>
    <mergeCell ref="A1250:A1252"/>
    <mergeCell ref="A1253:A1257"/>
    <mergeCell ref="A1258:A1267"/>
    <mergeCell ref="A1268:A1272"/>
    <mergeCell ref="A1273:A1277"/>
    <mergeCell ref="A1278:A1280"/>
    <mergeCell ref="A1281:A1290"/>
    <mergeCell ref="A1291:A1311"/>
    <mergeCell ref="A1312:A1314"/>
    <mergeCell ref="A1315:A1335"/>
    <mergeCell ref="A1336:A1340"/>
    <mergeCell ref="A1341:A1343"/>
    <mergeCell ref="A1344:A1353"/>
    <mergeCell ref="A1354:A1358"/>
    <mergeCell ref="A1359:A1363"/>
    <mergeCell ref="A1364:A1384"/>
    <mergeCell ref="A1385:A138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1387"/>
  <sheetViews>
    <sheetView topLeftCell="V1" workbookViewId="0">
      <selection activeCell="AG6" sqref="AG6"/>
    </sheetView>
  </sheetViews>
  <sheetFormatPr defaultColWidth="9" defaultRowHeight="13.5"/>
  <cols>
    <col min="30" max="30" width="71.75" style="2" customWidth="1"/>
  </cols>
  <sheetData>
    <row r="1" spans="1:39">
      <c r="A1" t="s">
        <v>2387</v>
      </c>
      <c r="E1" t="s">
        <v>1196</v>
      </c>
    </row>
    <row r="2" spans="1:39">
      <c r="A2" t="s">
        <v>157</v>
      </c>
      <c r="B2" t="s">
        <v>158</v>
      </c>
      <c r="C2" t="s">
        <v>159</v>
      </c>
      <c r="D2" t="s">
        <v>160</v>
      </c>
      <c r="E2" t="s">
        <v>161</v>
      </c>
      <c r="F2" t="s">
        <v>162</v>
      </c>
      <c r="G2" t="s">
        <v>163</v>
      </c>
      <c r="H2" t="s">
        <v>164</v>
      </c>
      <c r="I2" t="s">
        <v>165</v>
      </c>
      <c r="J2" t="s">
        <v>166</v>
      </c>
      <c r="K2" t="s">
        <v>167</v>
      </c>
      <c r="W2" t="s">
        <v>168</v>
      </c>
      <c r="Y2" s="1" t="str">
        <f>HYPERLINK("#2026042017hbase0!W343","info_hierarchyid_dml_single_pk_irp")</f>
        <v>info_hierarchyid_dml_single_pk_irp</v>
      </c>
      <c r="Z2" s="1" t="str">
        <f>HYPERLINK("#2026042017hbase0!W675","info_int_dml_single_pk_irp")</f>
        <v>info_int_dml_single_pk_irp</v>
      </c>
      <c r="AA2" s="1" t="str">
        <f>HYPERLINK("#2026042017hbase0!W720","info_int_dml_single_pk_urp")</f>
        <v>info_int_dml_single_pk_urp</v>
      </c>
      <c r="AB2" s="1" t="str">
        <f>HYPERLINK("#2026042017hbase0!W783","info_int_dml_single_pk_drp")</f>
        <v>info_int_dml_single_pk_drp</v>
      </c>
      <c r="AC2" s="1" t="str">
        <f>HYPERLINK("#2026042017hbase0!W933","info_sql_variant_dml_single_pk_irp")</f>
        <v>info_sql_variant_dml_single_pk_irp</v>
      </c>
      <c r="AD2" s="1" t="str">
        <f>HYPERLINK("#2026042017hbase0!W987","info_geography_dml_single_pk_irp")</f>
        <v>info_geography_dml_single_pk_irp</v>
      </c>
      <c r="AE2" s="1" t="str">
        <f>HYPERLINK("#2026042017hbase0!W1021","info_sql_variant_dml_single_pk_urp")</f>
        <v>info_sql_variant_dml_single_pk_urp</v>
      </c>
      <c r="AF2" s="1" t="str">
        <f>HYPERLINK("#2026042017hbase0!W1058","info_sql_variant_dml_single_pk_drp")</f>
        <v>info_sql_variant_dml_single_pk_drp</v>
      </c>
      <c r="AG2" s="1" t="str">
        <f>HYPERLINK("#2026042017hbase0!W1102","info_geography_dml_single_pk_urp")</f>
        <v>info_geography_dml_single_pk_urp</v>
      </c>
      <c r="AH2" s="1" t="str">
        <f>HYPERLINK("#2026042017hbase0!W1105","info_int_dml_batch1_pk_irp1")</f>
        <v>info_int_dml_batch1_pk_irp1</v>
      </c>
      <c r="AI2" s="1" t="str">
        <f>HYPERLINK("#2026042017hbase0!W1151","info_sql_variant_dml_single_pk")</f>
        <v>info_sql_variant_dml_single_pk</v>
      </c>
      <c r="AJ2" s="1" t="str">
        <f>HYPERLINK("#2026042017hbase0!W1219","info_int_dml_batch1_pk_irp2")</f>
        <v>info_int_dml_batch1_pk_irp2</v>
      </c>
      <c r="AK2" s="1" t="str">
        <f>HYPERLINK("#2026042017hbase0!W1265","info_geography_dml_single_pk_drp")</f>
        <v>info_geography_dml_single_pk_drp</v>
      </c>
      <c r="AL2" s="1" t="str">
        <f>HYPERLINK("#2026042017hbase0!W1312","info_int_dml_batch2_pk_irp1")</f>
        <v>info_int_dml_batch2_pk_irp1</v>
      </c>
      <c r="AM2" s="1" t="str">
        <f>HYPERLINK("#2026042017hbase0!W1344","info_int_dml_batch2_pk_irp2")</f>
        <v>info_int_dml_batch2_pk_irp2</v>
      </c>
    </row>
    <row r="3" spans="1:39">
      <c r="A3" t="s">
        <v>380</v>
      </c>
      <c r="K3" t="s">
        <v>381</v>
      </c>
      <c r="W3" t="s">
        <v>171</v>
      </c>
      <c r="X3" t="str">
        <f>A3</f>
        <v>info_geometry_dml_single_pk_irp</v>
      </c>
      <c r="Y3" t="s">
        <v>177</v>
      </c>
      <c r="Z3" t="s">
        <v>2297</v>
      </c>
      <c r="AA3" t="s">
        <v>2297</v>
      </c>
      <c r="AB3" t="s">
        <v>2297</v>
      </c>
      <c r="AC3" t="s">
        <v>2379</v>
      </c>
      <c r="AD3" t="s">
        <v>190</v>
      </c>
      <c r="AE3" t="s">
        <v>2380</v>
      </c>
      <c r="AF3" t="s">
        <v>2381</v>
      </c>
      <c r="AG3" t="s">
        <v>193</v>
      </c>
      <c r="AH3" t="s">
        <v>2297</v>
      </c>
      <c r="AI3" t="s">
        <v>2382</v>
      </c>
      <c r="AJ3" t="s">
        <v>2297</v>
      </c>
      <c r="AK3" t="s">
        <v>195</v>
      </c>
      <c r="AL3" t="s">
        <v>2297</v>
      </c>
      <c r="AM3" t="s">
        <v>2297</v>
      </c>
    </row>
    <row r="4" spans="1:39">
      <c r="B4" t="s">
        <v>196</v>
      </c>
      <c r="C4" t="s">
        <v>197</v>
      </c>
      <c r="D4" t="s">
        <v>197</v>
      </c>
      <c r="E4" t="s">
        <v>197</v>
      </c>
      <c r="F4" t="s">
        <v>197</v>
      </c>
      <c r="G4" t="s">
        <v>197</v>
      </c>
      <c r="H4" t="s">
        <v>197</v>
      </c>
      <c r="I4" t="s">
        <v>385</v>
      </c>
      <c r="J4" t="s">
        <v>199</v>
      </c>
      <c r="K4" t="s">
        <v>200</v>
      </c>
      <c r="Y4" t="s">
        <v>206</v>
      </c>
      <c r="Z4" t="s">
        <v>2306</v>
      </c>
      <c r="AA4" t="s">
        <v>2306</v>
      </c>
      <c r="AB4" t="s">
        <v>2306</v>
      </c>
      <c r="AC4" t="s">
        <v>2383</v>
      </c>
      <c r="AD4" t="s">
        <v>195</v>
      </c>
      <c r="AE4" t="s">
        <v>2384</v>
      </c>
      <c r="AF4" t="s">
        <v>2385</v>
      </c>
      <c r="AG4" t="s">
        <v>225</v>
      </c>
      <c r="AH4" t="s">
        <v>312</v>
      </c>
      <c r="AI4" t="s">
        <v>2386</v>
      </c>
      <c r="AJ4" t="s">
        <v>371</v>
      </c>
      <c r="AK4" t="s">
        <v>227</v>
      </c>
      <c r="AL4" t="s">
        <v>312</v>
      </c>
      <c r="AM4" t="s">
        <v>371</v>
      </c>
    </row>
    <row r="5" spans="1:39">
      <c r="B5" t="s">
        <v>197</v>
      </c>
      <c r="C5" t="s">
        <v>197</v>
      </c>
      <c r="D5" t="s">
        <v>197</v>
      </c>
      <c r="E5" t="s">
        <v>197</v>
      </c>
      <c r="F5" t="s">
        <v>197</v>
      </c>
      <c r="G5" t="s">
        <v>197</v>
      </c>
      <c r="H5" t="s">
        <v>197</v>
      </c>
      <c r="I5" t="s">
        <v>197</v>
      </c>
      <c r="J5" t="s">
        <v>197</v>
      </c>
      <c r="K5" t="s">
        <v>393</v>
      </c>
      <c r="Y5" t="s">
        <v>234</v>
      </c>
      <c r="AD5" t="s">
        <v>227</v>
      </c>
      <c r="AG5" t="s">
        <v>248</v>
      </c>
      <c r="AH5" t="s">
        <v>2306</v>
      </c>
      <c r="AJ5" t="s">
        <v>378</v>
      </c>
      <c r="AK5" t="s">
        <v>249</v>
      </c>
      <c r="AL5" t="s">
        <v>2306</v>
      </c>
      <c r="AM5" t="s">
        <v>378</v>
      </c>
    </row>
    <row r="6" spans="1:39">
      <c r="A6" t="s">
        <v>169</v>
      </c>
      <c r="K6" t="s">
        <v>170</v>
      </c>
      <c r="W6" t="s">
        <v>171</v>
      </c>
      <c r="X6" t="str">
        <f>A6</f>
        <v>info_text_dml_single_pk_irp</v>
      </c>
      <c r="Y6" t="s">
        <v>257</v>
      </c>
      <c r="AD6" t="s">
        <v>270</v>
      </c>
      <c r="AG6" t="s">
        <v>273</v>
      </c>
      <c r="AH6" t="s">
        <v>346</v>
      </c>
      <c r="AJ6" t="s">
        <v>312</v>
      </c>
      <c r="AK6" t="s">
        <v>275</v>
      </c>
      <c r="AL6" t="s">
        <v>346</v>
      </c>
      <c r="AM6" t="s">
        <v>312</v>
      </c>
    </row>
    <row r="7" spans="1:39">
      <c r="B7" t="s">
        <v>196</v>
      </c>
      <c r="C7" t="s">
        <v>197</v>
      </c>
      <c r="D7" t="s">
        <v>197</v>
      </c>
      <c r="E7" t="s">
        <v>197</v>
      </c>
      <c r="F7" t="s">
        <v>197</v>
      </c>
      <c r="G7" t="s">
        <v>197</v>
      </c>
      <c r="H7" t="s">
        <v>197</v>
      </c>
      <c r="I7" t="s">
        <v>198</v>
      </c>
      <c r="J7" t="s">
        <v>199</v>
      </c>
      <c r="K7" t="s">
        <v>200</v>
      </c>
      <c r="AD7" t="s">
        <v>288</v>
      </c>
      <c r="AJ7" t="s">
        <v>2306</v>
      </c>
      <c r="AM7" t="s">
        <v>2306</v>
      </c>
    </row>
    <row r="8" spans="1:39">
      <c r="B8" t="s">
        <v>197</v>
      </c>
      <c r="C8" t="s">
        <v>197</v>
      </c>
      <c r="D8" t="s">
        <v>197</v>
      </c>
      <c r="E8" t="s">
        <v>197</v>
      </c>
      <c r="F8" t="s">
        <v>197</v>
      </c>
      <c r="G8" t="s">
        <v>197</v>
      </c>
      <c r="H8" t="s">
        <v>197</v>
      </c>
      <c r="I8" t="s">
        <v>197</v>
      </c>
      <c r="J8" t="s">
        <v>197</v>
      </c>
      <c r="K8" t="s">
        <v>229</v>
      </c>
      <c r="AD8" t="s">
        <v>249</v>
      </c>
      <c r="AJ8" t="s">
        <v>346</v>
      </c>
      <c r="AM8" t="s">
        <v>346</v>
      </c>
    </row>
    <row r="9" spans="1:39">
      <c r="B9" t="s">
        <v>197</v>
      </c>
      <c r="C9" t="s">
        <v>197</v>
      </c>
      <c r="D9" t="s">
        <v>197</v>
      </c>
      <c r="E9" t="s">
        <v>197</v>
      </c>
      <c r="F9" t="s">
        <v>197</v>
      </c>
      <c r="G9" t="s">
        <v>197</v>
      </c>
      <c r="H9" t="s">
        <v>197</v>
      </c>
      <c r="I9" t="s">
        <v>197</v>
      </c>
      <c r="J9" t="s">
        <v>197</v>
      </c>
      <c r="K9" t="s">
        <v>251</v>
      </c>
      <c r="AD9" t="s">
        <v>275</v>
      </c>
      <c r="AJ9" t="s">
        <v>426</v>
      </c>
      <c r="AM9" t="s">
        <v>426</v>
      </c>
    </row>
    <row r="10" spans="1:39">
      <c r="A10" t="s">
        <v>277</v>
      </c>
      <c r="K10" t="s">
        <v>278</v>
      </c>
      <c r="W10" t="s">
        <v>171</v>
      </c>
      <c r="X10" t="str">
        <f>A10</f>
        <v>info_datetimeoffset_dml_single_pk_urp</v>
      </c>
      <c r="AD10" t="s">
        <v>321</v>
      </c>
      <c r="AJ10" t="s">
        <v>430</v>
      </c>
      <c r="AM10" t="s">
        <v>430</v>
      </c>
    </row>
    <row r="11" spans="1:39">
      <c r="B11" t="s">
        <v>196</v>
      </c>
      <c r="C11" t="s">
        <v>197</v>
      </c>
      <c r="D11" t="s">
        <v>197</v>
      </c>
      <c r="E11" t="s">
        <v>197</v>
      </c>
      <c r="F11" t="s">
        <v>197</v>
      </c>
      <c r="G11" t="s">
        <v>197</v>
      </c>
      <c r="H11" t="s">
        <v>197</v>
      </c>
      <c r="I11" t="s">
        <v>291</v>
      </c>
      <c r="J11" t="s">
        <v>199</v>
      </c>
      <c r="K11" t="s">
        <v>200</v>
      </c>
    </row>
    <row r="12" spans="1:39">
      <c r="B12" t="s">
        <v>197</v>
      </c>
      <c r="C12" t="s">
        <v>197</v>
      </c>
      <c r="D12" t="s">
        <v>197</v>
      </c>
      <c r="E12" t="s">
        <v>197</v>
      </c>
      <c r="F12" t="s">
        <v>197</v>
      </c>
      <c r="G12" t="s">
        <v>197</v>
      </c>
      <c r="H12" t="s">
        <v>197</v>
      </c>
      <c r="I12" t="s">
        <v>197</v>
      </c>
      <c r="J12" t="s">
        <v>197</v>
      </c>
      <c r="K12" t="s">
        <v>301</v>
      </c>
    </row>
    <row r="13" spans="1:39">
      <c r="B13" t="s">
        <v>197</v>
      </c>
      <c r="C13" t="s">
        <v>197</v>
      </c>
      <c r="D13" t="s">
        <v>197</v>
      </c>
      <c r="E13" t="s">
        <v>197</v>
      </c>
      <c r="F13" t="s">
        <v>197</v>
      </c>
      <c r="G13" t="s">
        <v>197</v>
      </c>
      <c r="H13" t="s">
        <v>197</v>
      </c>
      <c r="I13" t="s">
        <v>197</v>
      </c>
      <c r="J13" t="s">
        <v>197</v>
      </c>
      <c r="K13" t="s">
        <v>314</v>
      </c>
    </row>
    <row r="14" spans="1:39">
      <c r="B14" t="s">
        <v>197</v>
      </c>
      <c r="C14" t="s">
        <v>197</v>
      </c>
      <c r="D14" t="s">
        <v>197</v>
      </c>
      <c r="E14" t="s">
        <v>197</v>
      </c>
      <c r="F14" t="s">
        <v>197</v>
      </c>
      <c r="G14" t="s">
        <v>197</v>
      </c>
      <c r="H14" t="s">
        <v>197</v>
      </c>
      <c r="I14" t="s">
        <v>197</v>
      </c>
      <c r="J14" t="s">
        <v>197</v>
      </c>
      <c r="K14" t="s">
        <v>324</v>
      </c>
    </row>
    <row r="15" spans="1:39">
      <c r="B15" t="s">
        <v>197</v>
      </c>
      <c r="C15" t="s">
        <v>197</v>
      </c>
      <c r="D15" t="s">
        <v>197</v>
      </c>
      <c r="E15" t="s">
        <v>197</v>
      </c>
      <c r="F15" t="s">
        <v>197</v>
      </c>
      <c r="G15" t="s">
        <v>197</v>
      </c>
      <c r="H15" t="s">
        <v>197</v>
      </c>
      <c r="I15" t="s">
        <v>197</v>
      </c>
      <c r="J15" t="s">
        <v>197</v>
      </c>
      <c r="K15" t="s">
        <v>335</v>
      </c>
    </row>
    <row r="16" spans="1:39">
      <c r="B16" t="s">
        <v>197</v>
      </c>
      <c r="C16" t="s">
        <v>197</v>
      </c>
      <c r="D16" t="s">
        <v>197</v>
      </c>
      <c r="E16" t="s">
        <v>197</v>
      </c>
      <c r="F16" t="s">
        <v>197</v>
      </c>
      <c r="G16" t="s">
        <v>197</v>
      </c>
      <c r="H16" t="s">
        <v>197</v>
      </c>
      <c r="I16" t="s">
        <v>197</v>
      </c>
      <c r="J16" t="s">
        <v>197</v>
      </c>
      <c r="K16" t="s">
        <v>350</v>
      </c>
    </row>
    <row r="17" spans="1:24">
      <c r="B17" t="s">
        <v>197</v>
      </c>
      <c r="C17" t="s">
        <v>197</v>
      </c>
      <c r="D17" t="s">
        <v>197</v>
      </c>
      <c r="E17" t="s">
        <v>197</v>
      </c>
      <c r="F17" t="s">
        <v>197</v>
      </c>
      <c r="G17" t="s">
        <v>197</v>
      </c>
      <c r="H17" t="s">
        <v>197</v>
      </c>
      <c r="I17" t="s">
        <v>197</v>
      </c>
      <c r="J17" t="s">
        <v>197</v>
      </c>
      <c r="K17" t="s">
        <v>360</v>
      </c>
    </row>
    <row r="18" spans="1:24">
      <c r="B18" t="s">
        <v>197</v>
      </c>
      <c r="C18" t="s">
        <v>197</v>
      </c>
      <c r="D18" t="s">
        <v>197</v>
      </c>
      <c r="E18" t="s">
        <v>197</v>
      </c>
      <c r="F18" t="s">
        <v>197</v>
      </c>
      <c r="G18" t="s">
        <v>197</v>
      </c>
      <c r="H18" t="s">
        <v>197</v>
      </c>
      <c r="I18" t="s">
        <v>197</v>
      </c>
      <c r="J18" t="s">
        <v>197</v>
      </c>
      <c r="K18" t="s">
        <v>367</v>
      </c>
    </row>
    <row r="19" spans="1:24">
      <c r="B19" t="s">
        <v>197</v>
      </c>
      <c r="C19" t="s">
        <v>197</v>
      </c>
      <c r="D19" t="s">
        <v>197</v>
      </c>
      <c r="E19" t="s">
        <v>197</v>
      </c>
      <c r="F19" t="s">
        <v>197</v>
      </c>
      <c r="G19" t="s">
        <v>197</v>
      </c>
      <c r="H19" t="s">
        <v>197</v>
      </c>
      <c r="I19" t="s">
        <v>197</v>
      </c>
      <c r="J19" t="s">
        <v>197</v>
      </c>
      <c r="K19" t="s">
        <v>373</v>
      </c>
    </row>
    <row r="20" spans="1:24">
      <c r="A20" t="s">
        <v>417</v>
      </c>
      <c r="K20" t="s">
        <v>418</v>
      </c>
      <c r="W20" t="s">
        <v>171</v>
      </c>
      <c r="X20" t="str">
        <f>A20</f>
        <v>info_sdt_dml_batch2_pk_irp2</v>
      </c>
    </row>
    <row r="21" spans="1:24">
      <c r="B21" t="s">
        <v>196</v>
      </c>
      <c r="C21" t="s">
        <v>197</v>
      </c>
      <c r="D21" t="s">
        <v>197</v>
      </c>
      <c r="E21" t="s">
        <v>197</v>
      </c>
      <c r="F21" t="s">
        <v>197</v>
      </c>
      <c r="G21" t="s">
        <v>197</v>
      </c>
      <c r="H21" t="s">
        <v>197</v>
      </c>
      <c r="I21" t="s">
        <v>420</v>
      </c>
      <c r="J21" t="s">
        <v>199</v>
      </c>
      <c r="K21" t="s">
        <v>200</v>
      </c>
    </row>
    <row r="22" spans="1:24">
      <c r="B22" t="s">
        <v>197</v>
      </c>
      <c r="C22" t="s">
        <v>197</v>
      </c>
      <c r="D22" t="s">
        <v>197</v>
      </c>
      <c r="E22" t="s">
        <v>197</v>
      </c>
      <c r="F22" t="s">
        <v>197</v>
      </c>
      <c r="G22" t="s">
        <v>197</v>
      </c>
      <c r="H22" t="s">
        <v>197</v>
      </c>
      <c r="I22" t="s">
        <v>197</v>
      </c>
      <c r="J22" t="s">
        <v>197</v>
      </c>
      <c r="K22" t="s">
        <v>422</v>
      </c>
    </row>
    <row r="23" spans="1:24">
      <c r="A23" t="s">
        <v>423</v>
      </c>
      <c r="K23" t="s">
        <v>424</v>
      </c>
      <c r="W23" t="s">
        <v>171</v>
      </c>
      <c r="X23" t="str">
        <f>A23</f>
        <v>info_varchar_dml_batch1_pk_drp1</v>
      </c>
    </row>
    <row r="24" spans="1:24">
      <c r="B24" t="s">
        <v>196</v>
      </c>
      <c r="C24" t="s">
        <v>197</v>
      </c>
      <c r="D24" t="s">
        <v>197</v>
      </c>
      <c r="E24" t="s">
        <v>197</v>
      </c>
      <c r="F24" t="s">
        <v>197</v>
      </c>
      <c r="G24" t="s">
        <v>197</v>
      </c>
      <c r="H24" t="s">
        <v>197</v>
      </c>
      <c r="I24" t="s">
        <v>427</v>
      </c>
      <c r="J24" t="s">
        <v>199</v>
      </c>
      <c r="K24" t="s">
        <v>200</v>
      </c>
    </row>
    <row r="25" spans="1:24">
      <c r="B25" t="s">
        <v>197</v>
      </c>
      <c r="C25" t="s">
        <v>197</v>
      </c>
      <c r="D25" t="s">
        <v>197</v>
      </c>
      <c r="E25" t="s">
        <v>197</v>
      </c>
      <c r="F25" t="s">
        <v>197</v>
      </c>
      <c r="G25" t="s">
        <v>197</v>
      </c>
      <c r="H25" t="s">
        <v>197</v>
      </c>
      <c r="I25" t="s">
        <v>197</v>
      </c>
      <c r="J25" t="s">
        <v>197</v>
      </c>
      <c r="K25" t="s">
        <v>431</v>
      </c>
    </row>
    <row r="26" spans="1:24">
      <c r="B26" t="s">
        <v>197</v>
      </c>
      <c r="C26" t="s">
        <v>197</v>
      </c>
      <c r="D26" t="s">
        <v>197</v>
      </c>
      <c r="E26" t="s">
        <v>197</v>
      </c>
      <c r="F26" t="s">
        <v>197</v>
      </c>
      <c r="G26" t="s">
        <v>197</v>
      </c>
      <c r="H26" t="s">
        <v>197</v>
      </c>
      <c r="I26" t="s">
        <v>197</v>
      </c>
      <c r="J26" t="s">
        <v>197</v>
      </c>
      <c r="K26" t="s">
        <v>434</v>
      </c>
    </row>
    <row r="27" spans="1:24">
      <c r="B27" t="s">
        <v>197</v>
      </c>
      <c r="C27" t="s">
        <v>197</v>
      </c>
      <c r="D27" t="s">
        <v>197</v>
      </c>
      <c r="E27" t="s">
        <v>197</v>
      </c>
      <c r="F27" t="s">
        <v>197</v>
      </c>
      <c r="G27" t="s">
        <v>197</v>
      </c>
      <c r="H27" t="s">
        <v>197</v>
      </c>
      <c r="I27" t="s">
        <v>197</v>
      </c>
      <c r="J27" t="s">
        <v>197</v>
      </c>
      <c r="K27" t="s">
        <v>439</v>
      </c>
    </row>
    <row r="28" spans="1:24">
      <c r="K28" t="s">
        <v>443</v>
      </c>
    </row>
    <row r="29" spans="1:24">
      <c r="A29" t="s">
        <v>448</v>
      </c>
      <c r="K29" t="s">
        <v>449</v>
      </c>
      <c r="W29" t="s">
        <v>171</v>
      </c>
      <c r="X29" t="str">
        <f>A29</f>
        <v>info_sdt_dml_batch1_pk_urp1</v>
      </c>
    </row>
    <row r="30" spans="1:24">
      <c r="B30" t="s">
        <v>196</v>
      </c>
      <c r="C30" t="s">
        <v>197</v>
      </c>
      <c r="D30" t="s">
        <v>197</v>
      </c>
      <c r="E30" t="s">
        <v>197</v>
      </c>
      <c r="F30" t="s">
        <v>197</v>
      </c>
      <c r="G30" t="s">
        <v>197</v>
      </c>
      <c r="H30" t="s">
        <v>197</v>
      </c>
      <c r="I30" t="s">
        <v>454</v>
      </c>
      <c r="J30" t="s">
        <v>199</v>
      </c>
      <c r="K30" t="s">
        <v>200</v>
      </c>
    </row>
    <row r="31" spans="1:24">
      <c r="B31" t="s">
        <v>197</v>
      </c>
      <c r="C31" t="s">
        <v>197</v>
      </c>
      <c r="D31" t="s">
        <v>197</v>
      </c>
      <c r="E31" t="s">
        <v>197</v>
      </c>
      <c r="F31" t="s">
        <v>197</v>
      </c>
      <c r="G31" t="s">
        <v>197</v>
      </c>
      <c r="H31" t="s">
        <v>197</v>
      </c>
      <c r="I31" t="s">
        <v>197</v>
      </c>
      <c r="J31" t="s">
        <v>197</v>
      </c>
      <c r="K31" t="s">
        <v>422</v>
      </c>
    </row>
    <row r="32" spans="1:24">
      <c r="A32" t="s">
        <v>462</v>
      </c>
      <c r="K32" t="s">
        <v>463</v>
      </c>
      <c r="W32" t="s">
        <v>171</v>
      </c>
      <c r="X32" t="str">
        <f>A32</f>
        <v>info_xml_dml_single_pk_irp</v>
      </c>
    </row>
    <row r="33" spans="1:24">
      <c r="B33" t="s">
        <v>196</v>
      </c>
      <c r="C33" t="s">
        <v>197</v>
      </c>
      <c r="D33" t="s">
        <v>197</v>
      </c>
      <c r="E33" t="s">
        <v>197</v>
      </c>
      <c r="F33" t="s">
        <v>197</v>
      </c>
      <c r="G33" t="s">
        <v>197</v>
      </c>
      <c r="H33" t="s">
        <v>197</v>
      </c>
      <c r="I33" t="s">
        <v>467</v>
      </c>
      <c r="J33" t="s">
        <v>199</v>
      </c>
      <c r="K33" t="s">
        <v>200</v>
      </c>
    </row>
    <row r="34" spans="1:24">
      <c r="B34" t="s">
        <v>197</v>
      </c>
      <c r="C34" t="s">
        <v>197</v>
      </c>
      <c r="D34" t="s">
        <v>197</v>
      </c>
      <c r="E34" t="s">
        <v>197</v>
      </c>
      <c r="F34" t="s">
        <v>197</v>
      </c>
      <c r="G34" t="s">
        <v>197</v>
      </c>
      <c r="H34" t="s">
        <v>197</v>
      </c>
      <c r="I34" t="s">
        <v>197</v>
      </c>
      <c r="J34" t="s">
        <v>197</v>
      </c>
      <c r="K34" t="s">
        <v>472</v>
      </c>
    </row>
    <row r="35" spans="1:24">
      <c r="A35" t="s">
        <v>476</v>
      </c>
      <c r="K35" t="s">
        <v>477</v>
      </c>
      <c r="W35" t="s">
        <v>171</v>
      </c>
      <c r="X35" t="str">
        <f>A35</f>
        <v>info_sdt_dml_batch1_pk_urp2</v>
      </c>
    </row>
    <row r="36" spans="1:24">
      <c r="B36" t="s">
        <v>196</v>
      </c>
      <c r="C36" t="s">
        <v>197</v>
      </c>
      <c r="D36" t="s">
        <v>197</v>
      </c>
      <c r="E36" t="s">
        <v>197</v>
      </c>
      <c r="F36" t="s">
        <v>197</v>
      </c>
      <c r="G36" t="s">
        <v>197</v>
      </c>
      <c r="H36" t="s">
        <v>197</v>
      </c>
      <c r="I36" t="s">
        <v>481</v>
      </c>
      <c r="J36" t="s">
        <v>199</v>
      </c>
      <c r="K36" t="s">
        <v>200</v>
      </c>
    </row>
    <row r="37" spans="1:24">
      <c r="B37" t="s">
        <v>197</v>
      </c>
      <c r="C37" t="s">
        <v>197</v>
      </c>
      <c r="D37" t="s">
        <v>197</v>
      </c>
      <c r="E37" t="s">
        <v>197</v>
      </c>
      <c r="F37" t="s">
        <v>197</v>
      </c>
      <c r="G37" t="s">
        <v>197</v>
      </c>
      <c r="H37" t="s">
        <v>197</v>
      </c>
      <c r="I37" t="s">
        <v>197</v>
      </c>
      <c r="J37" t="s">
        <v>197</v>
      </c>
      <c r="K37" t="s">
        <v>422</v>
      </c>
    </row>
    <row r="38" spans="1:24">
      <c r="A38" t="s">
        <v>486</v>
      </c>
      <c r="K38" t="s">
        <v>487</v>
      </c>
      <c r="W38" t="s">
        <v>171</v>
      </c>
      <c r="X38" t="str">
        <f>A38</f>
        <v>info_varbinary_dml_batch1_pk_urp1</v>
      </c>
    </row>
    <row r="39" spans="1:24">
      <c r="B39" t="s">
        <v>196</v>
      </c>
      <c r="C39" t="s">
        <v>197</v>
      </c>
      <c r="D39" t="s">
        <v>197</v>
      </c>
      <c r="E39" t="s">
        <v>197</v>
      </c>
      <c r="F39" t="s">
        <v>197</v>
      </c>
      <c r="G39" t="s">
        <v>197</v>
      </c>
      <c r="H39" t="s">
        <v>197</v>
      </c>
      <c r="I39" t="s">
        <v>491</v>
      </c>
      <c r="J39" t="s">
        <v>199</v>
      </c>
      <c r="K39" t="s">
        <v>200</v>
      </c>
    </row>
    <row r="40" spans="1:24">
      <c r="B40" t="s">
        <v>197</v>
      </c>
      <c r="C40" t="s">
        <v>197</v>
      </c>
      <c r="D40" t="s">
        <v>197</v>
      </c>
      <c r="E40" t="s">
        <v>197</v>
      </c>
      <c r="F40" t="s">
        <v>197</v>
      </c>
      <c r="G40" t="s">
        <v>197</v>
      </c>
      <c r="H40" t="s">
        <v>197</v>
      </c>
      <c r="I40" t="s">
        <v>197</v>
      </c>
      <c r="J40" t="s">
        <v>197</v>
      </c>
      <c r="K40" t="s">
        <v>495</v>
      </c>
    </row>
    <row r="41" spans="1:24">
      <c r="B41" t="s">
        <v>197</v>
      </c>
      <c r="C41" t="s">
        <v>197</v>
      </c>
      <c r="D41" t="s">
        <v>197</v>
      </c>
      <c r="E41" t="s">
        <v>197</v>
      </c>
      <c r="F41" t="s">
        <v>197</v>
      </c>
      <c r="G41" t="s">
        <v>197</v>
      </c>
      <c r="H41" t="s">
        <v>197</v>
      </c>
      <c r="I41" t="s">
        <v>197</v>
      </c>
      <c r="J41" t="s">
        <v>197</v>
      </c>
      <c r="K41" t="s">
        <v>499</v>
      </c>
    </row>
    <row r="42" spans="1:24">
      <c r="B42" t="s">
        <v>197</v>
      </c>
      <c r="C42" t="s">
        <v>197</v>
      </c>
      <c r="D42" t="s">
        <v>197</v>
      </c>
      <c r="E42" t="s">
        <v>197</v>
      </c>
      <c r="F42" t="s">
        <v>197</v>
      </c>
      <c r="G42" t="s">
        <v>197</v>
      </c>
      <c r="H42" t="s">
        <v>197</v>
      </c>
      <c r="I42" t="s">
        <v>197</v>
      </c>
      <c r="J42" t="s">
        <v>197</v>
      </c>
      <c r="K42" t="s">
        <v>503</v>
      </c>
    </row>
    <row r="43" spans="1:24">
      <c r="A43" t="s">
        <v>504</v>
      </c>
      <c r="K43" t="s">
        <v>505</v>
      </c>
      <c r="W43" t="s">
        <v>171</v>
      </c>
      <c r="X43" t="str">
        <f>A43</f>
        <v>info_sdt_dml_batch1_pk_drp1</v>
      </c>
    </row>
    <row r="44" spans="1:24">
      <c r="B44" t="s">
        <v>196</v>
      </c>
      <c r="C44" t="s">
        <v>197</v>
      </c>
      <c r="D44" t="s">
        <v>197</v>
      </c>
      <c r="E44" t="s">
        <v>197</v>
      </c>
      <c r="F44" t="s">
        <v>197</v>
      </c>
      <c r="G44" t="s">
        <v>197</v>
      </c>
      <c r="H44" t="s">
        <v>197</v>
      </c>
      <c r="I44" t="s">
        <v>507</v>
      </c>
      <c r="J44" t="s">
        <v>199</v>
      </c>
      <c r="K44" t="s">
        <v>200</v>
      </c>
    </row>
    <row r="45" spans="1:24">
      <c r="B45" t="s">
        <v>197</v>
      </c>
      <c r="C45" t="s">
        <v>197</v>
      </c>
      <c r="D45" t="s">
        <v>197</v>
      </c>
      <c r="E45" t="s">
        <v>197</v>
      </c>
      <c r="F45" t="s">
        <v>197</v>
      </c>
      <c r="G45" t="s">
        <v>197</v>
      </c>
      <c r="H45" t="s">
        <v>197</v>
      </c>
      <c r="I45" t="s">
        <v>197</v>
      </c>
      <c r="J45" t="s">
        <v>197</v>
      </c>
      <c r="K45" t="s">
        <v>422</v>
      </c>
    </row>
    <row r="46" spans="1:24">
      <c r="K46" t="s">
        <v>443</v>
      </c>
    </row>
    <row r="47" spans="1:24">
      <c r="A47" t="s">
        <v>510</v>
      </c>
      <c r="K47" t="s">
        <v>511</v>
      </c>
      <c r="W47" t="s">
        <v>171</v>
      </c>
      <c r="X47" t="str">
        <f>A47</f>
        <v>info_nchar_dml_single_pk_irp</v>
      </c>
    </row>
    <row r="48" spans="1:24">
      <c r="B48" t="s">
        <v>196</v>
      </c>
      <c r="C48" t="s">
        <v>197</v>
      </c>
      <c r="D48" t="s">
        <v>197</v>
      </c>
      <c r="E48" t="s">
        <v>197</v>
      </c>
      <c r="F48" t="s">
        <v>197</v>
      </c>
      <c r="G48" t="s">
        <v>197</v>
      </c>
      <c r="H48" t="s">
        <v>197</v>
      </c>
      <c r="I48" t="s">
        <v>512</v>
      </c>
      <c r="J48" t="s">
        <v>199</v>
      </c>
      <c r="K48" t="s">
        <v>200</v>
      </c>
    </row>
    <row r="49" spans="1:24">
      <c r="B49" t="s">
        <v>197</v>
      </c>
      <c r="C49" t="s">
        <v>197</v>
      </c>
      <c r="D49" t="s">
        <v>197</v>
      </c>
      <c r="E49" t="s">
        <v>197</v>
      </c>
      <c r="F49" t="s">
        <v>197</v>
      </c>
      <c r="G49" t="s">
        <v>197</v>
      </c>
      <c r="H49" t="s">
        <v>197</v>
      </c>
      <c r="I49" t="s">
        <v>197</v>
      </c>
      <c r="J49" t="s">
        <v>197</v>
      </c>
      <c r="K49" t="s">
        <v>514</v>
      </c>
    </row>
    <row r="50" spans="1:24">
      <c r="B50" t="s">
        <v>197</v>
      </c>
      <c r="C50" t="s">
        <v>197</v>
      </c>
      <c r="D50" t="s">
        <v>197</v>
      </c>
      <c r="E50" t="s">
        <v>197</v>
      </c>
      <c r="F50" t="s">
        <v>197</v>
      </c>
      <c r="G50" t="s">
        <v>197</v>
      </c>
      <c r="H50" t="s">
        <v>197</v>
      </c>
      <c r="I50" t="s">
        <v>197</v>
      </c>
      <c r="J50" t="s">
        <v>197</v>
      </c>
      <c r="K50" t="s">
        <v>516</v>
      </c>
    </row>
    <row r="51" spans="1:24">
      <c r="B51" t="s">
        <v>197</v>
      </c>
      <c r="C51" t="s">
        <v>197</v>
      </c>
      <c r="D51" t="s">
        <v>197</v>
      </c>
      <c r="E51" t="s">
        <v>197</v>
      </c>
      <c r="F51" t="s">
        <v>197</v>
      </c>
      <c r="G51" t="s">
        <v>197</v>
      </c>
      <c r="H51" t="s">
        <v>197</v>
      </c>
      <c r="I51" t="s">
        <v>197</v>
      </c>
      <c r="J51" t="s">
        <v>197</v>
      </c>
      <c r="K51" t="s">
        <v>517</v>
      </c>
    </row>
    <row r="52" spans="1:24">
      <c r="A52" t="s">
        <v>519</v>
      </c>
      <c r="K52" t="s">
        <v>520</v>
      </c>
      <c r="W52" t="s">
        <v>171</v>
      </c>
      <c r="X52" t="str">
        <f>A52</f>
        <v>info_datetimeoffset_dml_single_pk_drp</v>
      </c>
    </row>
    <row r="53" spans="1:24">
      <c r="B53" t="s">
        <v>196</v>
      </c>
      <c r="C53" t="s">
        <v>197</v>
      </c>
      <c r="D53" t="s">
        <v>197</v>
      </c>
      <c r="E53" t="s">
        <v>197</v>
      </c>
      <c r="F53" t="s">
        <v>197</v>
      </c>
      <c r="G53" t="s">
        <v>197</v>
      </c>
      <c r="H53" t="s">
        <v>197</v>
      </c>
      <c r="I53" t="s">
        <v>522</v>
      </c>
      <c r="J53" t="s">
        <v>199</v>
      </c>
      <c r="K53" t="s">
        <v>200</v>
      </c>
    </row>
    <row r="54" spans="1:24">
      <c r="B54" t="s">
        <v>197</v>
      </c>
      <c r="C54" t="s">
        <v>197</v>
      </c>
      <c r="D54" t="s">
        <v>197</v>
      </c>
      <c r="E54" t="s">
        <v>197</v>
      </c>
      <c r="F54" t="s">
        <v>197</v>
      </c>
      <c r="G54" t="s">
        <v>197</v>
      </c>
      <c r="H54" t="s">
        <v>197</v>
      </c>
      <c r="I54" t="s">
        <v>197</v>
      </c>
      <c r="J54" t="s">
        <v>197</v>
      </c>
      <c r="K54" t="s">
        <v>301</v>
      </c>
    </row>
    <row r="55" spans="1:24">
      <c r="B55" t="s">
        <v>197</v>
      </c>
      <c r="C55" t="s">
        <v>197</v>
      </c>
      <c r="D55" t="s">
        <v>197</v>
      </c>
      <c r="E55" t="s">
        <v>197</v>
      </c>
      <c r="F55" t="s">
        <v>197</v>
      </c>
      <c r="G55" t="s">
        <v>197</v>
      </c>
      <c r="H55" t="s">
        <v>197</v>
      </c>
      <c r="I55" t="s">
        <v>197</v>
      </c>
      <c r="J55" t="s">
        <v>197</v>
      </c>
      <c r="K55" t="s">
        <v>314</v>
      </c>
    </row>
    <row r="56" spans="1:24">
      <c r="B56" t="s">
        <v>197</v>
      </c>
      <c r="C56" t="s">
        <v>197</v>
      </c>
      <c r="D56" t="s">
        <v>197</v>
      </c>
      <c r="E56" t="s">
        <v>197</v>
      </c>
      <c r="F56" t="s">
        <v>197</v>
      </c>
      <c r="G56" t="s">
        <v>197</v>
      </c>
      <c r="H56" t="s">
        <v>197</v>
      </c>
      <c r="I56" t="s">
        <v>197</v>
      </c>
      <c r="J56" t="s">
        <v>197</v>
      </c>
      <c r="K56" t="s">
        <v>324</v>
      </c>
    </row>
    <row r="57" spans="1:24">
      <c r="B57" t="s">
        <v>197</v>
      </c>
      <c r="C57" t="s">
        <v>197</v>
      </c>
      <c r="D57" t="s">
        <v>197</v>
      </c>
      <c r="E57" t="s">
        <v>197</v>
      </c>
      <c r="F57" t="s">
        <v>197</v>
      </c>
      <c r="G57" t="s">
        <v>197</v>
      </c>
      <c r="H57" t="s">
        <v>197</v>
      </c>
      <c r="I57" t="s">
        <v>197</v>
      </c>
      <c r="J57" t="s">
        <v>197</v>
      </c>
      <c r="K57" t="s">
        <v>335</v>
      </c>
    </row>
    <row r="58" spans="1:24">
      <c r="B58" t="s">
        <v>197</v>
      </c>
      <c r="C58" t="s">
        <v>197</v>
      </c>
      <c r="D58" t="s">
        <v>197</v>
      </c>
      <c r="E58" t="s">
        <v>197</v>
      </c>
      <c r="F58" t="s">
        <v>197</v>
      </c>
      <c r="G58" t="s">
        <v>197</v>
      </c>
      <c r="H58" t="s">
        <v>197</v>
      </c>
      <c r="I58" t="s">
        <v>197</v>
      </c>
      <c r="J58" t="s">
        <v>197</v>
      </c>
      <c r="K58" t="s">
        <v>350</v>
      </c>
    </row>
    <row r="59" spans="1:24">
      <c r="B59" t="s">
        <v>197</v>
      </c>
      <c r="C59" t="s">
        <v>197</v>
      </c>
      <c r="D59" t="s">
        <v>197</v>
      </c>
      <c r="E59" t="s">
        <v>197</v>
      </c>
      <c r="F59" t="s">
        <v>197</v>
      </c>
      <c r="G59" t="s">
        <v>197</v>
      </c>
      <c r="H59" t="s">
        <v>197</v>
      </c>
      <c r="I59" t="s">
        <v>197</v>
      </c>
      <c r="J59" t="s">
        <v>197</v>
      </c>
      <c r="K59" t="s">
        <v>360</v>
      </c>
    </row>
    <row r="60" spans="1:24">
      <c r="B60" t="s">
        <v>197</v>
      </c>
      <c r="C60" t="s">
        <v>197</v>
      </c>
      <c r="D60" t="s">
        <v>197</v>
      </c>
      <c r="E60" t="s">
        <v>197</v>
      </c>
      <c r="F60" t="s">
        <v>197</v>
      </c>
      <c r="G60" t="s">
        <v>197</v>
      </c>
      <c r="H60" t="s">
        <v>197</v>
      </c>
      <c r="I60" t="s">
        <v>197</v>
      </c>
      <c r="J60" t="s">
        <v>197</v>
      </c>
      <c r="K60" t="s">
        <v>367</v>
      </c>
    </row>
    <row r="61" spans="1:24">
      <c r="B61" t="s">
        <v>197</v>
      </c>
      <c r="C61" t="s">
        <v>197</v>
      </c>
      <c r="D61" t="s">
        <v>197</v>
      </c>
      <c r="E61" t="s">
        <v>197</v>
      </c>
      <c r="F61" t="s">
        <v>197</v>
      </c>
      <c r="G61" t="s">
        <v>197</v>
      </c>
      <c r="H61" t="s">
        <v>197</v>
      </c>
      <c r="I61" t="s">
        <v>197</v>
      </c>
      <c r="J61" t="s">
        <v>197</v>
      </c>
      <c r="K61" t="s">
        <v>373</v>
      </c>
    </row>
    <row r="62" spans="1:24">
      <c r="A62" t="s">
        <v>528</v>
      </c>
      <c r="K62" t="s">
        <v>529</v>
      </c>
      <c r="W62" t="s">
        <v>171</v>
      </c>
      <c r="X62" t="str">
        <f>A62</f>
        <v>info_text_dml_single_pk_urp</v>
      </c>
    </row>
    <row r="63" spans="1:24">
      <c r="B63" t="s">
        <v>196</v>
      </c>
      <c r="C63" t="s">
        <v>197</v>
      </c>
      <c r="D63" t="s">
        <v>197</v>
      </c>
      <c r="E63" t="s">
        <v>197</v>
      </c>
      <c r="F63" t="s">
        <v>197</v>
      </c>
      <c r="G63" t="s">
        <v>197</v>
      </c>
      <c r="H63" t="s">
        <v>197</v>
      </c>
      <c r="I63" t="s">
        <v>530</v>
      </c>
      <c r="J63" t="s">
        <v>199</v>
      </c>
      <c r="K63" t="s">
        <v>200</v>
      </c>
    </row>
    <row r="64" spans="1:24">
      <c r="B64" t="s">
        <v>197</v>
      </c>
      <c r="C64" t="s">
        <v>197</v>
      </c>
      <c r="D64" t="s">
        <v>197</v>
      </c>
      <c r="E64" t="s">
        <v>197</v>
      </c>
      <c r="F64" t="s">
        <v>197</v>
      </c>
      <c r="G64" t="s">
        <v>197</v>
      </c>
      <c r="H64" t="s">
        <v>197</v>
      </c>
      <c r="I64" t="s">
        <v>197</v>
      </c>
      <c r="J64" t="s">
        <v>197</v>
      </c>
      <c r="K64" t="s">
        <v>229</v>
      </c>
    </row>
    <row r="65" spans="1:24">
      <c r="B65" t="s">
        <v>197</v>
      </c>
      <c r="C65" t="s">
        <v>197</v>
      </c>
      <c r="D65" t="s">
        <v>197</v>
      </c>
      <c r="E65" t="s">
        <v>197</v>
      </c>
      <c r="F65" t="s">
        <v>197</v>
      </c>
      <c r="G65" t="s">
        <v>197</v>
      </c>
      <c r="H65" t="s">
        <v>197</v>
      </c>
      <c r="I65" t="s">
        <v>197</v>
      </c>
      <c r="J65" t="s">
        <v>197</v>
      </c>
      <c r="K65" t="s">
        <v>251</v>
      </c>
    </row>
    <row r="66" spans="1:24">
      <c r="A66" t="s">
        <v>531</v>
      </c>
      <c r="K66" t="s">
        <v>532</v>
      </c>
      <c r="W66" t="s">
        <v>171</v>
      </c>
      <c r="X66" t="str">
        <f>A66</f>
        <v>info_geometry_dml_single_pk_urp</v>
      </c>
    </row>
    <row r="67" spans="1:24">
      <c r="B67" t="s">
        <v>196</v>
      </c>
      <c r="C67" t="s">
        <v>197</v>
      </c>
      <c r="D67" t="s">
        <v>197</v>
      </c>
      <c r="E67" t="s">
        <v>197</v>
      </c>
      <c r="F67" t="s">
        <v>197</v>
      </c>
      <c r="G67" t="s">
        <v>197</v>
      </c>
      <c r="H67" t="s">
        <v>197</v>
      </c>
      <c r="I67" t="s">
        <v>533</v>
      </c>
      <c r="J67" t="s">
        <v>199</v>
      </c>
      <c r="K67" t="s">
        <v>200</v>
      </c>
    </row>
    <row r="68" spans="1:24">
      <c r="B68" t="s">
        <v>197</v>
      </c>
      <c r="C68" t="s">
        <v>197</v>
      </c>
      <c r="D68" t="s">
        <v>197</v>
      </c>
      <c r="E68" t="s">
        <v>197</v>
      </c>
      <c r="F68" t="s">
        <v>197</v>
      </c>
      <c r="G68" t="s">
        <v>197</v>
      </c>
      <c r="H68" t="s">
        <v>197</v>
      </c>
      <c r="I68" t="s">
        <v>197</v>
      </c>
      <c r="J68" t="s">
        <v>197</v>
      </c>
      <c r="K68" t="s">
        <v>393</v>
      </c>
    </row>
    <row r="69" spans="1:24">
      <c r="A69" t="s">
        <v>534</v>
      </c>
      <c r="K69" t="s">
        <v>535</v>
      </c>
      <c r="W69" t="s">
        <v>171</v>
      </c>
      <c r="X69" t="str">
        <f>A69</f>
        <v>info_sdt_dml_batch1_pk_drp2</v>
      </c>
    </row>
    <row r="70" spans="1:24">
      <c r="B70" t="s">
        <v>196</v>
      </c>
      <c r="C70" t="s">
        <v>197</v>
      </c>
      <c r="D70" t="s">
        <v>197</v>
      </c>
      <c r="E70" t="s">
        <v>197</v>
      </c>
      <c r="F70" t="s">
        <v>197</v>
      </c>
      <c r="G70" t="s">
        <v>197</v>
      </c>
      <c r="H70" t="s">
        <v>197</v>
      </c>
      <c r="I70" t="s">
        <v>536</v>
      </c>
      <c r="J70" t="s">
        <v>199</v>
      </c>
      <c r="K70" t="s">
        <v>200</v>
      </c>
    </row>
    <row r="71" spans="1:24">
      <c r="B71" t="s">
        <v>197</v>
      </c>
      <c r="C71" t="s">
        <v>197</v>
      </c>
      <c r="D71" t="s">
        <v>197</v>
      </c>
      <c r="E71" t="s">
        <v>197</v>
      </c>
      <c r="F71" t="s">
        <v>197</v>
      </c>
      <c r="G71" t="s">
        <v>197</v>
      </c>
      <c r="H71" t="s">
        <v>197</v>
      </c>
      <c r="I71" t="s">
        <v>197</v>
      </c>
      <c r="J71" t="s">
        <v>197</v>
      </c>
      <c r="K71" t="s">
        <v>422</v>
      </c>
    </row>
    <row r="72" spans="1:24">
      <c r="A72" t="s">
        <v>537</v>
      </c>
      <c r="K72" t="s">
        <v>538</v>
      </c>
      <c r="W72" t="s">
        <v>171</v>
      </c>
      <c r="X72" t="str">
        <f>A72</f>
        <v>info_nvarchar_dml_batch2_pk_urp2</v>
      </c>
    </row>
    <row r="73" spans="1:24">
      <c r="B73" t="s">
        <v>196</v>
      </c>
      <c r="C73" t="s">
        <v>197</v>
      </c>
      <c r="D73" t="s">
        <v>197</v>
      </c>
      <c r="E73" t="s">
        <v>197</v>
      </c>
      <c r="F73" t="s">
        <v>197</v>
      </c>
      <c r="G73" t="s">
        <v>197</v>
      </c>
      <c r="H73" t="s">
        <v>197</v>
      </c>
      <c r="I73" t="s">
        <v>539</v>
      </c>
      <c r="J73" t="s">
        <v>199</v>
      </c>
      <c r="K73" t="s">
        <v>200</v>
      </c>
    </row>
    <row r="74" spans="1:24">
      <c r="B74" t="s">
        <v>197</v>
      </c>
      <c r="C74" t="s">
        <v>197</v>
      </c>
      <c r="D74" t="s">
        <v>197</v>
      </c>
      <c r="E74" t="s">
        <v>197</v>
      </c>
      <c r="F74" t="s">
        <v>197</v>
      </c>
      <c r="G74" t="s">
        <v>197</v>
      </c>
      <c r="H74" t="s">
        <v>197</v>
      </c>
      <c r="I74" t="s">
        <v>197</v>
      </c>
      <c r="J74" t="s">
        <v>197</v>
      </c>
      <c r="K74" t="s">
        <v>408</v>
      </c>
    </row>
    <row r="75" spans="1:24">
      <c r="B75" t="s">
        <v>197</v>
      </c>
      <c r="C75" t="s">
        <v>197</v>
      </c>
      <c r="D75" t="s">
        <v>197</v>
      </c>
      <c r="E75" t="s">
        <v>197</v>
      </c>
      <c r="F75" t="s">
        <v>197</v>
      </c>
      <c r="G75" t="s">
        <v>197</v>
      </c>
      <c r="H75" t="s">
        <v>197</v>
      </c>
      <c r="I75" t="s">
        <v>197</v>
      </c>
      <c r="J75" t="s">
        <v>197</v>
      </c>
      <c r="K75" t="s">
        <v>412</v>
      </c>
    </row>
    <row r="76" spans="1:24">
      <c r="B76" t="s">
        <v>197</v>
      </c>
      <c r="C76" t="s">
        <v>197</v>
      </c>
      <c r="D76" t="s">
        <v>197</v>
      </c>
      <c r="E76" t="s">
        <v>197</v>
      </c>
      <c r="F76" t="s">
        <v>197</v>
      </c>
      <c r="G76" t="s">
        <v>197</v>
      </c>
      <c r="H76" t="s">
        <v>197</v>
      </c>
      <c r="I76" t="s">
        <v>197</v>
      </c>
      <c r="J76" t="s">
        <v>197</v>
      </c>
      <c r="K76" t="s">
        <v>416</v>
      </c>
    </row>
    <row r="77" spans="1:24">
      <c r="A77" t="s">
        <v>540</v>
      </c>
      <c r="K77" t="s">
        <v>541</v>
      </c>
      <c r="W77" t="s">
        <v>171</v>
      </c>
      <c r="X77" t="str">
        <f>A77</f>
        <v>info_varchar_dml_batch1_pk_drp2</v>
      </c>
    </row>
    <row r="78" spans="1:24">
      <c r="B78" t="s">
        <v>196</v>
      </c>
      <c r="C78" t="s">
        <v>197</v>
      </c>
      <c r="D78" t="s">
        <v>197</v>
      </c>
      <c r="E78" t="s">
        <v>197</v>
      </c>
      <c r="F78" t="s">
        <v>197</v>
      </c>
      <c r="G78" t="s">
        <v>197</v>
      </c>
      <c r="H78" t="s">
        <v>197</v>
      </c>
      <c r="I78" t="s">
        <v>542</v>
      </c>
      <c r="J78" t="s">
        <v>199</v>
      </c>
      <c r="K78" t="s">
        <v>200</v>
      </c>
    </row>
    <row r="79" spans="1:24">
      <c r="B79" t="s">
        <v>197</v>
      </c>
      <c r="C79" t="s">
        <v>197</v>
      </c>
      <c r="D79" t="s">
        <v>197</v>
      </c>
      <c r="E79" t="s">
        <v>197</v>
      </c>
      <c r="F79" t="s">
        <v>197</v>
      </c>
      <c r="G79" t="s">
        <v>197</v>
      </c>
      <c r="H79" t="s">
        <v>197</v>
      </c>
      <c r="I79" t="s">
        <v>197</v>
      </c>
      <c r="J79" t="s">
        <v>197</v>
      </c>
      <c r="K79" t="s">
        <v>431</v>
      </c>
    </row>
    <row r="80" spans="1:24">
      <c r="B80" t="s">
        <v>197</v>
      </c>
      <c r="C80" t="s">
        <v>197</v>
      </c>
      <c r="D80" t="s">
        <v>197</v>
      </c>
      <c r="E80" t="s">
        <v>197</v>
      </c>
      <c r="F80" t="s">
        <v>197</v>
      </c>
      <c r="G80" t="s">
        <v>197</v>
      </c>
      <c r="H80" t="s">
        <v>197</v>
      </c>
      <c r="I80" t="s">
        <v>197</v>
      </c>
      <c r="J80" t="s">
        <v>197</v>
      </c>
      <c r="K80" t="s">
        <v>434</v>
      </c>
    </row>
    <row r="81" spans="1:24">
      <c r="B81" t="s">
        <v>197</v>
      </c>
      <c r="C81" t="s">
        <v>197</v>
      </c>
      <c r="D81" t="s">
        <v>197</v>
      </c>
      <c r="E81" t="s">
        <v>197</v>
      </c>
      <c r="F81" t="s">
        <v>197</v>
      </c>
      <c r="G81" t="s">
        <v>197</v>
      </c>
      <c r="H81" t="s">
        <v>197</v>
      </c>
      <c r="I81" t="s">
        <v>197</v>
      </c>
      <c r="J81" t="s">
        <v>197</v>
      </c>
      <c r="K81" t="s">
        <v>439</v>
      </c>
    </row>
    <row r="82" spans="1:24">
      <c r="A82" t="s">
        <v>543</v>
      </c>
      <c r="K82" t="s">
        <v>544</v>
      </c>
      <c r="W82" t="s">
        <v>171</v>
      </c>
      <c r="X82" t="str">
        <f>A82</f>
        <v>info_sdt_dml_batch1_pk</v>
      </c>
    </row>
    <row r="83" spans="1:24">
      <c r="B83" t="s">
        <v>196</v>
      </c>
      <c r="C83" t="s">
        <v>197</v>
      </c>
      <c r="D83" t="s">
        <v>197</v>
      </c>
      <c r="E83" t="s">
        <v>197</v>
      </c>
      <c r="F83" t="s">
        <v>197</v>
      </c>
      <c r="G83" t="s">
        <v>197</v>
      </c>
      <c r="H83" t="s">
        <v>197</v>
      </c>
      <c r="I83" t="s">
        <v>545</v>
      </c>
      <c r="J83" t="s">
        <v>199</v>
      </c>
      <c r="K83" t="s">
        <v>200</v>
      </c>
    </row>
    <row r="84" spans="1:24">
      <c r="B84" t="s">
        <v>197</v>
      </c>
      <c r="C84" t="s">
        <v>197</v>
      </c>
      <c r="D84" t="s">
        <v>197</v>
      </c>
      <c r="E84" t="s">
        <v>197</v>
      </c>
      <c r="F84" t="s">
        <v>197</v>
      </c>
      <c r="G84" t="s">
        <v>197</v>
      </c>
      <c r="H84" t="s">
        <v>197</v>
      </c>
      <c r="I84" t="s">
        <v>197</v>
      </c>
      <c r="J84" t="s">
        <v>197</v>
      </c>
      <c r="K84" t="s">
        <v>422</v>
      </c>
    </row>
    <row r="85" spans="1:24">
      <c r="A85" t="s">
        <v>546</v>
      </c>
      <c r="K85" t="s">
        <v>547</v>
      </c>
      <c r="W85" t="s">
        <v>171</v>
      </c>
      <c r="X85" t="str">
        <f>A85</f>
        <v>info_int_dml_batch1_pk_urp1</v>
      </c>
    </row>
    <row r="86" spans="1:24">
      <c r="B86" t="s">
        <v>196</v>
      </c>
      <c r="C86" t="s">
        <v>197</v>
      </c>
      <c r="D86" t="s">
        <v>197</v>
      </c>
      <c r="E86" t="s">
        <v>197</v>
      </c>
      <c r="F86" t="s">
        <v>197</v>
      </c>
      <c r="G86" t="s">
        <v>197</v>
      </c>
      <c r="H86" t="s">
        <v>197</v>
      </c>
      <c r="I86" t="s">
        <v>548</v>
      </c>
      <c r="J86" t="s">
        <v>199</v>
      </c>
      <c r="K86" t="s">
        <v>200</v>
      </c>
    </row>
    <row r="87" spans="1:24">
      <c r="B87" t="s">
        <v>197</v>
      </c>
      <c r="C87" t="s">
        <v>197</v>
      </c>
      <c r="D87" t="s">
        <v>197</v>
      </c>
      <c r="E87" t="s">
        <v>197</v>
      </c>
      <c r="F87" t="s">
        <v>197</v>
      </c>
      <c r="G87" t="s">
        <v>197</v>
      </c>
      <c r="H87" t="s">
        <v>197</v>
      </c>
      <c r="I87" t="s">
        <v>197</v>
      </c>
      <c r="J87" t="s">
        <v>197</v>
      </c>
      <c r="K87" t="s">
        <v>549</v>
      </c>
    </row>
    <row r="88" spans="1:24">
      <c r="B88" t="s">
        <v>197</v>
      </c>
      <c r="C88" t="s">
        <v>197</v>
      </c>
      <c r="D88" t="s">
        <v>197</v>
      </c>
      <c r="E88" t="s">
        <v>197</v>
      </c>
      <c r="F88" t="s">
        <v>197</v>
      </c>
      <c r="G88" t="s">
        <v>197</v>
      </c>
      <c r="H88" t="s">
        <v>197</v>
      </c>
      <c r="I88" t="s">
        <v>197</v>
      </c>
      <c r="J88" t="s">
        <v>197</v>
      </c>
      <c r="K88" t="s">
        <v>550</v>
      </c>
    </row>
    <row r="89" spans="1:24">
      <c r="B89" t="s">
        <v>197</v>
      </c>
      <c r="C89" t="s">
        <v>197</v>
      </c>
      <c r="D89" t="s">
        <v>197</v>
      </c>
      <c r="E89" t="s">
        <v>197</v>
      </c>
      <c r="F89" t="s">
        <v>197</v>
      </c>
      <c r="G89" t="s">
        <v>197</v>
      </c>
      <c r="H89" t="s">
        <v>197</v>
      </c>
      <c r="I89" t="s">
        <v>197</v>
      </c>
      <c r="J89" t="s">
        <v>197</v>
      </c>
      <c r="K89" t="s">
        <v>551</v>
      </c>
    </row>
    <row r="90" spans="1:24">
      <c r="B90" t="s">
        <v>197</v>
      </c>
      <c r="C90" t="s">
        <v>197</v>
      </c>
      <c r="D90" t="s">
        <v>197</v>
      </c>
      <c r="E90" t="s">
        <v>197</v>
      </c>
      <c r="F90" t="s">
        <v>197</v>
      </c>
      <c r="G90" t="s">
        <v>197</v>
      </c>
      <c r="H90" t="s">
        <v>197</v>
      </c>
      <c r="I90" t="s">
        <v>197</v>
      </c>
      <c r="J90" t="s">
        <v>197</v>
      </c>
      <c r="K90" t="s">
        <v>552</v>
      </c>
    </row>
    <row r="91" spans="1:24">
      <c r="B91" t="s">
        <v>197</v>
      </c>
      <c r="C91" t="s">
        <v>197</v>
      </c>
      <c r="D91" t="s">
        <v>197</v>
      </c>
      <c r="E91" t="s">
        <v>197</v>
      </c>
      <c r="F91" t="s">
        <v>197</v>
      </c>
      <c r="G91" t="s">
        <v>197</v>
      </c>
      <c r="H91" t="s">
        <v>197</v>
      </c>
      <c r="I91" t="s">
        <v>197</v>
      </c>
      <c r="J91" t="s">
        <v>197</v>
      </c>
      <c r="K91" t="s">
        <v>553</v>
      </c>
    </row>
    <row r="92" spans="1:24">
      <c r="B92" t="s">
        <v>197</v>
      </c>
      <c r="C92" t="s">
        <v>197</v>
      </c>
      <c r="D92" t="s">
        <v>197</v>
      </c>
      <c r="E92" t="s">
        <v>197</v>
      </c>
      <c r="F92" t="s">
        <v>197</v>
      </c>
      <c r="G92" t="s">
        <v>197</v>
      </c>
      <c r="H92" t="s">
        <v>197</v>
      </c>
      <c r="I92" t="s">
        <v>197</v>
      </c>
      <c r="J92" t="s">
        <v>197</v>
      </c>
      <c r="K92" t="s">
        <v>554</v>
      </c>
    </row>
    <row r="93" spans="1:24">
      <c r="B93" t="s">
        <v>197</v>
      </c>
      <c r="C93" t="s">
        <v>197</v>
      </c>
      <c r="D93" t="s">
        <v>197</v>
      </c>
      <c r="E93" t="s">
        <v>197</v>
      </c>
      <c r="F93" t="s">
        <v>197</v>
      </c>
      <c r="G93" t="s">
        <v>197</v>
      </c>
      <c r="H93" t="s">
        <v>197</v>
      </c>
      <c r="I93" t="s">
        <v>197</v>
      </c>
      <c r="J93" t="s">
        <v>197</v>
      </c>
      <c r="K93" t="s">
        <v>555</v>
      </c>
    </row>
    <row r="94" spans="1:24">
      <c r="B94" t="s">
        <v>197</v>
      </c>
      <c r="C94" t="s">
        <v>197</v>
      </c>
      <c r="D94" t="s">
        <v>197</v>
      </c>
      <c r="E94" t="s">
        <v>197</v>
      </c>
      <c r="F94" t="s">
        <v>197</v>
      </c>
      <c r="G94" t="s">
        <v>197</v>
      </c>
      <c r="H94" t="s">
        <v>197</v>
      </c>
      <c r="I94" t="s">
        <v>197</v>
      </c>
      <c r="J94" t="s">
        <v>197</v>
      </c>
      <c r="K94" t="s">
        <v>556</v>
      </c>
    </row>
    <row r="95" spans="1:24">
      <c r="B95" t="s">
        <v>197</v>
      </c>
      <c r="C95" t="s">
        <v>197</v>
      </c>
      <c r="D95" t="s">
        <v>197</v>
      </c>
      <c r="E95" t="s">
        <v>197</v>
      </c>
      <c r="F95" t="s">
        <v>197</v>
      </c>
      <c r="G95" t="s">
        <v>197</v>
      </c>
      <c r="H95" t="s">
        <v>197</v>
      </c>
      <c r="I95" t="s">
        <v>197</v>
      </c>
      <c r="J95" t="s">
        <v>197</v>
      </c>
      <c r="K95" t="s">
        <v>557</v>
      </c>
    </row>
    <row r="96" spans="1:24">
      <c r="B96" t="s">
        <v>197</v>
      </c>
      <c r="C96" t="s">
        <v>197</v>
      </c>
      <c r="D96" t="s">
        <v>197</v>
      </c>
      <c r="E96" t="s">
        <v>197</v>
      </c>
      <c r="F96" t="s">
        <v>197</v>
      </c>
      <c r="G96" t="s">
        <v>197</v>
      </c>
      <c r="H96" t="s">
        <v>197</v>
      </c>
      <c r="I96" t="s">
        <v>197</v>
      </c>
      <c r="J96" t="s">
        <v>197</v>
      </c>
      <c r="K96" t="s">
        <v>558</v>
      </c>
    </row>
    <row r="97" spans="1:24">
      <c r="B97" t="s">
        <v>197</v>
      </c>
      <c r="C97" t="s">
        <v>197</v>
      </c>
      <c r="D97" t="s">
        <v>197</v>
      </c>
      <c r="E97" t="s">
        <v>197</v>
      </c>
      <c r="F97" t="s">
        <v>197</v>
      </c>
      <c r="G97" t="s">
        <v>197</v>
      </c>
      <c r="H97" t="s">
        <v>197</v>
      </c>
      <c r="I97" t="s">
        <v>197</v>
      </c>
      <c r="J97" t="s">
        <v>197</v>
      </c>
      <c r="K97" t="s">
        <v>559</v>
      </c>
    </row>
    <row r="98" spans="1:24">
      <c r="B98" t="s">
        <v>197</v>
      </c>
      <c r="C98" t="s">
        <v>197</v>
      </c>
      <c r="D98" t="s">
        <v>197</v>
      </c>
      <c r="E98" t="s">
        <v>197</v>
      </c>
      <c r="F98" t="s">
        <v>197</v>
      </c>
      <c r="G98" t="s">
        <v>197</v>
      </c>
      <c r="H98" t="s">
        <v>197</v>
      </c>
      <c r="I98" t="s">
        <v>197</v>
      </c>
      <c r="J98" t="s">
        <v>197</v>
      </c>
      <c r="K98" t="s">
        <v>560</v>
      </c>
    </row>
    <row r="99" spans="1:24">
      <c r="B99" t="s">
        <v>197</v>
      </c>
      <c r="C99" t="s">
        <v>197</v>
      </c>
      <c r="D99" t="s">
        <v>197</v>
      </c>
      <c r="E99" t="s">
        <v>197</v>
      </c>
      <c r="F99" t="s">
        <v>197</v>
      </c>
      <c r="G99" t="s">
        <v>197</v>
      </c>
      <c r="H99" t="s">
        <v>197</v>
      </c>
      <c r="I99" t="s">
        <v>197</v>
      </c>
      <c r="J99" t="s">
        <v>197</v>
      </c>
      <c r="K99" t="s">
        <v>561</v>
      </c>
    </row>
    <row r="100" spans="1:24">
      <c r="B100" t="s">
        <v>197</v>
      </c>
      <c r="C100" t="s">
        <v>197</v>
      </c>
      <c r="D100" t="s">
        <v>197</v>
      </c>
      <c r="E100" t="s">
        <v>197</v>
      </c>
      <c r="F100" t="s">
        <v>197</v>
      </c>
      <c r="G100" t="s">
        <v>197</v>
      </c>
      <c r="H100" t="s">
        <v>197</v>
      </c>
      <c r="I100" t="s">
        <v>197</v>
      </c>
      <c r="J100" t="s">
        <v>197</v>
      </c>
      <c r="K100" t="s">
        <v>562</v>
      </c>
    </row>
    <row r="101" spans="1:24">
      <c r="B101" t="s">
        <v>197</v>
      </c>
      <c r="C101" t="s">
        <v>197</v>
      </c>
      <c r="D101" t="s">
        <v>197</v>
      </c>
      <c r="E101" t="s">
        <v>197</v>
      </c>
      <c r="F101" t="s">
        <v>197</v>
      </c>
      <c r="G101" t="s">
        <v>197</v>
      </c>
      <c r="H101" t="s">
        <v>197</v>
      </c>
      <c r="I101" t="s">
        <v>197</v>
      </c>
      <c r="J101" t="s">
        <v>197</v>
      </c>
      <c r="K101" t="s">
        <v>563</v>
      </c>
    </row>
    <row r="102" spans="1:24">
      <c r="B102" t="s">
        <v>197</v>
      </c>
      <c r="C102" t="s">
        <v>197</v>
      </c>
      <c r="D102" t="s">
        <v>197</v>
      </c>
      <c r="E102" t="s">
        <v>197</v>
      </c>
      <c r="F102" t="s">
        <v>197</v>
      </c>
      <c r="G102" t="s">
        <v>197</v>
      </c>
      <c r="H102" t="s">
        <v>197</v>
      </c>
      <c r="I102" t="s">
        <v>197</v>
      </c>
      <c r="J102" t="s">
        <v>197</v>
      </c>
      <c r="K102" t="s">
        <v>564</v>
      </c>
    </row>
    <row r="103" spans="1:24">
      <c r="B103" t="s">
        <v>197</v>
      </c>
      <c r="C103" t="s">
        <v>197</v>
      </c>
      <c r="D103" t="s">
        <v>197</v>
      </c>
      <c r="E103" t="s">
        <v>197</v>
      </c>
      <c r="F103" t="s">
        <v>197</v>
      </c>
      <c r="G103" t="s">
        <v>197</v>
      </c>
      <c r="H103" t="s">
        <v>197</v>
      </c>
      <c r="I103" t="s">
        <v>197</v>
      </c>
      <c r="J103" t="s">
        <v>197</v>
      </c>
      <c r="K103" t="s">
        <v>565</v>
      </c>
    </row>
    <row r="104" spans="1:24">
      <c r="B104" t="s">
        <v>197</v>
      </c>
      <c r="C104" t="s">
        <v>197</v>
      </c>
      <c r="D104" t="s">
        <v>197</v>
      </c>
      <c r="E104" t="s">
        <v>197</v>
      </c>
      <c r="F104" t="s">
        <v>197</v>
      </c>
      <c r="G104" t="s">
        <v>197</v>
      </c>
      <c r="H104" t="s">
        <v>197</v>
      </c>
      <c r="I104" t="s">
        <v>197</v>
      </c>
      <c r="J104" t="s">
        <v>197</v>
      </c>
      <c r="K104" t="s">
        <v>566</v>
      </c>
    </row>
    <row r="105" spans="1:24">
      <c r="B105" t="s">
        <v>197</v>
      </c>
      <c r="C105" t="s">
        <v>197</v>
      </c>
      <c r="D105" t="s">
        <v>197</v>
      </c>
      <c r="E105" t="s">
        <v>197</v>
      </c>
      <c r="F105" t="s">
        <v>197</v>
      </c>
      <c r="G105" t="s">
        <v>197</v>
      </c>
      <c r="H105" t="s">
        <v>197</v>
      </c>
      <c r="I105" t="s">
        <v>197</v>
      </c>
      <c r="J105" t="s">
        <v>197</v>
      </c>
      <c r="K105" t="s">
        <v>567</v>
      </c>
    </row>
    <row r="106" spans="1:24">
      <c r="A106" t="s">
        <v>568</v>
      </c>
      <c r="K106" t="s">
        <v>569</v>
      </c>
      <c r="W106" t="s">
        <v>171</v>
      </c>
      <c r="X106" t="str">
        <f>A106</f>
        <v>info_xml_dml_single_pk_urp</v>
      </c>
    </row>
    <row r="107" spans="1:24">
      <c r="B107" t="s">
        <v>196</v>
      </c>
      <c r="C107" t="s">
        <v>197</v>
      </c>
      <c r="D107" t="s">
        <v>197</v>
      </c>
      <c r="E107" t="s">
        <v>197</v>
      </c>
      <c r="F107" t="s">
        <v>197</v>
      </c>
      <c r="G107" t="s">
        <v>197</v>
      </c>
      <c r="H107" t="s">
        <v>197</v>
      </c>
      <c r="I107" t="s">
        <v>570</v>
      </c>
      <c r="J107" t="s">
        <v>199</v>
      </c>
      <c r="K107" t="s">
        <v>200</v>
      </c>
    </row>
    <row r="108" spans="1:24">
      <c r="B108" t="s">
        <v>197</v>
      </c>
      <c r="C108" t="s">
        <v>197</v>
      </c>
      <c r="D108" t="s">
        <v>197</v>
      </c>
      <c r="E108" t="s">
        <v>197</v>
      </c>
      <c r="F108" t="s">
        <v>197</v>
      </c>
      <c r="G108" t="s">
        <v>197</v>
      </c>
      <c r="H108" t="s">
        <v>197</v>
      </c>
      <c r="I108" t="s">
        <v>197</v>
      </c>
      <c r="J108" t="s">
        <v>197</v>
      </c>
      <c r="K108" t="s">
        <v>472</v>
      </c>
    </row>
    <row r="109" spans="1:24">
      <c r="A109" t="s">
        <v>571</v>
      </c>
      <c r="K109" t="s">
        <v>572</v>
      </c>
      <c r="W109" t="s">
        <v>171</v>
      </c>
      <c r="X109" t="str">
        <f>A109</f>
        <v>info_datetime_dml_batch1_pk_irp1</v>
      </c>
    </row>
    <row r="110" spans="1:24">
      <c r="B110" t="s">
        <v>196</v>
      </c>
      <c r="C110" t="s">
        <v>197</v>
      </c>
      <c r="D110" t="s">
        <v>197</v>
      </c>
      <c r="E110" t="s">
        <v>197</v>
      </c>
      <c r="F110" t="s">
        <v>197</v>
      </c>
      <c r="G110" t="s">
        <v>197</v>
      </c>
      <c r="H110" t="s">
        <v>197</v>
      </c>
      <c r="I110" t="s">
        <v>573</v>
      </c>
      <c r="J110" t="s">
        <v>199</v>
      </c>
      <c r="K110" t="s">
        <v>200</v>
      </c>
    </row>
    <row r="111" spans="1:24">
      <c r="B111" t="s">
        <v>197</v>
      </c>
      <c r="C111" t="s">
        <v>197</v>
      </c>
      <c r="D111" t="s">
        <v>197</v>
      </c>
      <c r="E111" t="s">
        <v>197</v>
      </c>
      <c r="F111" t="s">
        <v>197</v>
      </c>
      <c r="G111" t="s">
        <v>197</v>
      </c>
      <c r="H111" t="s">
        <v>197</v>
      </c>
      <c r="I111" t="s">
        <v>197</v>
      </c>
      <c r="J111" t="s">
        <v>197</v>
      </c>
      <c r="K111" t="s">
        <v>574</v>
      </c>
    </row>
    <row r="112" spans="1:24">
      <c r="A112" t="s">
        <v>578</v>
      </c>
      <c r="K112" t="s">
        <v>579</v>
      </c>
      <c r="W112" t="s">
        <v>171</v>
      </c>
      <c r="X112" t="str">
        <f>A112</f>
        <v>info_datetime_dml_batch1_pk_irp2</v>
      </c>
    </row>
    <row r="113" spans="1:24">
      <c r="B113" t="s">
        <v>196</v>
      </c>
      <c r="C113" t="s">
        <v>197</v>
      </c>
      <c r="D113" t="s">
        <v>197</v>
      </c>
      <c r="E113" t="s">
        <v>197</v>
      </c>
      <c r="F113" t="s">
        <v>197</v>
      </c>
      <c r="G113" t="s">
        <v>197</v>
      </c>
      <c r="H113" t="s">
        <v>197</v>
      </c>
      <c r="I113" t="s">
        <v>580</v>
      </c>
      <c r="J113" t="s">
        <v>199</v>
      </c>
      <c r="K113" t="s">
        <v>200</v>
      </c>
    </row>
    <row r="114" spans="1:24">
      <c r="B114" t="s">
        <v>197</v>
      </c>
      <c r="C114" t="s">
        <v>197</v>
      </c>
      <c r="D114" t="s">
        <v>197</v>
      </c>
      <c r="E114" t="s">
        <v>197</v>
      </c>
      <c r="F114" t="s">
        <v>197</v>
      </c>
      <c r="G114" t="s">
        <v>197</v>
      </c>
      <c r="H114" t="s">
        <v>197</v>
      </c>
      <c r="I114" t="s">
        <v>197</v>
      </c>
      <c r="J114" t="s">
        <v>197</v>
      </c>
      <c r="K114" t="s">
        <v>574</v>
      </c>
    </row>
    <row r="115" spans="1:24">
      <c r="A115" t="s">
        <v>575</v>
      </c>
      <c r="K115" t="s">
        <v>576</v>
      </c>
      <c r="W115" t="s">
        <v>171</v>
      </c>
      <c r="X115" t="str">
        <f>A115</f>
        <v>info_varbinary_dml_batch1_pk_urp2</v>
      </c>
    </row>
    <row r="116" spans="1:24">
      <c r="B116" t="s">
        <v>196</v>
      </c>
      <c r="C116" t="s">
        <v>197</v>
      </c>
      <c r="D116" t="s">
        <v>197</v>
      </c>
      <c r="E116" t="s">
        <v>197</v>
      </c>
      <c r="F116" t="s">
        <v>197</v>
      </c>
      <c r="G116" t="s">
        <v>197</v>
      </c>
      <c r="H116" t="s">
        <v>197</v>
      </c>
      <c r="I116" t="s">
        <v>577</v>
      </c>
      <c r="J116" t="s">
        <v>199</v>
      </c>
      <c r="K116" t="s">
        <v>200</v>
      </c>
    </row>
    <row r="117" spans="1:24">
      <c r="B117" t="s">
        <v>197</v>
      </c>
      <c r="C117" t="s">
        <v>197</v>
      </c>
      <c r="D117" t="s">
        <v>197</v>
      </c>
      <c r="E117" t="s">
        <v>197</v>
      </c>
      <c r="F117" t="s">
        <v>197</v>
      </c>
      <c r="G117" t="s">
        <v>197</v>
      </c>
      <c r="H117" t="s">
        <v>197</v>
      </c>
      <c r="I117" t="s">
        <v>197</v>
      </c>
      <c r="J117" t="s">
        <v>197</v>
      </c>
      <c r="K117" t="s">
        <v>495</v>
      </c>
    </row>
    <row r="118" spans="1:24">
      <c r="B118" t="s">
        <v>197</v>
      </c>
      <c r="C118" t="s">
        <v>197</v>
      </c>
      <c r="D118" t="s">
        <v>197</v>
      </c>
      <c r="E118" t="s">
        <v>197</v>
      </c>
      <c r="F118" t="s">
        <v>197</v>
      </c>
      <c r="G118" t="s">
        <v>197</v>
      </c>
      <c r="H118" t="s">
        <v>197</v>
      </c>
      <c r="I118" t="s">
        <v>197</v>
      </c>
      <c r="J118" t="s">
        <v>197</v>
      </c>
      <c r="K118" t="s">
        <v>499</v>
      </c>
    </row>
    <row r="119" spans="1:24">
      <c r="B119" t="s">
        <v>197</v>
      </c>
      <c r="C119" t="s">
        <v>197</v>
      </c>
      <c r="D119" t="s">
        <v>197</v>
      </c>
      <c r="E119" t="s">
        <v>197</v>
      </c>
      <c r="F119" t="s">
        <v>197</v>
      </c>
      <c r="G119" t="s">
        <v>197</v>
      </c>
      <c r="H119" t="s">
        <v>197</v>
      </c>
      <c r="I119" t="s">
        <v>197</v>
      </c>
      <c r="J119" t="s">
        <v>197</v>
      </c>
      <c r="K119" t="s">
        <v>503</v>
      </c>
    </row>
    <row r="120" spans="1:24">
      <c r="A120" t="s">
        <v>581</v>
      </c>
      <c r="K120" t="s">
        <v>582</v>
      </c>
      <c r="W120" t="s">
        <v>171</v>
      </c>
      <c r="X120" t="str">
        <f>A120</f>
        <v>info_datetimeoffset_dml_single_pk</v>
      </c>
    </row>
    <row r="121" spans="1:24">
      <c r="B121" t="s">
        <v>196</v>
      </c>
      <c r="C121" t="s">
        <v>197</v>
      </c>
      <c r="D121" t="s">
        <v>197</v>
      </c>
      <c r="E121" t="s">
        <v>197</v>
      </c>
      <c r="F121" t="s">
        <v>197</v>
      </c>
      <c r="G121" t="s">
        <v>197</v>
      </c>
      <c r="H121" t="s">
        <v>197</v>
      </c>
      <c r="I121" t="s">
        <v>583</v>
      </c>
      <c r="J121" t="s">
        <v>199</v>
      </c>
      <c r="K121" t="s">
        <v>200</v>
      </c>
    </row>
    <row r="122" spans="1:24">
      <c r="B122" t="s">
        <v>197</v>
      </c>
      <c r="C122" t="s">
        <v>197</v>
      </c>
      <c r="D122" t="s">
        <v>197</v>
      </c>
      <c r="E122" t="s">
        <v>197</v>
      </c>
      <c r="F122" t="s">
        <v>197</v>
      </c>
      <c r="G122" t="s">
        <v>197</v>
      </c>
      <c r="H122" t="s">
        <v>197</v>
      </c>
      <c r="I122" t="s">
        <v>197</v>
      </c>
      <c r="J122" t="s">
        <v>197</v>
      </c>
      <c r="K122" t="s">
        <v>301</v>
      </c>
    </row>
    <row r="123" spans="1:24">
      <c r="B123" t="s">
        <v>197</v>
      </c>
      <c r="C123" t="s">
        <v>197</v>
      </c>
      <c r="D123" t="s">
        <v>197</v>
      </c>
      <c r="E123" t="s">
        <v>197</v>
      </c>
      <c r="F123" t="s">
        <v>197</v>
      </c>
      <c r="G123" t="s">
        <v>197</v>
      </c>
      <c r="H123" t="s">
        <v>197</v>
      </c>
      <c r="I123" t="s">
        <v>197</v>
      </c>
      <c r="J123" t="s">
        <v>197</v>
      </c>
      <c r="K123" t="s">
        <v>314</v>
      </c>
    </row>
    <row r="124" spans="1:24">
      <c r="B124" t="s">
        <v>197</v>
      </c>
      <c r="C124" t="s">
        <v>197</v>
      </c>
      <c r="D124" t="s">
        <v>197</v>
      </c>
      <c r="E124" t="s">
        <v>197</v>
      </c>
      <c r="F124" t="s">
        <v>197</v>
      </c>
      <c r="G124" t="s">
        <v>197</v>
      </c>
      <c r="H124" t="s">
        <v>197</v>
      </c>
      <c r="I124" t="s">
        <v>197</v>
      </c>
      <c r="J124" t="s">
        <v>197</v>
      </c>
      <c r="K124" t="s">
        <v>324</v>
      </c>
    </row>
    <row r="125" spans="1:24">
      <c r="B125" t="s">
        <v>197</v>
      </c>
      <c r="C125" t="s">
        <v>197</v>
      </c>
      <c r="D125" t="s">
        <v>197</v>
      </c>
      <c r="E125" t="s">
        <v>197</v>
      </c>
      <c r="F125" t="s">
        <v>197</v>
      </c>
      <c r="G125" t="s">
        <v>197</v>
      </c>
      <c r="H125" t="s">
        <v>197</v>
      </c>
      <c r="I125" t="s">
        <v>197</v>
      </c>
      <c r="J125" t="s">
        <v>197</v>
      </c>
      <c r="K125" t="s">
        <v>335</v>
      </c>
    </row>
    <row r="126" spans="1:24">
      <c r="B126" t="s">
        <v>197</v>
      </c>
      <c r="C126" t="s">
        <v>197</v>
      </c>
      <c r="D126" t="s">
        <v>197</v>
      </c>
      <c r="E126" t="s">
        <v>197</v>
      </c>
      <c r="F126" t="s">
        <v>197</v>
      </c>
      <c r="G126" t="s">
        <v>197</v>
      </c>
      <c r="H126" t="s">
        <v>197</v>
      </c>
      <c r="I126" t="s">
        <v>197</v>
      </c>
      <c r="J126" t="s">
        <v>197</v>
      </c>
      <c r="K126" t="s">
        <v>350</v>
      </c>
    </row>
    <row r="127" spans="1:24">
      <c r="B127" t="s">
        <v>197</v>
      </c>
      <c r="C127" t="s">
        <v>197</v>
      </c>
      <c r="D127" t="s">
        <v>197</v>
      </c>
      <c r="E127" t="s">
        <v>197</v>
      </c>
      <c r="F127" t="s">
        <v>197</v>
      </c>
      <c r="G127" t="s">
        <v>197</v>
      </c>
      <c r="H127" t="s">
        <v>197</v>
      </c>
      <c r="I127" t="s">
        <v>197</v>
      </c>
      <c r="J127" t="s">
        <v>197</v>
      </c>
      <c r="K127" t="s">
        <v>360</v>
      </c>
    </row>
    <row r="128" spans="1:24">
      <c r="B128" t="s">
        <v>197</v>
      </c>
      <c r="C128" t="s">
        <v>197</v>
      </c>
      <c r="D128" t="s">
        <v>197</v>
      </c>
      <c r="E128" t="s">
        <v>197</v>
      </c>
      <c r="F128" t="s">
        <v>197</v>
      </c>
      <c r="G128" t="s">
        <v>197</v>
      </c>
      <c r="H128" t="s">
        <v>197</v>
      </c>
      <c r="I128" t="s">
        <v>197</v>
      </c>
      <c r="J128" t="s">
        <v>197</v>
      </c>
      <c r="K128" t="s">
        <v>367</v>
      </c>
    </row>
    <row r="129" spans="1:24">
      <c r="B129" t="s">
        <v>197</v>
      </c>
      <c r="C129" t="s">
        <v>197</v>
      </c>
      <c r="D129" t="s">
        <v>197</v>
      </c>
      <c r="E129" t="s">
        <v>197</v>
      </c>
      <c r="F129" t="s">
        <v>197</v>
      </c>
      <c r="G129" t="s">
        <v>197</v>
      </c>
      <c r="H129" t="s">
        <v>197</v>
      </c>
      <c r="I129" t="s">
        <v>197</v>
      </c>
      <c r="J129" t="s">
        <v>197</v>
      </c>
      <c r="K129" t="s">
        <v>373</v>
      </c>
    </row>
    <row r="130" spans="1:24">
      <c r="A130" t="s">
        <v>397</v>
      </c>
      <c r="K130" t="s">
        <v>398</v>
      </c>
      <c r="W130" t="s">
        <v>171</v>
      </c>
      <c r="X130" t="str">
        <f>A130</f>
        <v>info_nvarchar_dml_batch1_pk_urp1</v>
      </c>
    </row>
    <row r="131" spans="1:24">
      <c r="B131" t="s">
        <v>196</v>
      </c>
      <c r="C131" t="s">
        <v>197</v>
      </c>
      <c r="D131" t="s">
        <v>197</v>
      </c>
      <c r="E131" t="s">
        <v>197</v>
      </c>
      <c r="F131" t="s">
        <v>197</v>
      </c>
      <c r="G131" t="s">
        <v>197</v>
      </c>
      <c r="H131" t="s">
        <v>197</v>
      </c>
      <c r="I131" t="s">
        <v>403</v>
      </c>
      <c r="J131" t="s">
        <v>199</v>
      </c>
      <c r="K131" t="s">
        <v>200</v>
      </c>
    </row>
    <row r="132" spans="1:24">
      <c r="B132" t="s">
        <v>197</v>
      </c>
      <c r="C132" t="s">
        <v>197</v>
      </c>
      <c r="D132" t="s">
        <v>197</v>
      </c>
      <c r="E132" t="s">
        <v>197</v>
      </c>
      <c r="F132" t="s">
        <v>197</v>
      </c>
      <c r="G132" t="s">
        <v>197</v>
      </c>
      <c r="H132" t="s">
        <v>197</v>
      </c>
      <c r="I132" t="s">
        <v>197</v>
      </c>
      <c r="J132" t="s">
        <v>197</v>
      </c>
      <c r="K132" t="s">
        <v>408</v>
      </c>
    </row>
    <row r="133" spans="1:24">
      <c r="B133" t="s">
        <v>197</v>
      </c>
      <c r="C133" t="s">
        <v>197</v>
      </c>
      <c r="D133" t="s">
        <v>197</v>
      </c>
      <c r="E133" t="s">
        <v>197</v>
      </c>
      <c r="F133" t="s">
        <v>197</v>
      </c>
      <c r="G133" t="s">
        <v>197</v>
      </c>
      <c r="H133" t="s">
        <v>197</v>
      </c>
      <c r="I133" t="s">
        <v>197</v>
      </c>
      <c r="J133" t="s">
        <v>197</v>
      </c>
      <c r="K133" t="s">
        <v>412</v>
      </c>
    </row>
    <row r="134" spans="1:24">
      <c r="B134" t="s">
        <v>197</v>
      </c>
      <c r="C134" t="s">
        <v>197</v>
      </c>
      <c r="D134" t="s">
        <v>197</v>
      </c>
      <c r="E134" t="s">
        <v>197</v>
      </c>
      <c r="F134" t="s">
        <v>197</v>
      </c>
      <c r="G134" t="s">
        <v>197</v>
      </c>
      <c r="H134" t="s">
        <v>197</v>
      </c>
      <c r="I134" t="s">
        <v>197</v>
      </c>
      <c r="J134" t="s">
        <v>197</v>
      </c>
      <c r="K134" t="s">
        <v>416</v>
      </c>
    </row>
    <row r="135" spans="1:24">
      <c r="A135" t="s">
        <v>593</v>
      </c>
      <c r="K135" t="s">
        <v>594</v>
      </c>
      <c r="W135" t="s">
        <v>171</v>
      </c>
      <c r="X135" t="str">
        <f>A135</f>
        <v>info_int_dml_batch1_pk_urp2</v>
      </c>
    </row>
    <row r="136" spans="1:24">
      <c r="B136" t="s">
        <v>196</v>
      </c>
      <c r="C136" t="s">
        <v>197</v>
      </c>
      <c r="D136" t="s">
        <v>197</v>
      </c>
      <c r="E136" t="s">
        <v>197</v>
      </c>
      <c r="F136" t="s">
        <v>197</v>
      </c>
      <c r="G136" t="s">
        <v>197</v>
      </c>
      <c r="H136" t="s">
        <v>197</v>
      </c>
      <c r="I136" t="s">
        <v>595</v>
      </c>
      <c r="J136" t="s">
        <v>199</v>
      </c>
      <c r="K136" t="s">
        <v>200</v>
      </c>
    </row>
    <row r="137" spans="1:24">
      <c r="B137" t="s">
        <v>197</v>
      </c>
      <c r="C137" t="s">
        <v>197</v>
      </c>
      <c r="D137" t="s">
        <v>197</v>
      </c>
      <c r="E137" t="s">
        <v>197</v>
      </c>
      <c r="F137" t="s">
        <v>197</v>
      </c>
      <c r="G137" t="s">
        <v>197</v>
      </c>
      <c r="H137" t="s">
        <v>197</v>
      </c>
      <c r="I137" t="s">
        <v>197</v>
      </c>
      <c r="J137" t="s">
        <v>197</v>
      </c>
      <c r="K137" t="s">
        <v>549</v>
      </c>
    </row>
    <row r="138" spans="1:24">
      <c r="B138" t="s">
        <v>197</v>
      </c>
      <c r="C138" t="s">
        <v>197</v>
      </c>
      <c r="D138" t="s">
        <v>197</v>
      </c>
      <c r="E138" t="s">
        <v>197</v>
      </c>
      <c r="F138" t="s">
        <v>197</v>
      </c>
      <c r="G138" t="s">
        <v>197</v>
      </c>
      <c r="H138" t="s">
        <v>197</v>
      </c>
      <c r="I138" t="s">
        <v>197</v>
      </c>
      <c r="J138" t="s">
        <v>197</v>
      </c>
      <c r="K138" t="s">
        <v>550</v>
      </c>
    </row>
    <row r="139" spans="1:24">
      <c r="B139" t="s">
        <v>197</v>
      </c>
      <c r="C139" t="s">
        <v>197</v>
      </c>
      <c r="D139" t="s">
        <v>197</v>
      </c>
      <c r="E139" t="s">
        <v>197</v>
      </c>
      <c r="F139" t="s">
        <v>197</v>
      </c>
      <c r="G139" t="s">
        <v>197</v>
      </c>
      <c r="H139" t="s">
        <v>197</v>
      </c>
      <c r="I139" t="s">
        <v>197</v>
      </c>
      <c r="J139" t="s">
        <v>197</v>
      </c>
      <c r="K139" t="s">
        <v>551</v>
      </c>
    </row>
    <row r="140" spans="1:24">
      <c r="B140" t="s">
        <v>197</v>
      </c>
      <c r="C140" t="s">
        <v>197</v>
      </c>
      <c r="D140" t="s">
        <v>197</v>
      </c>
      <c r="E140" t="s">
        <v>197</v>
      </c>
      <c r="F140" t="s">
        <v>197</v>
      </c>
      <c r="G140" t="s">
        <v>197</v>
      </c>
      <c r="H140" t="s">
        <v>197</v>
      </c>
      <c r="I140" t="s">
        <v>197</v>
      </c>
      <c r="J140" t="s">
        <v>197</v>
      </c>
      <c r="K140" t="s">
        <v>552</v>
      </c>
    </row>
    <row r="141" spans="1:24">
      <c r="B141" t="s">
        <v>197</v>
      </c>
      <c r="C141" t="s">
        <v>197</v>
      </c>
      <c r="D141" t="s">
        <v>197</v>
      </c>
      <c r="E141" t="s">
        <v>197</v>
      </c>
      <c r="F141" t="s">
        <v>197</v>
      </c>
      <c r="G141" t="s">
        <v>197</v>
      </c>
      <c r="H141" t="s">
        <v>197</v>
      </c>
      <c r="I141" t="s">
        <v>197</v>
      </c>
      <c r="J141" t="s">
        <v>197</v>
      </c>
      <c r="K141" t="s">
        <v>553</v>
      </c>
    </row>
    <row r="142" spans="1:24">
      <c r="B142" t="s">
        <v>197</v>
      </c>
      <c r="C142" t="s">
        <v>197</v>
      </c>
      <c r="D142" t="s">
        <v>197</v>
      </c>
      <c r="E142" t="s">
        <v>197</v>
      </c>
      <c r="F142" t="s">
        <v>197</v>
      </c>
      <c r="G142" t="s">
        <v>197</v>
      </c>
      <c r="H142" t="s">
        <v>197</v>
      </c>
      <c r="I142" t="s">
        <v>197</v>
      </c>
      <c r="J142" t="s">
        <v>197</v>
      </c>
      <c r="K142" t="s">
        <v>554</v>
      </c>
    </row>
    <row r="143" spans="1:24">
      <c r="B143" t="s">
        <v>197</v>
      </c>
      <c r="C143" t="s">
        <v>197</v>
      </c>
      <c r="D143" t="s">
        <v>197</v>
      </c>
      <c r="E143" t="s">
        <v>197</v>
      </c>
      <c r="F143" t="s">
        <v>197</v>
      </c>
      <c r="G143" t="s">
        <v>197</v>
      </c>
      <c r="H143" t="s">
        <v>197</v>
      </c>
      <c r="I143" t="s">
        <v>197</v>
      </c>
      <c r="J143" t="s">
        <v>197</v>
      </c>
      <c r="K143" t="s">
        <v>555</v>
      </c>
    </row>
    <row r="144" spans="1:24">
      <c r="B144" t="s">
        <v>197</v>
      </c>
      <c r="C144" t="s">
        <v>197</v>
      </c>
      <c r="D144" t="s">
        <v>197</v>
      </c>
      <c r="E144" t="s">
        <v>197</v>
      </c>
      <c r="F144" t="s">
        <v>197</v>
      </c>
      <c r="G144" t="s">
        <v>197</v>
      </c>
      <c r="H144" t="s">
        <v>197</v>
      </c>
      <c r="I144" t="s">
        <v>197</v>
      </c>
      <c r="J144" t="s">
        <v>197</v>
      </c>
      <c r="K144" t="s">
        <v>556</v>
      </c>
    </row>
    <row r="145" spans="1:24">
      <c r="B145" t="s">
        <v>197</v>
      </c>
      <c r="C145" t="s">
        <v>197</v>
      </c>
      <c r="D145" t="s">
        <v>197</v>
      </c>
      <c r="E145" t="s">
        <v>197</v>
      </c>
      <c r="F145" t="s">
        <v>197</v>
      </c>
      <c r="G145" t="s">
        <v>197</v>
      </c>
      <c r="H145" t="s">
        <v>197</v>
      </c>
      <c r="I145" t="s">
        <v>197</v>
      </c>
      <c r="J145" t="s">
        <v>197</v>
      </c>
      <c r="K145" t="s">
        <v>557</v>
      </c>
    </row>
    <row r="146" spans="1:24">
      <c r="B146" t="s">
        <v>197</v>
      </c>
      <c r="C146" t="s">
        <v>197</v>
      </c>
      <c r="D146" t="s">
        <v>197</v>
      </c>
      <c r="E146" t="s">
        <v>197</v>
      </c>
      <c r="F146" t="s">
        <v>197</v>
      </c>
      <c r="G146" t="s">
        <v>197</v>
      </c>
      <c r="H146" t="s">
        <v>197</v>
      </c>
      <c r="I146" t="s">
        <v>197</v>
      </c>
      <c r="J146" t="s">
        <v>197</v>
      </c>
      <c r="K146" t="s">
        <v>558</v>
      </c>
    </row>
    <row r="147" spans="1:24">
      <c r="B147" t="s">
        <v>197</v>
      </c>
      <c r="C147" t="s">
        <v>197</v>
      </c>
      <c r="D147" t="s">
        <v>197</v>
      </c>
      <c r="E147" t="s">
        <v>197</v>
      </c>
      <c r="F147" t="s">
        <v>197</v>
      </c>
      <c r="G147" t="s">
        <v>197</v>
      </c>
      <c r="H147" t="s">
        <v>197</v>
      </c>
      <c r="I147" t="s">
        <v>197</v>
      </c>
      <c r="J147" t="s">
        <v>197</v>
      </c>
      <c r="K147" t="s">
        <v>559</v>
      </c>
    </row>
    <row r="148" spans="1:24">
      <c r="B148" t="s">
        <v>197</v>
      </c>
      <c r="C148" t="s">
        <v>197</v>
      </c>
      <c r="D148" t="s">
        <v>197</v>
      </c>
      <c r="E148" t="s">
        <v>197</v>
      </c>
      <c r="F148" t="s">
        <v>197</v>
      </c>
      <c r="G148" t="s">
        <v>197</v>
      </c>
      <c r="H148" t="s">
        <v>197</v>
      </c>
      <c r="I148" t="s">
        <v>197</v>
      </c>
      <c r="J148" t="s">
        <v>197</v>
      </c>
      <c r="K148" t="s">
        <v>560</v>
      </c>
    </row>
    <row r="149" spans="1:24">
      <c r="B149" t="s">
        <v>197</v>
      </c>
      <c r="C149" t="s">
        <v>197</v>
      </c>
      <c r="D149" t="s">
        <v>197</v>
      </c>
      <c r="E149" t="s">
        <v>197</v>
      </c>
      <c r="F149" t="s">
        <v>197</v>
      </c>
      <c r="G149" t="s">
        <v>197</v>
      </c>
      <c r="H149" t="s">
        <v>197</v>
      </c>
      <c r="I149" t="s">
        <v>197</v>
      </c>
      <c r="J149" t="s">
        <v>197</v>
      </c>
      <c r="K149" t="s">
        <v>561</v>
      </c>
    </row>
    <row r="150" spans="1:24">
      <c r="B150" t="s">
        <v>197</v>
      </c>
      <c r="C150" t="s">
        <v>197</v>
      </c>
      <c r="D150" t="s">
        <v>197</v>
      </c>
      <c r="E150" t="s">
        <v>197</v>
      </c>
      <c r="F150" t="s">
        <v>197</v>
      </c>
      <c r="G150" t="s">
        <v>197</v>
      </c>
      <c r="H150" t="s">
        <v>197</v>
      </c>
      <c r="I150" t="s">
        <v>197</v>
      </c>
      <c r="J150" t="s">
        <v>197</v>
      </c>
      <c r="K150" t="s">
        <v>562</v>
      </c>
    </row>
    <row r="151" spans="1:24">
      <c r="B151" t="s">
        <v>197</v>
      </c>
      <c r="C151" t="s">
        <v>197</v>
      </c>
      <c r="D151" t="s">
        <v>197</v>
      </c>
      <c r="E151" t="s">
        <v>197</v>
      </c>
      <c r="F151" t="s">
        <v>197</v>
      </c>
      <c r="G151" t="s">
        <v>197</v>
      </c>
      <c r="H151" t="s">
        <v>197</v>
      </c>
      <c r="I151" t="s">
        <v>197</v>
      </c>
      <c r="J151" t="s">
        <v>197</v>
      </c>
      <c r="K151" t="s">
        <v>563</v>
      </c>
    </row>
    <row r="152" spans="1:24">
      <c r="B152" t="s">
        <v>197</v>
      </c>
      <c r="C152" t="s">
        <v>197</v>
      </c>
      <c r="D152" t="s">
        <v>197</v>
      </c>
      <c r="E152" t="s">
        <v>197</v>
      </c>
      <c r="F152" t="s">
        <v>197</v>
      </c>
      <c r="G152" t="s">
        <v>197</v>
      </c>
      <c r="H152" t="s">
        <v>197</v>
      </c>
      <c r="I152" t="s">
        <v>197</v>
      </c>
      <c r="J152" t="s">
        <v>197</v>
      </c>
      <c r="K152" t="s">
        <v>564</v>
      </c>
    </row>
    <row r="153" spans="1:24">
      <c r="B153" t="s">
        <v>197</v>
      </c>
      <c r="C153" t="s">
        <v>197</v>
      </c>
      <c r="D153" t="s">
        <v>197</v>
      </c>
      <c r="E153" t="s">
        <v>197</v>
      </c>
      <c r="F153" t="s">
        <v>197</v>
      </c>
      <c r="G153" t="s">
        <v>197</v>
      </c>
      <c r="H153" t="s">
        <v>197</v>
      </c>
      <c r="I153" t="s">
        <v>197</v>
      </c>
      <c r="J153" t="s">
        <v>197</v>
      </c>
      <c r="K153" t="s">
        <v>565</v>
      </c>
    </row>
    <row r="154" spans="1:24">
      <c r="B154" t="s">
        <v>197</v>
      </c>
      <c r="C154" t="s">
        <v>197</v>
      </c>
      <c r="D154" t="s">
        <v>197</v>
      </c>
      <c r="E154" t="s">
        <v>197</v>
      </c>
      <c r="F154" t="s">
        <v>197</v>
      </c>
      <c r="G154" t="s">
        <v>197</v>
      </c>
      <c r="H154" t="s">
        <v>197</v>
      </c>
      <c r="I154" t="s">
        <v>197</v>
      </c>
      <c r="J154" t="s">
        <v>197</v>
      </c>
      <c r="K154" t="s">
        <v>566</v>
      </c>
    </row>
    <row r="155" spans="1:24">
      <c r="B155" t="s">
        <v>197</v>
      </c>
      <c r="C155" t="s">
        <v>197</v>
      </c>
      <c r="D155" t="s">
        <v>197</v>
      </c>
      <c r="E155" t="s">
        <v>197</v>
      </c>
      <c r="F155" t="s">
        <v>197</v>
      </c>
      <c r="G155" t="s">
        <v>197</v>
      </c>
      <c r="H155" t="s">
        <v>197</v>
      </c>
      <c r="I155" t="s">
        <v>197</v>
      </c>
      <c r="J155" t="s">
        <v>197</v>
      </c>
      <c r="K155" t="s">
        <v>567</v>
      </c>
    </row>
    <row r="156" spans="1:24">
      <c r="A156" t="s">
        <v>596</v>
      </c>
      <c r="K156" t="s">
        <v>597</v>
      </c>
      <c r="W156" t="s">
        <v>171</v>
      </c>
      <c r="X156" t="str">
        <f>A156</f>
        <v>info_text_dml_single_pk</v>
      </c>
    </row>
    <row r="157" spans="1:24">
      <c r="B157" t="s">
        <v>196</v>
      </c>
      <c r="C157" t="s">
        <v>197</v>
      </c>
      <c r="D157" t="s">
        <v>197</v>
      </c>
      <c r="E157" t="s">
        <v>197</v>
      </c>
      <c r="F157" t="s">
        <v>197</v>
      </c>
      <c r="G157" t="s">
        <v>197</v>
      </c>
      <c r="H157" t="s">
        <v>197</v>
      </c>
      <c r="I157" t="s">
        <v>598</v>
      </c>
      <c r="J157" t="s">
        <v>199</v>
      </c>
      <c r="K157" t="s">
        <v>200</v>
      </c>
    </row>
    <row r="158" spans="1:24">
      <c r="B158" t="s">
        <v>197</v>
      </c>
      <c r="C158" t="s">
        <v>197</v>
      </c>
      <c r="D158" t="s">
        <v>197</v>
      </c>
      <c r="E158" t="s">
        <v>197</v>
      </c>
      <c r="F158" t="s">
        <v>197</v>
      </c>
      <c r="G158" t="s">
        <v>197</v>
      </c>
      <c r="H158" t="s">
        <v>197</v>
      </c>
      <c r="I158" t="s">
        <v>197</v>
      </c>
      <c r="J158" t="s">
        <v>197</v>
      </c>
      <c r="K158" t="s">
        <v>229</v>
      </c>
    </row>
    <row r="159" spans="1:24">
      <c r="B159" t="s">
        <v>197</v>
      </c>
      <c r="C159" t="s">
        <v>197</v>
      </c>
      <c r="D159" t="s">
        <v>197</v>
      </c>
      <c r="E159" t="s">
        <v>197</v>
      </c>
      <c r="F159" t="s">
        <v>197</v>
      </c>
      <c r="G159" t="s">
        <v>197</v>
      </c>
      <c r="H159" t="s">
        <v>197</v>
      </c>
      <c r="I159" t="s">
        <v>197</v>
      </c>
      <c r="J159" t="s">
        <v>197</v>
      </c>
      <c r="K159" t="s">
        <v>251</v>
      </c>
    </row>
    <row r="160" spans="1:24">
      <c r="K160" t="s">
        <v>443</v>
      </c>
    </row>
    <row r="161" spans="1:24">
      <c r="A161" t="s">
        <v>587</v>
      </c>
      <c r="K161" t="s">
        <v>588</v>
      </c>
      <c r="W161" t="s">
        <v>171</v>
      </c>
      <c r="X161" t="str">
        <f>A161</f>
        <v>info_datetime_dml_batch2_pk_irp1</v>
      </c>
    </row>
    <row r="162" spans="1:24">
      <c r="B162" t="s">
        <v>196</v>
      </c>
      <c r="C162" t="s">
        <v>197</v>
      </c>
      <c r="D162" t="s">
        <v>197</v>
      </c>
      <c r="E162" t="s">
        <v>197</v>
      </c>
      <c r="F162" t="s">
        <v>197</v>
      </c>
      <c r="G162" t="s">
        <v>197</v>
      </c>
      <c r="H162" t="s">
        <v>197</v>
      </c>
      <c r="I162" t="s">
        <v>589</v>
      </c>
      <c r="J162" t="s">
        <v>199</v>
      </c>
      <c r="K162" t="s">
        <v>200</v>
      </c>
    </row>
    <row r="163" spans="1:24">
      <c r="B163" t="s">
        <v>197</v>
      </c>
      <c r="C163" t="s">
        <v>197</v>
      </c>
      <c r="D163" t="s">
        <v>197</v>
      </c>
      <c r="E163" t="s">
        <v>197</v>
      </c>
      <c r="F163" t="s">
        <v>197</v>
      </c>
      <c r="G163" t="s">
        <v>197</v>
      </c>
      <c r="H163" t="s">
        <v>197</v>
      </c>
      <c r="I163" t="s">
        <v>197</v>
      </c>
      <c r="J163" t="s">
        <v>197</v>
      </c>
      <c r="K163" t="s">
        <v>574</v>
      </c>
    </row>
    <row r="164" spans="1:24">
      <c r="A164" t="s">
        <v>590</v>
      </c>
      <c r="K164" t="s">
        <v>591</v>
      </c>
      <c r="W164" t="s">
        <v>171</v>
      </c>
      <c r="X164" t="str">
        <f>A164</f>
        <v>info_nvarchar_dml_batch1_pk_drp1</v>
      </c>
    </row>
    <row r="165" spans="1:24">
      <c r="B165" t="s">
        <v>196</v>
      </c>
      <c r="C165" t="s">
        <v>197</v>
      </c>
      <c r="D165" t="s">
        <v>197</v>
      </c>
      <c r="E165" t="s">
        <v>197</v>
      </c>
      <c r="F165" t="s">
        <v>197</v>
      </c>
      <c r="G165" t="s">
        <v>197</v>
      </c>
      <c r="H165" t="s">
        <v>197</v>
      </c>
      <c r="I165" t="s">
        <v>592</v>
      </c>
      <c r="J165" t="s">
        <v>199</v>
      </c>
      <c r="K165" t="s">
        <v>200</v>
      </c>
    </row>
    <row r="166" spans="1:24">
      <c r="B166" t="s">
        <v>197</v>
      </c>
      <c r="C166" t="s">
        <v>197</v>
      </c>
      <c r="D166" t="s">
        <v>197</v>
      </c>
      <c r="E166" t="s">
        <v>197</v>
      </c>
      <c r="F166" t="s">
        <v>197</v>
      </c>
      <c r="G166" t="s">
        <v>197</v>
      </c>
      <c r="H166" t="s">
        <v>197</v>
      </c>
      <c r="I166" t="s">
        <v>197</v>
      </c>
      <c r="J166" t="s">
        <v>197</v>
      </c>
      <c r="K166" t="s">
        <v>408</v>
      </c>
    </row>
    <row r="167" spans="1:24">
      <c r="B167" t="s">
        <v>197</v>
      </c>
      <c r="C167" t="s">
        <v>197</v>
      </c>
      <c r="D167" t="s">
        <v>197</v>
      </c>
      <c r="E167" t="s">
        <v>197</v>
      </c>
      <c r="F167" t="s">
        <v>197</v>
      </c>
      <c r="G167" t="s">
        <v>197</v>
      </c>
      <c r="H167" t="s">
        <v>197</v>
      </c>
      <c r="I167" t="s">
        <v>197</v>
      </c>
      <c r="J167" t="s">
        <v>197</v>
      </c>
      <c r="K167" t="s">
        <v>412</v>
      </c>
    </row>
    <row r="168" spans="1:24">
      <c r="B168" t="s">
        <v>197</v>
      </c>
      <c r="C168" t="s">
        <v>197</v>
      </c>
      <c r="D168" t="s">
        <v>197</v>
      </c>
      <c r="E168" t="s">
        <v>197</v>
      </c>
      <c r="F168" t="s">
        <v>197</v>
      </c>
      <c r="G168" t="s">
        <v>197</v>
      </c>
      <c r="H168" t="s">
        <v>197</v>
      </c>
      <c r="I168" t="s">
        <v>197</v>
      </c>
      <c r="J168" t="s">
        <v>197</v>
      </c>
      <c r="K168" t="s">
        <v>416</v>
      </c>
    </row>
    <row r="169" spans="1:24">
      <c r="K169" t="s">
        <v>443</v>
      </c>
    </row>
    <row r="170" spans="1:24">
      <c r="A170" t="s">
        <v>584</v>
      </c>
      <c r="K170" t="s">
        <v>585</v>
      </c>
      <c r="W170" t="s">
        <v>171</v>
      </c>
      <c r="X170" t="str">
        <f>A170</f>
        <v>info_text_dml_single_pk_drp</v>
      </c>
    </row>
    <row r="171" spans="1:24">
      <c r="B171" t="s">
        <v>196</v>
      </c>
      <c r="C171" t="s">
        <v>197</v>
      </c>
      <c r="D171" t="s">
        <v>197</v>
      </c>
      <c r="E171" t="s">
        <v>197</v>
      </c>
      <c r="F171" t="s">
        <v>197</v>
      </c>
      <c r="G171" t="s">
        <v>197</v>
      </c>
      <c r="H171" t="s">
        <v>197</v>
      </c>
      <c r="I171" t="s">
        <v>586</v>
      </c>
      <c r="J171" t="s">
        <v>199</v>
      </c>
      <c r="K171" t="s">
        <v>200</v>
      </c>
    </row>
    <row r="172" spans="1:24">
      <c r="B172" t="s">
        <v>197</v>
      </c>
      <c r="C172" t="s">
        <v>197</v>
      </c>
      <c r="D172" t="s">
        <v>197</v>
      </c>
      <c r="E172" t="s">
        <v>197</v>
      </c>
      <c r="F172" t="s">
        <v>197</v>
      </c>
      <c r="G172" t="s">
        <v>197</v>
      </c>
      <c r="H172" t="s">
        <v>197</v>
      </c>
      <c r="I172" t="s">
        <v>197</v>
      </c>
      <c r="J172" t="s">
        <v>197</v>
      </c>
      <c r="K172" t="s">
        <v>229</v>
      </c>
    </row>
    <row r="173" spans="1:24">
      <c r="B173" t="s">
        <v>197</v>
      </c>
      <c r="C173" t="s">
        <v>197</v>
      </c>
      <c r="D173" t="s">
        <v>197</v>
      </c>
      <c r="E173" t="s">
        <v>197</v>
      </c>
      <c r="F173" t="s">
        <v>197</v>
      </c>
      <c r="G173" t="s">
        <v>197</v>
      </c>
      <c r="H173" t="s">
        <v>197</v>
      </c>
      <c r="I173" t="s">
        <v>197</v>
      </c>
      <c r="J173" t="s">
        <v>197</v>
      </c>
      <c r="K173" t="s">
        <v>251</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609</v>
      </c>
      <c r="K182" t="s">
        <v>610</v>
      </c>
      <c r="W182" t="s">
        <v>171</v>
      </c>
      <c r="X182" t="str">
        <f>A182</f>
        <v>info_nchar_dml_single_pk_urp</v>
      </c>
    </row>
    <row r="183" spans="1:24">
      <c r="B183" t="s">
        <v>196</v>
      </c>
      <c r="C183" t="s">
        <v>197</v>
      </c>
      <c r="D183" t="s">
        <v>197</v>
      </c>
      <c r="E183" t="s">
        <v>197</v>
      </c>
      <c r="F183" t="s">
        <v>197</v>
      </c>
      <c r="G183" t="s">
        <v>197</v>
      </c>
      <c r="H183" t="s">
        <v>197</v>
      </c>
      <c r="I183" t="s">
        <v>611</v>
      </c>
      <c r="J183" t="s">
        <v>199</v>
      </c>
      <c r="K183" t="s">
        <v>200</v>
      </c>
    </row>
    <row r="184" spans="1:24">
      <c r="B184" t="s">
        <v>197</v>
      </c>
      <c r="C184" t="s">
        <v>197</v>
      </c>
      <c r="D184" t="s">
        <v>197</v>
      </c>
      <c r="E184" t="s">
        <v>197</v>
      </c>
      <c r="F184" t="s">
        <v>197</v>
      </c>
      <c r="G184" t="s">
        <v>197</v>
      </c>
      <c r="H184" t="s">
        <v>197</v>
      </c>
      <c r="I184" t="s">
        <v>197</v>
      </c>
      <c r="J184" t="s">
        <v>197</v>
      </c>
      <c r="K184" t="s">
        <v>514</v>
      </c>
    </row>
    <row r="185" spans="1:24">
      <c r="B185" t="s">
        <v>197</v>
      </c>
      <c r="C185" t="s">
        <v>197</v>
      </c>
      <c r="D185" t="s">
        <v>197</v>
      </c>
      <c r="E185" t="s">
        <v>197</v>
      </c>
      <c r="F185" t="s">
        <v>197</v>
      </c>
      <c r="G185" t="s">
        <v>197</v>
      </c>
      <c r="H185" t="s">
        <v>197</v>
      </c>
      <c r="I185" t="s">
        <v>197</v>
      </c>
      <c r="J185" t="s">
        <v>197</v>
      </c>
      <c r="K185" t="s">
        <v>516</v>
      </c>
    </row>
    <row r="186" spans="1:24">
      <c r="B186" t="s">
        <v>197</v>
      </c>
      <c r="C186" t="s">
        <v>197</v>
      </c>
      <c r="D186" t="s">
        <v>197</v>
      </c>
      <c r="E186" t="s">
        <v>197</v>
      </c>
      <c r="F186" t="s">
        <v>197</v>
      </c>
      <c r="G186" t="s">
        <v>197</v>
      </c>
      <c r="H186" t="s">
        <v>197</v>
      </c>
      <c r="I186" t="s">
        <v>197</v>
      </c>
      <c r="J186" t="s">
        <v>197</v>
      </c>
      <c r="K186" t="s">
        <v>612</v>
      </c>
    </row>
    <row r="187" spans="1:24">
      <c r="A187" t="s">
        <v>613</v>
      </c>
      <c r="K187" t="s">
        <v>614</v>
      </c>
      <c r="W187" t="s">
        <v>171</v>
      </c>
      <c r="X187" t="str">
        <f>A187</f>
        <v>info_datetime_dml_batch1_pk_urp1</v>
      </c>
    </row>
    <row r="188" spans="1:24">
      <c r="B188" t="s">
        <v>196</v>
      </c>
      <c r="C188" t="s">
        <v>197</v>
      </c>
      <c r="D188" t="s">
        <v>197</v>
      </c>
      <c r="E188" t="s">
        <v>197</v>
      </c>
      <c r="F188" t="s">
        <v>197</v>
      </c>
      <c r="G188" t="s">
        <v>197</v>
      </c>
      <c r="H188" t="s">
        <v>197</v>
      </c>
      <c r="I188" t="s">
        <v>615</v>
      </c>
      <c r="J188" t="s">
        <v>199</v>
      </c>
      <c r="K188" t="s">
        <v>200</v>
      </c>
    </row>
    <row r="189" spans="1:24">
      <c r="B189" t="s">
        <v>197</v>
      </c>
      <c r="C189" t="s">
        <v>197</v>
      </c>
      <c r="D189" t="s">
        <v>197</v>
      </c>
      <c r="E189" t="s">
        <v>197</v>
      </c>
      <c r="F189" t="s">
        <v>197</v>
      </c>
      <c r="G189" t="s">
        <v>197</v>
      </c>
      <c r="H189" t="s">
        <v>197</v>
      </c>
      <c r="I189" t="s">
        <v>197</v>
      </c>
      <c r="J189" t="s">
        <v>197</v>
      </c>
      <c r="K189" t="s">
        <v>574</v>
      </c>
    </row>
    <row r="190" spans="1:24">
      <c r="A190" t="s">
        <v>616</v>
      </c>
      <c r="K190" t="s">
        <v>617</v>
      </c>
      <c r="W190" t="s">
        <v>171</v>
      </c>
      <c r="X190" t="str">
        <f>A190</f>
        <v>info_int_dml_batch1_pk_drp1</v>
      </c>
    </row>
    <row r="191" spans="1:24">
      <c r="B191" t="s">
        <v>196</v>
      </c>
      <c r="C191" t="s">
        <v>197</v>
      </c>
      <c r="D191" t="s">
        <v>197</v>
      </c>
      <c r="E191" t="s">
        <v>197</v>
      </c>
      <c r="F191" t="s">
        <v>197</v>
      </c>
      <c r="G191" t="s">
        <v>197</v>
      </c>
      <c r="H191" t="s">
        <v>197</v>
      </c>
      <c r="I191" t="s">
        <v>618</v>
      </c>
      <c r="J191" t="s">
        <v>199</v>
      </c>
      <c r="K191" t="s">
        <v>200</v>
      </c>
    </row>
    <row r="192" spans="1:24">
      <c r="B192" t="s">
        <v>197</v>
      </c>
      <c r="C192" t="s">
        <v>197</v>
      </c>
      <c r="D192" t="s">
        <v>197</v>
      </c>
      <c r="E192" t="s">
        <v>197</v>
      </c>
      <c r="F192" t="s">
        <v>197</v>
      </c>
      <c r="G192" t="s">
        <v>197</v>
      </c>
      <c r="H192" t="s">
        <v>197</v>
      </c>
      <c r="I192" t="s">
        <v>197</v>
      </c>
      <c r="J192" t="s">
        <v>197</v>
      </c>
      <c r="K192" t="s">
        <v>549</v>
      </c>
    </row>
    <row r="193" spans="2:11">
      <c r="B193" t="s">
        <v>197</v>
      </c>
      <c r="C193" t="s">
        <v>197</v>
      </c>
      <c r="D193" t="s">
        <v>197</v>
      </c>
      <c r="E193" t="s">
        <v>197</v>
      </c>
      <c r="F193" t="s">
        <v>197</v>
      </c>
      <c r="G193" t="s">
        <v>197</v>
      </c>
      <c r="H193" t="s">
        <v>197</v>
      </c>
      <c r="I193" t="s">
        <v>197</v>
      </c>
      <c r="J193" t="s">
        <v>197</v>
      </c>
      <c r="K193" t="s">
        <v>550</v>
      </c>
    </row>
    <row r="194" spans="2:11">
      <c r="B194" t="s">
        <v>197</v>
      </c>
      <c r="C194" t="s">
        <v>197</v>
      </c>
      <c r="D194" t="s">
        <v>197</v>
      </c>
      <c r="E194" t="s">
        <v>197</v>
      </c>
      <c r="F194" t="s">
        <v>197</v>
      </c>
      <c r="G194" t="s">
        <v>197</v>
      </c>
      <c r="H194" t="s">
        <v>197</v>
      </c>
      <c r="I194" t="s">
        <v>197</v>
      </c>
      <c r="J194" t="s">
        <v>197</v>
      </c>
      <c r="K194" t="s">
        <v>551</v>
      </c>
    </row>
    <row r="195" spans="2:11">
      <c r="B195" t="s">
        <v>197</v>
      </c>
      <c r="C195" t="s">
        <v>197</v>
      </c>
      <c r="D195" t="s">
        <v>197</v>
      </c>
      <c r="E195" t="s">
        <v>197</v>
      </c>
      <c r="F195" t="s">
        <v>197</v>
      </c>
      <c r="G195" t="s">
        <v>197</v>
      </c>
      <c r="H195" t="s">
        <v>197</v>
      </c>
      <c r="I195" t="s">
        <v>197</v>
      </c>
      <c r="J195" t="s">
        <v>197</v>
      </c>
      <c r="K195" t="s">
        <v>552</v>
      </c>
    </row>
    <row r="196" spans="2:11">
      <c r="B196" t="s">
        <v>197</v>
      </c>
      <c r="C196" t="s">
        <v>197</v>
      </c>
      <c r="D196" t="s">
        <v>197</v>
      </c>
      <c r="E196" t="s">
        <v>197</v>
      </c>
      <c r="F196" t="s">
        <v>197</v>
      </c>
      <c r="G196" t="s">
        <v>197</v>
      </c>
      <c r="H196" t="s">
        <v>197</v>
      </c>
      <c r="I196" t="s">
        <v>197</v>
      </c>
      <c r="J196" t="s">
        <v>197</v>
      </c>
      <c r="K196" t="s">
        <v>553</v>
      </c>
    </row>
    <row r="197" spans="2:11">
      <c r="B197" t="s">
        <v>197</v>
      </c>
      <c r="C197" t="s">
        <v>197</v>
      </c>
      <c r="D197" t="s">
        <v>197</v>
      </c>
      <c r="E197" t="s">
        <v>197</v>
      </c>
      <c r="F197" t="s">
        <v>197</v>
      </c>
      <c r="G197" t="s">
        <v>197</v>
      </c>
      <c r="H197" t="s">
        <v>197</v>
      </c>
      <c r="I197" t="s">
        <v>197</v>
      </c>
      <c r="J197" t="s">
        <v>197</v>
      </c>
      <c r="K197" t="s">
        <v>554</v>
      </c>
    </row>
    <row r="198" spans="2:11">
      <c r="B198" t="s">
        <v>197</v>
      </c>
      <c r="C198" t="s">
        <v>197</v>
      </c>
      <c r="D198" t="s">
        <v>197</v>
      </c>
      <c r="E198" t="s">
        <v>197</v>
      </c>
      <c r="F198" t="s">
        <v>197</v>
      </c>
      <c r="G198" t="s">
        <v>197</v>
      </c>
      <c r="H198" t="s">
        <v>197</v>
      </c>
      <c r="I198" t="s">
        <v>197</v>
      </c>
      <c r="J198" t="s">
        <v>197</v>
      </c>
      <c r="K198" t="s">
        <v>555</v>
      </c>
    </row>
    <row r="199" spans="2:11">
      <c r="B199" t="s">
        <v>197</v>
      </c>
      <c r="C199" t="s">
        <v>197</v>
      </c>
      <c r="D199" t="s">
        <v>197</v>
      </c>
      <c r="E199" t="s">
        <v>197</v>
      </c>
      <c r="F199" t="s">
        <v>197</v>
      </c>
      <c r="G199" t="s">
        <v>197</v>
      </c>
      <c r="H199" t="s">
        <v>197</v>
      </c>
      <c r="I199" t="s">
        <v>197</v>
      </c>
      <c r="J199" t="s">
        <v>197</v>
      </c>
      <c r="K199" t="s">
        <v>556</v>
      </c>
    </row>
    <row r="200" spans="2:11">
      <c r="B200" t="s">
        <v>197</v>
      </c>
      <c r="C200" t="s">
        <v>197</v>
      </c>
      <c r="D200" t="s">
        <v>197</v>
      </c>
      <c r="E200" t="s">
        <v>197</v>
      </c>
      <c r="F200" t="s">
        <v>197</v>
      </c>
      <c r="G200" t="s">
        <v>197</v>
      </c>
      <c r="H200" t="s">
        <v>197</v>
      </c>
      <c r="I200" t="s">
        <v>197</v>
      </c>
      <c r="J200" t="s">
        <v>197</v>
      </c>
      <c r="K200" t="s">
        <v>557</v>
      </c>
    </row>
    <row r="201" spans="2:11">
      <c r="B201" t="s">
        <v>197</v>
      </c>
      <c r="C201" t="s">
        <v>197</v>
      </c>
      <c r="D201" t="s">
        <v>197</v>
      </c>
      <c r="E201" t="s">
        <v>197</v>
      </c>
      <c r="F201" t="s">
        <v>197</v>
      </c>
      <c r="G201" t="s">
        <v>197</v>
      </c>
      <c r="H201" t="s">
        <v>197</v>
      </c>
      <c r="I201" t="s">
        <v>197</v>
      </c>
      <c r="J201" t="s">
        <v>197</v>
      </c>
      <c r="K201" t="s">
        <v>558</v>
      </c>
    </row>
    <row r="202" spans="2:11">
      <c r="B202" t="s">
        <v>197</v>
      </c>
      <c r="C202" t="s">
        <v>197</v>
      </c>
      <c r="D202" t="s">
        <v>197</v>
      </c>
      <c r="E202" t="s">
        <v>197</v>
      </c>
      <c r="F202" t="s">
        <v>197</v>
      </c>
      <c r="G202" t="s">
        <v>197</v>
      </c>
      <c r="H202" t="s">
        <v>197</v>
      </c>
      <c r="I202" t="s">
        <v>197</v>
      </c>
      <c r="J202" t="s">
        <v>197</v>
      </c>
      <c r="K202" t="s">
        <v>559</v>
      </c>
    </row>
    <row r="203" spans="2:11">
      <c r="B203" t="s">
        <v>197</v>
      </c>
      <c r="C203" t="s">
        <v>197</v>
      </c>
      <c r="D203" t="s">
        <v>197</v>
      </c>
      <c r="E203" t="s">
        <v>197</v>
      </c>
      <c r="F203" t="s">
        <v>197</v>
      </c>
      <c r="G203" t="s">
        <v>197</v>
      </c>
      <c r="H203" t="s">
        <v>197</v>
      </c>
      <c r="I203" t="s">
        <v>197</v>
      </c>
      <c r="J203" t="s">
        <v>197</v>
      </c>
      <c r="K203" t="s">
        <v>560</v>
      </c>
    </row>
    <row r="204" spans="2:11">
      <c r="B204" t="s">
        <v>197</v>
      </c>
      <c r="C204" t="s">
        <v>197</v>
      </c>
      <c r="D204" t="s">
        <v>197</v>
      </c>
      <c r="E204" t="s">
        <v>197</v>
      </c>
      <c r="F204" t="s">
        <v>197</v>
      </c>
      <c r="G204" t="s">
        <v>197</v>
      </c>
      <c r="H204" t="s">
        <v>197</v>
      </c>
      <c r="I204" t="s">
        <v>197</v>
      </c>
      <c r="J204" t="s">
        <v>197</v>
      </c>
      <c r="K204" t="s">
        <v>561</v>
      </c>
    </row>
    <row r="205" spans="2:11">
      <c r="B205" t="s">
        <v>197</v>
      </c>
      <c r="C205" t="s">
        <v>197</v>
      </c>
      <c r="D205" t="s">
        <v>197</v>
      </c>
      <c r="E205" t="s">
        <v>197</v>
      </c>
      <c r="F205" t="s">
        <v>197</v>
      </c>
      <c r="G205" t="s">
        <v>197</v>
      </c>
      <c r="H205" t="s">
        <v>197</v>
      </c>
      <c r="I205" t="s">
        <v>197</v>
      </c>
      <c r="J205" t="s">
        <v>197</v>
      </c>
      <c r="K205" t="s">
        <v>562</v>
      </c>
    </row>
    <row r="206" spans="2:11">
      <c r="B206" t="s">
        <v>197</v>
      </c>
      <c r="C206" t="s">
        <v>197</v>
      </c>
      <c r="D206" t="s">
        <v>197</v>
      </c>
      <c r="E206" t="s">
        <v>197</v>
      </c>
      <c r="F206" t="s">
        <v>197</v>
      </c>
      <c r="G206" t="s">
        <v>197</v>
      </c>
      <c r="H206" t="s">
        <v>197</v>
      </c>
      <c r="I206" t="s">
        <v>197</v>
      </c>
      <c r="J206" t="s">
        <v>197</v>
      </c>
      <c r="K206" t="s">
        <v>563</v>
      </c>
    </row>
    <row r="207" spans="2:11">
      <c r="B207" t="s">
        <v>197</v>
      </c>
      <c r="C207" t="s">
        <v>197</v>
      </c>
      <c r="D207" t="s">
        <v>197</v>
      </c>
      <c r="E207" t="s">
        <v>197</v>
      </c>
      <c r="F207" t="s">
        <v>197</v>
      </c>
      <c r="G207" t="s">
        <v>197</v>
      </c>
      <c r="H207" t="s">
        <v>197</v>
      </c>
      <c r="I207" t="s">
        <v>197</v>
      </c>
      <c r="J207" t="s">
        <v>197</v>
      </c>
      <c r="K207" t="s">
        <v>564</v>
      </c>
    </row>
    <row r="208" spans="2:11">
      <c r="B208" t="s">
        <v>197</v>
      </c>
      <c r="C208" t="s">
        <v>197</v>
      </c>
      <c r="D208" t="s">
        <v>197</v>
      </c>
      <c r="E208" t="s">
        <v>197</v>
      </c>
      <c r="F208" t="s">
        <v>197</v>
      </c>
      <c r="G208" t="s">
        <v>197</v>
      </c>
      <c r="H208" t="s">
        <v>197</v>
      </c>
      <c r="I208" t="s">
        <v>197</v>
      </c>
      <c r="J208" t="s">
        <v>197</v>
      </c>
      <c r="K208" t="s">
        <v>565</v>
      </c>
    </row>
    <row r="209" spans="1:24">
      <c r="B209" t="s">
        <v>197</v>
      </c>
      <c r="C209" t="s">
        <v>197</v>
      </c>
      <c r="D209" t="s">
        <v>197</v>
      </c>
      <c r="E209" t="s">
        <v>197</v>
      </c>
      <c r="F209" t="s">
        <v>197</v>
      </c>
      <c r="G209" t="s">
        <v>197</v>
      </c>
      <c r="H209" t="s">
        <v>197</v>
      </c>
      <c r="I209" t="s">
        <v>197</v>
      </c>
      <c r="J209" t="s">
        <v>197</v>
      </c>
      <c r="K209" t="s">
        <v>566</v>
      </c>
    </row>
    <row r="210" spans="1:24">
      <c r="B210" t="s">
        <v>197</v>
      </c>
      <c r="C210" t="s">
        <v>197</v>
      </c>
      <c r="D210" t="s">
        <v>197</v>
      </c>
      <c r="E210" t="s">
        <v>197</v>
      </c>
      <c r="F210" t="s">
        <v>197</v>
      </c>
      <c r="G210" t="s">
        <v>197</v>
      </c>
      <c r="H210" t="s">
        <v>197</v>
      </c>
      <c r="I210" t="s">
        <v>197</v>
      </c>
      <c r="J210" t="s">
        <v>197</v>
      </c>
      <c r="K210" t="s">
        <v>567</v>
      </c>
    </row>
    <row r="211" spans="1:24">
      <c r="K211" t="s">
        <v>443</v>
      </c>
    </row>
    <row r="212" spans="1:24">
      <c r="A212" t="s">
        <v>606</v>
      </c>
      <c r="K212" t="s">
        <v>607</v>
      </c>
      <c r="W212" t="s">
        <v>171</v>
      </c>
      <c r="X212" t="str">
        <f>A212</f>
        <v>info_xml_dml_single_pk_drp</v>
      </c>
    </row>
    <row r="213" spans="1:24">
      <c r="B213" t="s">
        <v>196</v>
      </c>
      <c r="C213" t="s">
        <v>197</v>
      </c>
      <c r="D213" t="s">
        <v>197</v>
      </c>
      <c r="E213" t="s">
        <v>197</v>
      </c>
      <c r="F213" t="s">
        <v>197</v>
      </c>
      <c r="G213" t="s">
        <v>197</v>
      </c>
      <c r="H213" t="s">
        <v>197</v>
      </c>
      <c r="I213" t="s">
        <v>608</v>
      </c>
      <c r="J213" t="s">
        <v>199</v>
      </c>
      <c r="K213" t="s">
        <v>200</v>
      </c>
    </row>
    <row r="214" spans="1:24">
      <c r="B214" t="s">
        <v>197</v>
      </c>
      <c r="C214" t="s">
        <v>197</v>
      </c>
      <c r="D214" t="s">
        <v>197</v>
      </c>
      <c r="E214" t="s">
        <v>197</v>
      </c>
      <c r="F214" t="s">
        <v>197</v>
      </c>
      <c r="G214" t="s">
        <v>197</v>
      </c>
      <c r="H214" t="s">
        <v>197</v>
      </c>
      <c r="I214" t="s">
        <v>197</v>
      </c>
      <c r="J214" t="s">
        <v>197</v>
      </c>
      <c r="K214" t="s">
        <v>472</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634</v>
      </c>
      <c r="K227" t="s">
        <v>635</v>
      </c>
      <c r="W227" t="s">
        <v>171</v>
      </c>
      <c r="X227" t="str">
        <f>A227</f>
        <v>info_datetime_dml_batch1_pk_urp2</v>
      </c>
    </row>
    <row r="228" spans="1:24">
      <c r="B228" t="s">
        <v>196</v>
      </c>
      <c r="C228" t="s">
        <v>197</v>
      </c>
      <c r="D228" t="s">
        <v>197</v>
      </c>
      <c r="E228" t="s">
        <v>197</v>
      </c>
      <c r="F228" t="s">
        <v>197</v>
      </c>
      <c r="G228" t="s">
        <v>197</v>
      </c>
      <c r="H228" t="s">
        <v>197</v>
      </c>
      <c r="I228" t="s">
        <v>636</v>
      </c>
      <c r="J228" t="s">
        <v>199</v>
      </c>
      <c r="K228" t="s">
        <v>200</v>
      </c>
    </row>
    <row r="229" spans="1:24">
      <c r="B229" t="s">
        <v>197</v>
      </c>
      <c r="C229" t="s">
        <v>197</v>
      </c>
      <c r="D229" t="s">
        <v>197</v>
      </c>
      <c r="E229" t="s">
        <v>197</v>
      </c>
      <c r="F229" t="s">
        <v>197</v>
      </c>
      <c r="G229" t="s">
        <v>197</v>
      </c>
      <c r="H229" t="s">
        <v>197</v>
      </c>
      <c r="I229" t="s">
        <v>197</v>
      </c>
      <c r="J229" t="s">
        <v>197</v>
      </c>
      <c r="K229" t="s">
        <v>574</v>
      </c>
    </row>
    <row r="230" spans="1:24">
      <c r="A230" t="s">
        <v>631</v>
      </c>
      <c r="K230" t="s">
        <v>632</v>
      </c>
      <c r="W230" t="s">
        <v>171</v>
      </c>
      <c r="X230" t="str">
        <f>A230</f>
        <v>info_nchar_dml_single_pk_drp</v>
      </c>
    </row>
    <row r="231" spans="1:24">
      <c r="B231" t="s">
        <v>196</v>
      </c>
      <c r="C231" t="s">
        <v>197</v>
      </c>
      <c r="D231" t="s">
        <v>197</v>
      </c>
      <c r="E231" t="s">
        <v>197</v>
      </c>
      <c r="F231" t="s">
        <v>197</v>
      </c>
      <c r="G231" t="s">
        <v>197</v>
      </c>
      <c r="H231" t="s">
        <v>197</v>
      </c>
      <c r="I231" t="s">
        <v>633</v>
      </c>
      <c r="J231" t="s">
        <v>199</v>
      </c>
      <c r="K231" t="s">
        <v>200</v>
      </c>
    </row>
    <row r="232" spans="1:24">
      <c r="B232" t="s">
        <v>197</v>
      </c>
      <c r="C232" t="s">
        <v>197</v>
      </c>
      <c r="D232" t="s">
        <v>197</v>
      </c>
      <c r="E232" t="s">
        <v>197</v>
      </c>
      <c r="F232" t="s">
        <v>197</v>
      </c>
      <c r="G232" t="s">
        <v>197</v>
      </c>
      <c r="H232" t="s">
        <v>197</v>
      </c>
      <c r="I232" t="s">
        <v>197</v>
      </c>
      <c r="J232" t="s">
        <v>197</v>
      </c>
      <c r="K232" t="s">
        <v>514</v>
      </c>
    </row>
    <row r="233" spans="1:24">
      <c r="B233" t="s">
        <v>197</v>
      </c>
      <c r="C233" t="s">
        <v>197</v>
      </c>
      <c r="D233" t="s">
        <v>197</v>
      </c>
      <c r="E233" t="s">
        <v>197</v>
      </c>
      <c r="F233" t="s">
        <v>197</v>
      </c>
      <c r="G233" t="s">
        <v>197</v>
      </c>
      <c r="H233" t="s">
        <v>197</v>
      </c>
      <c r="I233" t="s">
        <v>197</v>
      </c>
      <c r="J233" t="s">
        <v>197</v>
      </c>
      <c r="K233" t="s">
        <v>516</v>
      </c>
    </row>
    <row r="234" spans="1:24">
      <c r="B234" t="s">
        <v>197</v>
      </c>
      <c r="C234" t="s">
        <v>197</v>
      </c>
      <c r="D234" t="s">
        <v>197</v>
      </c>
      <c r="E234" t="s">
        <v>197</v>
      </c>
      <c r="F234" t="s">
        <v>197</v>
      </c>
      <c r="G234" t="s">
        <v>197</v>
      </c>
      <c r="H234" t="s">
        <v>197</v>
      </c>
      <c r="I234" t="s">
        <v>197</v>
      </c>
      <c r="J234" t="s">
        <v>197</v>
      </c>
      <c r="K234" t="s">
        <v>612</v>
      </c>
    </row>
    <row r="235" spans="1:24">
      <c r="A235" t="s">
        <v>643</v>
      </c>
      <c r="K235" t="s">
        <v>644</v>
      </c>
      <c r="W235" t="s">
        <v>171</v>
      </c>
      <c r="X235" t="str">
        <f>A235</f>
        <v>info_datetime_dml_batch1_pk_drp1</v>
      </c>
    </row>
    <row r="236" spans="1:24">
      <c r="B236" t="s">
        <v>196</v>
      </c>
      <c r="C236" t="s">
        <v>197</v>
      </c>
      <c r="D236" t="s">
        <v>197</v>
      </c>
      <c r="E236" t="s">
        <v>197</v>
      </c>
      <c r="F236" t="s">
        <v>197</v>
      </c>
      <c r="G236" t="s">
        <v>197</v>
      </c>
      <c r="H236" t="s">
        <v>197</v>
      </c>
      <c r="I236" t="s">
        <v>645</v>
      </c>
      <c r="J236" t="s">
        <v>199</v>
      </c>
      <c r="K236" t="s">
        <v>200</v>
      </c>
    </row>
    <row r="237" spans="1:24">
      <c r="B237" t="s">
        <v>197</v>
      </c>
      <c r="C237" t="s">
        <v>197</v>
      </c>
      <c r="D237" t="s">
        <v>197</v>
      </c>
      <c r="E237" t="s">
        <v>197</v>
      </c>
      <c r="F237" t="s">
        <v>197</v>
      </c>
      <c r="G237" t="s">
        <v>197</v>
      </c>
      <c r="H237" t="s">
        <v>197</v>
      </c>
      <c r="I237" t="s">
        <v>197</v>
      </c>
      <c r="J237" t="s">
        <v>197</v>
      </c>
      <c r="K237" t="s">
        <v>574</v>
      </c>
    </row>
    <row r="238" spans="1:24">
      <c r="K238" t="s">
        <v>443</v>
      </c>
    </row>
    <row r="239" spans="1:24">
      <c r="A239" t="s">
        <v>640</v>
      </c>
      <c r="K239" t="s">
        <v>641</v>
      </c>
      <c r="W239" t="s">
        <v>171</v>
      </c>
      <c r="X239" t="str">
        <f>A239</f>
        <v>info_geometry_dml_single_pk</v>
      </c>
    </row>
    <row r="240" spans="1:24">
      <c r="B240" t="s">
        <v>196</v>
      </c>
      <c r="C240" t="s">
        <v>197</v>
      </c>
      <c r="D240" t="s">
        <v>197</v>
      </c>
      <c r="E240" t="s">
        <v>197</v>
      </c>
      <c r="F240" t="s">
        <v>197</v>
      </c>
      <c r="G240" t="s">
        <v>197</v>
      </c>
      <c r="H240" t="s">
        <v>197</v>
      </c>
      <c r="I240" t="s">
        <v>642</v>
      </c>
      <c r="J240" t="s">
        <v>199</v>
      </c>
      <c r="K240" t="s">
        <v>200</v>
      </c>
    </row>
    <row r="241" spans="1:24">
      <c r="B241" t="s">
        <v>197</v>
      </c>
      <c r="C241" t="s">
        <v>197</v>
      </c>
      <c r="D241" t="s">
        <v>197</v>
      </c>
      <c r="E241" t="s">
        <v>197</v>
      </c>
      <c r="F241" t="s">
        <v>197</v>
      </c>
      <c r="G241" t="s">
        <v>197</v>
      </c>
      <c r="H241" t="s">
        <v>197</v>
      </c>
      <c r="I241" t="s">
        <v>197</v>
      </c>
      <c r="J241" t="s">
        <v>197</v>
      </c>
      <c r="K241" t="s">
        <v>393</v>
      </c>
    </row>
    <row r="242" spans="1:24">
      <c r="A242" t="s">
        <v>637</v>
      </c>
      <c r="K242" t="s">
        <v>638</v>
      </c>
      <c r="W242" t="s">
        <v>171</v>
      </c>
      <c r="X242" t="str">
        <f>A242</f>
        <v>info_varchar_dml_batch1_pk</v>
      </c>
    </row>
    <row r="243" spans="1:24">
      <c r="B243" t="s">
        <v>196</v>
      </c>
      <c r="C243" t="s">
        <v>197</v>
      </c>
      <c r="D243" t="s">
        <v>197</v>
      </c>
      <c r="E243" t="s">
        <v>197</v>
      </c>
      <c r="F243" t="s">
        <v>197</v>
      </c>
      <c r="G243" t="s">
        <v>197</v>
      </c>
      <c r="H243" t="s">
        <v>197</v>
      </c>
      <c r="I243" t="s">
        <v>639</v>
      </c>
      <c r="J243" t="s">
        <v>199</v>
      </c>
      <c r="K243" t="s">
        <v>200</v>
      </c>
    </row>
    <row r="244" spans="1:24">
      <c r="B244" t="s">
        <v>197</v>
      </c>
      <c r="C244" t="s">
        <v>197</v>
      </c>
      <c r="D244" t="s">
        <v>197</v>
      </c>
      <c r="E244" t="s">
        <v>197</v>
      </c>
      <c r="F244" t="s">
        <v>197</v>
      </c>
      <c r="G244" t="s">
        <v>197</v>
      </c>
      <c r="H244" t="s">
        <v>197</v>
      </c>
      <c r="I244" t="s">
        <v>197</v>
      </c>
      <c r="J244" t="s">
        <v>197</v>
      </c>
      <c r="K244" t="s">
        <v>431</v>
      </c>
    </row>
    <row r="245" spans="1:24">
      <c r="B245" t="s">
        <v>197</v>
      </c>
      <c r="C245" t="s">
        <v>197</v>
      </c>
      <c r="D245" t="s">
        <v>197</v>
      </c>
      <c r="E245" t="s">
        <v>197</v>
      </c>
      <c r="F245" t="s">
        <v>197</v>
      </c>
      <c r="G245" t="s">
        <v>197</v>
      </c>
      <c r="H245" t="s">
        <v>197</v>
      </c>
      <c r="I245" t="s">
        <v>197</v>
      </c>
      <c r="J245" t="s">
        <v>197</v>
      </c>
      <c r="K245" t="s">
        <v>434</v>
      </c>
    </row>
    <row r="246" spans="1:24">
      <c r="B246" t="s">
        <v>197</v>
      </c>
      <c r="C246" t="s">
        <v>197</v>
      </c>
      <c r="D246" t="s">
        <v>197</v>
      </c>
      <c r="E246" t="s">
        <v>197</v>
      </c>
      <c r="F246" t="s">
        <v>197</v>
      </c>
      <c r="G246" t="s">
        <v>197</v>
      </c>
      <c r="H246" t="s">
        <v>197</v>
      </c>
      <c r="I246" t="s">
        <v>197</v>
      </c>
      <c r="J246" t="s">
        <v>197</v>
      </c>
      <c r="K246" t="s">
        <v>439</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646</v>
      </c>
      <c r="K250" t="s">
        <v>647</v>
      </c>
      <c r="W250" t="s">
        <v>171</v>
      </c>
      <c r="X250" t="str">
        <f>A250</f>
        <v>info_nchar_dml_batch1_pk_irp1</v>
      </c>
    </row>
    <row r="251" spans="1:24">
      <c r="B251" t="s">
        <v>196</v>
      </c>
      <c r="C251" t="s">
        <v>197</v>
      </c>
      <c r="D251" t="s">
        <v>197</v>
      </c>
      <c r="E251" t="s">
        <v>197</v>
      </c>
      <c r="F251" t="s">
        <v>197</v>
      </c>
      <c r="G251" t="s">
        <v>197</v>
      </c>
      <c r="H251" t="s">
        <v>197</v>
      </c>
      <c r="I251" t="s">
        <v>648</v>
      </c>
      <c r="J251" t="s">
        <v>199</v>
      </c>
      <c r="K251" t="s">
        <v>200</v>
      </c>
    </row>
    <row r="252" spans="1:24">
      <c r="B252" t="s">
        <v>197</v>
      </c>
      <c r="C252" t="s">
        <v>197</v>
      </c>
      <c r="D252" t="s">
        <v>197</v>
      </c>
      <c r="E252" t="s">
        <v>197</v>
      </c>
      <c r="F252" t="s">
        <v>197</v>
      </c>
      <c r="G252" t="s">
        <v>197</v>
      </c>
      <c r="H252" t="s">
        <v>197</v>
      </c>
      <c r="I252" t="s">
        <v>197</v>
      </c>
      <c r="J252" t="s">
        <v>197</v>
      </c>
      <c r="K252" t="s">
        <v>514</v>
      </c>
    </row>
    <row r="253" spans="1:24">
      <c r="B253" t="s">
        <v>197</v>
      </c>
      <c r="C253" t="s">
        <v>197</v>
      </c>
      <c r="D253" t="s">
        <v>197</v>
      </c>
      <c r="E253" t="s">
        <v>197</v>
      </c>
      <c r="F253" t="s">
        <v>197</v>
      </c>
      <c r="G253" t="s">
        <v>197</v>
      </c>
      <c r="H253" t="s">
        <v>197</v>
      </c>
      <c r="I253" t="s">
        <v>197</v>
      </c>
      <c r="J253" t="s">
        <v>197</v>
      </c>
      <c r="K253" t="s">
        <v>516</v>
      </c>
    </row>
    <row r="254" spans="1:24">
      <c r="B254" t="s">
        <v>197</v>
      </c>
      <c r="C254" t="s">
        <v>197</v>
      </c>
      <c r="D254" t="s">
        <v>197</v>
      </c>
      <c r="E254" t="s">
        <v>197</v>
      </c>
      <c r="F254" t="s">
        <v>197</v>
      </c>
      <c r="G254" t="s">
        <v>197</v>
      </c>
      <c r="H254" t="s">
        <v>197</v>
      </c>
      <c r="I254" t="s">
        <v>197</v>
      </c>
      <c r="J254" t="s">
        <v>197</v>
      </c>
      <c r="K254" t="s">
        <v>517</v>
      </c>
    </row>
    <row r="255" spans="1:24">
      <c r="A255" t="s">
        <v>658</v>
      </c>
      <c r="K255" t="s">
        <v>659</v>
      </c>
      <c r="W255" t="s">
        <v>171</v>
      </c>
      <c r="X255" t="str">
        <f>A255</f>
        <v>info_char_dml_batch1_pk_irp2</v>
      </c>
    </row>
    <row r="256" spans="1:24">
      <c r="B256" t="s">
        <v>196</v>
      </c>
      <c r="C256" t="s">
        <v>197</v>
      </c>
      <c r="D256" t="s">
        <v>197</v>
      </c>
      <c r="E256" t="s">
        <v>197</v>
      </c>
      <c r="F256" t="s">
        <v>197</v>
      </c>
      <c r="G256" t="s">
        <v>197</v>
      </c>
      <c r="H256" t="s">
        <v>197</v>
      </c>
      <c r="I256" t="s">
        <v>660</v>
      </c>
      <c r="J256" t="s">
        <v>199</v>
      </c>
      <c r="K256" t="s">
        <v>200</v>
      </c>
    </row>
    <row r="257" spans="1:24">
      <c r="B257" t="s">
        <v>197</v>
      </c>
      <c r="C257" t="s">
        <v>197</v>
      </c>
      <c r="D257" t="s">
        <v>197</v>
      </c>
      <c r="E257" t="s">
        <v>197</v>
      </c>
      <c r="F257" t="s">
        <v>197</v>
      </c>
      <c r="G257" t="s">
        <v>197</v>
      </c>
      <c r="H257" t="s">
        <v>197</v>
      </c>
      <c r="I257" t="s">
        <v>197</v>
      </c>
      <c r="J257" t="s">
        <v>197</v>
      </c>
      <c r="K257" t="s">
        <v>622</v>
      </c>
    </row>
    <row r="258" spans="1:24">
      <c r="B258" t="s">
        <v>197</v>
      </c>
      <c r="C258" t="s">
        <v>197</v>
      </c>
      <c r="D258" t="s">
        <v>197</v>
      </c>
      <c r="E258" t="s">
        <v>197</v>
      </c>
      <c r="F258" t="s">
        <v>197</v>
      </c>
      <c r="G258" t="s">
        <v>197</v>
      </c>
      <c r="H258" t="s">
        <v>197</v>
      </c>
      <c r="I258" t="s">
        <v>197</v>
      </c>
      <c r="J258" t="s">
        <v>197</v>
      </c>
      <c r="K258" t="s">
        <v>623</v>
      </c>
    </row>
    <row r="259" spans="1:24">
      <c r="B259" t="s">
        <v>197</v>
      </c>
      <c r="C259" t="s">
        <v>197</v>
      </c>
      <c r="D259" t="s">
        <v>197</v>
      </c>
      <c r="E259" t="s">
        <v>197</v>
      </c>
      <c r="F259" t="s">
        <v>197</v>
      </c>
      <c r="G259" t="s">
        <v>197</v>
      </c>
      <c r="H259" t="s">
        <v>197</v>
      </c>
      <c r="I259" t="s">
        <v>197</v>
      </c>
      <c r="J259" t="s">
        <v>197</v>
      </c>
      <c r="K259" t="s">
        <v>624</v>
      </c>
    </row>
    <row r="260" spans="1:24">
      <c r="K260" t="s">
        <v>443</v>
      </c>
    </row>
    <row r="261" spans="1:24">
      <c r="A261" t="s">
        <v>655</v>
      </c>
      <c r="K261" t="s">
        <v>656</v>
      </c>
      <c r="W261" t="s">
        <v>171</v>
      </c>
      <c r="X261" t="str">
        <f>A261</f>
        <v>info_datetime_dml_batch1_pk</v>
      </c>
    </row>
    <row r="262" spans="1:24">
      <c r="B262" t="s">
        <v>196</v>
      </c>
      <c r="C262" t="s">
        <v>197</v>
      </c>
      <c r="D262" t="s">
        <v>197</v>
      </c>
      <c r="E262" t="s">
        <v>197</v>
      </c>
      <c r="F262" t="s">
        <v>197</v>
      </c>
      <c r="G262" t="s">
        <v>197</v>
      </c>
      <c r="H262" t="s">
        <v>197</v>
      </c>
      <c r="I262" t="s">
        <v>657</v>
      </c>
      <c r="J262" t="s">
        <v>199</v>
      </c>
      <c r="K262" t="s">
        <v>200</v>
      </c>
    </row>
    <row r="263" spans="1:24">
      <c r="B263" t="s">
        <v>197</v>
      </c>
      <c r="C263" t="s">
        <v>197</v>
      </c>
      <c r="D263" t="s">
        <v>197</v>
      </c>
      <c r="E263" t="s">
        <v>197</v>
      </c>
      <c r="F263" t="s">
        <v>197</v>
      </c>
      <c r="G263" t="s">
        <v>197</v>
      </c>
      <c r="H263" t="s">
        <v>197</v>
      </c>
      <c r="I263" t="s">
        <v>197</v>
      </c>
      <c r="J263" t="s">
        <v>197</v>
      </c>
      <c r="K263" t="s">
        <v>574</v>
      </c>
    </row>
    <row r="264" spans="1:24">
      <c r="A264" t="s">
        <v>652</v>
      </c>
      <c r="K264" t="s">
        <v>653</v>
      </c>
      <c r="W264" t="s">
        <v>171</v>
      </c>
      <c r="X264" t="str">
        <f>A264</f>
        <v>info_nvarchar_dml_batch1_pk</v>
      </c>
    </row>
    <row r="265" spans="1:24">
      <c r="B265" t="s">
        <v>196</v>
      </c>
      <c r="C265" t="s">
        <v>197</v>
      </c>
      <c r="D265" t="s">
        <v>197</v>
      </c>
      <c r="E265" t="s">
        <v>197</v>
      </c>
      <c r="F265" t="s">
        <v>197</v>
      </c>
      <c r="G265" t="s">
        <v>197</v>
      </c>
      <c r="H265" t="s">
        <v>197</v>
      </c>
      <c r="I265" t="s">
        <v>654</v>
      </c>
      <c r="J265" t="s">
        <v>199</v>
      </c>
      <c r="K265" t="s">
        <v>200</v>
      </c>
    </row>
    <row r="266" spans="1:24">
      <c r="B266" t="s">
        <v>197</v>
      </c>
      <c r="C266" t="s">
        <v>197</v>
      </c>
      <c r="D266" t="s">
        <v>197</v>
      </c>
      <c r="E266" t="s">
        <v>197</v>
      </c>
      <c r="F266" t="s">
        <v>197</v>
      </c>
      <c r="G266" t="s">
        <v>197</v>
      </c>
      <c r="H266" t="s">
        <v>197</v>
      </c>
      <c r="I266" t="s">
        <v>197</v>
      </c>
      <c r="J266" t="s">
        <v>197</v>
      </c>
      <c r="K266" t="s">
        <v>408</v>
      </c>
    </row>
    <row r="267" spans="1:24">
      <c r="B267" t="s">
        <v>197</v>
      </c>
      <c r="C267" t="s">
        <v>197</v>
      </c>
      <c r="D267" t="s">
        <v>197</v>
      </c>
      <c r="E267" t="s">
        <v>197</v>
      </c>
      <c r="F267" t="s">
        <v>197</v>
      </c>
      <c r="G267" t="s">
        <v>197</v>
      </c>
      <c r="H267" t="s">
        <v>197</v>
      </c>
      <c r="I267" t="s">
        <v>197</v>
      </c>
      <c r="J267" t="s">
        <v>197</v>
      </c>
      <c r="K267" t="s">
        <v>412</v>
      </c>
    </row>
    <row r="268" spans="1:24">
      <c r="B268" t="s">
        <v>197</v>
      </c>
      <c r="C268" t="s">
        <v>197</v>
      </c>
      <c r="D268" t="s">
        <v>197</v>
      </c>
      <c r="E268" t="s">
        <v>197</v>
      </c>
      <c r="F268" t="s">
        <v>197</v>
      </c>
      <c r="G268" t="s">
        <v>197</v>
      </c>
      <c r="H268" t="s">
        <v>197</v>
      </c>
      <c r="I268" t="s">
        <v>197</v>
      </c>
      <c r="J268" t="s">
        <v>197</v>
      </c>
      <c r="K268" t="s">
        <v>605</v>
      </c>
    </row>
    <row r="269" spans="1:24">
      <c r="A269" t="s">
        <v>661</v>
      </c>
      <c r="K269" t="s">
        <v>662</v>
      </c>
      <c r="W269" t="s">
        <v>171</v>
      </c>
      <c r="X269" t="str">
        <f>A269</f>
        <v>info_nchar_dml_single_pk</v>
      </c>
    </row>
    <row r="270" spans="1:24">
      <c r="B270" t="s">
        <v>196</v>
      </c>
      <c r="C270" t="s">
        <v>197</v>
      </c>
      <c r="D270" t="s">
        <v>197</v>
      </c>
      <c r="E270" t="s">
        <v>197</v>
      </c>
      <c r="F270" t="s">
        <v>197</v>
      </c>
      <c r="G270" t="s">
        <v>197</v>
      </c>
      <c r="H270" t="s">
        <v>197</v>
      </c>
      <c r="I270" t="s">
        <v>663</v>
      </c>
      <c r="J270" t="s">
        <v>199</v>
      </c>
      <c r="K270" t="s">
        <v>200</v>
      </c>
    </row>
    <row r="271" spans="1:24">
      <c r="B271" t="s">
        <v>197</v>
      </c>
      <c r="C271" t="s">
        <v>197</v>
      </c>
      <c r="D271" t="s">
        <v>197</v>
      </c>
      <c r="E271" t="s">
        <v>197</v>
      </c>
      <c r="F271" t="s">
        <v>197</v>
      </c>
      <c r="G271" t="s">
        <v>197</v>
      </c>
      <c r="H271" t="s">
        <v>197</v>
      </c>
      <c r="I271" t="s">
        <v>197</v>
      </c>
      <c r="J271" t="s">
        <v>197</v>
      </c>
      <c r="K271" t="s">
        <v>514</v>
      </c>
    </row>
    <row r="272" spans="1:24">
      <c r="B272" t="s">
        <v>197</v>
      </c>
      <c r="C272" t="s">
        <v>197</v>
      </c>
      <c r="D272" t="s">
        <v>197</v>
      </c>
      <c r="E272" t="s">
        <v>197</v>
      </c>
      <c r="F272" t="s">
        <v>197</v>
      </c>
      <c r="G272" t="s">
        <v>197</v>
      </c>
      <c r="H272" t="s">
        <v>197</v>
      </c>
      <c r="I272" t="s">
        <v>197</v>
      </c>
      <c r="J272" t="s">
        <v>197</v>
      </c>
      <c r="K272" t="s">
        <v>516</v>
      </c>
    </row>
    <row r="273" spans="1:24">
      <c r="B273" t="s">
        <v>197</v>
      </c>
      <c r="C273" t="s">
        <v>197</v>
      </c>
      <c r="D273" t="s">
        <v>197</v>
      </c>
      <c r="E273" t="s">
        <v>197</v>
      </c>
      <c r="F273" t="s">
        <v>197</v>
      </c>
      <c r="G273" t="s">
        <v>197</v>
      </c>
      <c r="H273" t="s">
        <v>197</v>
      </c>
      <c r="I273" t="s">
        <v>197</v>
      </c>
      <c r="J273" t="s">
        <v>197</v>
      </c>
      <c r="K273" t="s">
        <v>612</v>
      </c>
    </row>
    <row r="274" spans="1:24">
      <c r="A274" t="s">
        <v>664</v>
      </c>
      <c r="K274" t="s">
        <v>665</v>
      </c>
      <c r="W274" t="s">
        <v>171</v>
      </c>
      <c r="X274" t="str">
        <f>A274</f>
        <v>info_datetime2_dml_batch1_pk_irp1</v>
      </c>
    </row>
    <row r="275" spans="1:24">
      <c r="B275" t="s">
        <v>196</v>
      </c>
      <c r="C275" t="s">
        <v>197</v>
      </c>
      <c r="D275" t="s">
        <v>197</v>
      </c>
      <c r="E275" t="s">
        <v>197</v>
      </c>
      <c r="F275" t="s">
        <v>197</v>
      </c>
      <c r="G275" t="s">
        <v>197</v>
      </c>
      <c r="H275" t="s">
        <v>197</v>
      </c>
      <c r="I275" t="s">
        <v>666</v>
      </c>
      <c r="J275" t="s">
        <v>199</v>
      </c>
      <c r="K275" t="s">
        <v>200</v>
      </c>
    </row>
    <row r="276" spans="1:24">
      <c r="B276" t="s">
        <v>197</v>
      </c>
      <c r="C276" t="s">
        <v>197</v>
      </c>
      <c r="D276" t="s">
        <v>197</v>
      </c>
      <c r="E276" t="s">
        <v>197</v>
      </c>
      <c r="F276" t="s">
        <v>197</v>
      </c>
      <c r="G276" t="s">
        <v>197</v>
      </c>
      <c r="H276" t="s">
        <v>197</v>
      </c>
      <c r="I276" t="s">
        <v>197</v>
      </c>
      <c r="J276" t="s">
        <v>197</v>
      </c>
      <c r="K276" t="s">
        <v>667</v>
      </c>
    </row>
    <row r="277" spans="1:24">
      <c r="B277" t="s">
        <v>197</v>
      </c>
      <c r="C277" t="s">
        <v>197</v>
      </c>
      <c r="D277" t="s">
        <v>197</v>
      </c>
      <c r="E277" t="s">
        <v>197</v>
      </c>
      <c r="F277" t="s">
        <v>197</v>
      </c>
      <c r="G277" t="s">
        <v>197</v>
      </c>
      <c r="H277" t="s">
        <v>197</v>
      </c>
      <c r="I277" t="s">
        <v>197</v>
      </c>
      <c r="J277" t="s">
        <v>197</v>
      </c>
      <c r="K277" t="s">
        <v>668</v>
      </c>
    </row>
    <row r="278" spans="1:24">
      <c r="B278" t="s">
        <v>197</v>
      </c>
      <c r="C278" t="s">
        <v>197</v>
      </c>
      <c r="D278" t="s">
        <v>197</v>
      </c>
      <c r="E278" t="s">
        <v>197</v>
      </c>
      <c r="F278" t="s">
        <v>197</v>
      </c>
      <c r="G278" t="s">
        <v>197</v>
      </c>
      <c r="H278" t="s">
        <v>197</v>
      </c>
      <c r="I278" t="s">
        <v>197</v>
      </c>
      <c r="J278" t="s">
        <v>197</v>
      </c>
      <c r="K278" t="s">
        <v>669</v>
      </c>
    </row>
    <row r="279" spans="1:24">
      <c r="B279" t="s">
        <v>197</v>
      </c>
      <c r="C279" t="s">
        <v>197</v>
      </c>
      <c r="D279" t="s">
        <v>197</v>
      </c>
      <c r="E279" t="s">
        <v>197</v>
      </c>
      <c r="F279" t="s">
        <v>197</v>
      </c>
      <c r="G279" t="s">
        <v>197</v>
      </c>
      <c r="H279" t="s">
        <v>197</v>
      </c>
      <c r="I279" t="s">
        <v>197</v>
      </c>
      <c r="J279" t="s">
        <v>197</v>
      </c>
      <c r="K279" t="s">
        <v>670</v>
      </c>
    </row>
    <row r="280" spans="1:24">
      <c r="B280" t="s">
        <v>197</v>
      </c>
      <c r="C280" t="s">
        <v>197</v>
      </c>
      <c r="D280" t="s">
        <v>197</v>
      </c>
      <c r="E280" t="s">
        <v>197</v>
      </c>
      <c r="F280" t="s">
        <v>197</v>
      </c>
      <c r="G280" t="s">
        <v>197</v>
      </c>
      <c r="H280" t="s">
        <v>197</v>
      </c>
      <c r="I280" t="s">
        <v>197</v>
      </c>
      <c r="J280" t="s">
        <v>197</v>
      </c>
      <c r="K280" t="s">
        <v>671</v>
      </c>
    </row>
    <row r="281" spans="1:24">
      <c r="B281" t="s">
        <v>197</v>
      </c>
      <c r="C281" t="s">
        <v>197</v>
      </c>
      <c r="D281" t="s">
        <v>197</v>
      </c>
      <c r="E281" t="s">
        <v>197</v>
      </c>
      <c r="F281" t="s">
        <v>197</v>
      </c>
      <c r="G281" t="s">
        <v>197</v>
      </c>
      <c r="H281" t="s">
        <v>197</v>
      </c>
      <c r="I281" t="s">
        <v>197</v>
      </c>
      <c r="J281" t="s">
        <v>197</v>
      </c>
      <c r="K281" t="s">
        <v>672</v>
      </c>
    </row>
    <row r="282" spans="1:24">
      <c r="B282" t="s">
        <v>197</v>
      </c>
      <c r="C282" t="s">
        <v>197</v>
      </c>
      <c r="D282" t="s">
        <v>197</v>
      </c>
      <c r="E282" t="s">
        <v>197</v>
      </c>
      <c r="F282" t="s">
        <v>197</v>
      </c>
      <c r="G282" t="s">
        <v>197</v>
      </c>
      <c r="H282" t="s">
        <v>197</v>
      </c>
      <c r="I282" t="s">
        <v>197</v>
      </c>
      <c r="J282" t="s">
        <v>197</v>
      </c>
      <c r="K282" t="s">
        <v>673</v>
      </c>
    </row>
    <row r="283" spans="1:24">
      <c r="B283" t="s">
        <v>197</v>
      </c>
      <c r="C283" t="s">
        <v>197</v>
      </c>
      <c r="D283" t="s">
        <v>197</v>
      </c>
      <c r="E283" t="s">
        <v>197</v>
      </c>
      <c r="F283" t="s">
        <v>197</v>
      </c>
      <c r="G283" t="s">
        <v>197</v>
      </c>
      <c r="H283" t="s">
        <v>197</v>
      </c>
      <c r="I283" t="s">
        <v>197</v>
      </c>
      <c r="J283" t="s">
        <v>197</v>
      </c>
      <c r="K283" t="s">
        <v>674</v>
      </c>
    </row>
    <row r="284" spans="1:24">
      <c r="A284" t="s">
        <v>675</v>
      </c>
      <c r="K284" t="s">
        <v>676</v>
      </c>
      <c r="W284" t="s">
        <v>171</v>
      </c>
      <c r="X284" t="str">
        <f>A284</f>
        <v>info_date_dml_single_pk_irp</v>
      </c>
    </row>
    <row r="285" spans="1:24">
      <c r="B285" t="s">
        <v>196</v>
      </c>
      <c r="C285" t="s">
        <v>197</v>
      </c>
      <c r="D285" t="s">
        <v>197</v>
      </c>
      <c r="E285" t="s">
        <v>197</v>
      </c>
      <c r="F285" t="s">
        <v>197</v>
      </c>
      <c r="G285" t="s">
        <v>197</v>
      </c>
      <c r="H285" t="s">
        <v>197</v>
      </c>
      <c r="I285" t="s">
        <v>677</v>
      </c>
      <c r="J285" t="s">
        <v>199</v>
      </c>
      <c r="K285" t="s">
        <v>200</v>
      </c>
    </row>
    <row r="286" spans="1:24">
      <c r="B286" t="s">
        <v>197</v>
      </c>
      <c r="C286" t="s">
        <v>197</v>
      </c>
      <c r="D286" t="s">
        <v>197</v>
      </c>
      <c r="E286" t="s">
        <v>197</v>
      </c>
      <c r="F286" t="s">
        <v>197</v>
      </c>
      <c r="G286" t="s">
        <v>197</v>
      </c>
      <c r="H286" t="s">
        <v>197</v>
      </c>
      <c r="I286" t="s">
        <v>197</v>
      </c>
      <c r="J286" t="s">
        <v>197</v>
      </c>
      <c r="K286" t="s">
        <v>678</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685</v>
      </c>
      <c r="K307" t="s">
        <v>686</v>
      </c>
      <c r="W307" t="s">
        <v>171</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t="s">
        <v>171</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703</v>
      </c>
      <c r="K343" t="s">
        <v>704</v>
      </c>
      <c r="W343" s="1" t="str">
        <f>HYPERLINK("#2026042017hbase0!Y2","NO 源备存在差异，共4个")</f>
        <v>NO 源备存在差异，共4个</v>
      </c>
      <c r="X343" t="str">
        <f>A343</f>
        <v>info_hierarchyid_dml_single_pk_irp</v>
      </c>
    </row>
    <row r="344" spans="1:24">
      <c r="B344" t="s">
        <v>196</v>
      </c>
      <c r="C344" t="s">
        <v>197</v>
      </c>
      <c r="D344" t="s">
        <v>197</v>
      </c>
      <c r="E344" t="s">
        <v>197</v>
      </c>
      <c r="F344" t="s">
        <v>197</v>
      </c>
      <c r="G344" t="s">
        <v>197</v>
      </c>
      <c r="H344" t="s">
        <v>197</v>
      </c>
      <c r="I344" t="s">
        <v>705</v>
      </c>
      <c r="J344" t="s">
        <v>199</v>
      </c>
      <c r="K344" t="s">
        <v>200</v>
      </c>
    </row>
    <row r="345" spans="1:24">
      <c r="B345" t="s">
        <v>197</v>
      </c>
      <c r="C345" t="s">
        <v>197</v>
      </c>
      <c r="D345" t="s">
        <v>197</v>
      </c>
      <c r="E345" t="s">
        <v>197</v>
      </c>
      <c r="F345" t="s">
        <v>197</v>
      </c>
      <c r="G345" t="s">
        <v>197</v>
      </c>
      <c r="H345" t="s">
        <v>197</v>
      </c>
      <c r="I345" t="s">
        <v>197</v>
      </c>
      <c r="J345" t="s">
        <v>197</v>
      </c>
      <c r="K345" t="s">
        <v>706</v>
      </c>
    </row>
    <row r="346" spans="1:24">
      <c r="A346" t="s">
        <v>707</v>
      </c>
      <c r="K346" t="s">
        <v>708</v>
      </c>
      <c r="W346" t="s">
        <v>171</v>
      </c>
      <c r="X346" t="str">
        <f>A346</f>
        <v>info_datetime2_dml_batch1_pk_urp1</v>
      </c>
    </row>
    <row r="347" spans="1:24">
      <c r="B347" t="s">
        <v>196</v>
      </c>
      <c r="C347" t="s">
        <v>197</v>
      </c>
      <c r="D347" t="s">
        <v>197</v>
      </c>
      <c r="E347" t="s">
        <v>197</v>
      </c>
      <c r="F347" t="s">
        <v>197</v>
      </c>
      <c r="G347" t="s">
        <v>197</v>
      </c>
      <c r="H347" t="s">
        <v>197</v>
      </c>
      <c r="I347" t="s">
        <v>709</v>
      </c>
      <c r="J347" t="s">
        <v>199</v>
      </c>
      <c r="K347" t="s">
        <v>200</v>
      </c>
    </row>
    <row r="348" spans="1:24">
      <c r="B348" t="s">
        <v>197</v>
      </c>
      <c r="C348" t="s">
        <v>197</v>
      </c>
      <c r="D348" t="s">
        <v>197</v>
      </c>
      <c r="E348" t="s">
        <v>197</v>
      </c>
      <c r="F348" t="s">
        <v>197</v>
      </c>
      <c r="G348" t="s">
        <v>197</v>
      </c>
      <c r="H348" t="s">
        <v>197</v>
      </c>
      <c r="I348" t="s">
        <v>197</v>
      </c>
      <c r="J348" t="s">
        <v>197</v>
      </c>
      <c r="K348" t="s">
        <v>667</v>
      </c>
    </row>
    <row r="349" spans="1:24">
      <c r="B349" t="s">
        <v>197</v>
      </c>
      <c r="C349" t="s">
        <v>197</v>
      </c>
      <c r="D349" t="s">
        <v>197</v>
      </c>
      <c r="E349" t="s">
        <v>197</v>
      </c>
      <c r="F349" t="s">
        <v>197</v>
      </c>
      <c r="G349" t="s">
        <v>197</v>
      </c>
      <c r="H349" t="s">
        <v>197</v>
      </c>
      <c r="I349" t="s">
        <v>197</v>
      </c>
      <c r="J349" t="s">
        <v>197</v>
      </c>
      <c r="K349" t="s">
        <v>668</v>
      </c>
    </row>
    <row r="350" spans="1:24">
      <c r="B350" t="s">
        <v>197</v>
      </c>
      <c r="C350" t="s">
        <v>197</v>
      </c>
      <c r="D350" t="s">
        <v>197</v>
      </c>
      <c r="E350" t="s">
        <v>197</v>
      </c>
      <c r="F350" t="s">
        <v>197</v>
      </c>
      <c r="G350" t="s">
        <v>197</v>
      </c>
      <c r="H350" t="s">
        <v>197</v>
      </c>
      <c r="I350" t="s">
        <v>197</v>
      </c>
      <c r="J350" t="s">
        <v>197</v>
      </c>
      <c r="K350" t="s">
        <v>669</v>
      </c>
    </row>
    <row r="351" spans="1:24">
      <c r="B351" t="s">
        <v>197</v>
      </c>
      <c r="C351" t="s">
        <v>197</v>
      </c>
      <c r="D351" t="s">
        <v>197</v>
      </c>
      <c r="E351" t="s">
        <v>197</v>
      </c>
      <c r="F351" t="s">
        <v>197</v>
      </c>
      <c r="G351" t="s">
        <v>197</v>
      </c>
      <c r="H351" t="s">
        <v>197</v>
      </c>
      <c r="I351" t="s">
        <v>197</v>
      </c>
      <c r="J351" t="s">
        <v>197</v>
      </c>
      <c r="K351" t="s">
        <v>670</v>
      </c>
    </row>
    <row r="352" spans="1:24">
      <c r="B352" t="s">
        <v>197</v>
      </c>
      <c r="C352" t="s">
        <v>197</v>
      </c>
      <c r="D352" t="s">
        <v>197</v>
      </c>
      <c r="E352" t="s">
        <v>197</v>
      </c>
      <c r="F352" t="s">
        <v>197</v>
      </c>
      <c r="G352" t="s">
        <v>197</v>
      </c>
      <c r="H352" t="s">
        <v>197</v>
      </c>
      <c r="I352" t="s">
        <v>197</v>
      </c>
      <c r="J352" t="s">
        <v>197</v>
      </c>
      <c r="K352" t="s">
        <v>671</v>
      </c>
    </row>
    <row r="353" spans="1:24">
      <c r="B353" t="s">
        <v>197</v>
      </c>
      <c r="C353" t="s">
        <v>197</v>
      </c>
      <c r="D353" t="s">
        <v>197</v>
      </c>
      <c r="E353" t="s">
        <v>197</v>
      </c>
      <c r="F353" t="s">
        <v>197</v>
      </c>
      <c r="G353" t="s">
        <v>197</v>
      </c>
      <c r="H353" t="s">
        <v>197</v>
      </c>
      <c r="I353" t="s">
        <v>197</v>
      </c>
      <c r="J353" t="s">
        <v>197</v>
      </c>
      <c r="K353" t="s">
        <v>672</v>
      </c>
    </row>
    <row r="354" spans="1:24">
      <c r="B354" t="s">
        <v>197</v>
      </c>
      <c r="C354" t="s">
        <v>197</v>
      </c>
      <c r="D354" t="s">
        <v>197</v>
      </c>
      <c r="E354" t="s">
        <v>197</v>
      </c>
      <c r="F354" t="s">
        <v>197</v>
      </c>
      <c r="G354" t="s">
        <v>197</v>
      </c>
      <c r="H354" t="s">
        <v>197</v>
      </c>
      <c r="I354" t="s">
        <v>197</v>
      </c>
      <c r="J354" t="s">
        <v>197</v>
      </c>
      <c r="K354" t="s">
        <v>673</v>
      </c>
    </row>
    <row r="355" spans="1:24">
      <c r="B355" t="s">
        <v>197</v>
      </c>
      <c r="C355" t="s">
        <v>197</v>
      </c>
      <c r="D355" t="s">
        <v>197</v>
      </c>
      <c r="E355" t="s">
        <v>197</v>
      </c>
      <c r="F355" t="s">
        <v>197</v>
      </c>
      <c r="G355" t="s">
        <v>197</v>
      </c>
      <c r="H355" t="s">
        <v>197</v>
      </c>
      <c r="I355" t="s">
        <v>197</v>
      </c>
      <c r="J355" t="s">
        <v>197</v>
      </c>
      <c r="K355" t="s">
        <v>674</v>
      </c>
    </row>
    <row r="356" spans="1:24">
      <c r="A356" t="s">
        <v>700</v>
      </c>
      <c r="K356" t="s">
        <v>701</v>
      </c>
      <c r="W356" t="s">
        <v>171</v>
      </c>
      <c r="X356" t="str">
        <f>A356</f>
        <v>info_char_dml_batch2_pk_irp1</v>
      </c>
    </row>
    <row r="357" spans="1:24">
      <c r="B357" t="s">
        <v>196</v>
      </c>
      <c r="C357" t="s">
        <v>197</v>
      </c>
      <c r="D357" t="s">
        <v>197</v>
      </c>
      <c r="E357" t="s">
        <v>197</v>
      </c>
      <c r="F357" t="s">
        <v>197</v>
      </c>
      <c r="G357" t="s">
        <v>197</v>
      </c>
      <c r="H357" t="s">
        <v>197</v>
      </c>
      <c r="I357" t="s">
        <v>702</v>
      </c>
      <c r="J357" t="s">
        <v>199</v>
      </c>
      <c r="K357" t="s">
        <v>200</v>
      </c>
    </row>
    <row r="358" spans="1:24">
      <c r="B358" t="s">
        <v>197</v>
      </c>
      <c r="C358" t="s">
        <v>197</v>
      </c>
      <c r="D358" t="s">
        <v>197</v>
      </c>
      <c r="E358" t="s">
        <v>197</v>
      </c>
      <c r="F358" t="s">
        <v>197</v>
      </c>
      <c r="G358" t="s">
        <v>197</v>
      </c>
      <c r="H358" t="s">
        <v>197</v>
      </c>
      <c r="I358" t="s">
        <v>197</v>
      </c>
      <c r="J358" t="s">
        <v>197</v>
      </c>
      <c r="K358" t="s">
        <v>622</v>
      </c>
    </row>
    <row r="359" spans="1:24">
      <c r="B359" t="s">
        <v>197</v>
      </c>
      <c r="C359" t="s">
        <v>197</v>
      </c>
      <c r="D359" t="s">
        <v>197</v>
      </c>
      <c r="E359" t="s">
        <v>197</v>
      </c>
      <c r="F359" t="s">
        <v>197</v>
      </c>
      <c r="G359" t="s">
        <v>197</v>
      </c>
      <c r="H359" t="s">
        <v>197</v>
      </c>
      <c r="I359" t="s">
        <v>197</v>
      </c>
      <c r="J359" t="s">
        <v>197</v>
      </c>
      <c r="K359" t="s">
        <v>623</v>
      </c>
    </row>
    <row r="360" spans="1:24">
      <c r="B360" t="s">
        <v>197</v>
      </c>
      <c r="C360" t="s">
        <v>197</v>
      </c>
      <c r="D360" t="s">
        <v>197</v>
      </c>
      <c r="E360" t="s">
        <v>197</v>
      </c>
      <c r="F360" t="s">
        <v>197</v>
      </c>
      <c r="G360" t="s">
        <v>197</v>
      </c>
      <c r="H360" t="s">
        <v>197</v>
      </c>
      <c r="I360" t="s">
        <v>197</v>
      </c>
      <c r="J360" t="s">
        <v>197</v>
      </c>
      <c r="K360" t="s">
        <v>624</v>
      </c>
    </row>
    <row r="361" spans="1:24">
      <c r="K361" t="s">
        <v>443</v>
      </c>
    </row>
    <row r="362" spans="1:24">
      <c r="A362" t="s">
        <v>716</v>
      </c>
      <c r="K362" t="s">
        <v>717</v>
      </c>
      <c r="W362" t="s">
        <v>171</v>
      </c>
      <c r="X362" t="str">
        <f>A362</f>
        <v>info_date_dml_single_pk_urp</v>
      </c>
    </row>
    <row r="363" spans="1:24">
      <c r="B363" t="s">
        <v>196</v>
      </c>
      <c r="C363" t="s">
        <v>197</v>
      </c>
      <c r="D363" t="s">
        <v>197</v>
      </c>
      <c r="E363" t="s">
        <v>197</v>
      </c>
      <c r="F363" t="s">
        <v>197</v>
      </c>
      <c r="G363" t="s">
        <v>197</v>
      </c>
      <c r="H363" t="s">
        <v>197</v>
      </c>
      <c r="I363" t="s">
        <v>718</v>
      </c>
      <c r="J363" t="s">
        <v>199</v>
      </c>
      <c r="K363" t="s">
        <v>200</v>
      </c>
    </row>
    <row r="364" spans="1:24">
      <c r="B364" t="s">
        <v>197</v>
      </c>
      <c r="C364" t="s">
        <v>197</v>
      </c>
      <c r="D364" t="s">
        <v>197</v>
      </c>
      <c r="E364" t="s">
        <v>197</v>
      </c>
      <c r="F364" t="s">
        <v>197</v>
      </c>
      <c r="G364" t="s">
        <v>197</v>
      </c>
      <c r="H364" t="s">
        <v>197</v>
      </c>
      <c r="I364" t="s">
        <v>197</v>
      </c>
      <c r="J364" t="s">
        <v>197</v>
      </c>
      <c r="K364" t="s">
        <v>678</v>
      </c>
    </row>
    <row r="365" spans="1:24">
      <c r="A365" t="s">
        <v>710</v>
      </c>
      <c r="K365" t="s">
        <v>711</v>
      </c>
      <c r="W365" t="s">
        <v>171</v>
      </c>
      <c r="X365" t="str">
        <f>A365</f>
        <v>info_char_dml_batch2_pk_irp2</v>
      </c>
    </row>
    <row r="366" spans="1:24">
      <c r="B366" t="s">
        <v>196</v>
      </c>
      <c r="C366" t="s">
        <v>197</v>
      </c>
      <c r="D366" t="s">
        <v>197</v>
      </c>
      <c r="E366" t="s">
        <v>197</v>
      </c>
      <c r="F366" t="s">
        <v>197</v>
      </c>
      <c r="G366" t="s">
        <v>197</v>
      </c>
      <c r="H366" t="s">
        <v>197</v>
      </c>
      <c r="I366" t="s">
        <v>712</v>
      </c>
      <c r="J366" t="s">
        <v>199</v>
      </c>
      <c r="K366" t="s">
        <v>200</v>
      </c>
    </row>
    <row r="367" spans="1:24">
      <c r="B367" t="s">
        <v>197</v>
      </c>
      <c r="C367" t="s">
        <v>197</v>
      </c>
      <c r="D367" t="s">
        <v>197</v>
      </c>
      <c r="E367" t="s">
        <v>197</v>
      </c>
      <c r="F367" t="s">
        <v>197</v>
      </c>
      <c r="G367" t="s">
        <v>197</v>
      </c>
      <c r="H367" t="s">
        <v>197</v>
      </c>
      <c r="I367" t="s">
        <v>197</v>
      </c>
      <c r="J367" t="s">
        <v>197</v>
      </c>
      <c r="K367" t="s">
        <v>622</v>
      </c>
    </row>
    <row r="368" spans="1:24">
      <c r="B368" t="s">
        <v>197</v>
      </c>
      <c r="C368" t="s">
        <v>197</v>
      </c>
      <c r="D368" t="s">
        <v>197</v>
      </c>
      <c r="E368" t="s">
        <v>197</v>
      </c>
      <c r="F368" t="s">
        <v>197</v>
      </c>
      <c r="G368" t="s">
        <v>197</v>
      </c>
      <c r="H368" t="s">
        <v>197</v>
      </c>
      <c r="I368" t="s">
        <v>197</v>
      </c>
      <c r="J368" t="s">
        <v>197</v>
      </c>
      <c r="K368" t="s">
        <v>623</v>
      </c>
    </row>
    <row r="369" spans="1:24">
      <c r="B369" t="s">
        <v>197</v>
      </c>
      <c r="C369" t="s">
        <v>197</v>
      </c>
      <c r="D369" t="s">
        <v>197</v>
      </c>
      <c r="E369" t="s">
        <v>197</v>
      </c>
      <c r="F369" t="s">
        <v>197</v>
      </c>
      <c r="G369" t="s">
        <v>197</v>
      </c>
      <c r="H369" t="s">
        <v>197</v>
      </c>
      <c r="I369" t="s">
        <v>197</v>
      </c>
      <c r="J369" t="s">
        <v>197</v>
      </c>
      <c r="K369" t="s">
        <v>624</v>
      </c>
    </row>
    <row r="370" spans="1:24">
      <c r="K370" t="s">
        <v>443</v>
      </c>
    </row>
    <row r="371" spans="1:24">
      <c r="A371" t="s">
        <v>719</v>
      </c>
      <c r="K371" t="s">
        <v>720</v>
      </c>
      <c r="W371" t="s">
        <v>171</v>
      </c>
      <c r="X371" t="str">
        <f>A371</f>
        <v>info_datetime2_dml_batch1_pk_urp2</v>
      </c>
    </row>
    <row r="372" spans="1:24">
      <c r="B372" t="s">
        <v>196</v>
      </c>
      <c r="C372" t="s">
        <v>197</v>
      </c>
      <c r="D372" t="s">
        <v>197</v>
      </c>
      <c r="E372" t="s">
        <v>197</v>
      </c>
      <c r="F372" t="s">
        <v>197</v>
      </c>
      <c r="G372" t="s">
        <v>197</v>
      </c>
      <c r="H372" t="s">
        <v>197</v>
      </c>
      <c r="I372" t="s">
        <v>721</v>
      </c>
      <c r="J372" t="s">
        <v>199</v>
      </c>
      <c r="K372" t="s">
        <v>200</v>
      </c>
    </row>
    <row r="373" spans="1:24">
      <c r="B373" t="s">
        <v>197</v>
      </c>
      <c r="C373" t="s">
        <v>197</v>
      </c>
      <c r="D373" t="s">
        <v>197</v>
      </c>
      <c r="E373" t="s">
        <v>197</v>
      </c>
      <c r="F373" t="s">
        <v>197</v>
      </c>
      <c r="G373" t="s">
        <v>197</v>
      </c>
      <c r="H373" t="s">
        <v>197</v>
      </c>
      <c r="I373" t="s">
        <v>197</v>
      </c>
      <c r="J373" t="s">
        <v>197</v>
      </c>
      <c r="K373" t="s">
        <v>667</v>
      </c>
    </row>
    <row r="374" spans="1:24">
      <c r="B374" t="s">
        <v>197</v>
      </c>
      <c r="C374" t="s">
        <v>197</v>
      </c>
      <c r="D374" t="s">
        <v>197</v>
      </c>
      <c r="E374" t="s">
        <v>197</v>
      </c>
      <c r="F374" t="s">
        <v>197</v>
      </c>
      <c r="G374" t="s">
        <v>197</v>
      </c>
      <c r="H374" t="s">
        <v>197</v>
      </c>
      <c r="I374" t="s">
        <v>197</v>
      </c>
      <c r="J374" t="s">
        <v>197</v>
      </c>
      <c r="K374" t="s">
        <v>668</v>
      </c>
    </row>
    <row r="375" spans="1:24">
      <c r="B375" t="s">
        <v>197</v>
      </c>
      <c r="C375" t="s">
        <v>197</v>
      </c>
      <c r="D375" t="s">
        <v>197</v>
      </c>
      <c r="E375" t="s">
        <v>197</v>
      </c>
      <c r="F375" t="s">
        <v>197</v>
      </c>
      <c r="G375" t="s">
        <v>197</v>
      </c>
      <c r="H375" t="s">
        <v>197</v>
      </c>
      <c r="I375" t="s">
        <v>197</v>
      </c>
      <c r="J375" t="s">
        <v>197</v>
      </c>
      <c r="K375" t="s">
        <v>669</v>
      </c>
    </row>
    <row r="376" spans="1:24">
      <c r="B376" t="s">
        <v>197</v>
      </c>
      <c r="C376" t="s">
        <v>197</v>
      </c>
      <c r="D376" t="s">
        <v>197</v>
      </c>
      <c r="E376" t="s">
        <v>197</v>
      </c>
      <c r="F376" t="s">
        <v>197</v>
      </c>
      <c r="G376" t="s">
        <v>197</v>
      </c>
      <c r="H376" t="s">
        <v>197</v>
      </c>
      <c r="I376" t="s">
        <v>197</v>
      </c>
      <c r="J376" t="s">
        <v>197</v>
      </c>
      <c r="K376" t="s">
        <v>670</v>
      </c>
    </row>
    <row r="377" spans="1:24">
      <c r="B377" t="s">
        <v>197</v>
      </c>
      <c r="C377" t="s">
        <v>197</v>
      </c>
      <c r="D377" t="s">
        <v>197</v>
      </c>
      <c r="E377" t="s">
        <v>197</v>
      </c>
      <c r="F377" t="s">
        <v>197</v>
      </c>
      <c r="G377" t="s">
        <v>197</v>
      </c>
      <c r="H377" t="s">
        <v>197</v>
      </c>
      <c r="I377" t="s">
        <v>197</v>
      </c>
      <c r="J377" t="s">
        <v>197</v>
      </c>
      <c r="K377" t="s">
        <v>671</v>
      </c>
    </row>
    <row r="378" spans="1:24">
      <c r="B378" t="s">
        <v>197</v>
      </c>
      <c r="C378" t="s">
        <v>197</v>
      </c>
      <c r="D378" t="s">
        <v>197</v>
      </c>
      <c r="E378" t="s">
        <v>197</v>
      </c>
      <c r="F378" t="s">
        <v>197</v>
      </c>
      <c r="G378" t="s">
        <v>197</v>
      </c>
      <c r="H378" t="s">
        <v>197</v>
      </c>
      <c r="I378" t="s">
        <v>197</v>
      </c>
      <c r="J378" t="s">
        <v>197</v>
      </c>
      <c r="K378" t="s">
        <v>672</v>
      </c>
    </row>
    <row r="379" spans="1:24">
      <c r="B379" t="s">
        <v>197</v>
      </c>
      <c r="C379" t="s">
        <v>197</v>
      </c>
      <c r="D379" t="s">
        <v>197</v>
      </c>
      <c r="E379" t="s">
        <v>197</v>
      </c>
      <c r="F379" t="s">
        <v>197</v>
      </c>
      <c r="G379" t="s">
        <v>197</v>
      </c>
      <c r="H379" t="s">
        <v>197</v>
      </c>
      <c r="I379" t="s">
        <v>197</v>
      </c>
      <c r="J379" t="s">
        <v>197</v>
      </c>
      <c r="K379" t="s">
        <v>673</v>
      </c>
    </row>
    <row r="380" spans="1:24">
      <c r="B380" t="s">
        <v>197</v>
      </c>
      <c r="C380" t="s">
        <v>197</v>
      </c>
      <c r="D380" t="s">
        <v>197</v>
      </c>
      <c r="E380" t="s">
        <v>197</v>
      </c>
      <c r="F380" t="s">
        <v>197</v>
      </c>
      <c r="G380" t="s">
        <v>197</v>
      </c>
      <c r="H380" t="s">
        <v>197</v>
      </c>
      <c r="I380" t="s">
        <v>197</v>
      </c>
      <c r="J380" t="s">
        <v>197</v>
      </c>
      <c r="K380" t="s">
        <v>674</v>
      </c>
    </row>
    <row r="381" spans="1:24">
      <c r="A381" t="s">
        <v>722</v>
      </c>
      <c r="K381" t="s">
        <v>723</v>
      </c>
      <c r="W381" t="s">
        <v>171</v>
      </c>
      <c r="X381" t="str">
        <f>A381</f>
        <v>info_varcharmax_dml_batch1_pk_irp1</v>
      </c>
    </row>
    <row r="382" spans="1:24">
      <c r="B382" t="s">
        <v>196</v>
      </c>
      <c r="C382" t="s">
        <v>197</v>
      </c>
      <c r="D382" t="s">
        <v>197</v>
      </c>
      <c r="E382" t="s">
        <v>197</v>
      </c>
      <c r="F382" t="s">
        <v>197</v>
      </c>
      <c r="G382" t="s">
        <v>197</v>
      </c>
      <c r="H382" t="s">
        <v>197</v>
      </c>
      <c r="I382" t="s">
        <v>724</v>
      </c>
      <c r="J382" t="s">
        <v>199</v>
      </c>
      <c r="K382" t="s">
        <v>200</v>
      </c>
    </row>
    <row r="383" spans="1:24">
      <c r="B383" t="s">
        <v>197</v>
      </c>
      <c r="C383" t="s">
        <v>197</v>
      </c>
      <c r="D383" t="s">
        <v>197</v>
      </c>
      <c r="E383" t="s">
        <v>197</v>
      </c>
      <c r="F383" t="s">
        <v>197</v>
      </c>
      <c r="G383" t="s">
        <v>197</v>
      </c>
      <c r="H383" t="s">
        <v>197</v>
      </c>
      <c r="I383" t="s">
        <v>197</v>
      </c>
      <c r="J383" t="s">
        <v>197</v>
      </c>
      <c r="K383" t="s">
        <v>725</v>
      </c>
    </row>
    <row r="384" spans="1:24">
      <c r="B384" t="s">
        <v>197</v>
      </c>
      <c r="C384" t="s">
        <v>197</v>
      </c>
      <c r="D384" t="s">
        <v>197</v>
      </c>
      <c r="E384" t="s">
        <v>197</v>
      </c>
      <c r="F384" t="s">
        <v>197</v>
      </c>
      <c r="G384" t="s">
        <v>197</v>
      </c>
      <c r="H384" t="s">
        <v>197</v>
      </c>
      <c r="I384" t="s">
        <v>197</v>
      </c>
      <c r="J384" t="s">
        <v>197</v>
      </c>
      <c r="K384" t="s">
        <v>726</v>
      </c>
    </row>
    <row r="385" spans="1:24">
      <c r="K385" t="s">
        <v>443</v>
      </c>
    </row>
    <row r="386" spans="1:24">
      <c r="A386" t="s">
        <v>727</v>
      </c>
      <c r="K386" t="s">
        <v>728</v>
      </c>
      <c r="W386" t="s">
        <v>171</v>
      </c>
      <c r="X386" t="str">
        <f>A386</f>
        <v>info_nvarchar_dml_single_pk_irp</v>
      </c>
    </row>
    <row r="387" spans="1:24">
      <c r="B387" t="s">
        <v>196</v>
      </c>
      <c r="C387" t="s">
        <v>197</v>
      </c>
      <c r="D387" t="s">
        <v>197</v>
      </c>
      <c r="E387" t="s">
        <v>197</v>
      </c>
      <c r="F387" t="s">
        <v>197</v>
      </c>
      <c r="G387" t="s">
        <v>197</v>
      </c>
      <c r="H387" t="s">
        <v>197</v>
      </c>
      <c r="I387" t="s">
        <v>729</v>
      </c>
      <c r="J387" t="s">
        <v>199</v>
      </c>
      <c r="K387" t="s">
        <v>200</v>
      </c>
    </row>
    <row r="388" spans="1:24">
      <c r="B388" t="s">
        <v>197</v>
      </c>
      <c r="C388" t="s">
        <v>197</v>
      </c>
      <c r="D388" t="s">
        <v>197</v>
      </c>
      <c r="E388" t="s">
        <v>197</v>
      </c>
      <c r="F388" t="s">
        <v>197</v>
      </c>
      <c r="G388" t="s">
        <v>197</v>
      </c>
      <c r="H388" t="s">
        <v>197</v>
      </c>
      <c r="I388" t="s">
        <v>197</v>
      </c>
      <c r="J388" t="s">
        <v>197</v>
      </c>
      <c r="K388" t="s">
        <v>408</v>
      </c>
    </row>
    <row r="389" spans="1:24">
      <c r="B389" t="s">
        <v>197</v>
      </c>
      <c r="C389" t="s">
        <v>197</v>
      </c>
      <c r="D389" t="s">
        <v>197</v>
      </c>
      <c r="E389" t="s">
        <v>197</v>
      </c>
      <c r="F389" t="s">
        <v>197</v>
      </c>
      <c r="G389" t="s">
        <v>197</v>
      </c>
      <c r="H389" t="s">
        <v>197</v>
      </c>
      <c r="I389" t="s">
        <v>197</v>
      </c>
      <c r="J389" t="s">
        <v>197</v>
      </c>
      <c r="K389" t="s">
        <v>412</v>
      </c>
    </row>
    <row r="390" spans="1:24">
      <c r="B390" t="s">
        <v>197</v>
      </c>
      <c r="C390" t="s">
        <v>197</v>
      </c>
      <c r="D390" t="s">
        <v>197</v>
      </c>
      <c r="E390" t="s">
        <v>197</v>
      </c>
      <c r="F390" t="s">
        <v>197</v>
      </c>
      <c r="G390" t="s">
        <v>197</v>
      </c>
      <c r="H390" t="s">
        <v>197</v>
      </c>
      <c r="I390" t="s">
        <v>197</v>
      </c>
      <c r="J390" t="s">
        <v>197</v>
      </c>
      <c r="K390" t="s">
        <v>730</v>
      </c>
    </row>
    <row r="391" spans="1:24">
      <c r="A391" t="s">
        <v>731</v>
      </c>
      <c r="K391" t="s">
        <v>732</v>
      </c>
      <c r="W391" t="s">
        <v>171</v>
      </c>
      <c r="X391" t="str">
        <f>A391</f>
        <v>info_datetime2_dml_batch1_pk_drp1</v>
      </c>
    </row>
    <row r="392" spans="1:24">
      <c r="B392" t="s">
        <v>196</v>
      </c>
      <c r="C392" t="s">
        <v>197</v>
      </c>
      <c r="D392" t="s">
        <v>197</v>
      </c>
      <c r="E392" t="s">
        <v>197</v>
      </c>
      <c r="F392" t="s">
        <v>197</v>
      </c>
      <c r="G392" t="s">
        <v>197</v>
      </c>
      <c r="H392" t="s">
        <v>197</v>
      </c>
      <c r="I392" t="s">
        <v>733</v>
      </c>
      <c r="J392" t="s">
        <v>199</v>
      </c>
      <c r="K392" t="s">
        <v>200</v>
      </c>
    </row>
    <row r="393" spans="1:24">
      <c r="B393" t="s">
        <v>197</v>
      </c>
      <c r="C393" t="s">
        <v>197</v>
      </c>
      <c r="D393" t="s">
        <v>197</v>
      </c>
      <c r="E393" t="s">
        <v>197</v>
      </c>
      <c r="F393" t="s">
        <v>197</v>
      </c>
      <c r="G393" t="s">
        <v>197</v>
      </c>
      <c r="H393" t="s">
        <v>197</v>
      </c>
      <c r="I393" t="s">
        <v>197</v>
      </c>
      <c r="J393" t="s">
        <v>197</v>
      </c>
      <c r="K393" t="s">
        <v>667</v>
      </c>
    </row>
    <row r="394" spans="1:24">
      <c r="B394" t="s">
        <v>197</v>
      </c>
      <c r="C394" t="s">
        <v>197</v>
      </c>
      <c r="D394" t="s">
        <v>197</v>
      </c>
      <c r="E394" t="s">
        <v>197</v>
      </c>
      <c r="F394" t="s">
        <v>197</v>
      </c>
      <c r="G394" t="s">
        <v>197</v>
      </c>
      <c r="H394" t="s">
        <v>197</v>
      </c>
      <c r="I394" t="s">
        <v>197</v>
      </c>
      <c r="J394" t="s">
        <v>197</v>
      </c>
      <c r="K394" t="s">
        <v>668</v>
      </c>
    </row>
    <row r="395" spans="1:24">
      <c r="B395" t="s">
        <v>197</v>
      </c>
      <c r="C395" t="s">
        <v>197</v>
      </c>
      <c r="D395" t="s">
        <v>197</v>
      </c>
      <c r="E395" t="s">
        <v>197</v>
      </c>
      <c r="F395" t="s">
        <v>197</v>
      </c>
      <c r="G395" t="s">
        <v>197</v>
      </c>
      <c r="H395" t="s">
        <v>197</v>
      </c>
      <c r="I395" t="s">
        <v>197</v>
      </c>
      <c r="J395" t="s">
        <v>197</v>
      </c>
      <c r="K395" t="s">
        <v>669</v>
      </c>
    </row>
    <row r="396" spans="1:24">
      <c r="B396" t="s">
        <v>197</v>
      </c>
      <c r="C396" t="s">
        <v>197</v>
      </c>
      <c r="D396" t="s">
        <v>197</v>
      </c>
      <c r="E396" t="s">
        <v>197</v>
      </c>
      <c r="F396" t="s">
        <v>197</v>
      </c>
      <c r="G396" t="s">
        <v>197</v>
      </c>
      <c r="H396" t="s">
        <v>197</v>
      </c>
      <c r="I396" t="s">
        <v>197</v>
      </c>
      <c r="J396" t="s">
        <v>197</v>
      </c>
      <c r="K396" t="s">
        <v>670</v>
      </c>
    </row>
    <row r="397" spans="1:24">
      <c r="B397" t="s">
        <v>197</v>
      </c>
      <c r="C397" t="s">
        <v>197</v>
      </c>
      <c r="D397" t="s">
        <v>197</v>
      </c>
      <c r="E397" t="s">
        <v>197</v>
      </c>
      <c r="F397" t="s">
        <v>197</v>
      </c>
      <c r="G397" t="s">
        <v>197</v>
      </c>
      <c r="H397" t="s">
        <v>197</v>
      </c>
      <c r="I397" t="s">
        <v>197</v>
      </c>
      <c r="J397" t="s">
        <v>197</v>
      </c>
      <c r="K397" t="s">
        <v>671</v>
      </c>
    </row>
    <row r="398" spans="1:24">
      <c r="B398" t="s">
        <v>197</v>
      </c>
      <c r="C398" t="s">
        <v>197</v>
      </c>
      <c r="D398" t="s">
        <v>197</v>
      </c>
      <c r="E398" t="s">
        <v>197</v>
      </c>
      <c r="F398" t="s">
        <v>197</v>
      </c>
      <c r="G398" t="s">
        <v>197</v>
      </c>
      <c r="H398" t="s">
        <v>197</v>
      </c>
      <c r="I398" t="s">
        <v>197</v>
      </c>
      <c r="J398" t="s">
        <v>197</v>
      </c>
      <c r="K398" t="s">
        <v>672</v>
      </c>
    </row>
    <row r="399" spans="1:24">
      <c r="B399" t="s">
        <v>197</v>
      </c>
      <c r="C399" t="s">
        <v>197</v>
      </c>
      <c r="D399" t="s">
        <v>197</v>
      </c>
      <c r="E399" t="s">
        <v>197</v>
      </c>
      <c r="F399" t="s">
        <v>197</v>
      </c>
      <c r="G399" t="s">
        <v>197</v>
      </c>
      <c r="H399" t="s">
        <v>197</v>
      </c>
      <c r="I399" t="s">
        <v>197</v>
      </c>
      <c r="J399" t="s">
        <v>197</v>
      </c>
      <c r="K399" t="s">
        <v>673</v>
      </c>
    </row>
    <row r="400" spans="1:24">
      <c r="B400" t="s">
        <v>197</v>
      </c>
      <c r="C400" t="s">
        <v>197</v>
      </c>
      <c r="D400" t="s">
        <v>197</v>
      </c>
      <c r="E400" t="s">
        <v>197</v>
      </c>
      <c r="F400" t="s">
        <v>197</v>
      </c>
      <c r="G400" t="s">
        <v>197</v>
      </c>
      <c r="H400" t="s">
        <v>197</v>
      </c>
      <c r="I400" t="s">
        <v>197</v>
      </c>
      <c r="J400" t="s">
        <v>197</v>
      </c>
      <c r="K400" t="s">
        <v>674</v>
      </c>
    </row>
    <row r="401" spans="1:24">
      <c r="K401" t="s">
        <v>443</v>
      </c>
    </row>
    <row r="402" spans="1:24">
      <c r="A402" t="s">
        <v>734</v>
      </c>
      <c r="K402" t="s">
        <v>735</v>
      </c>
      <c r="W402" t="s">
        <v>171</v>
      </c>
      <c r="X402" t="str">
        <f>A402</f>
        <v>info_varcharmax_dml_batch1_pk_irp2</v>
      </c>
    </row>
    <row r="403" spans="1:24">
      <c r="B403" t="s">
        <v>196</v>
      </c>
      <c r="C403" t="s">
        <v>197</v>
      </c>
      <c r="D403" t="s">
        <v>197</v>
      </c>
      <c r="E403" t="s">
        <v>197</v>
      </c>
      <c r="F403" t="s">
        <v>197</v>
      </c>
      <c r="G403" t="s">
        <v>197</v>
      </c>
      <c r="H403" t="s">
        <v>197</v>
      </c>
      <c r="I403" t="s">
        <v>736</v>
      </c>
      <c r="J403" t="s">
        <v>199</v>
      </c>
      <c r="K403" t="s">
        <v>200</v>
      </c>
    </row>
    <row r="404" spans="1:24">
      <c r="B404" t="s">
        <v>197</v>
      </c>
      <c r="C404" t="s">
        <v>197</v>
      </c>
      <c r="D404" t="s">
        <v>197</v>
      </c>
      <c r="E404" t="s">
        <v>197</v>
      </c>
      <c r="F404" t="s">
        <v>197</v>
      </c>
      <c r="G404" t="s">
        <v>197</v>
      </c>
      <c r="H404" t="s">
        <v>197</v>
      </c>
      <c r="I404" t="s">
        <v>197</v>
      </c>
      <c r="J404" t="s">
        <v>197</v>
      </c>
      <c r="K404" t="s">
        <v>725</v>
      </c>
    </row>
    <row r="405" spans="1:24">
      <c r="B405" t="s">
        <v>197</v>
      </c>
      <c r="C405" t="s">
        <v>197</v>
      </c>
      <c r="D405" t="s">
        <v>197</v>
      </c>
      <c r="E405" t="s">
        <v>197</v>
      </c>
      <c r="F405" t="s">
        <v>197</v>
      </c>
      <c r="G405" t="s">
        <v>197</v>
      </c>
      <c r="H405" t="s">
        <v>197</v>
      </c>
      <c r="I405" t="s">
        <v>197</v>
      </c>
      <c r="J405" t="s">
        <v>197</v>
      </c>
      <c r="K405" t="s">
        <v>726</v>
      </c>
    </row>
    <row r="406" spans="1:24">
      <c r="K406" t="s">
        <v>443</v>
      </c>
    </row>
    <row r="407" spans="1:24">
      <c r="A407" t="s">
        <v>713</v>
      </c>
      <c r="K407" t="s">
        <v>714</v>
      </c>
      <c r="W407" t="s">
        <v>171</v>
      </c>
      <c r="X407" t="str">
        <f>A407</f>
        <v>info_nchar_dml_batch1_pk_irp2</v>
      </c>
    </row>
    <row r="408" spans="1:24">
      <c r="B408" t="s">
        <v>196</v>
      </c>
      <c r="C408" t="s">
        <v>197</v>
      </c>
      <c r="D408" t="s">
        <v>197</v>
      </c>
      <c r="E408" t="s">
        <v>197</v>
      </c>
      <c r="F408" t="s">
        <v>197</v>
      </c>
      <c r="G408" t="s">
        <v>197</v>
      </c>
      <c r="H408" t="s">
        <v>197</v>
      </c>
      <c r="I408" t="s">
        <v>715</v>
      </c>
      <c r="J408" t="s">
        <v>199</v>
      </c>
      <c r="K408" t="s">
        <v>200</v>
      </c>
    </row>
    <row r="409" spans="1:24">
      <c r="B409" t="s">
        <v>197</v>
      </c>
      <c r="C409" t="s">
        <v>197</v>
      </c>
      <c r="D409" t="s">
        <v>197</v>
      </c>
      <c r="E409" t="s">
        <v>197</v>
      </c>
      <c r="F409" t="s">
        <v>197</v>
      </c>
      <c r="G409" t="s">
        <v>197</v>
      </c>
      <c r="H409" t="s">
        <v>197</v>
      </c>
      <c r="I409" t="s">
        <v>197</v>
      </c>
      <c r="J409" t="s">
        <v>197</v>
      </c>
      <c r="K409" t="s">
        <v>514</v>
      </c>
    </row>
    <row r="410" spans="1:24">
      <c r="B410" t="s">
        <v>197</v>
      </c>
      <c r="C410" t="s">
        <v>197</v>
      </c>
      <c r="D410" t="s">
        <v>197</v>
      </c>
      <c r="E410" t="s">
        <v>197</v>
      </c>
      <c r="F410" t="s">
        <v>197</v>
      </c>
      <c r="G410" t="s">
        <v>197</v>
      </c>
      <c r="H410" t="s">
        <v>197</v>
      </c>
      <c r="I410" t="s">
        <v>197</v>
      </c>
      <c r="J410" t="s">
        <v>197</v>
      </c>
      <c r="K410" t="s">
        <v>516</v>
      </c>
    </row>
    <row r="411" spans="1:24">
      <c r="B411" t="s">
        <v>197</v>
      </c>
      <c r="C411" t="s">
        <v>197</v>
      </c>
      <c r="D411" t="s">
        <v>197</v>
      </c>
      <c r="E411" t="s">
        <v>197</v>
      </c>
      <c r="F411" t="s">
        <v>197</v>
      </c>
      <c r="G411" t="s">
        <v>197</v>
      </c>
      <c r="H411" t="s">
        <v>197</v>
      </c>
      <c r="I411" t="s">
        <v>197</v>
      </c>
      <c r="J411" t="s">
        <v>197</v>
      </c>
      <c r="K411" t="s">
        <v>612</v>
      </c>
    </row>
    <row r="412" spans="1:24">
      <c r="A412" t="s">
        <v>737</v>
      </c>
      <c r="K412" t="s">
        <v>738</v>
      </c>
      <c r="W412" t="s">
        <v>171</v>
      </c>
      <c r="X412" t="str">
        <f>A412</f>
        <v>info_binary_dml_batch1_pk_irp2</v>
      </c>
    </row>
    <row r="413" spans="1:24">
      <c r="B413" t="s">
        <v>196</v>
      </c>
      <c r="C413" t="s">
        <v>197</v>
      </c>
      <c r="D413" t="s">
        <v>197</v>
      </c>
      <c r="E413" t="s">
        <v>197</v>
      </c>
      <c r="F413" t="s">
        <v>197</v>
      </c>
      <c r="G413" t="s">
        <v>197</v>
      </c>
      <c r="H413" t="s">
        <v>197</v>
      </c>
      <c r="I413" t="s">
        <v>739</v>
      </c>
      <c r="J413" t="s">
        <v>199</v>
      </c>
      <c r="K413" t="s">
        <v>200</v>
      </c>
    </row>
    <row r="414" spans="1:24">
      <c r="B414" t="s">
        <v>197</v>
      </c>
      <c r="C414" t="s">
        <v>197</v>
      </c>
      <c r="D414" t="s">
        <v>197</v>
      </c>
      <c r="E414" t="s">
        <v>197</v>
      </c>
      <c r="F414" t="s">
        <v>197</v>
      </c>
      <c r="G414" t="s">
        <v>197</v>
      </c>
      <c r="H414" t="s">
        <v>197</v>
      </c>
      <c r="I414" t="s">
        <v>197</v>
      </c>
      <c r="J414" t="s">
        <v>197</v>
      </c>
      <c r="K414" t="s">
        <v>691</v>
      </c>
    </row>
    <row r="415" spans="1:24">
      <c r="B415" t="s">
        <v>197</v>
      </c>
      <c r="C415" t="s">
        <v>197</v>
      </c>
      <c r="D415" t="s">
        <v>197</v>
      </c>
      <c r="E415" t="s">
        <v>197</v>
      </c>
      <c r="F415" t="s">
        <v>197</v>
      </c>
      <c r="G415" t="s">
        <v>197</v>
      </c>
      <c r="H415" t="s">
        <v>197</v>
      </c>
      <c r="I415" t="s">
        <v>197</v>
      </c>
      <c r="J415" t="s">
        <v>197</v>
      </c>
      <c r="K415" t="s">
        <v>692</v>
      </c>
    </row>
    <row r="416" spans="1:24">
      <c r="B416" t="s">
        <v>197</v>
      </c>
      <c r="C416" t="s">
        <v>197</v>
      </c>
      <c r="D416" t="s">
        <v>197</v>
      </c>
      <c r="E416" t="s">
        <v>197</v>
      </c>
      <c r="F416" t="s">
        <v>197</v>
      </c>
      <c r="G416" t="s">
        <v>197</v>
      </c>
      <c r="H416" t="s">
        <v>197</v>
      </c>
      <c r="I416" t="s">
        <v>197</v>
      </c>
      <c r="J416" t="s">
        <v>197</v>
      </c>
      <c r="K416" t="s">
        <v>693</v>
      </c>
    </row>
    <row r="417" spans="1:24">
      <c r="A417" t="s">
        <v>740</v>
      </c>
      <c r="K417" t="s">
        <v>741</v>
      </c>
      <c r="W417" t="s">
        <v>171</v>
      </c>
      <c r="X417" t="str">
        <f>A417</f>
        <v>info_datetime2_dml_batch1_pk_drp2</v>
      </c>
    </row>
    <row r="418" spans="1:24">
      <c r="B418" t="s">
        <v>196</v>
      </c>
      <c r="C418" t="s">
        <v>197</v>
      </c>
      <c r="D418" t="s">
        <v>197</v>
      </c>
      <c r="E418" t="s">
        <v>197</v>
      </c>
      <c r="F418" t="s">
        <v>197</v>
      </c>
      <c r="G418" t="s">
        <v>197</v>
      </c>
      <c r="H418" t="s">
        <v>197</v>
      </c>
      <c r="I418" t="s">
        <v>742</v>
      </c>
      <c r="J418" t="s">
        <v>199</v>
      </c>
      <c r="K418" t="s">
        <v>200</v>
      </c>
    </row>
    <row r="419" spans="1:24">
      <c r="B419" t="s">
        <v>197</v>
      </c>
      <c r="C419" t="s">
        <v>197</v>
      </c>
      <c r="D419" t="s">
        <v>197</v>
      </c>
      <c r="E419" t="s">
        <v>197</v>
      </c>
      <c r="F419" t="s">
        <v>197</v>
      </c>
      <c r="G419" t="s">
        <v>197</v>
      </c>
      <c r="H419" t="s">
        <v>197</v>
      </c>
      <c r="I419" t="s">
        <v>197</v>
      </c>
      <c r="J419" t="s">
        <v>197</v>
      </c>
      <c r="K419" t="s">
        <v>667</v>
      </c>
    </row>
    <row r="420" spans="1:24">
      <c r="B420" t="s">
        <v>197</v>
      </c>
      <c r="C420" t="s">
        <v>197</v>
      </c>
      <c r="D420" t="s">
        <v>197</v>
      </c>
      <c r="E420" t="s">
        <v>197</v>
      </c>
      <c r="F420" t="s">
        <v>197</v>
      </c>
      <c r="G420" t="s">
        <v>197</v>
      </c>
      <c r="H420" t="s">
        <v>197</v>
      </c>
      <c r="I420" t="s">
        <v>197</v>
      </c>
      <c r="J420" t="s">
        <v>197</v>
      </c>
      <c r="K420" t="s">
        <v>668</v>
      </c>
    </row>
    <row r="421" spans="1:24">
      <c r="B421" t="s">
        <v>197</v>
      </c>
      <c r="C421" t="s">
        <v>197</v>
      </c>
      <c r="D421" t="s">
        <v>197</v>
      </c>
      <c r="E421" t="s">
        <v>197</v>
      </c>
      <c r="F421" t="s">
        <v>197</v>
      </c>
      <c r="G421" t="s">
        <v>197</v>
      </c>
      <c r="H421" t="s">
        <v>197</v>
      </c>
      <c r="I421" t="s">
        <v>197</v>
      </c>
      <c r="J421" t="s">
        <v>197</v>
      </c>
      <c r="K421" t="s">
        <v>669</v>
      </c>
    </row>
    <row r="422" spans="1:24">
      <c r="B422" t="s">
        <v>197</v>
      </c>
      <c r="C422" t="s">
        <v>197</v>
      </c>
      <c r="D422" t="s">
        <v>197</v>
      </c>
      <c r="E422" t="s">
        <v>197</v>
      </c>
      <c r="F422" t="s">
        <v>197</v>
      </c>
      <c r="G422" t="s">
        <v>197</v>
      </c>
      <c r="H422" t="s">
        <v>197</v>
      </c>
      <c r="I422" t="s">
        <v>197</v>
      </c>
      <c r="J422" t="s">
        <v>197</v>
      </c>
      <c r="K422" t="s">
        <v>670</v>
      </c>
    </row>
    <row r="423" spans="1:24">
      <c r="B423" t="s">
        <v>197</v>
      </c>
      <c r="C423" t="s">
        <v>197</v>
      </c>
      <c r="D423" t="s">
        <v>197</v>
      </c>
      <c r="E423" t="s">
        <v>197</v>
      </c>
      <c r="F423" t="s">
        <v>197</v>
      </c>
      <c r="G423" t="s">
        <v>197</v>
      </c>
      <c r="H423" t="s">
        <v>197</v>
      </c>
      <c r="I423" t="s">
        <v>197</v>
      </c>
      <c r="J423" t="s">
        <v>197</v>
      </c>
      <c r="K423" t="s">
        <v>671</v>
      </c>
    </row>
    <row r="424" spans="1:24">
      <c r="B424" t="s">
        <v>197</v>
      </c>
      <c r="C424" t="s">
        <v>197</v>
      </c>
      <c r="D424" t="s">
        <v>197</v>
      </c>
      <c r="E424" t="s">
        <v>197</v>
      </c>
      <c r="F424" t="s">
        <v>197</v>
      </c>
      <c r="G424" t="s">
        <v>197</v>
      </c>
      <c r="H424" t="s">
        <v>197</v>
      </c>
      <c r="I424" t="s">
        <v>197</v>
      </c>
      <c r="J424" t="s">
        <v>197</v>
      </c>
      <c r="K424" t="s">
        <v>672</v>
      </c>
    </row>
    <row r="425" spans="1:24">
      <c r="B425" t="s">
        <v>197</v>
      </c>
      <c r="C425" t="s">
        <v>197</v>
      </c>
      <c r="D425" t="s">
        <v>197</v>
      </c>
      <c r="E425" t="s">
        <v>197</v>
      </c>
      <c r="F425" t="s">
        <v>197</v>
      </c>
      <c r="G425" t="s">
        <v>197</v>
      </c>
      <c r="H425" t="s">
        <v>197</v>
      </c>
      <c r="I425" t="s">
        <v>197</v>
      </c>
      <c r="J425" t="s">
        <v>197</v>
      </c>
      <c r="K425" t="s">
        <v>673</v>
      </c>
    </row>
    <row r="426" spans="1:24">
      <c r="B426" t="s">
        <v>197</v>
      </c>
      <c r="C426" t="s">
        <v>197</v>
      </c>
      <c r="D426" t="s">
        <v>197</v>
      </c>
      <c r="E426" t="s">
        <v>197</v>
      </c>
      <c r="F426" t="s">
        <v>197</v>
      </c>
      <c r="G426" t="s">
        <v>197</v>
      </c>
      <c r="H426" t="s">
        <v>197</v>
      </c>
      <c r="I426" t="s">
        <v>197</v>
      </c>
      <c r="J426" t="s">
        <v>197</v>
      </c>
      <c r="K426" t="s">
        <v>674</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749</v>
      </c>
      <c r="K430" t="s">
        <v>750</v>
      </c>
      <c r="W430" t="s">
        <v>171</v>
      </c>
      <c r="X430" t="str">
        <f>A430</f>
        <v>info_datetime2_dml_batch1_pk</v>
      </c>
    </row>
    <row r="431" spans="1:24">
      <c r="B431" t="s">
        <v>196</v>
      </c>
      <c r="C431" t="s">
        <v>197</v>
      </c>
      <c r="D431" t="s">
        <v>197</v>
      </c>
      <c r="E431" t="s">
        <v>197</v>
      </c>
      <c r="F431" t="s">
        <v>197</v>
      </c>
      <c r="G431" t="s">
        <v>197</v>
      </c>
      <c r="H431" t="s">
        <v>197</v>
      </c>
      <c r="I431" t="s">
        <v>751</v>
      </c>
      <c r="J431" t="s">
        <v>199</v>
      </c>
      <c r="K431" t="s">
        <v>200</v>
      </c>
    </row>
    <row r="432" spans="1:24">
      <c r="B432" t="s">
        <v>197</v>
      </c>
      <c r="C432" t="s">
        <v>197</v>
      </c>
      <c r="D432" t="s">
        <v>197</v>
      </c>
      <c r="E432" t="s">
        <v>197</v>
      </c>
      <c r="F432" t="s">
        <v>197</v>
      </c>
      <c r="G432" t="s">
        <v>197</v>
      </c>
      <c r="H432" t="s">
        <v>197</v>
      </c>
      <c r="I432" t="s">
        <v>197</v>
      </c>
      <c r="J432" t="s">
        <v>197</v>
      </c>
      <c r="K432" t="s">
        <v>667</v>
      </c>
    </row>
    <row r="433" spans="1:24">
      <c r="B433" t="s">
        <v>197</v>
      </c>
      <c r="C433" t="s">
        <v>197</v>
      </c>
      <c r="D433" t="s">
        <v>197</v>
      </c>
      <c r="E433" t="s">
        <v>197</v>
      </c>
      <c r="F433" t="s">
        <v>197</v>
      </c>
      <c r="G433" t="s">
        <v>197</v>
      </c>
      <c r="H433" t="s">
        <v>197</v>
      </c>
      <c r="I433" t="s">
        <v>197</v>
      </c>
      <c r="J433" t="s">
        <v>197</v>
      </c>
      <c r="K433" t="s">
        <v>668</v>
      </c>
    </row>
    <row r="434" spans="1:24">
      <c r="B434" t="s">
        <v>197</v>
      </c>
      <c r="C434" t="s">
        <v>197</v>
      </c>
      <c r="D434" t="s">
        <v>197</v>
      </c>
      <c r="E434" t="s">
        <v>197</v>
      </c>
      <c r="F434" t="s">
        <v>197</v>
      </c>
      <c r="G434" t="s">
        <v>197</v>
      </c>
      <c r="H434" t="s">
        <v>197</v>
      </c>
      <c r="I434" t="s">
        <v>197</v>
      </c>
      <c r="J434" t="s">
        <v>197</v>
      </c>
      <c r="K434" t="s">
        <v>669</v>
      </c>
    </row>
    <row r="435" spans="1:24">
      <c r="B435" t="s">
        <v>197</v>
      </c>
      <c r="C435" t="s">
        <v>197</v>
      </c>
      <c r="D435" t="s">
        <v>197</v>
      </c>
      <c r="E435" t="s">
        <v>197</v>
      </c>
      <c r="F435" t="s">
        <v>197</v>
      </c>
      <c r="G435" t="s">
        <v>197</v>
      </c>
      <c r="H435" t="s">
        <v>197</v>
      </c>
      <c r="I435" t="s">
        <v>197</v>
      </c>
      <c r="J435" t="s">
        <v>197</v>
      </c>
      <c r="K435" t="s">
        <v>670</v>
      </c>
    </row>
    <row r="436" spans="1:24">
      <c r="B436" t="s">
        <v>197</v>
      </c>
      <c r="C436" t="s">
        <v>197</v>
      </c>
      <c r="D436" t="s">
        <v>197</v>
      </c>
      <c r="E436" t="s">
        <v>197</v>
      </c>
      <c r="F436" t="s">
        <v>197</v>
      </c>
      <c r="G436" t="s">
        <v>197</v>
      </c>
      <c r="H436" t="s">
        <v>197</v>
      </c>
      <c r="I436" t="s">
        <v>197</v>
      </c>
      <c r="J436" t="s">
        <v>197</v>
      </c>
      <c r="K436" t="s">
        <v>671</v>
      </c>
    </row>
    <row r="437" spans="1:24">
      <c r="B437" t="s">
        <v>197</v>
      </c>
      <c r="C437" t="s">
        <v>197</v>
      </c>
      <c r="D437" t="s">
        <v>197</v>
      </c>
      <c r="E437" t="s">
        <v>197</v>
      </c>
      <c r="F437" t="s">
        <v>197</v>
      </c>
      <c r="G437" t="s">
        <v>197</v>
      </c>
      <c r="H437" t="s">
        <v>197</v>
      </c>
      <c r="I437" t="s">
        <v>197</v>
      </c>
      <c r="J437" t="s">
        <v>197</v>
      </c>
      <c r="K437" t="s">
        <v>672</v>
      </c>
    </row>
    <row r="438" spans="1:24">
      <c r="B438" t="s">
        <v>197</v>
      </c>
      <c r="C438" t="s">
        <v>197</v>
      </c>
      <c r="D438" t="s">
        <v>197</v>
      </c>
      <c r="E438" t="s">
        <v>197</v>
      </c>
      <c r="F438" t="s">
        <v>197</v>
      </c>
      <c r="G438" t="s">
        <v>197</v>
      </c>
      <c r="H438" t="s">
        <v>197</v>
      </c>
      <c r="I438" t="s">
        <v>197</v>
      </c>
      <c r="J438" t="s">
        <v>197</v>
      </c>
      <c r="K438" t="s">
        <v>673</v>
      </c>
    </row>
    <row r="439" spans="1:24">
      <c r="B439" t="s">
        <v>197</v>
      </c>
      <c r="C439" t="s">
        <v>197</v>
      </c>
      <c r="D439" t="s">
        <v>197</v>
      </c>
      <c r="E439" t="s">
        <v>197</v>
      </c>
      <c r="F439" t="s">
        <v>197</v>
      </c>
      <c r="G439" t="s">
        <v>197</v>
      </c>
      <c r="H439" t="s">
        <v>197</v>
      </c>
      <c r="I439" t="s">
        <v>197</v>
      </c>
      <c r="J439" t="s">
        <v>197</v>
      </c>
      <c r="K439" t="s">
        <v>674</v>
      </c>
    </row>
    <row r="440" spans="1:24">
      <c r="A440" t="s">
        <v>752</v>
      </c>
      <c r="K440" t="s">
        <v>753</v>
      </c>
      <c r="W440" t="s">
        <v>171</v>
      </c>
      <c r="X440" t="str">
        <f>A440</f>
        <v>info_nchar_dml_batch2_pk_irp1</v>
      </c>
    </row>
    <row r="441" spans="1:24">
      <c r="B441" t="s">
        <v>196</v>
      </c>
      <c r="C441" t="s">
        <v>197</v>
      </c>
      <c r="D441" t="s">
        <v>197</v>
      </c>
      <c r="E441" t="s">
        <v>197</v>
      </c>
      <c r="F441" t="s">
        <v>197</v>
      </c>
      <c r="G441" t="s">
        <v>197</v>
      </c>
      <c r="H441" t="s">
        <v>197</v>
      </c>
      <c r="I441" t="s">
        <v>754</v>
      </c>
      <c r="J441" t="s">
        <v>199</v>
      </c>
      <c r="K441" t="s">
        <v>200</v>
      </c>
    </row>
    <row r="442" spans="1:24">
      <c r="B442" t="s">
        <v>197</v>
      </c>
      <c r="C442" t="s">
        <v>197</v>
      </c>
      <c r="D442" t="s">
        <v>197</v>
      </c>
      <c r="E442" t="s">
        <v>197</v>
      </c>
      <c r="F442" t="s">
        <v>197</v>
      </c>
      <c r="G442" t="s">
        <v>197</v>
      </c>
      <c r="H442" t="s">
        <v>197</v>
      </c>
      <c r="I442" t="s">
        <v>197</v>
      </c>
      <c r="J442" t="s">
        <v>197</v>
      </c>
      <c r="K442" t="s">
        <v>514</v>
      </c>
    </row>
    <row r="443" spans="1:24">
      <c r="B443" t="s">
        <v>197</v>
      </c>
      <c r="C443" t="s">
        <v>197</v>
      </c>
      <c r="D443" t="s">
        <v>197</v>
      </c>
      <c r="E443" t="s">
        <v>197</v>
      </c>
      <c r="F443" t="s">
        <v>197</v>
      </c>
      <c r="G443" t="s">
        <v>197</v>
      </c>
      <c r="H443" t="s">
        <v>197</v>
      </c>
      <c r="I443" t="s">
        <v>197</v>
      </c>
      <c r="J443" t="s">
        <v>197</v>
      </c>
      <c r="K443" t="s">
        <v>516</v>
      </c>
    </row>
    <row r="444" spans="1:24">
      <c r="B444" t="s">
        <v>197</v>
      </c>
      <c r="C444" t="s">
        <v>197</v>
      </c>
      <c r="D444" t="s">
        <v>197</v>
      </c>
      <c r="E444" t="s">
        <v>197</v>
      </c>
      <c r="F444" t="s">
        <v>197</v>
      </c>
      <c r="G444" t="s">
        <v>197</v>
      </c>
      <c r="H444" t="s">
        <v>197</v>
      </c>
      <c r="I444" t="s">
        <v>197</v>
      </c>
      <c r="J444" t="s">
        <v>197</v>
      </c>
      <c r="K444" t="s">
        <v>612</v>
      </c>
    </row>
    <row r="445" spans="1:24">
      <c r="A445" t="s">
        <v>746</v>
      </c>
      <c r="K445" t="s">
        <v>747</v>
      </c>
      <c r="W445" t="s">
        <v>171</v>
      </c>
      <c r="X445" t="str">
        <f>A445</f>
        <v>info_nvarchar_dml_single_pk_urp</v>
      </c>
    </row>
    <row r="446" spans="1:24">
      <c r="B446" t="s">
        <v>196</v>
      </c>
      <c r="C446" t="s">
        <v>197</v>
      </c>
      <c r="D446" t="s">
        <v>197</v>
      </c>
      <c r="E446" t="s">
        <v>197</v>
      </c>
      <c r="F446" t="s">
        <v>197</v>
      </c>
      <c r="G446" t="s">
        <v>197</v>
      </c>
      <c r="H446" t="s">
        <v>197</v>
      </c>
      <c r="I446" t="s">
        <v>748</v>
      </c>
      <c r="J446" t="s">
        <v>199</v>
      </c>
      <c r="K446" t="s">
        <v>200</v>
      </c>
    </row>
    <row r="447" spans="1:24">
      <c r="B447" t="s">
        <v>197</v>
      </c>
      <c r="C447" t="s">
        <v>197</v>
      </c>
      <c r="D447" t="s">
        <v>197</v>
      </c>
      <c r="E447" t="s">
        <v>197</v>
      </c>
      <c r="F447" t="s">
        <v>197</v>
      </c>
      <c r="G447" t="s">
        <v>197</v>
      </c>
      <c r="H447" t="s">
        <v>197</v>
      </c>
      <c r="I447" t="s">
        <v>197</v>
      </c>
      <c r="J447" t="s">
        <v>197</v>
      </c>
      <c r="K447" t="s">
        <v>408</v>
      </c>
    </row>
    <row r="448" spans="1:24">
      <c r="B448" t="s">
        <v>197</v>
      </c>
      <c r="C448" t="s">
        <v>197</v>
      </c>
      <c r="D448" t="s">
        <v>197</v>
      </c>
      <c r="E448" t="s">
        <v>197</v>
      </c>
      <c r="F448" t="s">
        <v>197</v>
      </c>
      <c r="G448" t="s">
        <v>197</v>
      </c>
      <c r="H448" t="s">
        <v>197</v>
      </c>
      <c r="I448" t="s">
        <v>197</v>
      </c>
      <c r="J448" t="s">
        <v>197</v>
      </c>
      <c r="K448" t="s">
        <v>412</v>
      </c>
    </row>
    <row r="449" spans="1:24">
      <c r="B449" t="s">
        <v>197</v>
      </c>
      <c r="C449" t="s">
        <v>197</v>
      </c>
      <c r="D449" t="s">
        <v>197</v>
      </c>
      <c r="E449" t="s">
        <v>197</v>
      </c>
      <c r="F449" t="s">
        <v>197</v>
      </c>
      <c r="G449" t="s">
        <v>197</v>
      </c>
      <c r="H449" t="s">
        <v>197</v>
      </c>
      <c r="I449" t="s">
        <v>197</v>
      </c>
      <c r="J449" t="s">
        <v>197</v>
      </c>
      <c r="K449" t="s">
        <v>730</v>
      </c>
    </row>
    <row r="450" spans="1:24">
      <c r="A450" t="s">
        <v>755</v>
      </c>
      <c r="K450" t="s">
        <v>756</v>
      </c>
      <c r="W450" t="s">
        <v>171</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t="s">
        <v>171</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764</v>
      </c>
      <c r="K461" t="s">
        <v>765</v>
      </c>
      <c r="W461" t="s">
        <v>171</v>
      </c>
      <c r="X461" t="str">
        <f>A461</f>
        <v>info_datetimeoffset_dml_batch1_pk_irp1</v>
      </c>
    </row>
    <row r="462" spans="1:24">
      <c r="B462" t="s">
        <v>196</v>
      </c>
      <c r="C462" t="s">
        <v>197</v>
      </c>
      <c r="D462" t="s">
        <v>197</v>
      </c>
      <c r="E462" t="s">
        <v>197</v>
      </c>
      <c r="F462" t="s">
        <v>197</v>
      </c>
      <c r="G462" t="s">
        <v>197</v>
      </c>
      <c r="H462" t="s">
        <v>197</v>
      </c>
      <c r="I462" t="s">
        <v>766</v>
      </c>
      <c r="J462" t="s">
        <v>199</v>
      </c>
      <c r="K462" t="s">
        <v>200</v>
      </c>
    </row>
    <row r="463" spans="1:24">
      <c r="B463" t="s">
        <v>197</v>
      </c>
      <c r="C463" t="s">
        <v>197</v>
      </c>
      <c r="D463" t="s">
        <v>197</v>
      </c>
      <c r="E463" t="s">
        <v>197</v>
      </c>
      <c r="F463" t="s">
        <v>197</v>
      </c>
      <c r="G463" t="s">
        <v>197</v>
      </c>
      <c r="H463" t="s">
        <v>197</v>
      </c>
      <c r="I463" t="s">
        <v>197</v>
      </c>
      <c r="J463" t="s">
        <v>197</v>
      </c>
      <c r="K463" t="s">
        <v>301</v>
      </c>
    </row>
    <row r="464" spans="1:24">
      <c r="B464" t="s">
        <v>197</v>
      </c>
      <c r="C464" t="s">
        <v>197</v>
      </c>
      <c r="D464" t="s">
        <v>197</v>
      </c>
      <c r="E464" t="s">
        <v>197</v>
      </c>
      <c r="F464" t="s">
        <v>197</v>
      </c>
      <c r="G464" t="s">
        <v>197</v>
      </c>
      <c r="H464" t="s">
        <v>197</v>
      </c>
      <c r="I464" t="s">
        <v>197</v>
      </c>
      <c r="J464" t="s">
        <v>197</v>
      </c>
      <c r="K464" t="s">
        <v>314</v>
      </c>
    </row>
    <row r="465" spans="1:24">
      <c r="B465" t="s">
        <v>197</v>
      </c>
      <c r="C465" t="s">
        <v>197</v>
      </c>
      <c r="D465" t="s">
        <v>197</v>
      </c>
      <c r="E465" t="s">
        <v>197</v>
      </c>
      <c r="F465" t="s">
        <v>197</v>
      </c>
      <c r="G465" t="s">
        <v>197</v>
      </c>
      <c r="H465" t="s">
        <v>197</v>
      </c>
      <c r="I465" t="s">
        <v>197</v>
      </c>
      <c r="J465" t="s">
        <v>197</v>
      </c>
      <c r="K465" t="s">
        <v>324</v>
      </c>
    </row>
    <row r="466" spans="1:24">
      <c r="B466" t="s">
        <v>197</v>
      </c>
      <c r="C466" t="s">
        <v>197</v>
      </c>
      <c r="D466" t="s">
        <v>197</v>
      </c>
      <c r="E466" t="s">
        <v>197</v>
      </c>
      <c r="F466" t="s">
        <v>197</v>
      </c>
      <c r="G466" t="s">
        <v>197</v>
      </c>
      <c r="H466" t="s">
        <v>197</v>
      </c>
      <c r="I466" t="s">
        <v>197</v>
      </c>
      <c r="J466" t="s">
        <v>197</v>
      </c>
      <c r="K466" t="s">
        <v>335</v>
      </c>
    </row>
    <row r="467" spans="1:24">
      <c r="B467" t="s">
        <v>197</v>
      </c>
      <c r="C467" t="s">
        <v>197</v>
      </c>
      <c r="D467" t="s">
        <v>197</v>
      </c>
      <c r="E467" t="s">
        <v>197</v>
      </c>
      <c r="F467" t="s">
        <v>197</v>
      </c>
      <c r="G467" t="s">
        <v>197</v>
      </c>
      <c r="H467" t="s">
        <v>197</v>
      </c>
      <c r="I467" t="s">
        <v>197</v>
      </c>
      <c r="J467" t="s">
        <v>197</v>
      </c>
      <c r="K467" t="s">
        <v>350</v>
      </c>
    </row>
    <row r="468" spans="1:24">
      <c r="B468" t="s">
        <v>197</v>
      </c>
      <c r="C468" t="s">
        <v>197</v>
      </c>
      <c r="D468" t="s">
        <v>197</v>
      </c>
      <c r="E468" t="s">
        <v>197</v>
      </c>
      <c r="F468" t="s">
        <v>197</v>
      </c>
      <c r="G468" t="s">
        <v>197</v>
      </c>
      <c r="H468" t="s">
        <v>197</v>
      </c>
      <c r="I468" t="s">
        <v>197</v>
      </c>
      <c r="J468" t="s">
        <v>197</v>
      </c>
      <c r="K468" t="s">
        <v>360</v>
      </c>
    </row>
    <row r="469" spans="1:24">
      <c r="B469" t="s">
        <v>197</v>
      </c>
      <c r="C469" t="s">
        <v>197</v>
      </c>
      <c r="D469" t="s">
        <v>197</v>
      </c>
      <c r="E469" t="s">
        <v>197</v>
      </c>
      <c r="F469" t="s">
        <v>197</v>
      </c>
      <c r="G469" t="s">
        <v>197</v>
      </c>
      <c r="H469" t="s">
        <v>197</v>
      </c>
      <c r="I469" t="s">
        <v>197</v>
      </c>
      <c r="J469" t="s">
        <v>197</v>
      </c>
      <c r="K469" t="s">
        <v>367</v>
      </c>
    </row>
    <row r="470" spans="1:24">
      <c r="B470" t="s">
        <v>197</v>
      </c>
      <c r="C470" t="s">
        <v>197</v>
      </c>
      <c r="D470" t="s">
        <v>197</v>
      </c>
      <c r="E470" t="s">
        <v>197</v>
      </c>
      <c r="F470" t="s">
        <v>197</v>
      </c>
      <c r="G470" t="s">
        <v>197</v>
      </c>
      <c r="H470" t="s">
        <v>197</v>
      </c>
      <c r="I470" t="s">
        <v>197</v>
      </c>
      <c r="J470" t="s">
        <v>197</v>
      </c>
      <c r="K470" t="s">
        <v>373</v>
      </c>
    </row>
    <row r="471" spans="1:24">
      <c r="A471" t="s">
        <v>773</v>
      </c>
      <c r="K471" t="s">
        <v>774</v>
      </c>
      <c r="W471" t="s">
        <v>171</v>
      </c>
      <c r="X471" t="str">
        <f>A471</f>
        <v>info_date_dml_batch1_pk_irp1</v>
      </c>
    </row>
    <row r="472" spans="1:24">
      <c r="B472" t="s">
        <v>196</v>
      </c>
      <c r="C472" t="s">
        <v>197</v>
      </c>
      <c r="D472" t="s">
        <v>197</v>
      </c>
      <c r="E472" t="s">
        <v>197</v>
      </c>
      <c r="F472" t="s">
        <v>197</v>
      </c>
      <c r="G472" t="s">
        <v>197</v>
      </c>
      <c r="H472" t="s">
        <v>197</v>
      </c>
      <c r="I472" t="s">
        <v>775</v>
      </c>
      <c r="J472" t="s">
        <v>199</v>
      </c>
      <c r="K472" t="s">
        <v>200</v>
      </c>
    </row>
    <row r="473" spans="1:24">
      <c r="B473" t="s">
        <v>197</v>
      </c>
      <c r="C473" t="s">
        <v>197</v>
      </c>
      <c r="D473" t="s">
        <v>197</v>
      </c>
      <c r="E473" t="s">
        <v>197</v>
      </c>
      <c r="F473" t="s">
        <v>197</v>
      </c>
      <c r="G473" t="s">
        <v>197</v>
      </c>
      <c r="H473" t="s">
        <v>197</v>
      </c>
      <c r="I473" t="s">
        <v>197</v>
      </c>
      <c r="J473" t="s">
        <v>197</v>
      </c>
      <c r="K473" t="s">
        <v>678</v>
      </c>
    </row>
    <row r="474" spans="1:24">
      <c r="K474" t="s">
        <v>443</v>
      </c>
    </row>
    <row r="475" spans="1:24">
      <c r="A475" t="s">
        <v>770</v>
      </c>
      <c r="K475" t="s">
        <v>771</v>
      </c>
      <c r="W475" t="s">
        <v>171</v>
      </c>
      <c r="X475" t="str">
        <f>A475</f>
        <v>info_date_dml_single_pk</v>
      </c>
    </row>
    <row r="476" spans="1:24">
      <c r="B476" t="s">
        <v>196</v>
      </c>
      <c r="C476" t="s">
        <v>197</v>
      </c>
      <c r="D476" t="s">
        <v>197</v>
      </c>
      <c r="E476" t="s">
        <v>197</v>
      </c>
      <c r="F476" t="s">
        <v>197</v>
      </c>
      <c r="G476" t="s">
        <v>197</v>
      </c>
      <c r="H476" t="s">
        <v>197</v>
      </c>
      <c r="I476" t="s">
        <v>772</v>
      </c>
      <c r="J476" t="s">
        <v>199</v>
      </c>
      <c r="K476" t="s">
        <v>200</v>
      </c>
    </row>
    <row r="477" spans="1:24">
      <c r="B477" t="s">
        <v>197</v>
      </c>
      <c r="C477" t="s">
        <v>197</v>
      </c>
      <c r="D477" t="s">
        <v>197</v>
      </c>
      <c r="E477" t="s">
        <v>197</v>
      </c>
      <c r="F477" t="s">
        <v>197</v>
      </c>
      <c r="G477" t="s">
        <v>197</v>
      </c>
      <c r="H477" t="s">
        <v>197</v>
      </c>
      <c r="I477" t="s">
        <v>197</v>
      </c>
      <c r="J477" t="s">
        <v>197</v>
      </c>
      <c r="K477" t="s">
        <v>678</v>
      </c>
    </row>
    <row r="478" spans="1:24">
      <c r="A478" t="s">
        <v>776</v>
      </c>
      <c r="K478" t="s">
        <v>777</v>
      </c>
      <c r="W478" t="s">
        <v>171</v>
      </c>
      <c r="X478" t="str">
        <f>A478</f>
        <v>info_datetimeoffset_dml_batch1_pk_irp2</v>
      </c>
    </row>
    <row r="479" spans="1:24">
      <c r="B479" t="s">
        <v>196</v>
      </c>
      <c r="C479" t="s">
        <v>197</v>
      </c>
      <c r="D479" t="s">
        <v>197</v>
      </c>
      <c r="E479" t="s">
        <v>197</v>
      </c>
      <c r="F479" t="s">
        <v>197</v>
      </c>
      <c r="G479" t="s">
        <v>197</v>
      </c>
      <c r="H479" t="s">
        <v>197</v>
      </c>
      <c r="I479" t="s">
        <v>778</v>
      </c>
      <c r="J479" t="s">
        <v>199</v>
      </c>
      <c r="K479" t="s">
        <v>200</v>
      </c>
    </row>
    <row r="480" spans="1:24">
      <c r="B480" t="s">
        <v>197</v>
      </c>
      <c r="C480" t="s">
        <v>197</v>
      </c>
      <c r="D480" t="s">
        <v>197</v>
      </c>
      <c r="E480" t="s">
        <v>197</v>
      </c>
      <c r="F480" t="s">
        <v>197</v>
      </c>
      <c r="G480" t="s">
        <v>197</v>
      </c>
      <c r="H480" t="s">
        <v>197</v>
      </c>
      <c r="I480" t="s">
        <v>197</v>
      </c>
      <c r="J480" t="s">
        <v>197</v>
      </c>
      <c r="K480" t="s">
        <v>301</v>
      </c>
    </row>
    <row r="481" spans="1:24">
      <c r="B481" t="s">
        <v>197</v>
      </c>
      <c r="C481" t="s">
        <v>197</v>
      </c>
      <c r="D481" t="s">
        <v>197</v>
      </c>
      <c r="E481" t="s">
        <v>197</v>
      </c>
      <c r="F481" t="s">
        <v>197</v>
      </c>
      <c r="G481" t="s">
        <v>197</v>
      </c>
      <c r="H481" t="s">
        <v>197</v>
      </c>
      <c r="I481" t="s">
        <v>197</v>
      </c>
      <c r="J481" t="s">
        <v>197</v>
      </c>
      <c r="K481" t="s">
        <v>314</v>
      </c>
    </row>
    <row r="482" spans="1:24">
      <c r="B482" t="s">
        <v>197</v>
      </c>
      <c r="C482" t="s">
        <v>197</v>
      </c>
      <c r="D482" t="s">
        <v>197</v>
      </c>
      <c r="E482" t="s">
        <v>197</v>
      </c>
      <c r="F482" t="s">
        <v>197</v>
      </c>
      <c r="G482" t="s">
        <v>197</v>
      </c>
      <c r="H482" t="s">
        <v>197</v>
      </c>
      <c r="I482" t="s">
        <v>197</v>
      </c>
      <c r="J482" t="s">
        <v>197</v>
      </c>
      <c r="K482" t="s">
        <v>324</v>
      </c>
    </row>
    <row r="483" spans="1:24">
      <c r="B483" t="s">
        <v>197</v>
      </c>
      <c r="C483" t="s">
        <v>197</v>
      </c>
      <c r="D483" t="s">
        <v>197</v>
      </c>
      <c r="E483" t="s">
        <v>197</v>
      </c>
      <c r="F483" t="s">
        <v>197</v>
      </c>
      <c r="G483" t="s">
        <v>197</v>
      </c>
      <c r="H483" t="s">
        <v>197</v>
      </c>
      <c r="I483" t="s">
        <v>197</v>
      </c>
      <c r="J483" t="s">
        <v>197</v>
      </c>
      <c r="K483" t="s">
        <v>335</v>
      </c>
    </row>
    <row r="484" spans="1:24">
      <c r="B484" t="s">
        <v>197</v>
      </c>
      <c r="C484" t="s">
        <v>197</v>
      </c>
      <c r="D484" t="s">
        <v>197</v>
      </c>
      <c r="E484" t="s">
        <v>197</v>
      </c>
      <c r="F484" t="s">
        <v>197</v>
      </c>
      <c r="G484" t="s">
        <v>197</v>
      </c>
      <c r="H484" t="s">
        <v>197</v>
      </c>
      <c r="I484" t="s">
        <v>197</v>
      </c>
      <c r="J484" t="s">
        <v>197</v>
      </c>
      <c r="K484" t="s">
        <v>350</v>
      </c>
    </row>
    <row r="485" spans="1:24">
      <c r="B485" t="s">
        <v>197</v>
      </c>
      <c r="C485" t="s">
        <v>197</v>
      </c>
      <c r="D485" t="s">
        <v>197</v>
      </c>
      <c r="E485" t="s">
        <v>197</v>
      </c>
      <c r="F485" t="s">
        <v>197</v>
      </c>
      <c r="G485" t="s">
        <v>197</v>
      </c>
      <c r="H485" t="s">
        <v>197</v>
      </c>
      <c r="I485" t="s">
        <v>197</v>
      </c>
      <c r="J485" t="s">
        <v>197</v>
      </c>
      <c r="K485" t="s">
        <v>360</v>
      </c>
    </row>
    <row r="486" spans="1:24">
      <c r="B486" t="s">
        <v>197</v>
      </c>
      <c r="C486" t="s">
        <v>197</v>
      </c>
      <c r="D486" t="s">
        <v>197</v>
      </c>
      <c r="E486" t="s">
        <v>197</v>
      </c>
      <c r="F486" t="s">
        <v>197</v>
      </c>
      <c r="G486" t="s">
        <v>197</v>
      </c>
      <c r="H486" t="s">
        <v>197</v>
      </c>
      <c r="I486" t="s">
        <v>197</v>
      </c>
      <c r="J486" t="s">
        <v>197</v>
      </c>
      <c r="K486" t="s">
        <v>367</v>
      </c>
    </row>
    <row r="487" spans="1:24">
      <c r="B487" t="s">
        <v>197</v>
      </c>
      <c r="C487" t="s">
        <v>197</v>
      </c>
      <c r="D487" t="s">
        <v>197</v>
      </c>
      <c r="E487" t="s">
        <v>197</v>
      </c>
      <c r="F487" t="s">
        <v>197</v>
      </c>
      <c r="G487" t="s">
        <v>197</v>
      </c>
      <c r="H487" t="s">
        <v>197</v>
      </c>
      <c r="I487" t="s">
        <v>197</v>
      </c>
      <c r="J487" t="s">
        <v>197</v>
      </c>
      <c r="K487" t="s">
        <v>373</v>
      </c>
    </row>
    <row r="488" spans="1:24">
      <c r="A488" t="s">
        <v>782</v>
      </c>
      <c r="K488" t="s">
        <v>783</v>
      </c>
      <c r="W488" t="s">
        <v>171</v>
      </c>
      <c r="X488" t="str">
        <f>A488</f>
        <v>info_datetimeoffset_dml_batch2_pk_irp1</v>
      </c>
    </row>
    <row r="489" spans="1:24">
      <c r="B489" t="s">
        <v>196</v>
      </c>
      <c r="C489" t="s">
        <v>197</v>
      </c>
      <c r="D489" t="s">
        <v>197</v>
      </c>
      <c r="E489" t="s">
        <v>197</v>
      </c>
      <c r="F489" t="s">
        <v>197</v>
      </c>
      <c r="G489" t="s">
        <v>197</v>
      </c>
      <c r="H489" t="s">
        <v>197</v>
      </c>
      <c r="I489" t="s">
        <v>784</v>
      </c>
      <c r="J489" t="s">
        <v>199</v>
      </c>
      <c r="K489" t="s">
        <v>200</v>
      </c>
    </row>
    <row r="490" spans="1:24">
      <c r="B490" t="s">
        <v>197</v>
      </c>
      <c r="C490" t="s">
        <v>197</v>
      </c>
      <c r="D490" t="s">
        <v>197</v>
      </c>
      <c r="E490" t="s">
        <v>197</v>
      </c>
      <c r="F490" t="s">
        <v>197</v>
      </c>
      <c r="G490" t="s">
        <v>197</v>
      </c>
      <c r="H490" t="s">
        <v>197</v>
      </c>
      <c r="I490" t="s">
        <v>197</v>
      </c>
      <c r="J490" t="s">
        <v>197</v>
      </c>
      <c r="K490" t="s">
        <v>301</v>
      </c>
    </row>
    <row r="491" spans="1:24">
      <c r="B491" t="s">
        <v>197</v>
      </c>
      <c r="C491" t="s">
        <v>197</v>
      </c>
      <c r="D491" t="s">
        <v>197</v>
      </c>
      <c r="E491" t="s">
        <v>197</v>
      </c>
      <c r="F491" t="s">
        <v>197</v>
      </c>
      <c r="G491" t="s">
        <v>197</v>
      </c>
      <c r="H491" t="s">
        <v>197</v>
      </c>
      <c r="I491" t="s">
        <v>197</v>
      </c>
      <c r="J491" t="s">
        <v>197</v>
      </c>
      <c r="K491" t="s">
        <v>314</v>
      </c>
    </row>
    <row r="492" spans="1:24">
      <c r="B492" t="s">
        <v>197</v>
      </c>
      <c r="C492" t="s">
        <v>197</v>
      </c>
      <c r="D492" t="s">
        <v>197</v>
      </c>
      <c r="E492" t="s">
        <v>197</v>
      </c>
      <c r="F492" t="s">
        <v>197</v>
      </c>
      <c r="G492" t="s">
        <v>197</v>
      </c>
      <c r="H492" t="s">
        <v>197</v>
      </c>
      <c r="I492" t="s">
        <v>197</v>
      </c>
      <c r="J492" t="s">
        <v>197</v>
      </c>
      <c r="K492" t="s">
        <v>324</v>
      </c>
    </row>
    <row r="493" spans="1:24">
      <c r="B493" t="s">
        <v>197</v>
      </c>
      <c r="C493" t="s">
        <v>197</v>
      </c>
      <c r="D493" t="s">
        <v>197</v>
      </c>
      <c r="E493" t="s">
        <v>197</v>
      </c>
      <c r="F493" t="s">
        <v>197</v>
      </c>
      <c r="G493" t="s">
        <v>197</v>
      </c>
      <c r="H493" t="s">
        <v>197</v>
      </c>
      <c r="I493" t="s">
        <v>197</v>
      </c>
      <c r="J493" t="s">
        <v>197</v>
      </c>
      <c r="K493" t="s">
        <v>335</v>
      </c>
    </row>
    <row r="494" spans="1:24">
      <c r="B494" t="s">
        <v>197</v>
      </c>
      <c r="C494" t="s">
        <v>197</v>
      </c>
      <c r="D494" t="s">
        <v>197</v>
      </c>
      <c r="E494" t="s">
        <v>197</v>
      </c>
      <c r="F494" t="s">
        <v>197</v>
      </c>
      <c r="G494" t="s">
        <v>197</v>
      </c>
      <c r="H494" t="s">
        <v>197</v>
      </c>
      <c r="I494" t="s">
        <v>197</v>
      </c>
      <c r="J494" t="s">
        <v>197</v>
      </c>
      <c r="K494" t="s">
        <v>350</v>
      </c>
    </row>
    <row r="495" spans="1:24">
      <c r="B495" t="s">
        <v>197</v>
      </c>
      <c r="C495" t="s">
        <v>197</v>
      </c>
      <c r="D495" t="s">
        <v>197</v>
      </c>
      <c r="E495" t="s">
        <v>197</v>
      </c>
      <c r="F495" t="s">
        <v>197</v>
      </c>
      <c r="G495" t="s">
        <v>197</v>
      </c>
      <c r="H495" t="s">
        <v>197</v>
      </c>
      <c r="I495" t="s">
        <v>197</v>
      </c>
      <c r="J495" t="s">
        <v>197</v>
      </c>
      <c r="K495" t="s">
        <v>360</v>
      </c>
    </row>
    <row r="496" spans="1:24">
      <c r="B496" t="s">
        <v>197</v>
      </c>
      <c r="C496" t="s">
        <v>197</v>
      </c>
      <c r="D496" t="s">
        <v>197</v>
      </c>
      <c r="E496" t="s">
        <v>197</v>
      </c>
      <c r="F496" t="s">
        <v>197</v>
      </c>
      <c r="G496" t="s">
        <v>197</v>
      </c>
      <c r="H496" t="s">
        <v>197</v>
      </c>
      <c r="I496" t="s">
        <v>197</v>
      </c>
      <c r="J496" t="s">
        <v>197</v>
      </c>
      <c r="K496" t="s">
        <v>367</v>
      </c>
    </row>
    <row r="497" spans="1:24">
      <c r="B497" t="s">
        <v>197</v>
      </c>
      <c r="C497" t="s">
        <v>197</v>
      </c>
      <c r="D497" t="s">
        <v>197</v>
      </c>
      <c r="E497" t="s">
        <v>197</v>
      </c>
      <c r="F497" t="s">
        <v>197</v>
      </c>
      <c r="G497" t="s">
        <v>197</v>
      </c>
      <c r="H497" t="s">
        <v>197</v>
      </c>
      <c r="I497" t="s">
        <v>197</v>
      </c>
      <c r="J497" t="s">
        <v>197</v>
      </c>
      <c r="K497" t="s">
        <v>373</v>
      </c>
    </row>
    <row r="498" spans="1:24">
      <c r="A498" t="s">
        <v>767</v>
      </c>
      <c r="K498" t="s">
        <v>768</v>
      </c>
      <c r="W498" t="s">
        <v>171</v>
      </c>
      <c r="X498" t="str">
        <f>A498</f>
        <v>info_nchar_dml_batch2_pk_irp2</v>
      </c>
    </row>
    <row r="499" spans="1:24">
      <c r="B499" t="s">
        <v>196</v>
      </c>
      <c r="C499" t="s">
        <v>197</v>
      </c>
      <c r="D499" t="s">
        <v>197</v>
      </c>
      <c r="E499" t="s">
        <v>197</v>
      </c>
      <c r="F499" t="s">
        <v>197</v>
      </c>
      <c r="G499" t="s">
        <v>197</v>
      </c>
      <c r="H499" t="s">
        <v>197</v>
      </c>
      <c r="I499" t="s">
        <v>769</v>
      </c>
      <c r="J499" t="s">
        <v>199</v>
      </c>
      <c r="K499" t="s">
        <v>200</v>
      </c>
    </row>
    <row r="500" spans="1:24">
      <c r="B500" t="s">
        <v>197</v>
      </c>
      <c r="C500" t="s">
        <v>197</v>
      </c>
      <c r="D500" t="s">
        <v>197</v>
      </c>
      <c r="E500" t="s">
        <v>197</v>
      </c>
      <c r="F500" t="s">
        <v>197</v>
      </c>
      <c r="G500" t="s">
        <v>197</v>
      </c>
      <c r="H500" t="s">
        <v>197</v>
      </c>
      <c r="I500" t="s">
        <v>197</v>
      </c>
      <c r="J500" t="s">
        <v>197</v>
      </c>
      <c r="K500" t="s">
        <v>514</v>
      </c>
    </row>
    <row r="501" spans="1:24">
      <c r="B501" t="s">
        <v>197</v>
      </c>
      <c r="C501" t="s">
        <v>197</v>
      </c>
      <c r="D501" t="s">
        <v>197</v>
      </c>
      <c r="E501" t="s">
        <v>197</v>
      </c>
      <c r="F501" t="s">
        <v>197</v>
      </c>
      <c r="G501" t="s">
        <v>197</v>
      </c>
      <c r="H501" t="s">
        <v>197</v>
      </c>
      <c r="I501" t="s">
        <v>197</v>
      </c>
      <c r="J501" t="s">
        <v>197</v>
      </c>
      <c r="K501" t="s">
        <v>516</v>
      </c>
    </row>
    <row r="502" spans="1:24">
      <c r="B502" t="s">
        <v>197</v>
      </c>
      <c r="C502" t="s">
        <v>197</v>
      </c>
      <c r="D502" t="s">
        <v>197</v>
      </c>
      <c r="E502" t="s">
        <v>197</v>
      </c>
      <c r="F502" t="s">
        <v>197</v>
      </c>
      <c r="G502" t="s">
        <v>197</v>
      </c>
      <c r="H502" t="s">
        <v>197</v>
      </c>
      <c r="I502" t="s">
        <v>197</v>
      </c>
      <c r="J502" t="s">
        <v>197</v>
      </c>
      <c r="K502" t="s">
        <v>612</v>
      </c>
    </row>
    <row r="503" spans="1:24">
      <c r="A503" t="s">
        <v>779</v>
      </c>
      <c r="K503" t="s">
        <v>780</v>
      </c>
      <c r="W503" t="s">
        <v>171</v>
      </c>
      <c r="X503" t="str">
        <f>A503</f>
        <v>info_binary_dml_batch2_pk_irp2</v>
      </c>
    </row>
    <row r="504" spans="1:24">
      <c r="B504" t="s">
        <v>196</v>
      </c>
      <c r="C504" t="s">
        <v>197</v>
      </c>
      <c r="D504" t="s">
        <v>197</v>
      </c>
      <c r="E504" t="s">
        <v>197</v>
      </c>
      <c r="F504" t="s">
        <v>197</v>
      </c>
      <c r="G504" t="s">
        <v>197</v>
      </c>
      <c r="H504" t="s">
        <v>197</v>
      </c>
      <c r="I504" t="s">
        <v>781</v>
      </c>
      <c r="J504" t="s">
        <v>199</v>
      </c>
      <c r="K504" t="s">
        <v>200</v>
      </c>
    </row>
    <row r="505" spans="1:24">
      <c r="B505" t="s">
        <v>197</v>
      </c>
      <c r="C505" t="s">
        <v>197</v>
      </c>
      <c r="D505" t="s">
        <v>197</v>
      </c>
      <c r="E505" t="s">
        <v>197</v>
      </c>
      <c r="F505" t="s">
        <v>197</v>
      </c>
      <c r="G505" t="s">
        <v>197</v>
      </c>
      <c r="H505" t="s">
        <v>197</v>
      </c>
      <c r="I505" t="s">
        <v>197</v>
      </c>
      <c r="J505" t="s">
        <v>197</v>
      </c>
      <c r="K505" t="s">
        <v>691</v>
      </c>
    </row>
    <row r="506" spans="1:24">
      <c r="B506" t="s">
        <v>197</v>
      </c>
      <c r="C506" t="s">
        <v>197</v>
      </c>
      <c r="D506" t="s">
        <v>197</v>
      </c>
      <c r="E506" t="s">
        <v>197</v>
      </c>
      <c r="F506" t="s">
        <v>197</v>
      </c>
      <c r="G506" t="s">
        <v>197</v>
      </c>
      <c r="H506" t="s">
        <v>197</v>
      </c>
      <c r="I506" t="s">
        <v>197</v>
      </c>
      <c r="J506" t="s">
        <v>197</v>
      </c>
      <c r="K506" t="s">
        <v>692</v>
      </c>
    </row>
    <row r="507" spans="1:24">
      <c r="B507" t="s">
        <v>197</v>
      </c>
      <c r="C507" t="s">
        <v>197</v>
      </c>
      <c r="D507" t="s">
        <v>197</v>
      </c>
      <c r="E507" t="s">
        <v>197</v>
      </c>
      <c r="F507" t="s">
        <v>197</v>
      </c>
      <c r="G507" t="s">
        <v>197</v>
      </c>
      <c r="H507" t="s">
        <v>197</v>
      </c>
      <c r="I507" t="s">
        <v>197</v>
      </c>
      <c r="J507" t="s">
        <v>197</v>
      </c>
      <c r="K507" t="s">
        <v>693</v>
      </c>
    </row>
    <row r="508" spans="1:24">
      <c r="A508" t="s">
        <v>794</v>
      </c>
      <c r="K508" t="s">
        <v>795</v>
      </c>
      <c r="W508" t="s">
        <v>171</v>
      </c>
      <c r="X508" t="str">
        <f>A508</f>
        <v>info_datetimeoffset_dml_batch1_pk_urp1</v>
      </c>
    </row>
    <row r="509" spans="1:24">
      <c r="B509" t="s">
        <v>196</v>
      </c>
      <c r="C509" t="s">
        <v>197</v>
      </c>
      <c r="D509" t="s">
        <v>197</v>
      </c>
      <c r="E509" t="s">
        <v>197</v>
      </c>
      <c r="F509" t="s">
        <v>197</v>
      </c>
      <c r="G509" t="s">
        <v>197</v>
      </c>
      <c r="H509" t="s">
        <v>197</v>
      </c>
      <c r="I509" t="s">
        <v>796</v>
      </c>
      <c r="J509" t="s">
        <v>199</v>
      </c>
      <c r="K509" t="s">
        <v>200</v>
      </c>
    </row>
    <row r="510" spans="1:24">
      <c r="B510" t="s">
        <v>197</v>
      </c>
      <c r="C510" t="s">
        <v>197</v>
      </c>
      <c r="D510" t="s">
        <v>197</v>
      </c>
      <c r="E510" t="s">
        <v>197</v>
      </c>
      <c r="F510" t="s">
        <v>197</v>
      </c>
      <c r="G510" t="s">
        <v>197</v>
      </c>
      <c r="H510" t="s">
        <v>197</v>
      </c>
      <c r="I510" t="s">
        <v>197</v>
      </c>
      <c r="J510" t="s">
        <v>197</v>
      </c>
      <c r="K510" t="s">
        <v>301</v>
      </c>
    </row>
    <row r="511" spans="1:24">
      <c r="B511" t="s">
        <v>197</v>
      </c>
      <c r="C511" t="s">
        <v>197</v>
      </c>
      <c r="D511" t="s">
        <v>197</v>
      </c>
      <c r="E511" t="s">
        <v>197</v>
      </c>
      <c r="F511" t="s">
        <v>197</v>
      </c>
      <c r="G511" t="s">
        <v>197</v>
      </c>
      <c r="H511" t="s">
        <v>197</v>
      </c>
      <c r="I511" t="s">
        <v>197</v>
      </c>
      <c r="J511" t="s">
        <v>197</v>
      </c>
      <c r="K511" t="s">
        <v>314</v>
      </c>
    </row>
    <row r="512" spans="1:24">
      <c r="B512" t="s">
        <v>197</v>
      </c>
      <c r="C512" t="s">
        <v>197</v>
      </c>
      <c r="D512" t="s">
        <v>197</v>
      </c>
      <c r="E512" t="s">
        <v>197</v>
      </c>
      <c r="F512" t="s">
        <v>197</v>
      </c>
      <c r="G512" t="s">
        <v>197</v>
      </c>
      <c r="H512" t="s">
        <v>197</v>
      </c>
      <c r="I512" t="s">
        <v>197</v>
      </c>
      <c r="J512" t="s">
        <v>197</v>
      </c>
      <c r="K512" t="s">
        <v>324</v>
      </c>
    </row>
    <row r="513" spans="1:24">
      <c r="B513" t="s">
        <v>197</v>
      </c>
      <c r="C513" t="s">
        <v>197</v>
      </c>
      <c r="D513" t="s">
        <v>197</v>
      </c>
      <c r="E513" t="s">
        <v>197</v>
      </c>
      <c r="F513" t="s">
        <v>197</v>
      </c>
      <c r="G513" t="s">
        <v>197</v>
      </c>
      <c r="H513" t="s">
        <v>197</v>
      </c>
      <c r="I513" t="s">
        <v>197</v>
      </c>
      <c r="J513" t="s">
        <v>197</v>
      </c>
      <c r="K513" t="s">
        <v>335</v>
      </c>
    </row>
    <row r="514" spans="1:24">
      <c r="B514" t="s">
        <v>197</v>
      </c>
      <c r="C514" t="s">
        <v>197</v>
      </c>
      <c r="D514" t="s">
        <v>197</v>
      </c>
      <c r="E514" t="s">
        <v>197</v>
      </c>
      <c r="F514" t="s">
        <v>197</v>
      </c>
      <c r="G514" t="s">
        <v>197</v>
      </c>
      <c r="H514" t="s">
        <v>197</v>
      </c>
      <c r="I514" t="s">
        <v>197</v>
      </c>
      <c r="J514" t="s">
        <v>197</v>
      </c>
      <c r="K514" t="s">
        <v>350</v>
      </c>
    </row>
    <row r="515" spans="1:24">
      <c r="B515" t="s">
        <v>197</v>
      </c>
      <c r="C515" t="s">
        <v>197</v>
      </c>
      <c r="D515" t="s">
        <v>197</v>
      </c>
      <c r="E515" t="s">
        <v>197</v>
      </c>
      <c r="F515" t="s">
        <v>197</v>
      </c>
      <c r="G515" t="s">
        <v>197</v>
      </c>
      <c r="H515" t="s">
        <v>197</v>
      </c>
      <c r="I515" t="s">
        <v>197</v>
      </c>
      <c r="J515" t="s">
        <v>197</v>
      </c>
      <c r="K515" t="s">
        <v>360</v>
      </c>
    </row>
    <row r="516" spans="1:24">
      <c r="B516" t="s">
        <v>197</v>
      </c>
      <c r="C516" t="s">
        <v>197</v>
      </c>
      <c r="D516" t="s">
        <v>197</v>
      </c>
      <c r="E516" t="s">
        <v>197</v>
      </c>
      <c r="F516" t="s">
        <v>197</v>
      </c>
      <c r="G516" t="s">
        <v>197</v>
      </c>
      <c r="H516" t="s">
        <v>197</v>
      </c>
      <c r="I516" t="s">
        <v>197</v>
      </c>
      <c r="J516" t="s">
        <v>197</v>
      </c>
      <c r="K516" t="s">
        <v>367</v>
      </c>
    </row>
    <row r="517" spans="1:24">
      <c r="B517" t="s">
        <v>197</v>
      </c>
      <c r="C517" t="s">
        <v>197</v>
      </c>
      <c r="D517" t="s">
        <v>197</v>
      </c>
      <c r="E517" t="s">
        <v>197</v>
      </c>
      <c r="F517" t="s">
        <v>197</v>
      </c>
      <c r="G517" t="s">
        <v>197</v>
      </c>
      <c r="H517" t="s">
        <v>197</v>
      </c>
      <c r="I517" t="s">
        <v>197</v>
      </c>
      <c r="J517" t="s">
        <v>197</v>
      </c>
      <c r="K517" t="s">
        <v>373</v>
      </c>
    </row>
    <row r="518" spans="1:24">
      <c r="A518" t="s">
        <v>785</v>
      </c>
      <c r="K518" t="s">
        <v>786</v>
      </c>
      <c r="W518" t="s">
        <v>171</v>
      </c>
      <c r="X518" t="str">
        <f>A518</f>
        <v>info_nvarchar_dml_single_pk_drp</v>
      </c>
    </row>
    <row r="519" spans="1:24">
      <c r="B519" t="s">
        <v>196</v>
      </c>
      <c r="C519" t="s">
        <v>197</v>
      </c>
      <c r="D519" t="s">
        <v>197</v>
      </c>
      <c r="E519" t="s">
        <v>197</v>
      </c>
      <c r="F519" t="s">
        <v>197</v>
      </c>
      <c r="G519" t="s">
        <v>197</v>
      </c>
      <c r="H519" t="s">
        <v>197</v>
      </c>
      <c r="I519" t="s">
        <v>787</v>
      </c>
      <c r="J519" t="s">
        <v>199</v>
      </c>
      <c r="K519" t="s">
        <v>200</v>
      </c>
    </row>
    <row r="520" spans="1:24">
      <c r="B520" t="s">
        <v>197</v>
      </c>
      <c r="C520" t="s">
        <v>197</v>
      </c>
      <c r="D520" t="s">
        <v>197</v>
      </c>
      <c r="E520" t="s">
        <v>197</v>
      </c>
      <c r="F520" t="s">
        <v>197</v>
      </c>
      <c r="G520" t="s">
        <v>197</v>
      </c>
      <c r="H520" t="s">
        <v>197</v>
      </c>
      <c r="I520" t="s">
        <v>197</v>
      </c>
      <c r="J520" t="s">
        <v>197</v>
      </c>
      <c r="K520" t="s">
        <v>408</v>
      </c>
    </row>
    <row r="521" spans="1:24">
      <c r="B521" t="s">
        <v>197</v>
      </c>
      <c r="C521" t="s">
        <v>197</v>
      </c>
      <c r="D521" t="s">
        <v>197</v>
      </c>
      <c r="E521" t="s">
        <v>197</v>
      </c>
      <c r="F521" t="s">
        <v>197</v>
      </c>
      <c r="G521" t="s">
        <v>197</v>
      </c>
      <c r="H521" t="s">
        <v>197</v>
      </c>
      <c r="I521" t="s">
        <v>197</v>
      </c>
      <c r="J521" t="s">
        <v>197</v>
      </c>
      <c r="K521" t="s">
        <v>412</v>
      </c>
    </row>
    <row r="522" spans="1:24">
      <c r="B522" t="s">
        <v>197</v>
      </c>
      <c r="C522" t="s">
        <v>197</v>
      </c>
      <c r="D522" t="s">
        <v>197</v>
      </c>
      <c r="E522" t="s">
        <v>197</v>
      </c>
      <c r="F522" t="s">
        <v>197</v>
      </c>
      <c r="G522" t="s">
        <v>197</v>
      </c>
      <c r="H522" t="s">
        <v>197</v>
      </c>
      <c r="I522" t="s">
        <v>197</v>
      </c>
      <c r="J522" t="s">
        <v>197</v>
      </c>
      <c r="K522" t="s">
        <v>730</v>
      </c>
    </row>
    <row r="523" spans="1:24">
      <c r="A523" t="s">
        <v>791</v>
      </c>
      <c r="K523" t="s">
        <v>792</v>
      </c>
      <c r="W523" t="s">
        <v>171</v>
      </c>
      <c r="X523" t="str">
        <f>A523</f>
        <v>info_varcharmax_dml_batch2_pk_irp1</v>
      </c>
    </row>
    <row r="524" spans="1:24">
      <c r="B524" t="s">
        <v>196</v>
      </c>
      <c r="C524" t="s">
        <v>197</v>
      </c>
      <c r="D524" t="s">
        <v>197</v>
      </c>
      <c r="E524" t="s">
        <v>197</v>
      </c>
      <c r="F524" t="s">
        <v>197</v>
      </c>
      <c r="G524" t="s">
        <v>197</v>
      </c>
      <c r="H524" t="s">
        <v>197</v>
      </c>
      <c r="I524" t="s">
        <v>793</v>
      </c>
      <c r="J524" t="s">
        <v>199</v>
      </c>
      <c r="K524" t="s">
        <v>200</v>
      </c>
    </row>
    <row r="525" spans="1:24">
      <c r="B525" t="s">
        <v>197</v>
      </c>
      <c r="C525" t="s">
        <v>197</v>
      </c>
      <c r="D525" t="s">
        <v>197</v>
      </c>
      <c r="E525" t="s">
        <v>197</v>
      </c>
      <c r="F525" t="s">
        <v>197</v>
      </c>
      <c r="G525" t="s">
        <v>197</v>
      </c>
      <c r="H525" t="s">
        <v>197</v>
      </c>
      <c r="I525" t="s">
        <v>197</v>
      </c>
      <c r="J525" t="s">
        <v>197</v>
      </c>
      <c r="K525" t="s">
        <v>725</v>
      </c>
    </row>
    <row r="526" spans="1:24">
      <c r="B526" t="s">
        <v>197</v>
      </c>
      <c r="C526" t="s">
        <v>197</v>
      </c>
      <c r="D526" t="s">
        <v>197</v>
      </c>
      <c r="E526" t="s">
        <v>197</v>
      </c>
      <c r="F526" t="s">
        <v>197</v>
      </c>
      <c r="G526" t="s">
        <v>197</v>
      </c>
      <c r="H526" t="s">
        <v>197</v>
      </c>
      <c r="I526" t="s">
        <v>197</v>
      </c>
      <c r="J526" t="s">
        <v>197</v>
      </c>
      <c r="K526" t="s">
        <v>726</v>
      </c>
    </row>
    <row r="527" spans="1:24">
      <c r="K527" t="s">
        <v>443</v>
      </c>
    </row>
    <row r="528" spans="1:24">
      <c r="A528" t="s">
        <v>797</v>
      </c>
      <c r="K528" t="s">
        <v>798</v>
      </c>
      <c r="W528" t="s">
        <v>171</v>
      </c>
      <c r="X528" t="str">
        <f>A528</f>
        <v>info_time_dml_single_pk_irp</v>
      </c>
    </row>
    <row r="529" spans="1:24">
      <c r="B529" t="s">
        <v>196</v>
      </c>
      <c r="C529" t="s">
        <v>197</v>
      </c>
      <c r="D529" t="s">
        <v>197</v>
      </c>
      <c r="E529" t="s">
        <v>197</v>
      </c>
      <c r="F529" t="s">
        <v>197</v>
      </c>
      <c r="G529" t="s">
        <v>197</v>
      </c>
      <c r="H529" t="s">
        <v>197</v>
      </c>
      <c r="I529" t="s">
        <v>799</v>
      </c>
      <c r="J529" t="s">
        <v>199</v>
      </c>
      <c r="K529" t="s">
        <v>200</v>
      </c>
    </row>
    <row r="530" spans="1:24">
      <c r="B530" t="s">
        <v>197</v>
      </c>
      <c r="C530" t="s">
        <v>197</v>
      </c>
      <c r="D530" t="s">
        <v>197</v>
      </c>
      <c r="E530" t="s">
        <v>197</v>
      </c>
      <c r="F530" t="s">
        <v>197</v>
      </c>
      <c r="G530" t="s">
        <v>197</v>
      </c>
      <c r="H530" t="s">
        <v>197</v>
      </c>
      <c r="I530" t="s">
        <v>197</v>
      </c>
      <c r="J530" t="s">
        <v>197</v>
      </c>
      <c r="K530" t="s">
        <v>800</v>
      </c>
    </row>
    <row r="531" spans="1:24">
      <c r="B531" t="s">
        <v>197</v>
      </c>
      <c r="C531" t="s">
        <v>197</v>
      </c>
      <c r="D531" t="s">
        <v>197</v>
      </c>
      <c r="E531" t="s">
        <v>197</v>
      </c>
      <c r="F531" t="s">
        <v>197</v>
      </c>
      <c r="G531" t="s">
        <v>197</v>
      </c>
      <c r="H531" t="s">
        <v>197</v>
      </c>
      <c r="I531" t="s">
        <v>197</v>
      </c>
      <c r="J531" t="s">
        <v>197</v>
      </c>
      <c r="K531" t="s">
        <v>801</v>
      </c>
    </row>
    <row r="532" spans="1:24">
      <c r="B532" t="s">
        <v>197</v>
      </c>
      <c r="C532" t="s">
        <v>197</v>
      </c>
      <c r="D532" t="s">
        <v>197</v>
      </c>
      <c r="E532" t="s">
        <v>197</v>
      </c>
      <c r="F532" t="s">
        <v>197</v>
      </c>
      <c r="G532" t="s">
        <v>197</v>
      </c>
      <c r="H532" t="s">
        <v>197</v>
      </c>
      <c r="I532" t="s">
        <v>197</v>
      </c>
      <c r="J532" t="s">
        <v>197</v>
      </c>
      <c r="K532" t="s">
        <v>802</v>
      </c>
    </row>
    <row r="533" spans="1:24">
      <c r="B533" t="s">
        <v>197</v>
      </c>
      <c r="C533" t="s">
        <v>197</v>
      </c>
      <c r="D533" t="s">
        <v>197</v>
      </c>
      <c r="E533" t="s">
        <v>197</v>
      </c>
      <c r="F533" t="s">
        <v>197</v>
      </c>
      <c r="G533" t="s">
        <v>197</v>
      </c>
      <c r="H533" t="s">
        <v>197</v>
      </c>
      <c r="I533" t="s">
        <v>197</v>
      </c>
      <c r="J533" t="s">
        <v>197</v>
      </c>
      <c r="K533" t="s">
        <v>803</v>
      </c>
    </row>
    <row r="534" spans="1:24">
      <c r="B534" t="s">
        <v>197</v>
      </c>
      <c r="C534" t="s">
        <v>197</v>
      </c>
      <c r="D534" t="s">
        <v>197</v>
      </c>
      <c r="E534" t="s">
        <v>197</v>
      </c>
      <c r="F534" t="s">
        <v>197</v>
      </c>
      <c r="G534" t="s">
        <v>197</v>
      </c>
      <c r="H534" t="s">
        <v>197</v>
      </c>
      <c r="I534" t="s">
        <v>197</v>
      </c>
      <c r="J534" t="s">
        <v>197</v>
      </c>
      <c r="K534" t="s">
        <v>804</v>
      </c>
    </row>
    <row r="535" spans="1:24">
      <c r="B535" t="s">
        <v>197</v>
      </c>
      <c r="C535" t="s">
        <v>197</v>
      </c>
      <c r="D535" t="s">
        <v>197</v>
      </c>
      <c r="E535" t="s">
        <v>197</v>
      </c>
      <c r="F535" t="s">
        <v>197</v>
      </c>
      <c r="G535" t="s">
        <v>197</v>
      </c>
      <c r="H535" t="s">
        <v>197</v>
      </c>
      <c r="I535" t="s">
        <v>197</v>
      </c>
      <c r="J535" t="s">
        <v>197</v>
      </c>
      <c r="K535" t="s">
        <v>805</v>
      </c>
    </row>
    <row r="536" spans="1:24">
      <c r="B536" t="s">
        <v>197</v>
      </c>
      <c r="C536" t="s">
        <v>197</v>
      </c>
      <c r="D536" t="s">
        <v>197</v>
      </c>
      <c r="E536" t="s">
        <v>197</v>
      </c>
      <c r="F536" t="s">
        <v>197</v>
      </c>
      <c r="G536" t="s">
        <v>197</v>
      </c>
      <c r="H536" t="s">
        <v>197</v>
      </c>
      <c r="I536" t="s">
        <v>197</v>
      </c>
      <c r="J536" t="s">
        <v>197</v>
      </c>
      <c r="K536" t="s">
        <v>806</v>
      </c>
    </row>
    <row r="537" spans="1:24">
      <c r="B537" t="s">
        <v>197</v>
      </c>
      <c r="C537" t="s">
        <v>197</v>
      </c>
      <c r="D537" t="s">
        <v>197</v>
      </c>
      <c r="E537" t="s">
        <v>197</v>
      </c>
      <c r="F537" t="s">
        <v>197</v>
      </c>
      <c r="G537" t="s">
        <v>197</v>
      </c>
      <c r="H537" t="s">
        <v>197</v>
      </c>
      <c r="I537" t="s">
        <v>197</v>
      </c>
      <c r="J537" t="s">
        <v>197</v>
      </c>
      <c r="K537" t="s">
        <v>807</v>
      </c>
    </row>
    <row r="538" spans="1:24">
      <c r="A538" t="s">
        <v>811</v>
      </c>
      <c r="K538" t="s">
        <v>812</v>
      </c>
      <c r="W538" t="s">
        <v>171</v>
      </c>
      <c r="X538" t="str">
        <f>A538</f>
        <v>info_datetimeoffset_dml_batch1_pk_urp2</v>
      </c>
    </row>
    <row r="539" spans="1:24">
      <c r="B539" t="s">
        <v>196</v>
      </c>
      <c r="C539" t="s">
        <v>197</v>
      </c>
      <c r="D539" t="s">
        <v>197</v>
      </c>
      <c r="E539" t="s">
        <v>197</v>
      </c>
      <c r="F539" t="s">
        <v>197</v>
      </c>
      <c r="G539" t="s">
        <v>197</v>
      </c>
      <c r="H539" t="s">
        <v>197</v>
      </c>
      <c r="I539" t="s">
        <v>813</v>
      </c>
      <c r="J539" t="s">
        <v>199</v>
      </c>
      <c r="K539" t="s">
        <v>200</v>
      </c>
    </row>
    <row r="540" spans="1:24">
      <c r="B540" t="s">
        <v>197</v>
      </c>
      <c r="C540" t="s">
        <v>197</v>
      </c>
      <c r="D540" t="s">
        <v>197</v>
      </c>
      <c r="E540" t="s">
        <v>197</v>
      </c>
      <c r="F540" t="s">
        <v>197</v>
      </c>
      <c r="G540" t="s">
        <v>197</v>
      </c>
      <c r="H540" t="s">
        <v>197</v>
      </c>
      <c r="I540" t="s">
        <v>197</v>
      </c>
      <c r="J540" t="s">
        <v>197</v>
      </c>
      <c r="K540" t="s">
        <v>301</v>
      </c>
    </row>
    <row r="541" spans="1:24">
      <c r="B541" t="s">
        <v>197</v>
      </c>
      <c r="C541" t="s">
        <v>197</v>
      </c>
      <c r="D541" t="s">
        <v>197</v>
      </c>
      <c r="E541" t="s">
        <v>197</v>
      </c>
      <c r="F541" t="s">
        <v>197</v>
      </c>
      <c r="G541" t="s">
        <v>197</v>
      </c>
      <c r="H541" t="s">
        <v>197</v>
      </c>
      <c r="I541" t="s">
        <v>197</v>
      </c>
      <c r="J541" t="s">
        <v>197</v>
      </c>
      <c r="K541" t="s">
        <v>314</v>
      </c>
    </row>
    <row r="542" spans="1:24">
      <c r="B542" t="s">
        <v>197</v>
      </c>
      <c r="C542" t="s">
        <v>197</v>
      </c>
      <c r="D542" t="s">
        <v>197</v>
      </c>
      <c r="E542" t="s">
        <v>197</v>
      </c>
      <c r="F542" t="s">
        <v>197</v>
      </c>
      <c r="G542" t="s">
        <v>197</v>
      </c>
      <c r="H542" t="s">
        <v>197</v>
      </c>
      <c r="I542" t="s">
        <v>197</v>
      </c>
      <c r="J542" t="s">
        <v>197</v>
      </c>
      <c r="K542" t="s">
        <v>324</v>
      </c>
    </row>
    <row r="543" spans="1:24">
      <c r="B543" t="s">
        <v>197</v>
      </c>
      <c r="C543" t="s">
        <v>197</v>
      </c>
      <c r="D543" t="s">
        <v>197</v>
      </c>
      <c r="E543" t="s">
        <v>197</v>
      </c>
      <c r="F543" t="s">
        <v>197</v>
      </c>
      <c r="G543" t="s">
        <v>197</v>
      </c>
      <c r="H543" t="s">
        <v>197</v>
      </c>
      <c r="I543" t="s">
        <v>197</v>
      </c>
      <c r="J543" t="s">
        <v>197</v>
      </c>
      <c r="K543" t="s">
        <v>335</v>
      </c>
    </row>
    <row r="544" spans="1:24">
      <c r="B544" t="s">
        <v>197</v>
      </c>
      <c r="C544" t="s">
        <v>197</v>
      </c>
      <c r="D544" t="s">
        <v>197</v>
      </c>
      <c r="E544" t="s">
        <v>197</v>
      </c>
      <c r="F544" t="s">
        <v>197</v>
      </c>
      <c r="G544" t="s">
        <v>197</v>
      </c>
      <c r="H544" t="s">
        <v>197</v>
      </c>
      <c r="I544" t="s">
        <v>197</v>
      </c>
      <c r="J544" t="s">
        <v>197</v>
      </c>
      <c r="K544" t="s">
        <v>350</v>
      </c>
    </row>
    <row r="545" spans="1:24">
      <c r="B545" t="s">
        <v>197</v>
      </c>
      <c r="C545" t="s">
        <v>197</v>
      </c>
      <c r="D545" t="s">
        <v>197</v>
      </c>
      <c r="E545" t="s">
        <v>197</v>
      </c>
      <c r="F545" t="s">
        <v>197</v>
      </c>
      <c r="G545" t="s">
        <v>197</v>
      </c>
      <c r="H545" t="s">
        <v>197</v>
      </c>
      <c r="I545" t="s">
        <v>197</v>
      </c>
      <c r="J545" t="s">
        <v>197</v>
      </c>
      <c r="K545" t="s">
        <v>360</v>
      </c>
    </row>
    <row r="546" spans="1:24">
      <c r="B546" t="s">
        <v>197</v>
      </c>
      <c r="C546" t="s">
        <v>197</v>
      </c>
      <c r="D546" t="s">
        <v>197</v>
      </c>
      <c r="E546" t="s">
        <v>197</v>
      </c>
      <c r="F546" t="s">
        <v>197</v>
      </c>
      <c r="G546" t="s">
        <v>197</v>
      </c>
      <c r="H546" t="s">
        <v>197</v>
      </c>
      <c r="I546" t="s">
        <v>197</v>
      </c>
      <c r="J546" t="s">
        <v>197</v>
      </c>
      <c r="K546" t="s">
        <v>367</v>
      </c>
    </row>
    <row r="547" spans="1:24">
      <c r="B547" t="s">
        <v>197</v>
      </c>
      <c r="C547" t="s">
        <v>197</v>
      </c>
      <c r="D547" t="s">
        <v>197</v>
      </c>
      <c r="E547" t="s">
        <v>197</v>
      </c>
      <c r="F547" t="s">
        <v>197</v>
      </c>
      <c r="G547" t="s">
        <v>197</v>
      </c>
      <c r="H547" t="s">
        <v>197</v>
      </c>
      <c r="I547" t="s">
        <v>197</v>
      </c>
      <c r="J547" t="s">
        <v>197</v>
      </c>
      <c r="K547" t="s">
        <v>373</v>
      </c>
    </row>
    <row r="548" spans="1:24">
      <c r="A548" t="s">
        <v>808</v>
      </c>
      <c r="K548" t="s">
        <v>809</v>
      </c>
      <c r="W548" t="s">
        <v>171</v>
      </c>
      <c r="X548" t="str">
        <f>A548</f>
        <v>info_date_dml_batch1_pk_irp2</v>
      </c>
    </row>
    <row r="549" spans="1:24">
      <c r="B549" t="s">
        <v>196</v>
      </c>
      <c r="C549" t="s">
        <v>197</v>
      </c>
      <c r="D549" t="s">
        <v>197</v>
      </c>
      <c r="E549" t="s">
        <v>197</v>
      </c>
      <c r="F549" t="s">
        <v>197</v>
      </c>
      <c r="G549" t="s">
        <v>197</v>
      </c>
      <c r="H549" t="s">
        <v>197</v>
      </c>
      <c r="I549" t="s">
        <v>810</v>
      </c>
      <c r="J549" t="s">
        <v>199</v>
      </c>
      <c r="K549" t="s">
        <v>200</v>
      </c>
    </row>
    <row r="550" spans="1:24">
      <c r="B550" t="s">
        <v>197</v>
      </c>
      <c r="C550" t="s">
        <v>197</v>
      </c>
      <c r="D550" t="s">
        <v>197</v>
      </c>
      <c r="E550" t="s">
        <v>197</v>
      </c>
      <c r="F550" t="s">
        <v>197</v>
      </c>
      <c r="G550" t="s">
        <v>197</v>
      </c>
      <c r="H550" t="s">
        <v>197</v>
      </c>
      <c r="I550" t="s">
        <v>197</v>
      </c>
      <c r="J550" t="s">
        <v>197</v>
      </c>
      <c r="K550" t="s">
        <v>678</v>
      </c>
    </row>
    <row r="551" spans="1:24">
      <c r="A551" t="s">
        <v>814</v>
      </c>
      <c r="K551" t="s">
        <v>815</v>
      </c>
      <c r="W551" t="s">
        <v>171</v>
      </c>
      <c r="X551" t="str">
        <f>A551</f>
        <v>info_varcharmax_dml_batch2_pk_irp2</v>
      </c>
    </row>
    <row r="552" spans="1:24">
      <c r="B552" t="s">
        <v>196</v>
      </c>
      <c r="C552" t="s">
        <v>197</v>
      </c>
      <c r="D552" t="s">
        <v>197</v>
      </c>
      <c r="E552" t="s">
        <v>197</v>
      </c>
      <c r="F552" t="s">
        <v>197</v>
      </c>
      <c r="G552" t="s">
        <v>197</v>
      </c>
      <c r="H552" t="s">
        <v>197</v>
      </c>
      <c r="I552" t="s">
        <v>816</v>
      </c>
      <c r="J552" t="s">
        <v>199</v>
      </c>
      <c r="K552" t="s">
        <v>200</v>
      </c>
    </row>
    <row r="553" spans="1:24">
      <c r="B553" t="s">
        <v>197</v>
      </c>
      <c r="C553" t="s">
        <v>197</v>
      </c>
      <c r="D553" t="s">
        <v>197</v>
      </c>
      <c r="E553" t="s">
        <v>197</v>
      </c>
      <c r="F553" t="s">
        <v>197</v>
      </c>
      <c r="G553" t="s">
        <v>197</v>
      </c>
      <c r="H553" t="s">
        <v>197</v>
      </c>
      <c r="I553" t="s">
        <v>197</v>
      </c>
      <c r="J553" t="s">
        <v>197</v>
      </c>
      <c r="K553" t="s">
        <v>725</v>
      </c>
    </row>
    <row r="554" spans="1:24">
      <c r="B554" t="s">
        <v>197</v>
      </c>
      <c r="C554" t="s">
        <v>197</v>
      </c>
      <c r="D554" t="s">
        <v>197</v>
      </c>
      <c r="E554" t="s">
        <v>197</v>
      </c>
      <c r="F554" t="s">
        <v>197</v>
      </c>
      <c r="G554" t="s">
        <v>197</v>
      </c>
      <c r="H554" t="s">
        <v>197</v>
      </c>
      <c r="I554" t="s">
        <v>197</v>
      </c>
      <c r="J554" t="s">
        <v>197</v>
      </c>
      <c r="K554" t="s">
        <v>726</v>
      </c>
    </row>
    <row r="555" spans="1:24">
      <c r="K555" t="s">
        <v>443</v>
      </c>
    </row>
    <row r="556" spans="1:24">
      <c r="A556" t="s">
        <v>817</v>
      </c>
      <c r="K556" t="s">
        <v>818</v>
      </c>
      <c r="W556" t="s">
        <v>171</v>
      </c>
      <c r="X556" t="str">
        <f>A556</f>
        <v>info_datetimeoffset_dml_batch1_pk_drp1</v>
      </c>
    </row>
    <row r="557" spans="1:24">
      <c r="B557" t="s">
        <v>196</v>
      </c>
      <c r="C557" t="s">
        <v>197</v>
      </c>
      <c r="D557" t="s">
        <v>197</v>
      </c>
      <c r="E557" t="s">
        <v>197</v>
      </c>
      <c r="F557" t="s">
        <v>197</v>
      </c>
      <c r="G557" t="s">
        <v>197</v>
      </c>
      <c r="H557" t="s">
        <v>197</v>
      </c>
      <c r="I557" t="s">
        <v>819</v>
      </c>
      <c r="J557" t="s">
        <v>199</v>
      </c>
      <c r="K557" t="s">
        <v>200</v>
      </c>
    </row>
    <row r="558" spans="1:24">
      <c r="B558" t="s">
        <v>197</v>
      </c>
      <c r="C558" t="s">
        <v>197</v>
      </c>
      <c r="D558" t="s">
        <v>197</v>
      </c>
      <c r="E558" t="s">
        <v>197</v>
      </c>
      <c r="F558" t="s">
        <v>197</v>
      </c>
      <c r="G558" t="s">
        <v>197</v>
      </c>
      <c r="H558" t="s">
        <v>197</v>
      </c>
      <c r="I558" t="s">
        <v>197</v>
      </c>
      <c r="J558" t="s">
        <v>197</v>
      </c>
      <c r="K558" t="s">
        <v>301</v>
      </c>
    </row>
    <row r="559" spans="1:24">
      <c r="B559" t="s">
        <v>197</v>
      </c>
      <c r="C559" t="s">
        <v>197</v>
      </c>
      <c r="D559" t="s">
        <v>197</v>
      </c>
      <c r="E559" t="s">
        <v>197</v>
      </c>
      <c r="F559" t="s">
        <v>197</v>
      </c>
      <c r="G559" t="s">
        <v>197</v>
      </c>
      <c r="H559" t="s">
        <v>197</v>
      </c>
      <c r="I559" t="s">
        <v>197</v>
      </c>
      <c r="J559" t="s">
        <v>197</v>
      </c>
      <c r="K559" t="s">
        <v>314</v>
      </c>
    </row>
    <row r="560" spans="1:24">
      <c r="B560" t="s">
        <v>197</v>
      </c>
      <c r="C560" t="s">
        <v>197</v>
      </c>
      <c r="D560" t="s">
        <v>197</v>
      </c>
      <c r="E560" t="s">
        <v>197</v>
      </c>
      <c r="F560" t="s">
        <v>197</v>
      </c>
      <c r="G560" t="s">
        <v>197</v>
      </c>
      <c r="H560" t="s">
        <v>197</v>
      </c>
      <c r="I560" t="s">
        <v>197</v>
      </c>
      <c r="J560" t="s">
        <v>197</v>
      </c>
      <c r="K560" t="s">
        <v>324</v>
      </c>
    </row>
    <row r="561" spans="1:24">
      <c r="B561" t="s">
        <v>197</v>
      </c>
      <c r="C561" t="s">
        <v>197</v>
      </c>
      <c r="D561" t="s">
        <v>197</v>
      </c>
      <c r="E561" t="s">
        <v>197</v>
      </c>
      <c r="F561" t="s">
        <v>197</v>
      </c>
      <c r="G561" t="s">
        <v>197</v>
      </c>
      <c r="H561" t="s">
        <v>197</v>
      </c>
      <c r="I561" t="s">
        <v>197</v>
      </c>
      <c r="J561" t="s">
        <v>197</v>
      </c>
      <c r="K561" t="s">
        <v>335</v>
      </c>
    </row>
    <row r="562" spans="1:24">
      <c r="B562" t="s">
        <v>197</v>
      </c>
      <c r="C562" t="s">
        <v>197</v>
      </c>
      <c r="D562" t="s">
        <v>197</v>
      </c>
      <c r="E562" t="s">
        <v>197</v>
      </c>
      <c r="F562" t="s">
        <v>197</v>
      </c>
      <c r="G562" t="s">
        <v>197</v>
      </c>
      <c r="H562" t="s">
        <v>197</v>
      </c>
      <c r="I562" t="s">
        <v>197</v>
      </c>
      <c r="J562" t="s">
        <v>197</v>
      </c>
      <c r="K562" t="s">
        <v>350</v>
      </c>
    </row>
    <row r="563" spans="1:24">
      <c r="B563" t="s">
        <v>197</v>
      </c>
      <c r="C563" t="s">
        <v>197</v>
      </c>
      <c r="D563" t="s">
        <v>197</v>
      </c>
      <c r="E563" t="s">
        <v>197</v>
      </c>
      <c r="F563" t="s">
        <v>197</v>
      </c>
      <c r="G563" t="s">
        <v>197</v>
      </c>
      <c r="H563" t="s">
        <v>197</v>
      </c>
      <c r="I563" t="s">
        <v>197</v>
      </c>
      <c r="J563" t="s">
        <v>197</v>
      </c>
      <c r="K563" t="s">
        <v>360</v>
      </c>
    </row>
    <row r="564" spans="1:24">
      <c r="B564" t="s">
        <v>197</v>
      </c>
      <c r="C564" t="s">
        <v>197</v>
      </c>
      <c r="D564" t="s">
        <v>197</v>
      </c>
      <c r="E564" t="s">
        <v>197</v>
      </c>
      <c r="F564" t="s">
        <v>197</v>
      </c>
      <c r="G564" t="s">
        <v>197</v>
      </c>
      <c r="H564" t="s">
        <v>197</v>
      </c>
      <c r="I564" t="s">
        <v>197</v>
      </c>
      <c r="J564" t="s">
        <v>197</v>
      </c>
      <c r="K564" t="s">
        <v>367</v>
      </c>
    </row>
    <row r="565" spans="1:24">
      <c r="B565" t="s">
        <v>197</v>
      </c>
      <c r="C565" t="s">
        <v>197</v>
      </c>
      <c r="D565" t="s">
        <v>197</v>
      </c>
      <c r="E565" t="s">
        <v>197</v>
      </c>
      <c r="F565" t="s">
        <v>197</v>
      </c>
      <c r="G565" t="s">
        <v>197</v>
      </c>
      <c r="H565" t="s">
        <v>197</v>
      </c>
      <c r="I565" t="s">
        <v>197</v>
      </c>
      <c r="J565" t="s">
        <v>197</v>
      </c>
      <c r="K565" t="s">
        <v>373</v>
      </c>
    </row>
    <row r="566" spans="1:24">
      <c r="K566" t="s">
        <v>443</v>
      </c>
    </row>
    <row r="567" spans="1:24">
      <c r="A567" t="s">
        <v>788</v>
      </c>
      <c r="K567" t="s">
        <v>789</v>
      </c>
      <c r="W567" t="s">
        <v>171</v>
      </c>
      <c r="X567" t="str">
        <f>A567</f>
        <v>info_datetimeoffset_dml_batch2_pk_irp2</v>
      </c>
    </row>
    <row r="568" spans="1:24">
      <c r="B568" t="s">
        <v>196</v>
      </c>
      <c r="C568" t="s">
        <v>197</v>
      </c>
      <c r="D568" t="s">
        <v>197</v>
      </c>
      <c r="E568" t="s">
        <v>197</v>
      </c>
      <c r="F568" t="s">
        <v>197</v>
      </c>
      <c r="G568" t="s">
        <v>197</v>
      </c>
      <c r="H568" t="s">
        <v>197</v>
      </c>
      <c r="I568" t="s">
        <v>790</v>
      </c>
      <c r="J568" t="s">
        <v>199</v>
      </c>
      <c r="K568" t="s">
        <v>200</v>
      </c>
    </row>
    <row r="569" spans="1:24">
      <c r="B569" t="s">
        <v>197</v>
      </c>
      <c r="C569" t="s">
        <v>197</v>
      </c>
      <c r="D569" t="s">
        <v>197</v>
      </c>
      <c r="E569" t="s">
        <v>197</v>
      </c>
      <c r="F569" t="s">
        <v>197</v>
      </c>
      <c r="G569" t="s">
        <v>197</v>
      </c>
      <c r="H569" t="s">
        <v>197</v>
      </c>
      <c r="I569" t="s">
        <v>197</v>
      </c>
      <c r="J569" t="s">
        <v>197</v>
      </c>
      <c r="K569" t="s">
        <v>301</v>
      </c>
    </row>
    <row r="570" spans="1:24">
      <c r="B570" t="s">
        <v>197</v>
      </c>
      <c r="C570" t="s">
        <v>197</v>
      </c>
      <c r="D570" t="s">
        <v>197</v>
      </c>
      <c r="E570" t="s">
        <v>197</v>
      </c>
      <c r="F570" t="s">
        <v>197</v>
      </c>
      <c r="G570" t="s">
        <v>197</v>
      </c>
      <c r="H570" t="s">
        <v>197</v>
      </c>
      <c r="I570" t="s">
        <v>197</v>
      </c>
      <c r="J570" t="s">
        <v>197</v>
      </c>
      <c r="K570" t="s">
        <v>314</v>
      </c>
    </row>
    <row r="571" spans="1:24">
      <c r="B571" t="s">
        <v>197</v>
      </c>
      <c r="C571" t="s">
        <v>197</v>
      </c>
      <c r="D571" t="s">
        <v>197</v>
      </c>
      <c r="E571" t="s">
        <v>197</v>
      </c>
      <c r="F571" t="s">
        <v>197</v>
      </c>
      <c r="G571" t="s">
        <v>197</v>
      </c>
      <c r="H571" t="s">
        <v>197</v>
      </c>
      <c r="I571" t="s">
        <v>197</v>
      </c>
      <c r="J571" t="s">
        <v>197</v>
      </c>
      <c r="K571" t="s">
        <v>324</v>
      </c>
    </row>
    <row r="572" spans="1:24">
      <c r="B572" t="s">
        <v>197</v>
      </c>
      <c r="C572" t="s">
        <v>197</v>
      </c>
      <c r="D572" t="s">
        <v>197</v>
      </c>
      <c r="E572" t="s">
        <v>197</v>
      </c>
      <c r="F572" t="s">
        <v>197</v>
      </c>
      <c r="G572" t="s">
        <v>197</v>
      </c>
      <c r="H572" t="s">
        <v>197</v>
      </c>
      <c r="I572" t="s">
        <v>197</v>
      </c>
      <c r="J572" t="s">
        <v>197</v>
      </c>
      <c r="K572" t="s">
        <v>335</v>
      </c>
    </row>
    <row r="573" spans="1:24">
      <c r="B573" t="s">
        <v>197</v>
      </c>
      <c r="C573" t="s">
        <v>197</v>
      </c>
      <c r="D573" t="s">
        <v>197</v>
      </c>
      <c r="E573" t="s">
        <v>197</v>
      </c>
      <c r="F573" t="s">
        <v>197</v>
      </c>
      <c r="G573" t="s">
        <v>197</v>
      </c>
      <c r="H573" t="s">
        <v>197</v>
      </c>
      <c r="I573" t="s">
        <v>197</v>
      </c>
      <c r="J573" t="s">
        <v>197</v>
      </c>
      <c r="K573" t="s">
        <v>350</v>
      </c>
    </row>
    <row r="574" spans="1:24">
      <c r="B574" t="s">
        <v>197</v>
      </c>
      <c r="C574" t="s">
        <v>197</v>
      </c>
      <c r="D574" t="s">
        <v>197</v>
      </c>
      <c r="E574" t="s">
        <v>197</v>
      </c>
      <c r="F574" t="s">
        <v>197</v>
      </c>
      <c r="G574" t="s">
        <v>197</v>
      </c>
      <c r="H574" t="s">
        <v>197</v>
      </c>
      <c r="I574" t="s">
        <v>197</v>
      </c>
      <c r="J574" t="s">
        <v>197</v>
      </c>
      <c r="K574" t="s">
        <v>360</v>
      </c>
    </row>
    <row r="575" spans="1:24">
      <c r="B575" t="s">
        <v>197</v>
      </c>
      <c r="C575" t="s">
        <v>197</v>
      </c>
      <c r="D575" t="s">
        <v>197</v>
      </c>
      <c r="E575" t="s">
        <v>197</v>
      </c>
      <c r="F575" t="s">
        <v>197</v>
      </c>
      <c r="G575" t="s">
        <v>197</v>
      </c>
      <c r="H575" t="s">
        <v>197</v>
      </c>
      <c r="I575" t="s">
        <v>197</v>
      </c>
      <c r="J575" t="s">
        <v>197</v>
      </c>
      <c r="K575" t="s">
        <v>367</v>
      </c>
    </row>
    <row r="576" spans="1:24">
      <c r="B576" t="s">
        <v>197</v>
      </c>
      <c r="C576" t="s">
        <v>197</v>
      </c>
      <c r="D576" t="s">
        <v>197</v>
      </c>
      <c r="E576" t="s">
        <v>197</v>
      </c>
      <c r="F576" t="s">
        <v>197</v>
      </c>
      <c r="G576" t="s">
        <v>197</v>
      </c>
      <c r="H576" t="s">
        <v>197</v>
      </c>
      <c r="I576" t="s">
        <v>197</v>
      </c>
      <c r="J576" t="s">
        <v>197</v>
      </c>
      <c r="K576" t="s">
        <v>373</v>
      </c>
    </row>
    <row r="577" spans="1:24">
      <c r="A577" t="s">
        <v>823</v>
      </c>
      <c r="K577" t="s">
        <v>824</v>
      </c>
      <c r="W577" t="s">
        <v>171</v>
      </c>
      <c r="X577" t="str">
        <f>A577</f>
        <v>info_hierarchyid_dml_single_pk</v>
      </c>
    </row>
    <row r="578" spans="1:24">
      <c r="B578" t="s">
        <v>196</v>
      </c>
      <c r="C578" t="s">
        <v>197</v>
      </c>
      <c r="D578" t="s">
        <v>197</v>
      </c>
      <c r="E578" t="s">
        <v>197</v>
      </c>
      <c r="F578" t="s">
        <v>197</v>
      </c>
      <c r="G578" t="s">
        <v>197</v>
      </c>
      <c r="H578" t="s">
        <v>197</v>
      </c>
      <c r="I578" t="s">
        <v>825</v>
      </c>
      <c r="J578" t="s">
        <v>199</v>
      </c>
      <c r="K578" t="s">
        <v>200</v>
      </c>
    </row>
    <row r="579" spans="1:24">
      <c r="B579" t="s">
        <v>197</v>
      </c>
      <c r="C579" t="s">
        <v>197</v>
      </c>
      <c r="D579" t="s">
        <v>197</v>
      </c>
      <c r="E579" t="s">
        <v>197</v>
      </c>
      <c r="F579" t="s">
        <v>197</v>
      </c>
      <c r="G579" t="s">
        <v>197</v>
      </c>
      <c r="H579" t="s">
        <v>197</v>
      </c>
      <c r="I579" t="s">
        <v>197</v>
      </c>
      <c r="J579" t="s">
        <v>197</v>
      </c>
      <c r="K579" t="s">
        <v>706</v>
      </c>
    </row>
    <row r="580" spans="1:24">
      <c r="A580" t="s">
        <v>820</v>
      </c>
      <c r="K580" t="s">
        <v>821</v>
      </c>
      <c r="W580" t="s">
        <v>171</v>
      </c>
      <c r="X580" t="str">
        <f>A580</f>
        <v>info_nchar_dml_batch1_pk_urp1</v>
      </c>
    </row>
    <row r="581" spans="1:24">
      <c r="B581" t="s">
        <v>196</v>
      </c>
      <c r="C581" t="s">
        <v>197</v>
      </c>
      <c r="D581" t="s">
        <v>197</v>
      </c>
      <c r="E581" t="s">
        <v>197</v>
      </c>
      <c r="F581" t="s">
        <v>197</v>
      </c>
      <c r="G581" t="s">
        <v>197</v>
      </c>
      <c r="H581" t="s">
        <v>197</v>
      </c>
      <c r="I581" t="s">
        <v>822</v>
      </c>
      <c r="J581" t="s">
        <v>199</v>
      </c>
      <c r="K581" t="s">
        <v>200</v>
      </c>
    </row>
    <row r="582" spans="1:24">
      <c r="B582" t="s">
        <v>197</v>
      </c>
      <c r="C582" t="s">
        <v>197</v>
      </c>
      <c r="D582" t="s">
        <v>197</v>
      </c>
      <c r="E582" t="s">
        <v>197</v>
      </c>
      <c r="F582" t="s">
        <v>197</v>
      </c>
      <c r="G582" t="s">
        <v>197</v>
      </c>
      <c r="H582" t="s">
        <v>197</v>
      </c>
      <c r="I582" t="s">
        <v>197</v>
      </c>
      <c r="J582" t="s">
        <v>197</v>
      </c>
      <c r="K582" t="s">
        <v>514</v>
      </c>
    </row>
    <row r="583" spans="1:24">
      <c r="B583" t="s">
        <v>197</v>
      </c>
      <c r="C583" t="s">
        <v>197</v>
      </c>
      <c r="D583" t="s">
        <v>197</v>
      </c>
      <c r="E583" t="s">
        <v>197</v>
      </c>
      <c r="F583" t="s">
        <v>197</v>
      </c>
      <c r="G583" t="s">
        <v>197</v>
      </c>
      <c r="H583" t="s">
        <v>197</v>
      </c>
      <c r="I583" t="s">
        <v>197</v>
      </c>
      <c r="J583" t="s">
        <v>197</v>
      </c>
      <c r="K583" t="s">
        <v>516</v>
      </c>
    </row>
    <row r="584" spans="1:24">
      <c r="B584" t="s">
        <v>197</v>
      </c>
      <c r="C584" t="s">
        <v>197</v>
      </c>
      <c r="D584" t="s">
        <v>197</v>
      </c>
      <c r="E584" t="s">
        <v>197</v>
      </c>
      <c r="F584" t="s">
        <v>197</v>
      </c>
      <c r="G584" t="s">
        <v>197</v>
      </c>
      <c r="H584" t="s">
        <v>197</v>
      </c>
      <c r="I584" t="s">
        <v>197</v>
      </c>
      <c r="J584" t="s">
        <v>197</v>
      </c>
      <c r="K584" t="s">
        <v>612</v>
      </c>
    </row>
    <row r="585" spans="1:24">
      <c r="A585" t="s">
        <v>829</v>
      </c>
      <c r="K585" t="s">
        <v>830</v>
      </c>
      <c r="W585" t="s">
        <v>171</v>
      </c>
      <c r="X585" t="str">
        <f>A585</f>
        <v>info_char_dml_batch1_pk_drp1</v>
      </c>
    </row>
    <row r="586" spans="1:24">
      <c r="B586" t="s">
        <v>196</v>
      </c>
      <c r="C586" t="s">
        <v>197</v>
      </c>
      <c r="D586" t="s">
        <v>197</v>
      </c>
      <c r="E586" t="s">
        <v>197</v>
      </c>
      <c r="F586" t="s">
        <v>197</v>
      </c>
      <c r="G586" t="s">
        <v>197</v>
      </c>
      <c r="H586" t="s">
        <v>197</v>
      </c>
      <c r="I586" t="s">
        <v>831</v>
      </c>
      <c r="J586" t="s">
        <v>199</v>
      </c>
      <c r="K586" t="s">
        <v>200</v>
      </c>
    </row>
    <row r="587" spans="1:24">
      <c r="B587" t="s">
        <v>197</v>
      </c>
      <c r="C587" t="s">
        <v>197</v>
      </c>
      <c r="D587" t="s">
        <v>197</v>
      </c>
      <c r="E587" t="s">
        <v>197</v>
      </c>
      <c r="F587" t="s">
        <v>197</v>
      </c>
      <c r="G587" t="s">
        <v>197</v>
      </c>
      <c r="H587" t="s">
        <v>197</v>
      </c>
      <c r="I587" t="s">
        <v>197</v>
      </c>
      <c r="J587" t="s">
        <v>197</v>
      </c>
      <c r="K587" t="s">
        <v>622</v>
      </c>
    </row>
    <row r="588" spans="1:24">
      <c r="B588" t="s">
        <v>197</v>
      </c>
      <c r="C588" t="s">
        <v>197</v>
      </c>
      <c r="D588" t="s">
        <v>197</v>
      </c>
      <c r="E588" t="s">
        <v>197</v>
      </c>
      <c r="F588" t="s">
        <v>197</v>
      </c>
      <c r="G588" t="s">
        <v>197</v>
      </c>
      <c r="H588" t="s">
        <v>197</v>
      </c>
      <c r="I588" t="s">
        <v>197</v>
      </c>
      <c r="J588" t="s">
        <v>197</v>
      </c>
      <c r="K588" t="s">
        <v>623</v>
      </c>
    </row>
    <row r="589" spans="1:24">
      <c r="B589" t="s">
        <v>197</v>
      </c>
      <c r="C589" t="s">
        <v>197</v>
      </c>
      <c r="D589" t="s">
        <v>197</v>
      </c>
      <c r="E589" t="s">
        <v>197</v>
      </c>
      <c r="F589" t="s">
        <v>197</v>
      </c>
      <c r="G589" t="s">
        <v>197</v>
      </c>
      <c r="H589" t="s">
        <v>197</v>
      </c>
      <c r="I589" t="s">
        <v>197</v>
      </c>
      <c r="J589" t="s">
        <v>197</v>
      </c>
      <c r="K589" t="s">
        <v>832</v>
      </c>
    </row>
    <row r="590" spans="1:24">
      <c r="K590" t="s">
        <v>443</v>
      </c>
    </row>
    <row r="591" spans="1:24">
      <c r="A591" t="s">
        <v>833</v>
      </c>
      <c r="K591" t="s">
        <v>834</v>
      </c>
      <c r="W591" t="s">
        <v>171</v>
      </c>
      <c r="X591" t="str">
        <f>A591</f>
        <v>info_datetimeoffset_dml_batch1_pk</v>
      </c>
    </row>
    <row r="592" spans="1:24">
      <c r="B592" t="s">
        <v>196</v>
      </c>
      <c r="C592" t="s">
        <v>197</v>
      </c>
      <c r="D592" t="s">
        <v>197</v>
      </c>
      <c r="E592" t="s">
        <v>197</v>
      </c>
      <c r="F592" t="s">
        <v>197</v>
      </c>
      <c r="G592" t="s">
        <v>197</v>
      </c>
      <c r="H592" t="s">
        <v>197</v>
      </c>
      <c r="I592" t="s">
        <v>835</v>
      </c>
      <c r="J592" t="s">
        <v>199</v>
      </c>
      <c r="K592" t="s">
        <v>200</v>
      </c>
    </row>
    <row r="593" spans="1:24">
      <c r="B593" t="s">
        <v>197</v>
      </c>
      <c r="C593" t="s">
        <v>197</v>
      </c>
      <c r="D593" t="s">
        <v>197</v>
      </c>
      <c r="E593" t="s">
        <v>197</v>
      </c>
      <c r="F593" t="s">
        <v>197</v>
      </c>
      <c r="G593" t="s">
        <v>197</v>
      </c>
      <c r="H593" t="s">
        <v>197</v>
      </c>
      <c r="I593" t="s">
        <v>197</v>
      </c>
      <c r="J593" t="s">
        <v>197</v>
      </c>
      <c r="K593" t="s">
        <v>301</v>
      </c>
    </row>
    <row r="594" spans="1:24">
      <c r="B594" t="s">
        <v>197</v>
      </c>
      <c r="C594" t="s">
        <v>197</v>
      </c>
      <c r="D594" t="s">
        <v>197</v>
      </c>
      <c r="E594" t="s">
        <v>197</v>
      </c>
      <c r="F594" t="s">
        <v>197</v>
      </c>
      <c r="G594" t="s">
        <v>197</v>
      </c>
      <c r="H594" t="s">
        <v>197</v>
      </c>
      <c r="I594" t="s">
        <v>197</v>
      </c>
      <c r="J594" t="s">
        <v>197</v>
      </c>
      <c r="K594" t="s">
        <v>314</v>
      </c>
    </row>
    <row r="595" spans="1:24">
      <c r="B595" t="s">
        <v>197</v>
      </c>
      <c r="C595" t="s">
        <v>197</v>
      </c>
      <c r="D595" t="s">
        <v>197</v>
      </c>
      <c r="E595" t="s">
        <v>197</v>
      </c>
      <c r="F595" t="s">
        <v>197</v>
      </c>
      <c r="G595" t="s">
        <v>197</v>
      </c>
      <c r="H595" t="s">
        <v>197</v>
      </c>
      <c r="I595" t="s">
        <v>197</v>
      </c>
      <c r="J595" t="s">
        <v>197</v>
      </c>
      <c r="K595" t="s">
        <v>324</v>
      </c>
    </row>
    <row r="596" spans="1:24">
      <c r="B596" t="s">
        <v>197</v>
      </c>
      <c r="C596" t="s">
        <v>197</v>
      </c>
      <c r="D596" t="s">
        <v>197</v>
      </c>
      <c r="E596" t="s">
        <v>197</v>
      </c>
      <c r="F596" t="s">
        <v>197</v>
      </c>
      <c r="G596" t="s">
        <v>197</v>
      </c>
      <c r="H596" t="s">
        <v>197</v>
      </c>
      <c r="I596" t="s">
        <v>197</v>
      </c>
      <c r="J596" t="s">
        <v>197</v>
      </c>
      <c r="K596" t="s">
        <v>335</v>
      </c>
    </row>
    <row r="597" spans="1:24">
      <c r="B597" t="s">
        <v>197</v>
      </c>
      <c r="C597" t="s">
        <v>197</v>
      </c>
      <c r="D597" t="s">
        <v>197</v>
      </c>
      <c r="E597" t="s">
        <v>197</v>
      </c>
      <c r="F597" t="s">
        <v>197</v>
      </c>
      <c r="G597" t="s">
        <v>197</v>
      </c>
      <c r="H597" t="s">
        <v>197</v>
      </c>
      <c r="I597" t="s">
        <v>197</v>
      </c>
      <c r="J597" t="s">
        <v>197</v>
      </c>
      <c r="K597" t="s">
        <v>350</v>
      </c>
    </row>
    <row r="598" spans="1:24">
      <c r="B598" t="s">
        <v>197</v>
      </c>
      <c r="C598" t="s">
        <v>197</v>
      </c>
      <c r="D598" t="s">
        <v>197</v>
      </c>
      <c r="E598" t="s">
        <v>197</v>
      </c>
      <c r="F598" t="s">
        <v>197</v>
      </c>
      <c r="G598" t="s">
        <v>197</v>
      </c>
      <c r="H598" t="s">
        <v>197</v>
      </c>
      <c r="I598" t="s">
        <v>197</v>
      </c>
      <c r="J598" t="s">
        <v>197</v>
      </c>
      <c r="K598" t="s">
        <v>360</v>
      </c>
    </row>
    <row r="599" spans="1:24">
      <c r="B599" t="s">
        <v>197</v>
      </c>
      <c r="C599" t="s">
        <v>197</v>
      </c>
      <c r="D599" t="s">
        <v>197</v>
      </c>
      <c r="E599" t="s">
        <v>197</v>
      </c>
      <c r="F599" t="s">
        <v>197</v>
      </c>
      <c r="G599" t="s">
        <v>197</v>
      </c>
      <c r="H599" t="s">
        <v>197</v>
      </c>
      <c r="I599" t="s">
        <v>197</v>
      </c>
      <c r="J599" t="s">
        <v>197</v>
      </c>
      <c r="K599" t="s">
        <v>367</v>
      </c>
    </row>
    <row r="600" spans="1:24">
      <c r="B600" t="s">
        <v>197</v>
      </c>
      <c r="C600" t="s">
        <v>197</v>
      </c>
      <c r="D600" t="s">
        <v>197</v>
      </c>
      <c r="E600" t="s">
        <v>197</v>
      </c>
      <c r="F600" t="s">
        <v>197</v>
      </c>
      <c r="G600" t="s">
        <v>197</v>
      </c>
      <c r="H600" t="s">
        <v>197</v>
      </c>
      <c r="I600" t="s">
        <v>197</v>
      </c>
      <c r="J600" t="s">
        <v>197</v>
      </c>
      <c r="K600" t="s">
        <v>373</v>
      </c>
    </row>
    <row r="601" spans="1:24">
      <c r="A601" t="s">
        <v>842</v>
      </c>
      <c r="K601" t="s">
        <v>843</v>
      </c>
      <c r="W601" t="s">
        <v>171</v>
      </c>
      <c r="X601" t="str">
        <f>A601</f>
        <v>info_time_dml_single_pk_urp</v>
      </c>
    </row>
    <row r="602" spans="1:24">
      <c r="B602" t="s">
        <v>196</v>
      </c>
      <c r="C602" t="s">
        <v>197</v>
      </c>
      <c r="D602" t="s">
        <v>197</v>
      </c>
      <c r="E602" t="s">
        <v>197</v>
      </c>
      <c r="F602" t="s">
        <v>197</v>
      </c>
      <c r="G602" t="s">
        <v>197</v>
      </c>
      <c r="H602" t="s">
        <v>197</v>
      </c>
      <c r="I602" t="s">
        <v>844</v>
      </c>
      <c r="J602" t="s">
        <v>199</v>
      </c>
      <c r="K602" t="s">
        <v>200</v>
      </c>
    </row>
    <row r="603" spans="1:24">
      <c r="B603" t="s">
        <v>197</v>
      </c>
      <c r="C603" t="s">
        <v>197</v>
      </c>
      <c r="D603" t="s">
        <v>197</v>
      </c>
      <c r="E603" t="s">
        <v>197</v>
      </c>
      <c r="F603" t="s">
        <v>197</v>
      </c>
      <c r="G603" t="s">
        <v>197</v>
      </c>
      <c r="H603" t="s">
        <v>197</v>
      </c>
      <c r="I603" t="s">
        <v>197</v>
      </c>
      <c r="J603" t="s">
        <v>197</v>
      </c>
      <c r="K603" t="s">
        <v>800</v>
      </c>
    </row>
    <row r="604" spans="1:24">
      <c r="B604" t="s">
        <v>197</v>
      </c>
      <c r="C604" t="s">
        <v>197</v>
      </c>
      <c r="D604" t="s">
        <v>197</v>
      </c>
      <c r="E604" t="s">
        <v>197</v>
      </c>
      <c r="F604" t="s">
        <v>197</v>
      </c>
      <c r="G604" t="s">
        <v>197</v>
      </c>
      <c r="H604" t="s">
        <v>197</v>
      </c>
      <c r="I604" t="s">
        <v>197</v>
      </c>
      <c r="J604" t="s">
        <v>197</v>
      </c>
      <c r="K604" t="s">
        <v>801</v>
      </c>
    </row>
    <row r="605" spans="1:24">
      <c r="B605" t="s">
        <v>197</v>
      </c>
      <c r="C605" t="s">
        <v>197</v>
      </c>
      <c r="D605" t="s">
        <v>197</v>
      </c>
      <c r="E605" t="s">
        <v>197</v>
      </c>
      <c r="F605" t="s">
        <v>197</v>
      </c>
      <c r="G605" t="s">
        <v>197</v>
      </c>
      <c r="H605" t="s">
        <v>197</v>
      </c>
      <c r="I605" t="s">
        <v>197</v>
      </c>
      <c r="J605" t="s">
        <v>197</v>
      </c>
      <c r="K605" t="s">
        <v>802</v>
      </c>
    </row>
    <row r="606" spans="1:24">
      <c r="B606" t="s">
        <v>197</v>
      </c>
      <c r="C606" t="s">
        <v>197</v>
      </c>
      <c r="D606" t="s">
        <v>197</v>
      </c>
      <c r="E606" t="s">
        <v>197</v>
      </c>
      <c r="F606" t="s">
        <v>197</v>
      </c>
      <c r="G606" t="s">
        <v>197</v>
      </c>
      <c r="H606" t="s">
        <v>197</v>
      </c>
      <c r="I606" t="s">
        <v>197</v>
      </c>
      <c r="J606" t="s">
        <v>197</v>
      </c>
      <c r="K606" t="s">
        <v>803</v>
      </c>
    </row>
    <row r="607" spans="1:24">
      <c r="B607" t="s">
        <v>197</v>
      </c>
      <c r="C607" t="s">
        <v>197</v>
      </c>
      <c r="D607" t="s">
        <v>197</v>
      </c>
      <c r="E607" t="s">
        <v>197</v>
      </c>
      <c r="F607" t="s">
        <v>197</v>
      </c>
      <c r="G607" t="s">
        <v>197</v>
      </c>
      <c r="H607" t="s">
        <v>197</v>
      </c>
      <c r="I607" t="s">
        <v>197</v>
      </c>
      <c r="J607" t="s">
        <v>197</v>
      </c>
      <c r="K607" t="s">
        <v>804</v>
      </c>
    </row>
    <row r="608" spans="1:24">
      <c r="B608" t="s">
        <v>197</v>
      </c>
      <c r="C608" t="s">
        <v>197</v>
      </c>
      <c r="D608" t="s">
        <v>197</v>
      </c>
      <c r="E608" t="s">
        <v>197</v>
      </c>
      <c r="F608" t="s">
        <v>197</v>
      </c>
      <c r="G608" t="s">
        <v>197</v>
      </c>
      <c r="H608" t="s">
        <v>197</v>
      </c>
      <c r="I608" t="s">
        <v>197</v>
      </c>
      <c r="J608" t="s">
        <v>197</v>
      </c>
      <c r="K608" t="s">
        <v>805</v>
      </c>
    </row>
    <row r="609" spans="1:24">
      <c r="B609" t="s">
        <v>197</v>
      </c>
      <c r="C609" t="s">
        <v>197</v>
      </c>
      <c r="D609" t="s">
        <v>197</v>
      </c>
      <c r="E609" t="s">
        <v>197</v>
      </c>
      <c r="F609" t="s">
        <v>197</v>
      </c>
      <c r="G609" t="s">
        <v>197</v>
      </c>
      <c r="H609" t="s">
        <v>197</v>
      </c>
      <c r="I609" t="s">
        <v>197</v>
      </c>
      <c r="J609" t="s">
        <v>197</v>
      </c>
      <c r="K609" t="s">
        <v>806</v>
      </c>
    </row>
    <row r="610" spans="1:24">
      <c r="B610" t="s">
        <v>197</v>
      </c>
      <c r="C610" t="s">
        <v>197</v>
      </c>
      <c r="D610" t="s">
        <v>197</v>
      </c>
      <c r="E610" t="s">
        <v>197</v>
      </c>
      <c r="F610" t="s">
        <v>197</v>
      </c>
      <c r="G610" t="s">
        <v>197</v>
      </c>
      <c r="H610" t="s">
        <v>197</v>
      </c>
      <c r="I610" t="s">
        <v>197</v>
      </c>
      <c r="J610" t="s">
        <v>197</v>
      </c>
      <c r="K610" t="s">
        <v>807</v>
      </c>
    </row>
    <row r="611" spans="1:24">
      <c r="A611" t="s">
        <v>826</v>
      </c>
      <c r="K611" t="s">
        <v>827</v>
      </c>
      <c r="W611" t="s">
        <v>171</v>
      </c>
      <c r="X611" t="str">
        <f>A611</f>
        <v>info_datetimeoffset_dml_batch1_pk_drp2</v>
      </c>
    </row>
    <row r="612" spans="1:24">
      <c r="B612" t="s">
        <v>196</v>
      </c>
      <c r="C612" t="s">
        <v>197</v>
      </c>
      <c r="D612" t="s">
        <v>197</v>
      </c>
      <c r="E612" t="s">
        <v>197</v>
      </c>
      <c r="F612" t="s">
        <v>197</v>
      </c>
      <c r="G612" t="s">
        <v>197</v>
      </c>
      <c r="H612" t="s">
        <v>197</v>
      </c>
      <c r="I612" t="s">
        <v>828</v>
      </c>
      <c r="J612" t="s">
        <v>199</v>
      </c>
      <c r="K612" t="s">
        <v>200</v>
      </c>
    </row>
    <row r="613" spans="1:24">
      <c r="B613" t="s">
        <v>197</v>
      </c>
      <c r="C613" t="s">
        <v>197</v>
      </c>
      <c r="D613" t="s">
        <v>197</v>
      </c>
      <c r="E613" t="s">
        <v>197</v>
      </c>
      <c r="F613" t="s">
        <v>197</v>
      </c>
      <c r="G613" t="s">
        <v>197</v>
      </c>
      <c r="H613" t="s">
        <v>197</v>
      </c>
      <c r="I613" t="s">
        <v>197</v>
      </c>
      <c r="J613" t="s">
        <v>197</v>
      </c>
      <c r="K613" t="s">
        <v>301</v>
      </c>
    </row>
    <row r="614" spans="1:24">
      <c r="B614" t="s">
        <v>197</v>
      </c>
      <c r="C614" t="s">
        <v>197</v>
      </c>
      <c r="D614" t="s">
        <v>197</v>
      </c>
      <c r="E614" t="s">
        <v>197</v>
      </c>
      <c r="F614" t="s">
        <v>197</v>
      </c>
      <c r="G614" t="s">
        <v>197</v>
      </c>
      <c r="H614" t="s">
        <v>197</v>
      </c>
      <c r="I614" t="s">
        <v>197</v>
      </c>
      <c r="J614" t="s">
        <v>197</v>
      </c>
      <c r="K614" t="s">
        <v>314</v>
      </c>
    </row>
    <row r="615" spans="1:24">
      <c r="B615" t="s">
        <v>197</v>
      </c>
      <c r="C615" t="s">
        <v>197</v>
      </c>
      <c r="D615" t="s">
        <v>197</v>
      </c>
      <c r="E615" t="s">
        <v>197</v>
      </c>
      <c r="F615" t="s">
        <v>197</v>
      </c>
      <c r="G615" t="s">
        <v>197</v>
      </c>
      <c r="H615" t="s">
        <v>197</v>
      </c>
      <c r="I615" t="s">
        <v>197</v>
      </c>
      <c r="J615" t="s">
        <v>197</v>
      </c>
      <c r="K615" t="s">
        <v>324</v>
      </c>
    </row>
    <row r="616" spans="1:24">
      <c r="B616" t="s">
        <v>197</v>
      </c>
      <c r="C616" t="s">
        <v>197</v>
      </c>
      <c r="D616" t="s">
        <v>197</v>
      </c>
      <c r="E616" t="s">
        <v>197</v>
      </c>
      <c r="F616" t="s">
        <v>197</v>
      </c>
      <c r="G616" t="s">
        <v>197</v>
      </c>
      <c r="H616" t="s">
        <v>197</v>
      </c>
      <c r="I616" t="s">
        <v>197</v>
      </c>
      <c r="J616" t="s">
        <v>197</v>
      </c>
      <c r="K616" t="s">
        <v>335</v>
      </c>
    </row>
    <row r="617" spans="1:24">
      <c r="B617" t="s">
        <v>197</v>
      </c>
      <c r="C617" t="s">
        <v>197</v>
      </c>
      <c r="D617" t="s">
        <v>197</v>
      </c>
      <c r="E617" t="s">
        <v>197</v>
      </c>
      <c r="F617" t="s">
        <v>197</v>
      </c>
      <c r="G617" t="s">
        <v>197</v>
      </c>
      <c r="H617" t="s">
        <v>197</v>
      </c>
      <c r="I617" t="s">
        <v>197</v>
      </c>
      <c r="J617" t="s">
        <v>197</v>
      </c>
      <c r="K617" t="s">
        <v>350</v>
      </c>
    </row>
    <row r="618" spans="1:24">
      <c r="B618" t="s">
        <v>197</v>
      </c>
      <c r="C618" t="s">
        <v>197</v>
      </c>
      <c r="D618" t="s">
        <v>197</v>
      </c>
      <c r="E618" t="s">
        <v>197</v>
      </c>
      <c r="F618" t="s">
        <v>197</v>
      </c>
      <c r="G618" t="s">
        <v>197</v>
      </c>
      <c r="H618" t="s">
        <v>197</v>
      </c>
      <c r="I618" t="s">
        <v>197</v>
      </c>
      <c r="J618" t="s">
        <v>197</v>
      </c>
      <c r="K618" t="s">
        <v>360</v>
      </c>
    </row>
    <row r="619" spans="1:24">
      <c r="B619" t="s">
        <v>197</v>
      </c>
      <c r="C619" t="s">
        <v>197</v>
      </c>
      <c r="D619" t="s">
        <v>197</v>
      </c>
      <c r="E619" t="s">
        <v>197</v>
      </c>
      <c r="F619" t="s">
        <v>197</v>
      </c>
      <c r="G619" t="s">
        <v>197</v>
      </c>
      <c r="H619" t="s">
        <v>197</v>
      </c>
      <c r="I619" t="s">
        <v>197</v>
      </c>
      <c r="J619" t="s">
        <v>197</v>
      </c>
      <c r="K619" t="s">
        <v>367</v>
      </c>
    </row>
    <row r="620" spans="1:24">
      <c r="B620" t="s">
        <v>197</v>
      </c>
      <c r="C620" t="s">
        <v>197</v>
      </c>
      <c r="D620" t="s">
        <v>197</v>
      </c>
      <c r="E620" t="s">
        <v>197</v>
      </c>
      <c r="F620" t="s">
        <v>197</v>
      </c>
      <c r="G620" t="s">
        <v>197</v>
      </c>
      <c r="H620" t="s">
        <v>197</v>
      </c>
      <c r="I620" t="s">
        <v>197</v>
      </c>
      <c r="J620" t="s">
        <v>197</v>
      </c>
      <c r="K620" t="s">
        <v>373</v>
      </c>
    </row>
    <row r="621" spans="1:24">
      <c r="A621" t="s">
        <v>845</v>
      </c>
      <c r="K621" t="s">
        <v>846</v>
      </c>
      <c r="W621" t="s">
        <v>171</v>
      </c>
      <c r="X621" t="str">
        <f>A621</f>
        <v>info_binary_dml_batch1_pk_urp1</v>
      </c>
    </row>
    <row r="622" spans="1:24">
      <c r="B622" t="s">
        <v>196</v>
      </c>
      <c r="C622" t="s">
        <v>197</v>
      </c>
      <c r="D622" t="s">
        <v>197</v>
      </c>
      <c r="E622" t="s">
        <v>197</v>
      </c>
      <c r="F622" t="s">
        <v>197</v>
      </c>
      <c r="G622" t="s">
        <v>197</v>
      </c>
      <c r="H622" t="s">
        <v>197</v>
      </c>
      <c r="I622" t="s">
        <v>847</v>
      </c>
      <c r="J622" t="s">
        <v>199</v>
      </c>
      <c r="K622" t="s">
        <v>200</v>
      </c>
    </row>
    <row r="623" spans="1:24">
      <c r="B623" t="s">
        <v>197</v>
      </c>
      <c r="C623" t="s">
        <v>197</v>
      </c>
      <c r="D623" t="s">
        <v>197</v>
      </c>
      <c r="E623" t="s">
        <v>197</v>
      </c>
      <c r="F623" t="s">
        <v>197</v>
      </c>
      <c r="G623" t="s">
        <v>197</v>
      </c>
      <c r="H623" t="s">
        <v>197</v>
      </c>
      <c r="I623" t="s">
        <v>197</v>
      </c>
      <c r="J623" t="s">
        <v>197</v>
      </c>
      <c r="K623" t="s">
        <v>691</v>
      </c>
    </row>
    <row r="624" spans="1:24">
      <c r="B624" t="s">
        <v>197</v>
      </c>
      <c r="C624" t="s">
        <v>197</v>
      </c>
      <c r="D624" t="s">
        <v>197</v>
      </c>
      <c r="E624" t="s">
        <v>197</v>
      </c>
      <c r="F624" t="s">
        <v>197</v>
      </c>
      <c r="G624" t="s">
        <v>197</v>
      </c>
      <c r="H624" t="s">
        <v>197</v>
      </c>
      <c r="I624" t="s">
        <v>197</v>
      </c>
      <c r="J624" t="s">
        <v>197</v>
      </c>
      <c r="K624" t="s">
        <v>692</v>
      </c>
    </row>
    <row r="625" spans="1:24">
      <c r="B625" t="s">
        <v>197</v>
      </c>
      <c r="C625" t="s">
        <v>197</v>
      </c>
      <c r="D625" t="s">
        <v>197</v>
      </c>
      <c r="E625" t="s">
        <v>197</v>
      </c>
      <c r="F625" t="s">
        <v>197</v>
      </c>
      <c r="G625" t="s">
        <v>197</v>
      </c>
      <c r="H625" t="s">
        <v>197</v>
      </c>
      <c r="I625" t="s">
        <v>197</v>
      </c>
      <c r="J625" t="s">
        <v>197</v>
      </c>
      <c r="K625" t="s">
        <v>693</v>
      </c>
    </row>
    <row r="626" spans="1:24">
      <c r="A626" t="s">
        <v>848</v>
      </c>
      <c r="K626" t="s">
        <v>849</v>
      </c>
      <c r="W626" t="s">
        <v>171</v>
      </c>
      <c r="X626" t="str">
        <f>A626</f>
        <v>info_time_dml_single_pk_drp</v>
      </c>
    </row>
    <row r="627" spans="1:24">
      <c r="B627" t="s">
        <v>196</v>
      </c>
      <c r="C627" t="s">
        <v>197</v>
      </c>
      <c r="D627" t="s">
        <v>197</v>
      </c>
      <c r="E627" t="s">
        <v>197</v>
      </c>
      <c r="F627" t="s">
        <v>197</v>
      </c>
      <c r="G627" t="s">
        <v>197</v>
      </c>
      <c r="H627" t="s">
        <v>197</v>
      </c>
      <c r="I627" t="s">
        <v>850</v>
      </c>
      <c r="J627" t="s">
        <v>199</v>
      </c>
      <c r="K627" t="s">
        <v>200</v>
      </c>
    </row>
    <row r="628" spans="1:24">
      <c r="B628" t="s">
        <v>197</v>
      </c>
      <c r="C628" t="s">
        <v>197</v>
      </c>
      <c r="D628" t="s">
        <v>197</v>
      </c>
      <c r="E628" t="s">
        <v>197</v>
      </c>
      <c r="F628" t="s">
        <v>197</v>
      </c>
      <c r="G628" t="s">
        <v>197</v>
      </c>
      <c r="H628" t="s">
        <v>197</v>
      </c>
      <c r="I628" t="s">
        <v>197</v>
      </c>
      <c r="J628" t="s">
        <v>197</v>
      </c>
      <c r="K628" t="s">
        <v>800</v>
      </c>
    </row>
    <row r="629" spans="1:24">
      <c r="B629" t="s">
        <v>197</v>
      </c>
      <c r="C629" t="s">
        <v>197</v>
      </c>
      <c r="D629" t="s">
        <v>197</v>
      </c>
      <c r="E629" t="s">
        <v>197</v>
      </c>
      <c r="F629" t="s">
        <v>197</v>
      </c>
      <c r="G629" t="s">
        <v>197</v>
      </c>
      <c r="H629" t="s">
        <v>197</v>
      </c>
      <c r="I629" t="s">
        <v>197</v>
      </c>
      <c r="J629" t="s">
        <v>197</v>
      </c>
      <c r="K629" t="s">
        <v>801</v>
      </c>
    </row>
    <row r="630" spans="1:24">
      <c r="B630" t="s">
        <v>197</v>
      </c>
      <c r="C630" t="s">
        <v>197</v>
      </c>
      <c r="D630" t="s">
        <v>197</v>
      </c>
      <c r="E630" t="s">
        <v>197</v>
      </c>
      <c r="F630" t="s">
        <v>197</v>
      </c>
      <c r="G630" t="s">
        <v>197</v>
      </c>
      <c r="H630" t="s">
        <v>197</v>
      </c>
      <c r="I630" t="s">
        <v>197</v>
      </c>
      <c r="J630" t="s">
        <v>197</v>
      </c>
      <c r="K630" t="s">
        <v>802</v>
      </c>
    </row>
    <row r="631" spans="1:24">
      <c r="B631" t="s">
        <v>197</v>
      </c>
      <c r="C631" t="s">
        <v>197</v>
      </c>
      <c r="D631" t="s">
        <v>197</v>
      </c>
      <c r="E631" t="s">
        <v>197</v>
      </c>
      <c r="F631" t="s">
        <v>197</v>
      </c>
      <c r="G631" t="s">
        <v>197</v>
      </c>
      <c r="H631" t="s">
        <v>197</v>
      </c>
      <c r="I631" t="s">
        <v>197</v>
      </c>
      <c r="J631" t="s">
        <v>197</v>
      </c>
      <c r="K631" t="s">
        <v>803</v>
      </c>
    </row>
    <row r="632" spans="1:24">
      <c r="B632" t="s">
        <v>197</v>
      </c>
      <c r="C632" t="s">
        <v>197</v>
      </c>
      <c r="D632" t="s">
        <v>197</v>
      </c>
      <c r="E632" t="s">
        <v>197</v>
      </c>
      <c r="F632" t="s">
        <v>197</v>
      </c>
      <c r="G632" t="s">
        <v>197</v>
      </c>
      <c r="H632" t="s">
        <v>197</v>
      </c>
      <c r="I632" t="s">
        <v>197</v>
      </c>
      <c r="J632" t="s">
        <v>197</v>
      </c>
      <c r="K632" t="s">
        <v>804</v>
      </c>
    </row>
    <row r="633" spans="1:24">
      <c r="B633" t="s">
        <v>197</v>
      </c>
      <c r="C633" t="s">
        <v>197</v>
      </c>
      <c r="D633" t="s">
        <v>197</v>
      </c>
      <c r="E633" t="s">
        <v>197</v>
      </c>
      <c r="F633" t="s">
        <v>197</v>
      </c>
      <c r="G633" t="s">
        <v>197</v>
      </c>
      <c r="H633" t="s">
        <v>197</v>
      </c>
      <c r="I633" t="s">
        <v>197</v>
      </c>
      <c r="J633" t="s">
        <v>197</v>
      </c>
      <c r="K633" t="s">
        <v>805</v>
      </c>
    </row>
    <row r="634" spans="1:24">
      <c r="B634" t="s">
        <v>197</v>
      </c>
      <c r="C634" t="s">
        <v>197</v>
      </c>
      <c r="D634" t="s">
        <v>197</v>
      </c>
      <c r="E634" t="s">
        <v>197</v>
      </c>
      <c r="F634" t="s">
        <v>197</v>
      </c>
      <c r="G634" t="s">
        <v>197</v>
      </c>
      <c r="H634" t="s">
        <v>197</v>
      </c>
      <c r="I634" t="s">
        <v>197</v>
      </c>
      <c r="J634" t="s">
        <v>197</v>
      </c>
      <c r="K634" t="s">
        <v>806</v>
      </c>
    </row>
    <row r="635" spans="1:24">
      <c r="B635" t="s">
        <v>197</v>
      </c>
      <c r="C635" t="s">
        <v>197</v>
      </c>
      <c r="D635" t="s">
        <v>197</v>
      </c>
      <c r="E635" t="s">
        <v>197</v>
      </c>
      <c r="F635" t="s">
        <v>197</v>
      </c>
      <c r="G635" t="s">
        <v>197</v>
      </c>
      <c r="H635" t="s">
        <v>197</v>
      </c>
      <c r="I635" t="s">
        <v>197</v>
      </c>
      <c r="J635" t="s">
        <v>197</v>
      </c>
      <c r="K635" t="s">
        <v>807</v>
      </c>
    </row>
    <row r="636" spans="1:24">
      <c r="A636" t="s">
        <v>839</v>
      </c>
      <c r="K636" t="s">
        <v>840</v>
      </c>
      <c r="W636" t="s">
        <v>171</v>
      </c>
      <c r="X636" t="str">
        <f>A636</f>
        <v>info_date_dml_batch2_pk_irp1</v>
      </c>
    </row>
    <row r="637" spans="1:24">
      <c r="B637" t="s">
        <v>196</v>
      </c>
      <c r="C637" t="s">
        <v>197</v>
      </c>
      <c r="D637" t="s">
        <v>197</v>
      </c>
      <c r="E637" t="s">
        <v>197</v>
      </c>
      <c r="F637" t="s">
        <v>197</v>
      </c>
      <c r="G637" t="s">
        <v>197</v>
      </c>
      <c r="H637" t="s">
        <v>197</v>
      </c>
      <c r="I637" t="s">
        <v>841</v>
      </c>
      <c r="J637" t="s">
        <v>199</v>
      </c>
      <c r="K637" t="s">
        <v>200</v>
      </c>
    </row>
    <row r="638" spans="1:24">
      <c r="B638" t="s">
        <v>197</v>
      </c>
      <c r="C638" t="s">
        <v>197</v>
      </c>
      <c r="D638" t="s">
        <v>197</v>
      </c>
      <c r="E638" t="s">
        <v>197</v>
      </c>
      <c r="F638" t="s">
        <v>197</v>
      </c>
      <c r="G638" t="s">
        <v>197</v>
      </c>
      <c r="H638" t="s">
        <v>197</v>
      </c>
      <c r="I638" t="s">
        <v>197</v>
      </c>
      <c r="J638" t="s">
        <v>197</v>
      </c>
      <c r="K638" t="s">
        <v>678</v>
      </c>
    </row>
    <row r="639" spans="1:24">
      <c r="A639" t="s">
        <v>851</v>
      </c>
      <c r="K639" t="s">
        <v>852</v>
      </c>
      <c r="W639" t="s">
        <v>171</v>
      </c>
      <c r="X639" t="str">
        <f>A639</f>
        <v>info_nvarchar_dml_single_pk</v>
      </c>
    </row>
    <row r="640" spans="1:24">
      <c r="B640" t="s">
        <v>196</v>
      </c>
      <c r="C640" t="s">
        <v>197</v>
      </c>
      <c r="D640" t="s">
        <v>197</v>
      </c>
      <c r="E640" t="s">
        <v>197</v>
      </c>
      <c r="F640" t="s">
        <v>197</v>
      </c>
      <c r="G640" t="s">
        <v>197</v>
      </c>
      <c r="H640" t="s">
        <v>197</v>
      </c>
      <c r="I640" t="s">
        <v>853</v>
      </c>
      <c r="J640" t="s">
        <v>199</v>
      </c>
      <c r="K640" t="s">
        <v>200</v>
      </c>
    </row>
    <row r="641" spans="1:24">
      <c r="B641" t="s">
        <v>197</v>
      </c>
      <c r="C641" t="s">
        <v>197</v>
      </c>
      <c r="D641" t="s">
        <v>197</v>
      </c>
      <c r="E641" t="s">
        <v>197</v>
      </c>
      <c r="F641" t="s">
        <v>197</v>
      </c>
      <c r="G641" t="s">
        <v>197</v>
      </c>
      <c r="H641" t="s">
        <v>197</v>
      </c>
      <c r="I641" t="s">
        <v>197</v>
      </c>
      <c r="J641" t="s">
        <v>197</v>
      </c>
      <c r="K641" t="s">
        <v>408</v>
      </c>
    </row>
    <row r="642" spans="1:24">
      <c r="B642" t="s">
        <v>197</v>
      </c>
      <c r="C642" t="s">
        <v>197</v>
      </c>
      <c r="D642" t="s">
        <v>197</v>
      </c>
      <c r="E642" t="s">
        <v>197</v>
      </c>
      <c r="F642" t="s">
        <v>197</v>
      </c>
      <c r="G642" t="s">
        <v>197</v>
      </c>
      <c r="H642" t="s">
        <v>197</v>
      </c>
      <c r="I642" t="s">
        <v>197</v>
      </c>
      <c r="J642" t="s">
        <v>197</v>
      </c>
      <c r="K642" t="s">
        <v>412</v>
      </c>
    </row>
    <row r="643" spans="1:24">
      <c r="B643" t="s">
        <v>197</v>
      </c>
      <c r="C643" t="s">
        <v>197</v>
      </c>
      <c r="D643" t="s">
        <v>197</v>
      </c>
      <c r="E643" t="s">
        <v>197</v>
      </c>
      <c r="F643" t="s">
        <v>197</v>
      </c>
      <c r="G643" t="s">
        <v>197</v>
      </c>
      <c r="H643" t="s">
        <v>197</v>
      </c>
      <c r="I643" t="s">
        <v>197</v>
      </c>
      <c r="J643" t="s">
        <v>197</v>
      </c>
      <c r="K643" t="s">
        <v>730</v>
      </c>
    </row>
    <row r="644" spans="1:24">
      <c r="A644" t="s">
        <v>857</v>
      </c>
      <c r="K644" t="s">
        <v>858</v>
      </c>
      <c r="W644" t="s">
        <v>171</v>
      </c>
      <c r="X644" t="str">
        <f>A644</f>
        <v>info_binary_dml_batch1_pk_urp2</v>
      </c>
    </row>
    <row r="645" spans="1:24">
      <c r="B645" t="s">
        <v>196</v>
      </c>
      <c r="C645" t="s">
        <v>197</v>
      </c>
      <c r="D645" t="s">
        <v>197</v>
      </c>
      <c r="E645" t="s">
        <v>197</v>
      </c>
      <c r="F645" t="s">
        <v>197</v>
      </c>
      <c r="G645" t="s">
        <v>197</v>
      </c>
      <c r="H645" t="s">
        <v>197</v>
      </c>
      <c r="I645" t="s">
        <v>859</v>
      </c>
      <c r="J645" t="s">
        <v>199</v>
      </c>
      <c r="K645" t="s">
        <v>200</v>
      </c>
    </row>
    <row r="646" spans="1:24">
      <c r="B646" t="s">
        <v>197</v>
      </c>
      <c r="C646" t="s">
        <v>197</v>
      </c>
      <c r="D646" t="s">
        <v>197</v>
      </c>
      <c r="E646" t="s">
        <v>197</v>
      </c>
      <c r="F646" t="s">
        <v>197</v>
      </c>
      <c r="G646" t="s">
        <v>197</v>
      </c>
      <c r="H646" t="s">
        <v>197</v>
      </c>
      <c r="I646" t="s">
        <v>197</v>
      </c>
      <c r="J646" t="s">
        <v>197</v>
      </c>
      <c r="K646" t="s">
        <v>691</v>
      </c>
    </row>
    <row r="647" spans="1:24">
      <c r="B647" t="s">
        <v>197</v>
      </c>
      <c r="C647" t="s">
        <v>197</v>
      </c>
      <c r="D647" t="s">
        <v>197</v>
      </c>
      <c r="E647" t="s">
        <v>197</v>
      </c>
      <c r="F647" t="s">
        <v>197</v>
      </c>
      <c r="G647" t="s">
        <v>197</v>
      </c>
      <c r="H647" t="s">
        <v>197</v>
      </c>
      <c r="I647" t="s">
        <v>197</v>
      </c>
      <c r="J647" t="s">
        <v>197</v>
      </c>
      <c r="K647" t="s">
        <v>692</v>
      </c>
    </row>
    <row r="648" spans="1:24">
      <c r="B648" t="s">
        <v>197</v>
      </c>
      <c r="C648" t="s">
        <v>197</v>
      </c>
      <c r="D648" t="s">
        <v>197</v>
      </c>
      <c r="E648" t="s">
        <v>197</v>
      </c>
      <c r="F648" t="s">
        <v>197</v>
      </c>
      <c r="G648" t="s">
        <v>197</v>
      </c>
      <c r="H648" t="s">
        <v>197</v>
      </c>
      <c r="I648" t="s">
        <v>197</v>
      </c>
      <c r="J648" t="s">
        <v>197</v>
      </c>
      <c r="K648" t="s">
        <v>693</v>
      </c>
    </row>
    <row r="649" spans="1:24">
      <c r="A649" t="s">
        <v>860</v>
      </c>
      <c r="K649" t="s">
        <v>861</v>
      </c>
      <c r="W649" t="s">
        <v>171</v>
      </c>
      <c r="X649" t="str">
        <f>A649</f>
        <v>info_time_dml_single_pk</v>
      </c>
    </row>
    <row r="650" spans="1:24">
      <c r="B650" t="s">
        <v>196</v>
      </c>
      <c r="C650" t="s">
        <v>197</v>
      </c>
      <c r="D650" t="s">
        <v>197</v>
      </c>
      <c r="E650" t="s">
        <v>197</v>
      </c>
      <c r="F650" t="s">
        <v>197</v>
      </c>
      <c r="G650" t="s">
        <v>197</v>
      </c>
      <c r="H650" t="s">
        <v>197</v>
      </c>
      <c r="I650" t="s">
        <v>862</v>
      </c>
      <c r="J650" t="s">
        <v>199</v>
      </c>
      <c r="K650" t="s">
        <v>200</v>
      </c>
    </row>
    <row r="651" spans="1:24">
      <c r="B651" t="s">
        <v>197</v>
      </c>
      <c r="C651" t="s">
        <v>197</v>
      </c>
      <c r="D651" t="s">
        <v>197</v>
      </c>
      <c r="E651" t="s">
        <v>197</v>
      </c>
      <c r="F651" t="s">
        <v>197</v>
      </c>
      <c r="G651" t="s">
        <v>197</v>
      </c>
      <c r="H651" t="s">
        <v>197</v>
      </c>
      <c r="I651" t="s">
        <v>197</v>
      </c>
      <c r="J651" t="s">
        <v>197</v>
      </c>
      <c r="K651" t="s">
        <v>800</v>
      </c>
    </row>
    <row r="652" spans="1:24">
      <c r="B652" t="s">
        <v>197</v>
      </c>
      <c r="C652" t="s">
        <v>197</v>
      </c>
      <c r="D652" t="s">
        <v>197</v>
      </c>
      <c r="E652" t="s">
        <v>197</v>
      </c>
      <c r="F652" t="s">
        <v>197</v>
      </c>
      <c r="G652" t="s">
        <v>197</v>
      </c>
      <c r="H652" t="s">
        <v>197</v>
      </c>
      <c r="I652" t="s">
        <v>197</v>
      </c>
      <c r="J652" t="s">
        <v>197</v>
      </c>
      <c r="K652" t="s">
        <v>801</v>
      </c>
    </row>
    <row r="653" spans="1:24">
      <c r="B653" t="s">
        <v>197</v>
      </c>
      <c r="C653" t="s">
        <v>197</v>
      </c>
      <c r="D653" t="s">
        <v>197</v>
      </c>
      <c r="E653" t="s">
        <v>197</v>
      </c>
      <c r="F653" t="s">
        <v>197</v>
      </c>
      <c r="G653" t="s">
        <v>197</v>
      </c>
      <c r="H653" t="s">
        <v>197</v>
      </c>
      <c r="I653" t="s">
        <v>197</v>
      </c>
      <c r="J653" t="s">
        <v>197</v>
      </c>
      <c r="K653" t="s">
        <v>802</v>
      </c>
    </row>
    <row r="654" spans="1:24">
      <c r="B654" t="s">
        <v>197</v>
      </c>
      <c r="C654" t="s">
        <v>197</v>
      </c>
      <c r="D654" t="s">
        <v>197</v>
      </c>
      <c r="E654" t="s">
        <v>197</v>
      </c>
      <c r="F654" t="s">
        <v>197</v>
      </c>
      <c r="G654" t="s">
        <v>197</v>
      </c>
      <c r="H654" t="s">
        <v>197</v>
      </c>
      <c r="I654" t="s">
        <v>197</v>
      </c>
      <c r="J654" t="s">
        <v>197</v>
      </c>
      <c r="K654" t="s">
        <v>803</v>
      </c>
    </row>
    <row r="655" spans="1:24">
      <c r="B655" t="s">
        <v>197</v>
      </c>
      <c r="C655" t="s">
        <v>197</v>
      </c>
      <c r="D655" t="s">
        <v>197</v>
      </c>
      <c r="E655" t="s">
        <v>197</v>
      </c>
      <c r="F655" t="s">
        <v>197</v>
      </c>
      <c r="G655" t="s">
        <v>197</v>
      </c>
      <c r="H655" t="s">
        <v>197</v>
      </c>
      <c r="I655" t="s">
        <v>197</v>
      </c>
      <c r="J655" t="s">
        <v>197</v>
      </c>
      <c r="K655" t="s">
        <v>804</v>
      </c>
    </row>
    <row r="656" spans="1:24">
      <c r="B656" t="s">
        <v>197</v>
      </c>
      <c r="C656" t="s">
        <v>197</v>
      </c>
      <c r="D656" t="s">
        <v>197</v>
      </c>
      <c r="E656" t="s">
        <v>197</v>
      </c>
      <c r="F656" t="s">
        <v>197</v>
      </c>
      <c r="G656" t="s">
        <v>197</v>
      </c>
      <c r="H656" t="s">
        <v>197</v>
      </c>
      <c r="I656" t="s">
        <v>197</v>
      </c>
      <c r="J656" t="s">
        <v>197</v>
      </c>
      <c r="K656" t="s">
        <v>805</v>
      </c>
    </row>
    <row r="657" spans="1:24">
      <c r="B657" t="s">
        <v>197</v>
      </c>
      <c r="C657" t="s">
        <v>197</v>
      </c>
      <c r="D657" t="s">
        <v>197</v>
      </c>
      <c r="E657" t="s">
        <v>197</v>
      </c>
      <c r="F657" t="s">
        <v>197</v>
      </c>
      <c r="G657" t="s">
        <v>197</v>
      </c>
      <c r="H657" t="s">
        <v>197</v>
      </c>
      <c r="I657" t="s">
        <v>197</v>
      </c>
      <c r="J657" t="s">
        <v>197</v>
      </c>
      <c r="K657" t="s">
        <v>806</v>
      </c>
    </row>
    <row r="658" spans="1:24">
      <c r="B658" t="s">
        <v>197</v>
      </c>
      <c r="C658" t="s">
        <v>197</v>
      </c>
      <c r="D658" t="s">
        <v>197</v>
      </c>
      <c r="E658" t="s">
        <v>197</v>
      </c>
      <c r="F658" t="s">
        <v>197</v>
      </c>
      <c r="G658" t="s">
        <v>197</v>
      </c>
      <c r="H658" t="s">
        <v>197</v>
      </c>
      <c r="I658" t="s">
        <v>197</v>
      </c>
      <c r="J658" t="s">
        <v>197</v>
      </c>
      <c r="K658" t="s">
        <v>807</v>
      </c>
    </row>
    <row r="659" spans="1:24">
      <c r="A659" t="s">
        <v>854</v>
      </c>
      <c r="K659" t="s">
        <v>855</v>
      </c>
      <c r="W659" t="s">
        <v>171</v>
      </c>
      <c r="X659" t="str">
        <f>A659</f>
        <v>info_date_dml_batch2_pk_irp2</v>
      </c>
    </row>
    <row r="660" spans="1:24">
      <c r="B660" t="s">
        <v>196</v>
      </c>
      <c r="C660" t="s">
        <v>197</v>
      </c>
      <c r="D660" t="s">
        <v>197</v>
      </c>
      <c r="E660" t="s">
        <v>197</v>
      </c>
      <c r="F660" t="s">
        <v>197</v>
      </c>
      <c r="G660" t="s">
        <v>197</v>
      </c>
      <c r="H660" t="s">
        <v>197</v>
      </c>
      <c r="I660" t="s">
        <v>856</v>
      </c>
      <c r="J660" t="s">
        <v>199</v>
      </c>
      <c r="K660" t="s">
        <v>200</v>
      </c>
    </row>
    <row r="661" spans="1:24">
      <c r="B661" t="s">
        <v>197</v>
      </c>
      <c r="C661" t="s">
        <v>197</v>
      </c>
      <c r="D661" t="s">
        <v>197</v>
      </c>
      <c r="E661" t="s">
        <v>197</v>
      </c>
      <c r="F661" t="s">
        <v>197</v>
      </c>
      <c r="G661" t="s">
        <v>197</v>
      </c>
      <c r="H661" t="s">
        <v>197</v>
      </c>
      <c r="I661" t="s">
        <v>197</v>
      </c>
      <c r="J661" t="s">
        <v>197</v>
      </c>
      <c r="K661" t="s">
        <v>678</v>
      </c>
    </row>
    <row r="662" spans="1:24">
      <c r="A662" t="s">
        <v>836</v>
      </c>
      <c r="K662" t="s">
        <v>837</v>
      </c>
      <c r="W662" t="s">
        <v>171</v>
      </c>
      <c r="X662" t="str">
        <f>A662</f>
        <v>info_nchar_dml_batch2_pk_urp2</v>
      </c>
    </row>
    <row r="663" spans="1:24">
      <c r="B663" t="s">
        <v>196</v>
      </c>
      <c r="C663" t="s">
        <v>197</v>
      </c>
      <c r="D663" t="s">
        <v>197</v>
      </c>
      <c r="E663" t="s">
        <v>197</v>
      </c>
      <c r="F663" t="s">
        <v>197</v>
      </c>
      <c r="G663" t="s">
        <v>197</v>
      </c>
      <c r="H663" t="s">
        <v>197</v>
      </c>
      <c r="I663" t="s">
        <v>838</v>
      </c>
      <c r="J663" t="s">
        <v>199</v>
      </c>
      <c r="K663" t="s">
        <v>200</v>
      </c>
    </row>
    <row r="664" spans="1:24">
      <c r="B664" t="s">
        <v>197</v>
      </c>
      <c r="C664" t="s">
        <v>197</v>
      </c>
      <c r="D664" t="s">
        <v>197</v>
      </c>
      <c r="E664" t="s">
        <v>197</v>
      </c>
      <c r="F664" t="s">
        <v>197</v>
      </c>
      <c r="G664" t="s">
        <v>197</v>
      </c>
      <c r="H664" t="s">
        <v>197</v>
      </c>
      <c r="I664" t="s">
        <v>197</v>
      </c>
      <c r="J664" t="s">
        <v>197</v>
      </c>
      <c r="K664" t="s">
        <v>514</v>
      </c>
    </row>
    <row r="665" spans="1:24">
      <c r="B665" t="s">
        <v>197</v>
      </c>
      <c r="C665" t="s">
        <v>197</v>
      </c>
      <c r="D665" t="s">
        <v>197</v>
      </c>
      <c r="E665" t="s">
        <v>197</v>
      </c>
      <c r="F665" t="s">
        <v>197</v>
      </c>
      <c r="G665" t="s">
        <v>197</v>
      </c>
      <c r="H665" t="s">
        <v>197</v>
      </c>
      <c r="I665" t="s">
        <v>197</v>
      </c>
      <c r="J665" t="s">
        <v>197</v>
      </c>
      <c r="K665" t="s">
        <v>516</v>
      </c>
    </row>
    <row r="666" spans="1:24">
      <c r="B666" t="s">
        <v>197</v>
      </c>
      <c r="C666" t="s">
        <v>197</v>
      </c>
      <c r="D666" t="s">
        <v>197</v>
      </c>
      <c r="E666" t="s">
        <v>197</v>
      </c>
      <c r="F666" t="s">
        <v>197</v>
      </c>
      <c r="G666" t="s">
        <v>197</v>
      </c>
      <c r="H666" t="s">
        <v>197</v>
      </c>
      <c r="I666" t="s">
        <v>197</v>
      </c>
      <c r="J666" t="s">
        <v>197</v>
      </c>
      <c r="K666" t="s">
        <v>612</v>
      </c>
    </row>
    <row r="667" spans="1:24">
      <c r="A667" t="s">
        <v>866</v>
      </c>
      <c r="K667" t="s">
        <v>867</v>
      </c>
      <c r="W667" t="s">
        <v>171</v>
      </c>
      <c r="X667" t="str">
        <f>A667</f>
        <v>info_sdt_dml_single_pk_irp</v>
      </c>
    </row>
    <row r="668" spans="1:24">
      <c r="B668" t="s">
        <v>196</v>
      </c>
      <c r="C668" t="s">
        <v>197</v>
      </c>
      <c r="D668" t="s">
        <v>197</v>
      </c>
      <c r="E668" t="s">
        <v>197</v>
      </c>
      <c r="F668" t="s">
        <v>197</v>
      </c>
      <c r="G668" t="s">
        <v>197</v>
      </c>
      <c r="H668" t="s">
        <v>197</v>
      </c>
      <c r="I668" t="s">
        <v>868</v>
      </c>
      <c r="J668" t="s">
        <v>199</v>
      </c>
      <c r="K668" t="s">
        <v>200</v>
      </c>
    </row>
    <row r="669" spans="1:24">
      <c r="B669" t="s">
        <v>197</v>
      </c>
      <c r="C669" t="s">
        <v>197</v>
      </c>
      <c r="D669" t="s">
        <v>197</v>
      </c>
      <c r="E669" t="s">
        <v>197</v>
      </c>
      <c r="F669" t="s">
        <v>197</v>
      </c>
      <c r="G669" t="s">
        <v>197</v>
      </c>
      <c r="H669" t="s">
        <v>197</v>
      </c>
      <c r="I669" t="s">
        <v>197</v>
      </c>
      <c r="J669" t="s">
        <v>197</v>
      </c>
      <c r="K669" t="s">
        <v>422</v>
      </c>
    </row>
    <row r="670" spans="1:24">
      <c r="A670" t="s">
        <v>869</v>
      </c>
      <c r="K670" t="s">
        <v>870</v>
      </c>
      <c r="W670" t="s">
        <v>171</v>
      </c>
      <c r="X670" t="str">
        <f>A670</f>
        <v>info_varcharmax_dml_batch1_pk_urp1</v>
      </c>
    </row>
    <row r="671" spans="1:24">
      <c r="B671" t="s">
        <v>196</v>
      </c>
      <c r="C671" t="s">
        <v>197</v>
      </c>
      <c r="D671" t="s">
        <v>197</v>
      </c>
      <c r="E671" t="s">
        <v>197</v>
      </c>
      <c r="F671" t="s">
        <v>197</v>
      </c>
      <c r="G671" t="s">
        <v>197</v>
      </c>
      <c r="H671" t="s">
        <v>197</v>
      </c>
      <c r="I671" t="s">
        <v>871</v>
      </c>
      <c r="J671" t="s">
        <v>199</v>
      </c>
      <c r="K671" t="s">
        <v>200</v>
      </c>
    </row>
    <row r="672" spans="1:24">
      <c r="B672" t="s">
        <v>197</v>
      </c>
      <c r="C672" t="s">
        <v>197</v>
      </c>
      <c r="D672" t="s">
        <v>197</v>
      </c>
      <c r="E672" t="s">
        <v>197</v>
      </c>
      <c r="F672" t="s">
        <v>197</v>
      </c>
      <c r="G672" t="s">
        <v>197</v>
      </c>
      <c r="H672" t="s">
        <v>197</v>
      </c>
      <c r="I672" t="s">
        <v>197</v>
      </c>
      <c r="J672" t="s">
        <v>197</v>
      </c>
      <c r="K672" t="s">
        <v>725</v>
      </c>
    </row>
    <row r="673" spans="1:24">
      <c r="B673" t="s">
        <v>197</v>
      </c>
      <c r="C673" t="s">
        <v>197</v>
      </c>
      <c r="D673" t="s">
        <v>197</v>
      </c>
      <c r="E673" t="s">
        <v>197</v>
      </c>
      <c r="F673" t="s">
        <v>197</v>
      </c>
      <c r="G673" t="s">
        <v>197</v>
      </c>
      <c r="H673" t="s">
        <v>197</v>
      </c>
      <c r="I673" t="s">
        <v>197</v>
      </c>
      <c r="J673" t="s">
        <v>197</v>
      </c>
      <c r="K673" t="s">
        <v>726</v>
      </c>
    </row>
    <row r="674" spans="1:24">
      <c r="K674" t="s">
        <v>443</v>
      </c>
    </row>
    <row r="675" spans="1:24">
      <c r="A675" t="s">
        <v>863</v>
      </c>
      <c r="K675" t="s">
        <v>864</v>
      </c>
      <c r="W675" s="1" t="str">
        <f>HYPERLINK("#2026042017hbase0!Z2","NO 源备存在差异，共2个")</f>
        <v>NO 源备存在差异，共2个</v>
      </c>
      <c r="X675" t="str">
        <f>A675</f>
        <v>info_int_dml_single_pk_irp</v>
      </c>
    </row>
    <row r="676" spans="1:24">
      <c r="B676" t="s">
        <v>196</v>
      </c>
      <c r="C676" t="s">
        <v>197</v>
      </c>
      <c r="D676" t="s">
        <v>197</v>
      </c>
      <c r="E676" t="s">
        <v>197</v>
      </c>
      <c r="F676" t="s">
        <v>197</v>
      </c>
      <c r="G676" t="s">
        <v>197</v>
      </c>
      <c r="H676" t="s">
        <v>197</v>
      </c>
      <c r="I676" t="s">
        <v>865</v>
      </c>
      <c r="J676" t="s">
        <v>199</v>
      </c>
      <c r="K676" t="s">
        <v>200</v>
      </c>
    </row>
    <row r="677" spans="1:24">
      <c r="B677" t="s">
        <v>197</v>
      </c>
      <c r="C677" t="s">
        <v>197</v>
      </c>
      <c r="D677" t="s">
        <v>197</v>
      </c>
      <c r="E677" t="s">
        <v>197</v>
      </c>
      <c r="F677" t="s">
        <v>197</v>
      </c>
      <c r="G677" t="s">
        <v>197</v>
      </c>
      <c r="H677" t="s">
        <v>197</v>
      </c>
      <c r="I677" t="s">
        <v>197</v>
      </c>
      <c r="J677" t="s">
        <v>197</v>
      </c>
      <c r="K677" t="s">
        <v>549</v>
      </c>
    </row>
    <row r="678" spans="1:24">
      <c r="B678" t="s">
        <v>197</v>
      </c>
      <c r="C678" t="s">
        <v>197</v>
      </c>
      <c r="D678" t="s">
        <v>197</v>
      </c>
      <c r="E678" t="s">
        <v>197</v>
      </c>
      <c r="F678" t="s">
        <v>197</v>
      </c>
      <c r="G678" t="s">
        <v>197</v>
      </c>
      <c r="H678" t="s">
        <v>197</v>
      </c>
      <c r="I678" t="s">
        <v>197</v>
      </c>
      <c r="J678" t="s">
        <v>197</v>
      </c>
      <c r="K678" t="s">
        <v>550</v>
      </c>
    </row>
    <row r="679" spans="1:24">
      <c r="B679" t="s">
        <v>197</v>
      </c>
      <c r="C679" t="s">
        <v>197</v>
      </c>
      <c r="D679" t="s">
        <v>197</v>
      </c>
      <c r="E679" t="s">
        <v>197</v>
      </c>
      <c r="F679" t="s">
        <v>197</v>
      </c>
      <c r="G679" t="s">
        <v>197</v>
      </c>
      <c r="H679" t="s">
        <v>197</v>
      </c>
      <c r="I679" t="s">
        <v>197</v>
      </c>
      <c r="J679" t="s">
        <v>197</v>
      </c>
      <c r="K679" t="s">
        <v>551</v>
      </c>
    </row>
    <row r="680" spans="1:24">
      <c r="B680" t="s">
        <v>197</v>
      </c>
      <c r="C680" t="s">
        <v>197</v>
      </c>
      <c r="D680" t="s">
        <v>197</v>
      </c>
      <c r="E680" t="s">
        <v>197</v>
      </c>
      <c r="F680" t="s">
        <v>197</v>
      </c>
      <c r="G680" t="s">
        <v>197</v>
      </c>
      <c r="H680" t="s">
        <v>197</v>
      </c>
      <c r="I680" t="s">
        <v>197</v>
      </c>
      <c r="J680" t="s">
        <v>197</v>
      </c>
      <c r="K680" t="s">
        <v>552</v>
      </c>
    </row>
    <row r="681" spans="1:24">
      <c r="B681" t="s">
        <v>197</v>
      </c>
      <c r="C681" t="s">
        <v>197</v>
      </c>
      <c r="D681" t="s">
        <v>197</v>
      </c>
      <c r="E681" t="s">
        <v>197</v>
      </c>
      <c r="F681" t="s">
        <v>197</v>
      </c>
      <c r="G681" t="s">
        <v>197</v>
      </c>
      <c r="H681" t="s">
        <v>197</v>
      </c>
      <c r="I681" t="s">
        <v>197</v>
      </c>
      <c r="J681" t="s">
        <v>197</v>
      </c>
      <c r="K681" t="s">
        <v>553</v>
      </c>
    </row>
    <row r="682" spans="1:24">
      <c r="B682" t="s">
        <v>197</v>
      </c>
      <c r="C682" t="s">
        <v>197</v>
      </c>
      <c r="D682" t="s">
        <v>197</v>
      </c>
      <c r="E682" t="s">
        <v>197</v>
      </c>
      <c r="F682" t="s">
        <v>197</v>
      </c>
      <c r="G682" t="s">
        <v>197</v>
      </c>
      <c r="H682" t="s">
        <v>197</v>
      </c>
      <c r="I682" t="s">
        <v>197</v>
      </c>
      <c r="J682" t="s">
        <v>197</v>
      </c>
      <c r="K682" t="s">
        <v>554</v>
      </c>
    </row>
    <row r="683" spans="1:24">
      <c r="B683" t="s">
        <v>197</v>
      </c>
      <c r="C683" t="s">
        <v>197</v>
      </c>
      <c r="D683" t="s">
        <v>197</v>
      </c>
      <c r="E683" t="s">
        <v>197</v>
      </c>
      <c r="F683" t="s">
        <v>197</v>
      </c>
      <c r="G683" t="s">
        <v>197</v>
      </c>
      <c r="H683" t="s">
        <v>197</v>
      </c>
      <c r="I683" t="s">
        <v>197</v>
      </c>
      <c r="J683" t="s">
        <v>197</v>
      </c>
      <c r="K683" t="s">
        <v>555</v>
      </c>
    </row>
    <row r="684" spans="1:24">
      <c r="B684" t="s">
        <v>197</v>
      </c>
      <c r="C684" t="s">
        <v>197</v>
      </c>
      <c r="D684" t="s">
        <v>197</v>
      </c>
      <c r="E684" t="s">
        <v>197</v>
      </c>
      <c r="F684" t="s">
        <v>197</v>
      </c>
      <c r="G684" t="s">
        <v>197</v>
      </c>
      <c r="H684" t="s">
        <v>197</v>
      </c>
      <c r="I684" t="s">
        <v>197</v>
      </c>
      <c r="J684" t="s">
        <v>197</v>
      </c>
      <c r="K684" t="s">
        <v>556</v>
      </c>
    </row>
    <row r="685" spans="1:24">
      <c r="B685" t="s">
        <v>197</v>
      </c>
      <c r="C685" t="s">
        <v>197</v>
      </c>
      <c r="D685" t="s">
        <v>197</v>
      </c>
      <c r="E685" t="s">
        <v>197</v>
      </c>
      <c r="F685" t="s">
        <v>197</v>
      </c>
      <c r="G685" t="s">
        <v>197</v>
      </c>
      <c r="H685" t="s">
        <v>197</v>
      </c>
      <c r="I685" t="s">
        <v>197</v>
      </c>
      <c r="J685" t="s">
        <v>197</v>
      </c>
      <c r="K685" t="s">
        <v>557</v>
      </c>
    </row>
    <row r="686" spans="1:24">
      <c r="B686" t="s">
        <v>197</v>
      </c>
      <c r="C686" t="s">
        <v>197</v>
      </c>
      <c r="D686" t="s">
        <v>197</v>
      </c>
      <c r="E686" t="s">
        <v>197</v>
      </c>
      <c r="F686" t="s">
        <v>197</v>
      </c>
      <c r="G686" t="s">
        <v>197</v>
      </c>
      <c r="H686" t="s">
        <v>197</v>
      </c>
      <c r="I686" t="s">
        <v>197</v>
      </c>
      <c r="J686" t="s">
        <v>197</v>
      </c>
      <c r="K686" t="s">
        <v>558</v>
      </c>
    </row>
    <row r="687" spans="1:24">
      <c r="B687" t="s">
        <v>197</v>
      </c>
      <c r="C687" t="s">
        <v>197</v>
      </c>
      <c r="D687" t="s">
        <v>197</v>
      </c>
      <c r="E687" t="s">
        <v>197</v>
      </c>
      <c r="F687" t="s">
        <v>197</v>
      </c>
      <c r="G687" t="s">
        <v>197</v>
      </c>
      <c r="H687" t="s">
        <v>197</v>
      </c>
      <c r="I687" t="s">
        <v>197</v>
      </c>
      <c r="J687" t="s">
        <v>197</v>
      </c>
      <c r="K687" t="s">
        <v>559</v>
      </c>
    </row>
    <row r="688" spans="1:24">
      <c r="B688" t="s">
        <v>197</v>
      </c>
      <c r="C688" t="s">
        <v>197</v>
      </c>
      <c r="D688" t="s">
        <v>197</v>
      </c>
      <c r="E688" t="s">
        <v>197</v>
      </c>
      <c r="F688" t="s">
        <v>197</v>
      </c>
      <c r="G688" t="s">
        <v>197</v>
      </c>
      <c r="H688" t="s">
        <v>197</v>
      </c>
      <c r="I688" t="s">
        <v>197</v>
      </c>
      <c r="J688" t="s">
        <v>197</v>
      </c>
      <c r="K688" t="s">
        <v>560</v>
      </c>
    </row>
    <row r="689" spans="1:24">
      <c r="B689" t="s">
        <v>197</v>
      </c>
      <c r="C689" t="s">
        <v>197</v>
      </c>
      <c r="D689" t="s">
        <v>197</v>
      </c>
      <c r="E689" t="s">
        <v>197</v>
      </c>
      <c r="F689" t="s">
        <v>197</v>
      </c>
      <c r="G689" t="s">
        <v>197</v>
      </c>
      <c r="H689" t="s">
        <v>197</v>
      </c>
      <c r="I689" t="s">
        <v>197</v>
      </c>
      <c r="J689" t="s">
        <v>197</v>
      </c>
      <c r="K689" t="s">
        <v>561</v>
      </c>
    </row>
    <row r="690" spans="1:24">
      <c r="B690" t="s">
        <v>197</v>
      </c>
      <c r="C690" t="s">
        <v>197</v>
      </c>
      <c r="D690" t="s">
        <v>197</v>
      </c>
      <c r="E690" t="s">
        <v>197</v>
      </c>
      <c r="F690" t="s">
        <v>197</v>
      </c>
      <c r="G690" t="s">
        <v>197</v>
      </c>
      <c r="H690" t="s">
        <v>197</v>
      </c>
      <c r="I690" t="s">
        <v>197</v>
      </c>
      <c r="J690" t="s">
        <v>197</v>
      </c>
      <c r="K690" t="s">
        <v>562</v>
      </c>
    </row>
    <row r="691" spans="1:24">
      <c r="B691" t="s">
        <v>197</v>
      </c>
      <c r="C691" t="s">
        <v>197</v>
      </c>
      <c r="D691" t="s">
        <v>197</v>
      </c>
      <c r="E691" t="s">
        <v>197</v>
      </c>
      <c r="F691" t="s">
        <v>197</v>
      </c>
      <c r="G691" t="s">
        <v>197</v>
      </c>
      <c r="H691" t="s">
        <v>197</v>
      </c>
      <c r="I691" t="s">
        <v>197</v>
      </c>
      <c r="J691" t="s">
        <v>197</v>
      </c>
      <c r="K691" t="s">
        <v>563</v>
      </c>
    </row>
    <row r="692" spans="1:24">
      <c r="B692" t="s">
        <v>197</v>
      </c>
      <c r="C692" t="s">
        <v>197</v>
      </c>
      <c r="D692" t="s">
        <v>197</v>
      </c>
      <c r="E692" t="s">
        <v>197</v>
      </c>
      <c r="F692" t="s">
        <v>197</v>
      </c>
      <c r="G692" t="s">
        <v>197</v>
      </c>
      <c r="H692" t="s">
        <v>197</v>
      </c>
      <c r="I692" t="s">
        <v>197</v>
      </c>
      <c r="J692" t="s">
        <v>197</v>
      </c>
      <c r="K692" t="s">
        <v>564</v>
      </c>
    </row>
    <row r="693" spans="1:24">
      <c r="B693" t="s">
        <v>197</v>
      </c>
      <c r="C693" t="s">
        <v>197</v>
      </c>
      <c r="D693" t="s">
        <v>197</v>
      </c>
      <c r="E693" t="s">
        <v>197</v>
      </c>
      <c r="F693" t="s">
        <v>197</v>
      </c>
      <c r="G693" t="s">
        <v>197</v>
      </c>
      <c r="H693" t="s">
        <v>197</v>
      </c>
      <c r="I693" t="s">
        <v>197</v>
      </c>
      <c r="J693" t="s">
        <v>197</v>
      </c>
      <c r="K693" t="s">
        <v>565</v>
      </c>
    </row>
    <row r="694" spans="1:24">
      <c r="B694" t="s">
        <v>197</v>
      </c>
      <c r="C694" t="s">
        <v>197</v>
      </c>
      <c r="D694" t="s">
        <v>197</v>
      </c>
      <c r="E694" t="s">
        <v>197</v>
      </c>
      <c r="F694" t="s">
        <v>197</v>
      </c>
      <c r="G694" t="s">
        <v>197</v>
      </c>
      <c r="H694" t="s">
        <v>197</v>
      </c>
      <c r="I694" t="s">
        <v>197</v>
      </c>
      <c r="J694" t="s">
        <v>197</v>
      </c>
      <c r="K694" t="s">
        <v>566</v>
      </c>
    </row>
    <row r="695" spans="1:24">
      <c r="B695" t="s">
        <v>197</v>
      </c>
      <c r="C695" t="s">
        <v>197</v>
      </c>
      <c r="D695" t="s">
        <v>197</v>
      </c>
      <c r="E695" t="s">
        <v>197</v>
      </c>
      <c r="F695" t="s">
        <v>197</v>
      </c>
      <c r="G695" t="s">
        <v>197</v>
      </c>
      <c r="H695" t="s">
        <v>197</v>
      </c>
      <c r="I695" t="s">
        <v>197</v>
      </c>
      <c r="J695" t="s">
        <v>197</v>
      </c>
      <c r="K695" t="s">
        <v>567</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884</v>
      </c>
      <c r="K710" t="s">
        <v>885</v>
      </c>
      <c r="W710" t="s">
        <v>171</v>
      </c>
      <c r="X710" t="str">
        <f>A710</f>
        <v>info_sdt_dml_single_pk_drp</v>
      </c>
    </row>
    <row r="711" spans="1:24">
      <c r="B711" t="s">
        <v>196</v>
      </c>
      <c r="C711" t="s">
        <v>197</v>
      </c>
      <c r="D711" t="s">
        <v>197</v>
      </c>
      <c r="E711" t="s">
        <v>197</v>
      </c>
      <c r="F711" t="s">
        <v>197</v>
      </c>
      <c r="G711" t="s">
        <v>197</v>
      </c>
      <c r="H711" t="s">
        <v>197</v>
      </c>
      <c r="I711" t="s">
        <v>886</v>
      </c>
      <c r="J711" t="s">
        <v>199</v>
      </c>
      <c r="K711" t="s">
        <v>200</v>
      </c>
    </row>
    <row r="712" spans="1:24">
      <c r="B712" t="s">
        <v>197</v>
      </c>
      <c r="C712" t="s">
        <v>197</v>
      </c>
      <c r="D712" t="s">
        <v>197</v>
      </c>
      <c r="E712" t="s">
        <v>197</v>
      </c>
      <c r="F712" t="s">
        <v>197</v>
      </c>
      <c r="G712" t="s">
        <v>197</v>
      </c>
      <c r="H712" t="s">
        <v>197</v>
      </c>
      <c r="I712" t="s">
        <v>197</v>
      </c>
      <c r="J712" t="s">
        <v>197</v>
      </c>
      <c r="K712" t="s">
        <v>422</v>
      </c>
    </row>
    <row r="713" spans="1:24">
      <c r="A713" t="s">
        <v>881</v>
      </c>
      <c r="K713" t="s">
        <v>882</v>
      </c>
      <c r="W713" t="s">
        <v>171</v>
      </c>
      <c r="X713" t="str">
        <f>A713</f>
        <v>info_varcharmax_dml_single_pk_irp</v>
      </c>
    </row>
    <row r="714" spans="1:24">
      <c r="B714" t="s">
        <v>196</v>
      </c>
      <c r="C714" t="s">
        <v>197</v>
      </c>
      <c r="D714" t="s">
        <v>197</v>
      </c>
      <c r="E714" t="s">
        <v>197</v>
      </c>
      <c r="F714" t="s">
        <v>197</v>
      </c>
      <c r="G714" t="s">
        <v>197</v>
      </c>
      <c r="H714" t="s">
        <v>197</v>
      </c>
      <c r="I714" t="s">
        <v>883</v>
      </c>
      <c r="J714" t="s">
        <v>199</v>
      </c>
      <c r="K714" t="s">
        <v>200</v>
      </c>
    </row>
    <row r="715" spans="1:24">
      <c r="B715" t="s">
        <v>197</v>
      </c>
      <c r="C715" t="s">
        <v>197</v>
      </c>
      <c r="D715" t="s">
        <v>197</v>
      </c>
      <c r="E715" t="s">
        <v>197</v>
      </c>
      <c r="F715" t="s">
        <v>197</v>
      </c>
      <c r="G715" t="s">
        <v>197</v>
      </c>
      <c r="H715" t="s">
        <v>197</v>
      </c>
      <c r="I715" t="s">
        <v>197</v>
      </c>
      <c r="J715" t="s">
        <v>197</v>
      </c>
      <c r="K715" t="s">
        <v>725</v>
      </c>
    </row>
    <row r="716" spans="1:24">
      <c r="B716" t="s">
        <v>197</v>
      </c>
      <c r="C716" t="s">
        <v>197</v>
      </c>
      <c r="D716" t="s">
        <v>197</v>
      </c>
      <c r="E716" t="s">
        <v>197</v>
      </c>
      <c r="F716" t="s">
        <v>197</v>
      </c>
      <c r="G716" t="s">
        <v>197</v>
      </c>
      <c r="H716" t="s">
        <v>197</v>
      </c>
      <c r="I716" t="s">
        <v>197</v>
      </c>
      <c r="J716" t="s">
        <v>197</v>
      </c>
      <c r="K716" t="s">
        <v>726</v>
      </c>
    </row>
    <row r="717" spans="1:24">
      <c r="A717" t="s">
        <v>890</v>
      </c>
      <c r="K717" t="s">
        <v>891</v>
      </c>
      <c r="W717" t="s">
        <v>171</v>
      </c>
      <c r="X717" t="str">
        <f>A717</f>
        <v>info_sdt_dml_single_pk</v>
      </c>
    </row>
    <row r="718" spans="1:24">
      <c r="B718" t="s">
        <v>196</v>
      </c>
      <c r="C718" t="s">
        <v>197</v>
      </c>
      <c r="D718" t="s">
        <v>197</v>
      </c>
      <c r="E718" t="s">
        <v>197</v>
      </c>
      <c r="F718" t="s">
        <v>197</v>
      </c>
      <c r="G718" t="s">
        <v>197</v>
      </c>
      <c r="H718" t="s">
        <v>197</v>
      </c>
      <c r="I718" t="s">
        <v>892</v>
      </c>
      <c r="J718" t="s">
        <v>199</v>
      </c>
      <c r="K718" t="s">
        <v>200</v>
      </c>
    </row>
    <row r="719" spans="1:24">
      <c r="B719" t="s">
        <v>197</v>
      </c>
      <c r="C719" t="s">
        <v>197</v>
      </c>
      <c r="D719" t="s">
        <v>197</v>
      </c>
      <c r="E719" t="s">
        <v>197</v>
      </c>
      <c r="F719" t="s">
        <v>197</v>
      </c>
      <c r="G719" t="s">
        <v>197</v>
      </c>
      <c r="H719" t="s">
        <v>197</v>
      </c>
      <c r="I719" t="s">
        <v>197</v>
      </c>
      <c r="J719" t="s">
        <v>197</v>
      </c>
      <c r="K719" t="s">
        <v>422</v>
      </c>
    </row>
    <row r="720" spans="1:24">
      <c r="A720" t="s">
        <v>893</v>
      </c>
      <c r="K720" t="s">
        <v>894</v>
      </c>
      <c r="W720" s="1" t="str">
        <f>HYPERLINK("#2026042017hbase0!AA2","NO 源备存在差异，共2个")</f>
        <v>NO 源备存在差异，共2个</v>
      </c>
      <c r="X720" t="str">
        <f>A720</f>
        <v>info_int_dml_single_pk_urp</v>
      </c>
    </row>
    <row r="721" spans="2:11">
      <c r="B721" t="s">
        <v>196</v>
      </c>
      <c r="C721" t="s">
        <v>197</v>
      </c>
      <c r="D721" t="s">
        <v>197</v>
      </c>
      <c r="E721" t="s">
        <v>197</v>
      </c>
      <c r="F721" t="s">
        <v>197</v>
      </c>
      <c r="G721" t="s">
        <v>197</v>
      </c>
      <c r="H721" t="s">
        <v>197</v>
      </c>
      <c r="I721" t="s">
        <v>895</v>
      </c>
      <c r="J721" t="s">
        <v>199</v>
      </c>
      <c r="K721" t="s">
        <v>200</v>
      </c>
    </row>
    <row r="722" spans="2:11">
      <c r="B722" t="s">
        <v>197</v>
      </c>
      <c r="C722" t="s">
        <v>197</v>
      </c>
      <c r="D722" t="s">
        <v>197</v>
      </c>
      <c r="E722" t="s">
        <v>197</v>
      </c>
      <c r="F722" t="s">
        <v>197</v>
      </c>
      <c r="G722" t="s">
        <v>197</v>
      </c>
      <c r="H722" t="s">
        <v>197</v>
      </c>
      <c r="I722" t="s">
        <v>197</v>
      </c>
      <c r="J722" t="s">
        <v>197</v>
      </c>
      <c r="K722" t="s">
        <v>549</v>
      </c>
    </row>
    <row r="723" spans="2:11">
      <c r="B723" t="s">
        <v>197</v>
      </c>
      <c r="C723" t="s">
        <v>197</v>
      </c>
      <c r="D723" t="s">
        <v>197</v>
      </c>
      <c r="E723" t="s">
        <v>197</v>
      </c>
      <c r="F723" t="s">
        <v>197</v>
      </c>
      <c r="G723" t="s">
        <v>197</v>
      </c>
      <c r="H723" t="s">
        <v>197</v>
      </c>
      <c r="I723" t="s">
        <v>197</v>
      </c>
      <c r="J723" t="s">
        <v>197</v>
      </c>
      <c r="K723" t="s">
        <v>550</v>
      </c>
    </row>
    <row r="724" spans="2:11">
      <c r="B724" t="s">
        <v>197</v>
      </c>
      <c r="C724" t="s">
        <v>197</v>
      </c>
      <c r="D724" t="s">
        <v>197</v>
      </c>
      <c r="E724" t="s">
        <v>197</v>
      </c>
      <c r="F724" t="s">
        <v>197</v>
      </c>
      <c r="G724" t="s">
        <v>197</v>
      </c>
      <c r="H724" t="s">
        <v>197</v>
      </c>
      <c r="I724" t="s">
        <v>197</v>
      </c>
      <c r="J724" t="s">
        <v>197</v>
      </c>
      <c r="K724" t="s">
        <v>551</v>
      </c>
    </row>
    <row r="725" spans="2:11">
      <c r="B725" t="s">
        <v>197</v>
      </c>
      <c r="C725" t="s">
        <v>197</v>
      </c>
      <c r="D725" t="s">
        <v>197</v>
      </c>
      <c r="E725" t="s">
        <v>197</v>
      </c>
      <c r="F725" t="s">
        <v>197</v>
      </c>
      <c r="G725" t="s">
        <v>197</v>
      </c>
      <c r="H725" t="s">
        <v>197</v>
      </c>
      <c r="I725" t="s">
        <v>197</v>
      </c>
      <c r="J725" t="s">
        <v>197</v>
      </c>
      <c r="K725" t="s">
        <v>552</v>
      </c>
    </row>
    <row r="726" spans="2:11">
      <c r="B726" t="s">
        <v>197</v>
      </c>
      <c r="C726" t="s">
        <v>197</v>
      </c>
      <c r="D726" t="s">
        <v>197</v>
      </c>
      <c r="E726" t="s">
        <v>197</v>
      </c>
      <c r="F726" t="s">
        <v>197</v>
      </c>
      <c r="G726" t="s">
        <v>197</v>
      </c>
      <c r="H726" t="s">
        <v>197</v>
      </c>
      <c r="I726" t="s">
        <v>197</v>
      </c>
      <c r="J726" t="s">
        <v>197</v>
      </c>
      <c r="K726" t="s">
        <v>553</v>
      </c>
    </row>
    <row r="727" spans="2:11">
      <c r="B727" t="s">
        <v>197</v>
      </c>
      <c r="C727" t="s">
        <v>197</v>
      </c>
      <c r="D727" t="s">
        <v>197</v>
      </c>
      <c r="E727" t="s">
        <v>197</v>
      </c>
      <c r="F727" t="s">
        <v>197</v>
      </c>
      <c r="G727" t="s">
        <v>197</v>
      </c>
      <c r="H727" t="s">
        <v>197</v>
      </c>
      <c r="I727" t="s">
        <v>197</v>
      </c>
      <c r="J727" t="s">
        <v>197</v>
      </c>
      <c r="K727" t="s">
        <v>554</v>
      </c>
    </row>
    <row r="728" spans="2:11">
      <c r="B728" t="s">
        <v>197</v>
      </c>
      <c r="C728" t="s">
        <v>197</v>
      </c>
      <c r="D728" t="s">
        <v>197</v>
      </c>
      <c r="E728" t="s">
        <v>197</v>
      </c>
      <c r="F728" t="s">
        <v>197</v>
      </c>
      <c r="G728" t="s">
        <v>197</v>
      </c>
      <c r="H728" t="s">
        <v>197</v>
      </c>
      <c r="I728" t="s">
        <v>197</v>
      </c>
      <c r="J728" t="s">
        <v>197</v>
      </c>
      <c r="K728" t="s">
        <v>555</v>
      </c>
    </row>
    <row r="729" spans="2:11">
      <c r="B729" t="s">
        <v>197</v>
      </c>
      <c r="C729" t="s">
        <v>197</v>
      </c>
      <c r="D729" t="s">
        <v>197</v>
      </c>
      <c r="E729" t="s">
        <v>197</v>
      </c>
      <c r="F729" t="s">
        <v>197</v>
      </c>
      <c r="G729" t="s">
        <v>197</v>
      </c>
      <c r="H729" t="s">
        <v>197</v>
      </c>
      <c r="I729" t="s">
        <v>197</v>
      </c>
      <c r="J729" t="s">
        <v>197</v>
      </c>
      <c r="K729" t="s">
        <v>556</v>
      </c>
    </row>
    <row r="730" spans="2:11">
      <c r="B730" t="s">
        <v>197</v>
      </c>
      <c r="C730" t="s">
        <v>197</v>
      </c>
      <c r="D730" t="s">
        <v>197</v>
      </c>
      <c r="E730" t="s">
        <v>197</v>
      </c>
      <c r="F730" t="s">
        <v>197</v>
      </c>
      <c r="G730" t="s">
        <v>197</v>
      </c>
      <c r="H730" t="s">
        <v>197</v>
      </c>
      <c r="I730" t="s">
        <v>197</v>
      </c>
      <c r="J730" t="s">
        <v>197</v>
      </c>
      <c r="K730" t="s">
        <v>557</v>
      </c>
    </row>
    <row r="731" spans="2:11">
      <c r="B731" t="s">
        <v>197</v>
      </c>
      <c r="C731" t="s">
        <v>197</v>
      </c>
      <c r="D731" t="s">
        <v>197</v>
      </c>
      <c r="E731" t="s">
        <v>197</v>
      </c>
      <c r="F731" t="s">
        <v>197</v>
      </c>
      <c r="G731" t="s">
        <v>197</v>
      </c>
      <c r="H731" t="s">
        <v>197</v>
      </c>
      <c r="I731" t="s">
        <v>197</v>
      </c>
      <c r="J731" t="s">
        <v>197</v>
      </c>
      <c r="K731" t="s">
        <v>558</v>
      </c>
    </row>
    <row r="732" spans="2:11">
      <c r="B732" t="s">
        <v>197</v>
      </c>
      <c r="C732" t="s">
        <v>197</v>
      </c>
      <c r="D732" t="s">
        <v>197</v>
      </c>
      <c r="E732" t="s">
        <v>197</v>
      </c>
      <c r="F732" t="s">
        <v>197</v>
      </c>
      <c r="G732" t="s">
        <v>197</v>
      </c>
      <c r="H732" t="s">
        <v>197</v>
      </c>
      <c r="I732" t="s">
        <v>197</v>
      </c>
      <c r="J732" t="s">
        <v>197</v>
      </c>
      <c r="K732" t="s">
        <v>559</v>
      </c>
    </row>
    <row r="733" spans="2:11">
      <c r="B733" t="s">
        <v>197</v>
      </c>
      <c r="C733" t="s">
        <v>197</v>
      </c>
      <c r="D733" t="s">
        <v>197</v>
      </c>
      <c r="E733" t="s">
        <v>197</v>
      </c>
      <c r="F733" t="s">
        <v>197</v>
      </c>
      <c r="G733" t="s">
        <v>197</v>
      </c>
      <c r="H733" t="s">
        <v>197</v>
      </c>
      <c r="I733" t="s">
        <v>197</v>
      </c>
      <c r="J733" t="s">
        <v>197</v>
      </c>
      <c r="K733" t="s">
        <v>560</v>
      </c>
    </row>
    <row r="734" spans="2:11">
      <c r="B734" t="s">
        <v>197</v>
      </c>
      <c r="C734" t="s">
        <v>197</v>
      </c>
      <c r="D734" t="s">
        <v>197</v>
      </c>
      <c r="E734" t="s">
        <v>197</v>
      </c>
      <c r="F734" t="s">
        <v>197</v>
      </c>
      <c r="G734" t="s">
        <v>197</v>
      </c>
      <c r="H734" t="s">
        <v>197</v>
      </c>
      <c r="I734" t="s">
        <v>197</v>
      </c>
      <c r="J734" t="s">
        <v>197</v>
      </c>
      <c r="K734" t="s">
        <v>561</v>
      </c>
    </row>
    <row r="735" spans="2:11">
      <c r="B735" t="s">
        <v>197</v>
      </c>
      <c r="C735" t="s">
        <v>197</v>
      </c>
      <c r="D735" t="s">
        <v>197</v>
      </c>
      <c r="E735" t="s">
        <v>197</v>
      </c>
      <c r="F735" t="s">
        <v>197</v>
      </c>
      <c r="G735" t="s">
        <v>197</v>
      </c>
      <c r="H735" t="s">
        <v>197</v>
      </c>
      <c r="I735" t="s">
        <v>197</v>
      </c>
      <c r="J735" t="s">
        <v>197</v>
      </c>
      <c r="K735" t="s">
        <v>562</v>
      </c>
    </row>
    <row r="736" spans="2:11">
      <c r="B736" t="s">
        <v>197</v>
      </c>
      <c r="C736" t="s">
        <v>197</v>
      </c>
      <c r="D736" t="s">
        <v>197</v>
      </c>
      <c r="E736" t="s">
        <v>197</v>
      </c>
      <c r="F736" t="s">
        <v>197</v>
      </c>
      <c r="G736" t="s">
        <v>197</v>
      </c>
      <c r="H736" t="s">
        <v>197</v>
      </c>
      <c r="I736" t="s">
        <v>197</v>
      </c>
      <c r="J736" t="s">
        <v>197</v>
      </c>
      <c r="K736" t="s">
        <v>563</v>
      </c>
    </row>
    <row r="737" spans="1:24">
      <c r="B737" t="s">
        <v>197</v>
      </c>
      <c r="C737" t="s">
        <v>197</v>
      </c>
      <c r="D737" t="s">
        <v>197</v>
      </c>
      <c r="E737" t="s">
        <v>197</v>
      </c>
      <c r="F737" t="s">
        <v>197</v>
      </c>
      <c r="G737" t="s">
        <v>197</v>
      </c>
      <c r="H737" t="s">
        <v>197</v>
      </c>
      <c r="I737" t="s">
        <v>197</v>
      </c>
      <c r="J737" t="s">
        <v>197</v>
      </c>
      <c r="K737" t="s">
        <v>564</v>
      </c>
    </row>
    <row r="738" spans="1:24">
      <c r="B738" t="s">
        <v>197</v>
      </c>
      <c r="C738" t="s">
        <v>197</v>
      </c>
      <c r="D738" t="s">
        <v>197</v>
      </c>
      <c r="E738" t="s">
        <v>197</v>
      </c>
      <c r="F738" t="s">
        <v>197</v>
      </c>
      <c r="G738" t="s">
        <v>197</v>
      </c>
      <c r="H738" t="s">
        <v>197</v>
      </c>
      <c r="I738" t="s">
        <v>197</v>
      </c>
      <c r="J738" t="s">
        <v>197</v>
      </c>
      <c r="K738" t="s">
        <v>565</v>
      </c>
    </row>
    <row r="739" spans="1:24">
      <c r="B739" t="s">
        <v>197</v>
      </c>
      <c r="C739" t="s">
        <v>197</v>
      </c>
      <c r="D739" t="s">
        <v>197</v>
      </c>
      <c r="E739" t="s">
        <v>197</v>
      </c>
      <c r="F739" t="s">
        <v>197</v>
      </c>
      <c r="G739" t="s">
        <v>197</v>
      </c>
      <c r="H739" t="s">
        <v>197</v>
      </c>
      <c r="I739" t="s">
        <v>197</v>
      </c>
      <c r="J739" t="s">
        <v>197</v>
      </c>
      <c r="K739" t="s">
        <v>566</v>
      </c>
    </row>
    <row r="740" spans="1:24">
      <c r="B740" t="s">
        <v>197</v>
      </c>
      <c r="C740" t="s">
        <v>197</v>
      </c>
      <c r="D740" t="s">
        <v>197</v>
      </c>
      <c r="E740" t="s">
        <v>197</v>
      </c>
      <c r="F740" t="s">
        <v>197</v>
      </c>
      <c r="G740" t="s">
        <v>197</v>
      </c>
      <c r="H740" t="s">
        <v>197</v>
      </c>
      <c r="I740" t="s">
        <v>197</v>
      </c>
      <c r="J740" t="s">
        <v>197</v>
      </c>
      <c r="K740" t="s">
        <v>567</v>
      </c>
    </row>
    <row r="741" spans="1:24">
      <c r="A741" t="s">
        <v>896</v>
      </c>
      <c r="K741" t="s">
        <v>897</v>
      </c>
      <c r="W741" t="s">
        <v>171</v>
      </c>
      <c r="X741" t="str">
        <f>A741</f>
        <v>info_char_dml_batch1_pk</v>
      </c>
    </row>
    <row r="742" spans="1:24">
      <c r="B742" t="s">
        <v>196</v>
      </c>
      <c r="C742" t="s">
        <v>197</v>
      </c>
      <c r="D742" t="s">
        <v>197</v>
      </c>
      <c r="E742" t="s">
        <v>197</v>
      </c>
      <c r="F742" t="s">
        <v>197</v>
      </c>
      <c r="G742" t="s">
        <v>197</v>
      </c>
      <c r="H742" t="s">
        <v>197</v>
      </c>
      <c r="I742" t="s">
        <v>898</v>
      </c>
      <c r="J742" t="s">
        <v>199</v>
      </c>
      <c r="K742" t="s">
        <v>200</v>
      </c>
    </row>
    <row r="743" spans="1:24">
      <c r="B743" t="s">
        <v>197</v>
      </c>
      <c r="C743" t="s">
        <v>197</v>
      </c>
      <c r="D743" t="s">
        <v>197</v>
      </c>
      <c r="E743" t="s">
        <v>197</v>
      </c>
      <c r="F743" t="s">
        <v>197</v>
      </c>
      <c r="G743" t="s">
        <v>197</v>
      </c>
      <c r="H743" t="s">
        <v>197</v>
      </c>
      <c r="I743" t="s">
        <v>197</v>
      </c>
      <c r="J743" t="s">
        <v>197</v>
      </c>
      <c r="K743" t="s">
        <v>622</v>
      </c>
    </row>
    <row r="744" spans="1:24">
      <c r="B744" t="s">
        <v>197</v>
      </c>
      <c r="C744" t="s">
        <v>197</v>
      </c>
      <c r="D744" t="s">
        <v>197</v>
      </c>
      <c r="E744" t="s">
        <v>197</v>
      </c>
      <c r="F744" t="s">
        <v>197</v>
      </c>
      <c r="G744" t="s">
        <v>197</v>
      </c>
      <c r="H744" t="s">
        <v>197</v>
      </c>
      <c r="I744" t="s">
        <v>197</v>
      </c>
      <c r="J744" t="s">
        <v>197</v>
      </c>
      <c r="K744" t="s">
        <v>623</v>
      </c>
    </row>
    <row r="745" spans="1:24">
      <c r="B745" t="s">
        <v>197</v>
      </c>
      <c r="C745" t="s">
        <v>197</v>
      </c>
      <c r="D745" t="s">
        <v>197</v>
      </c>
      <c r="E745" t="s">
        <v>197</v>
      </c>
      <c r="F745" t="s">
        <v>197</v>
      </c>
      <c r="G745" t="s">
        <v>197</v>
      </c>
      <c r="H745" t="s">
        <v>197</v>
      </c>
      <c r="I745" t="s">
        <v>197</v>
      </c>
      <c r="J745" t="s">
        <v>197</v>
      </c>
      <c r="K745" t="s">
        <v>832</v>
      </c>
    </row>
    <row r="746" spans="1:24">
      <c r="A746" t="s">
        <v>899</v>
      </c>
      <c r="K746" t="s">
        <v>900</v>
      </c>
      <c r="W746" t="s">
        <v>171</v>
      </c>
      <c r="X746" t="str">
        <f>A746</f>
        <v>info_varcharmax_dml_single_pk_urp</v>
      </c>
    </row>
    <row r="747" spans="1:24">
      <c r="B747" t="s">
        <v>196</v>
      </c>
      <c r="C747" t="s">
        <v>197</v>
      </c>
      <c r="D747" t="s">
        <v>197</v>
      </c>
      <c r="E747" t="s">
        <v>197</v>
      </c>
      <c r="F747" t="s">
        <v>197</v>
      </c>
      <c r="G747" t="s">
        <v>197</v>
      </c>
      <c r="H747" t="s">
        <v>197</v>
      </c>
      <c r="I747" t="s">
        <v>901</v>
      </c>
      <c r="J747" t="s">
        <v>199</v>
      </c>
      <c r="K747" t="s">
        <v>200</v>
      </c>
    </row>
    <row r="748" spans="1:24">
      <c r="B748" t="s">
        <v>197</v>
      </c>
      <c r="C748" t="s">
        <v>197</v>
      </c>
      <c r="D748" t="s">
        <v>197</v>
      </c>
      <c r="E748" t="s">
        <v>197</v>
      </c>
      <c r="F748" t="s">
        <v>197</v>
      </c>
      <c r="G748" t="s">
        <v>197</v>
      </c>
      <c r="H748" t="s">
        <v>197</v>
      </c>
      <c r="I748" t="s">
        <v>197</v>
      </c>
      <c r="J748" t="s">
        <v>197</v>
      </c>
      <c r="K748" t="s">
        <v>725</v>
      </c>
    </row>
    <row r="749" spans="1:24">
      <c r="B749" t="s">
        <v>197</v>
      </c>
      <c r="C749" t="s">
        <v>197</v>
      </c>
      <c r="D749" t="s">
        <v>197</v>
      </c>
      <c r="E749" t="s">
        <v>197</v>
      </c>
      <c r="F749" t="s">
        <v>197</v>
      </c>
      <c r="G749" t="s">
        <v>197</v>
      </c>
      <c r="H749" t="s">
        <v>197</v>
      </c>
      <c r="I749" t="s">
        <v>197</v>
      </c>
      <c r="J749" t="s">
        <v>197</v>
      </c>
      <c r="K749" t="s">
        <v>726</v>
      </c>
    </row>
    <row r="750" spans="1:24">
      <c r="A750" t="s">
        <v>902</v>
      </c>
      <c r="K750" t="s">
        <v>903</v>
      </c>
      <c r="W750" t="s">
        <v>171</v>
      </c>
      <c r="X750" t="str">
        <f>A750</f>
        <v>info_binary_dml_single_pk_irp</v>
      </c>
    </row>
    <row r="751" spans="1:24">
      <c r="B751" t="s">
        <v>196</v>
      </c>
      <c r="C751" t="s">
        <v>197</v>
      </c>
      <c r="D751" t="s">
        <v>197</v>
      </c>
      <c r="E751" t="s">
        <v>197</v>
      </c>
      <c r="F751" t="s">
        <v>197</v>
      </c>
      <c r="G751" t="s">
        <v>197</v>
      </c>
      <c r="H751" t="s">
        <v>197</v>
      </c>
      <c r="I751" t="s">
        <v>904</v>
      </c>
      <c r="J751" t="s">
        <v>199</v>
      </c>
      <c r="K751" t="s">
        <v>200</v>
      </c>
    </row>
    <row r="752" spans="1:24">
      <c r="B752" t="s">
        <v>197</v>
      </c>
      <c r="C752" t="s">
        <v>197</v>
      </c>
      <c r="D752" t="s">
        <v>197</v>
      </c>
      <c r="E752" t="s">
        <v>197</v>
      </c>
      <c r="F752" t="s">
        <v>197</v>
      </c>
      <c r="G752" t="s">
        <v>197</v>
      </c>
      <c r="H752" t="s">
        <v>197</v>
      </c>
      <c r="I752" t="s">
        <v>197</v>
      </c>
      <c r="J752" t="s">
        <v>197</v>
      </c>
      <c r="K752" t="s">
        <v>691</v>
      </c>
    </row>
    <row r="753" spans="1:24">
      <c r="B753" t="s">
        <v>197</v>
      </c>
      <c r="C753" t="s">
        <v>197</v>
      </c>
      <c r="D753" t="s">
        <v>197</v>
      </c>
      <c r="E753" t="s">
        <v>197</v>
      </c>
      <c r="F753" t="s">
        <v>197</v>
      </c>
      <c r="G753" t="s">
        <v>197</v>
      </c>
      <c r="H753" t="s">
        <v>197</v>
      </c>
      <c r="I753" t="s">
        <v>197</v>
      </c>
      <c r="J753" t="s">
        <v>197</v>
      </c>
      <c r="K753" t="s">
        <v>692</v>
      </c>
    </row>
    <row r="754" spans="1:24">
      <c r="B754" t="s">
        <v>197</v>
      </c>
      <c r="C754" t="s">
        <v>197</v>
      </c>
      <c r="D754" t="s">
        <v>197</v>
      </c>
      <c r="E754" t="s">
        <v>197</v>
      </c>
      <c r="F754" t="s">
        <v>197</v>
      </c>
      <c r="G754" t="s">
        <v>197</v>
      </c>
      <c r="H754" t="s">
        <v>197</v>
      </c>
      <c r="I754" t="s">
        <v>197</v>
      </c>
      <c r="J754" t="s">
        <v>197</v>
      </c>
      <c r="K754" t="s">
        <v>693</v>
      </c>
    </row>
    <row r="755" spans="1:24">
      <c r="K755" t="s">
        <v>443</v>
      </c>
    </row>
    <row r="756" spans="1:24">
      <c r="A756" t="s">
        <v>905</v>
      </c>
      <c r="K756" t="s">
        <v>906</v>
      </c>
      <c r="W756" t="s">
        <v>171</v>
      </c>
      <c r="X756" t="str">
        <f>A756</f>
        <v>info_nchar_dml_batch1_pk_drp2</v>
      </c>
    </row>
    <row r="757" spans="1:24">
      <c r="B757" t="s">
        <v>196</v>
      </c>
      <c r="C757" t="s">
        <v>197</v>
      </c>
      <c r="D757" t="s">
        <v>197</v>
      </c>
      <c r="E757" t="s">
        <v>197</v>
      </c>
      <c r="F757" t="s">
        <v>197</v>
      </c>
      <c r="G757" t="s">
        <v>197</v>
      </c>
      <c r="H757" t="s">
        <v>197</v>
      </c>
      <c r="I757" t="s">
        <v>907</v>
      </c>
      <c r="J757" t="s">
        <v>199</v>
      </c>
      <c r="K757" t="s">
        <v>200</v>
      </c>
    </row>
    <row r="758" spans="1:24">
      <c r="B758" t="s">
        <v>197</v>
      </c>
      <c r="C758" t="s">
        <v>197</v>
      </c>
      <c r="D758" t="s">
        <v>197</v>
      </c>
      <c r="E758" t="s">
        <v>197</v>
      </c>
      <c r="F758" t="s">
        <v>197</v>
      </c>
      <c r="G758" t="s">
        <v>197</v>
      </c>
      <c r="H758" t="s">
        <v>197</v>
      </c>
      <c r="I758" t="s">
        <v>197</v>
      </c>
      <c r="J758" t="s">
        <v>197</v>
      </c>
      <c r="K758" t="s">
        <v>514</v>
      </c>
    </row>
    <row r="759" spans="1:24">
      <c r="B759" t="s">
        <v>197</v>
      </c>
      <c r="C759" t="s">
        <v>197</v>
      </c>
      <c r="D759" t="s">
        <v>197</v>
      </c>
      <c r="E759" t="s">
        <v>197</v>
      </c>
      <c r="F759" t="s">
        <v>197</v>
      </c>
      <c r="G759" t="s">
        <v>197</v>
      </c>
      <c r="H759" t="s">
        <v>197</v>
      </c>
      <c r="I759" t="s">
        <v>197</v>
      </c>
      <c r="J759" t="s">
        <v>197</v>
      </c>
      <c r="K759" t="s">
        <v>516</v>
      </c>
    </row>
    <row r="760" spans="1:24">
      <c r="B760" t="s">
        <v>197</v>
      </c>
      <c r="C760" t="s">
        <v>197</v>
      </c>
      <c r="D760" t="s">
        <v>197</v>
      </c>
      <c r="E760" t="s">
        <v>197</v>
      </c>
      <c r="F760" t="s">
        <v>197</v>
      </c>
      <c r="G760" t="s">
        <v>197</v>
      </c>
      <c r="H760" t="s">
        <v>197</v>
      </c>
      <c r="I760" t="s">
        <v>197</v>
      </c>
      <c r="J760" t="s">
        <v>197</v>
      </c>
      <c r="K760" t="s">
        <v>612</v>
      </c>
    </row>
    <row r="761" spans="1:24">
      <c r="A761" t="s">
        <v>887</v>
      </c>
      <c r="K761" t="s">
        <v>888</v>
      </c>
      <c r="W761" t="s">
        <v>171</v>
      </c>
      <c r="X761" t="str">
        <f>A761</f>
        <v>info_char_dml_batch1_pk_drp2</v>
      </c>
    </row>
    <row r="762" spans="1:24">
      <c r="B762" t="s">
        <v>196</v>
      </c>
      <c r="C762" t="s">
        <v>197</v>
      </c>
      <c r="D762" t="s">
        <v>197</v>
      </c>
      <c r="E762" t="s">
        <v>197</v>
      </c>
      <c r="F762" t="s">
        <v>197</v>
      </c>
      <c r="G762" t="s">
        <v>197</v>
      </c>
      <c r="H762" t="s">
        <v>197</v>
      </c>
      <c r="I762" t="s">
        <v>889</v>
      </c>
      <c r="J762" t="s">
        <v>199</v>
      </c>
      <c r="K762" t="s">
        <v>200</v>
      </c>
    </row>
    <row r="763" spans="1:24">
      <c r="B763" t="s">
        <v>197</v>
      </c>
      <c r="C763" t="s">
        <v>197</v>
      </c>
      <c r="D763" t="s">
        <v>197</v>
      </c>
      <c r="E763" t="s">
        <v>197</v>
      </c>
      <c r="F763" t="s">
        <v>197</v>
      </c>
      <c r="G763" t="s">
        <v>197</v>
      </c>
      <c r="H763" t="s">
        <v>197</v>
      </c>
      <c r="I763" t="s">
        <v>197</v>
      </c>
      <c r="J763" t="s">
        <v>197</v>
      </c>
      <c r="K763" t="s">
        <v>622</v>
      </c>
    </row>
    <row r="764" spans="1:24">
      <c r="B764" t="s">
        <v>197</v>
      </c>
      <c r="C764" t="s">
        <v>197</v>
      </c>
      <c r="D764" t="s">
        <v>197</v>
      </c>
      <c r="E764" t="s">
        <v>197</v>
      </c>
      <c r="F764" t="s">
        <v>197</v>
      </c>
      <c r="G764" t="s">
        <v>197</v>
      </c>
      <c r="H764" t="s">
        <v>197</v>
      </c>
      <c r="I764" t="s">
        <v>197</v>
      </c>
      <c r="J764" t="s">
        <v>197</v>
      </c>
      <c r="K764" t="s">
        <v>623</v>
      </c>
    </row>
    <row r="765" spans="1:24">
      <c r="B765" t="s">
        <v>197</v>
      </c>
      <c r="C765" t="s">
        <v>197</v>
      </c>
      <c r="D765" t="s">
        <v>197</v>
      </c>
      <c r="E765" t="s">
        <v>197</v>
      </c>
      <c r="F765" t="s">
        <v>197</v>
      </c>
      <c r="G765" t="s">
        <v>197</v>
      </c>
      <c r="H765" t="s">
        <v>197</v>
      </c>
      <c r="I765" t="s">
        <v>197</v>
      </c>
      <c r="J765" t="s">
        <v>197</v>
      </c>
      <c r="K765" t="s">
        <v>832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926</v>
      </c>
      <c r="K783" t="s">
        <v>927</v>
      </c>
      <c r="W783" s="1" t="str">
        <f>HYPERLINK("#2026042017hbase0!AB2","NO 源备存在差异，共2个")</f>
        <v>NO 源备存在差异，共2个</v>
      </c>
      <c r="X783" t="str">
        <f>A783</f>
        <v>info_int_dml_single_pk_drp</v>
      </c>
    </row>
    <row r="784" spans="1:24">
      <c r="B784" t="s">
        <v>196</v>
      </c>
      <c r="C784" t="s">
        <v>197</v>
      </c>
      <c r="D784" t="s">
        <v>197</v>
      </c>
      <c r="E784" t="s">
        <v>197</v>
      </c>
      <c r="F784" t="s">
        <v>197</v>
      </c>
      <c r="G784" t="s">
        <v>197</v>
      </c>
      <c r="H784" t="s">
        <v>197</v>
      </c>
      <c r="I784" t="s">
        <v>928</v>
      </c>
      <c r="J784" t="s">
        <v>199</v>
      </c>
      <c r="K784" t="s">
        <v>200</v>
      </c>
    </row>
    <row r="785" spans="2:11">
      <c r="B785" t="s">
        <v>197</v>
      </c>
      <c r="C785" t="s">
        <v>197</v>
      </c>
      <c r="D785" t="s">
        <v>197</v>
      </c>
      <c r="E785" t="s">
        <v>197</v>
      </c>
      <c r="F785" t="s">
        <v>197</v>
      </c>
      <c r="G785" t="s">
        <v>197</v>
      </c>
      <c r="H785" t="s">
        <v>197</v>
      </c>
      <c r="I785" t="s">
        <v>197</v>
      </c>
      <c r="J785" t="s">
        <v>197</v>
      </c>
      <c r="K785" t="s">
        <v>549</v>
      </c>
    </row>
    <row r="786" spans="2:11">
      <c r="B786" t="s">
        <v>197</v>
      </c>
      <c r="C786" t="s">
        <v>197</v>
      </c>
      <c r="D786" t="s">
        <v>197</v>
      </c>
      <c r="E786" t="s">
        <v>197</v>
      </c>
      <c r="F786" t="s">
        <v>197</v>
      </c>
      <c r="G786" t="s">
        <v>197</v>
      </c>
      <c r="H786" t="s">
        <v>197</v>
      </c>
      <c r="I786" t="s">
        <v>197</v>
      </c>
      <c r="J786" t="s">
        <v>197</v>
      </c>
      <c r="K786" t="s">
        <v>550</v>
      </c>
    </row>
    <row r="787" spans="2:11">
      <c r="B787" t="s">
        <v>197</v>
      </c>
      <c r="C787" t="s">
        <v>197</v>
      </c>
      <c r="D787" t="s">
        <v>197</v>
      </c>
      <c r="E787" t="s">
        <v>197</v>
      </c>
      <c r="F787" t="s">
        <v>197</v>
      </c>
      <c r="G787" t="s">
        <v>197</v>
      </c>
      <c r="H787" t="s">
        <v>197</v>
      </c>
      <c r="I787" t="s">
        <v>197</v>
      </c>
      <c r="J787" t="s">
        <v>197</v>
      </c>
      <c r="K787" t="s">
        <v>551</v>
      </c>
    </row>
    <row r="788" spans="2:11">
      <c r="B788" t="s">
        <v>197</v>
      </c>
      <c r="C788" t="s">
        <v>197</v>
      </c>
      <c r="D788" t="s">
        <v>197</v>
      </c>
      <c r="E788" t="s">
        <v>197</v>
      </c>
      <c r="F788" t="s">
        <v>197</v>
      </c>
      <c r="G788" t="s">
        <v>197</v>
      </c>
      <c r="H788" t="s">
        <v>197</v>
      </c>
      <c r="I788" t="s">
        <v>197</v>
      </c>
      <c r="J788" t="s">
        <v>197</v>
      </c>
      <c r="K788" t="s">
        <v>552</v>
      </c>
    </row>
    <row r="789" spans="2:11">
      <c r="B789" t="s">
        <v>197</v>
      </c>
      <c r="C789" t="s">
        <v>197</v>
      </c>
      <c r="D789" t="s">
        <v>197</v>
      </c>
      <c r="E789" t="s">
        <v>197</v>
      </c>
      <c r="F789" t="s">
        <v>197</v>
      </c>
      <c r="G789" t="s">
        <v>197</v>
      </c>
      <c r="H789" t="s">
        <v>197</v>
      </c>
      <c r="I789" t="s">
        <v>197</v>
      </c>
      <c r="J789" t="s">
        <v>197</v>
      </c>
      <c r="K789" t="s">
        <v>553</v>
      </c>
    </row>
    <row r="790" spans="2:11">
      <c r="B790" t="s">
        <v>197</v>
      </c>
      <c r="C790" t="s">
        <v>197</v>
      </c>
      <c r="D790" t="s">
        <v>197</v>
      </c>
      <c r="E790" t="s">
        <v>197</v>
      </c>
      <c r="F790" t="s">
        <v>197</v>
      </c>
      <c r="G790" t="s">
        <v>197</v>
      </c>
      <c r="H790" t="s">
        <v>197</v>
      </c>
      <c r="I790" t="s">
        <v>197</v>
      </c>
      <c r="J790" t="s">
        <v>197</v>
      </c>
      <c r="K790" t="s">
        <v>554</v>
      </c>
    </row>
    <row r="791" spans="2:11">
      <c r="B791" t="s">
        <v>197</v>
      </c>
      <c r="C791" t="s">
        <v>197</v>
      </c>
      <c r="D791" t="s">
        <v>197</v>
      </c>
      <c r="E791" t="s">
        <v>197</v>
      </c>
      <c r="F791" t="s">
        <v>197</v>
      </c>
      <c r="G791" t="s">
        <v>197</v>
      </c>
      <c r="H791" t="s">
        <v>197</v>
      </c>
      <c r="I791" t="s">
        <v>197</v>
      </c>
      <c r="J791" t="s">
        <v>197</v>
      </c>
      <c r="K791" t="s">
        <v>555</v>
      </c>
    </row>
    <row r="792" spans="2:11">
      <c r="B792" t="s">
        <v>197</v>
      </c>
      <c r="C792" t="s">
        <v>197</v>
      </c>
      <c r="D792" t="s">
        <v>197</v>
      </c>
      <c r="E792" t="s">
        <v>197</v>
      </c>
      <c r="F792" t="s">
        <v>197</v>
      </c>
      <c r="G792" t="s">
        <v>197</v>
      </c>
      <c r="H792" t="s">
        <v>197</v>
      </c>
      <c r="I792" t="s">
        <v>197</v>
      </c>
      <c r="J792" t="s">
        <v>197</v>
      </c>
      <c r="K792" t="s">
        <v>556</v>
      </c>
    </row>
    <row r="793" spans="2:11">
      <c r="B793" t="s">
        <v>197</v>
      </c>
      <c r="C793" t="s">
        <v>197</v>
      </c>
      <c r="D793" t="s">
        <v>197</v>
      </c>
      <c r="E793" t="s">
        <v>197</v>
      </c>
      <c r="F793" t="s">
        <v>197</v>
      </c>
      <c r="G793" t="s">
        <v>197</v>
      </c>
      <c r="H793" t="s">
        <v>197</v>
      </c>
      <c r="I793" t="s">
        <v>197</v>
      </c>
      <c r="J793" t="s">
        <v>197</v>
      </c>
      <c r="K793" t="s">
        <v>557</v>
      </c>
    </row>
    <row r="794" spans="2:11">
      <c r="B794" t="s">
        <v>197</v>
      </c>
      <c r="C794" t="s">
        <v>197</v>
      </c>
      <c r="D794" t="s">
        <v>197</v>
      </c>
      <c r="E794" t="s">
        <v>197</v>
      </c>
      <c r="F794" t="s">
        <v>197</v>
      </c>
      <c r="G794" t="s">
        <v>197</v>
      </c>
      <c r="H794" t="s">
        <v>197</v>
      </c>
      <c r="I794" t="s">
        <v>197</v>
      </c>
      <c r="J794" t="s">
        <v>197</v>
      </c>
      <c r="K794" t="s">
        <v>558</v>
      </c>
    </row>
    <row r="795" spans="2:11">
      <c r="B795" t="s">
        <v>197</v>
      </c>
      <c r="C795" t="s">
        <v>197</v>
      </c>
      <c r="D795" t="s">
        <v>197</v>
      </c>
      <c r="E795" t="s">
        <v>197</v>
      </c>
      <c r="F795" t="s">
        <v>197</v>
      </c>
      <c r="G795" t="s">
        <v>197</v>
      </c>
      <c r="H795" t="s">
        <v>197</v>
      </c>
      <c r="I795" t="s">
        <v>197</v>
      </c>
      <c r="J795" t="s">
        <v>197</v>
      </c>
      <c r="K795" t="s">
        <v>559</v>
      </c>
    </row>
    <row r="796" spans="2:11">
      <c r="B796" t="s">
        <v>197</v>
      </c>
      <c r="C796" t="s">
        <v>197</v>
      </c>
      <c r="D796" t="s">
        <v>197</v>
      </c>
      <c r="E796" t="s">
        <v>197</v>
      </c>
      <c r="F796" t="s">
        <v>197</v>
      </c>
      <c r="G796" t="s">
        <v>197</v>
      </c>
      <c r="H796" t="s">
        <v>197</v>
      </c>
      <c r="I796" t="s">
        <v>197</v>
      </c>
      <c r="J796" t="s">
        <v>197</v>
      </c>
      <c r="K796" t="s">
        <v>560</v>
      </c>
    </row>
    <row r="797" spans="2:11">
      <c r="B797" t="s">
        <v>197</v>
      </c>
      <c r="C797" t="s">
        <v>197</v>
      </c>
      <c r="D797" t="s">
        <v>197</v>
      </c>
      <c r="E797" t="s">
        <v>197</v>
      </c>
      <c r="F797" t="s">
        <v>197</v>
      </c>
      <c r="G797" t="s">
        <v>197</v>
      </c>
      <c r="H797" t="s">
        <v>197</v>
      </c>
      <c r="I797" t="s">
        <v>197</v>
      </c>
      <c r="J797" t="s">
        <v>197</v>
      </c>
      <c r="K797" t="s">
        <v>561</v>
      </c>
    </row>
    <row r="798" spans="2:11">
      <c r="B798" t="s">
        <v>197</v>
      </c>
      <c r="C798" t="s">
        <v>197</v>
      </c>
      <c r="D798" t="s">
        <v>197</v>
      </c>
      <c r="E798" t="s">
        <v>197</v>
      </c>
      <c r="F798" t="s">
        <v>197</v>
      </c>
      <c r="G798" t="s">
        <v>197</v>
      </c>
      <c r="H798" t="s">
        <v>197</v>
      </c>
      <c r="I798" t="s">
        <v>197</v>
      </c>
      <c r="J798" t="s">
        <v>197</v>
      </c>
      <c r="K798" t="s">
        <v>562</v>
      </c>
    </row>
    <row r="799" spans="2:11">
      <c r="B799" t="s">
        <v>197</v>
      </c>
      <c r="C799" t="s">
        <v>197</v>
      </c>
      <c r="D799" t="s">
        <v>197</v>
      </c>
      <c r="E799" t="s">
        <v>197</v>
      </c>
      <c r="F799" t="s">
        <v>197</v>
      </c>
      <c r="G799" t="s">
        <v>197</v>
      </c>
      <c r="H799" t="s">
        <v>197</v>
      </c>
      <c r="I799" t="s">
        <v>197</v>
      </c>
      <c r="J799" t="s">
        <v>197</v>
      </c>
      <c r="K799" t="s">
        <v>563</v>
      </c>
    </row>
    <row r="800" spans="2:11">
      <c r="B800" t="s">
        <v>197</v>
      </c>
      <c r="C800" t="s">
        <v>197</v>
      </c>
      <c r="D800" t="s">
        <v>197</v>
      </c>
      <c r="E800" t="s">
        <v>197</v>
      </c>
      <c r="F800" t="s">
        <v>197</v>
      </c>
      <c r="G800" t="s">
        <v>197</v>
      </c>
      <c r="H800" t="s">
        <v>197</v>
      </c>
      <c r="I800" t="s">
        <v>197</v>
      </c>
      <c r="J800" t="s">
        <v>197</v>
      </c>
      <c r="K800" t="s">
        <v>564</v>
      </c>
    </row>
    <row r="801" spans="1:24">
      <c r="B801" t="s">
        <v>197</v>
      </c>
      <c r="C801" t="s">
        <v>197</v>
      </c>
      <c r="D801" t="s">
        <v>197</v>
      </c>
      <c r="E801" t="s">
        <v>197</v>
      </c>
      <c r="F801" t="s">
        <v>197</v>
      </c>
      <c r="G801" t="s">
        <v>197</v>
      </c>
      <c r="H801" t="s">
        <v>197</v>
      </c>
      <c r="I801" t="s">
        <v>197</v>
      </c>
      <c r="J801" t="s">
        <v>197</v>
      </c>
      <c r="K801" t="s">
        <v>565</v>
      </c>
    </row>
    <row r="802" spans="1:24">
      <c r="B802" t="s">
        <v>197</v>
      </c>
      <c r="C802" t="s">
        <v>197</v>
      </c>
      <c r="D802" t="s">
        <v>197</v>
      </c>
      <c r="E802" t="s">
        <v>197</v>
      </c>
      <c r="F802" t="s">
        <v>197</v>
      </c>
      <c r="G802" t="s">
        <v>197</v>
      </c>
      <c r="H802" t="s">
        <v>197</v>
      </c>
      <c r="I802" t="s">
        <v>197</v>
      </c>
      <c r="J802" t="s">
        <v>197</v>
      </c>
      <c r="K802" t="s">
        <v>566</v>
      </c>
    </row>
    <row r="803" spans="1:24">
      <c r="B803" t="s">
        <v>197</v>
      </c>
      <c r="C803" t="s">
        <v>197</v>
      </c>
      <c r="D803" t="s">
        <v>197</v>
      </c>
      <c r="E803" t="s">
        <v>197</v>
      </c>
      <c r="F803" t="s">
        <v>197</v>
      </c>
      <c r="G803" t="s">
        <v>197</v>
      </c>
      <c r="H803" t="s">
        <v>197</v>
      </c>
      <c r="I803" t="s">
        <v>197</v>
      </c>
      <c r="J803" t="s">
        <v>197</v>
      </c>
      <c r="K803" t="s">
        <v>567</v>
      </c>
    </row>
    <row r="804" spans="1:24">
      <c r="A804" t="s">
        <v>923</v>
      </c>
      <c r="K804" t="s">
        <v>924</v>
      </c>
      <c r="W804" t="s">
        <v>171</v>
      </c>
      <c r="X804" t="str">
        <f>A804</f>
        <v>info_datetime_dml_single_pk_irp</v>
      </c>
    </row>
    <row r="805" spans="1:24">
      <c r="B805" t="s">
        <v>196</v>
      </c>
      <c r="C805" t="s">
        <v>197</v>
      </c>
      <c r="D805" t="s">
        <v>197</v>
      </c>
      <c r="E805" t="s">
        <v>197</v>
      </c>
      <c r="F805" t="s">
        <v>197</v>
      </c>
      <c r="G805" t="s">
        <v>197</v>
      </c>
      <c r="H805" t="s">
        <v>197</v>
      </c>
      <c r="I805" t="s">
        <v>925</v>
      </c>
      <c r="J805" t="s">
        <v>199</v>
      </c>
      <c r="K805" t="s">
        <v>200</v>
      </c>
    </row>
    <row r="806" spans="1:24">
      <c r="B806" t="s">
        <v>197</v>
      </c>
      <c r="C806" t="s">
        <v>197</v>
      </c>
      <c r="D806" t="s">
        <v>197</v>
      </c>
      <c r="E806" t="s">
        <v>197</v>
      </c>
      <c r="F806" t="s">
        <v>197</v>
      </c>
      <c r="G806" t="s">
        <v>197</v>
      </c>
      <c r="H806" t="s">
        <v>197</v>
      </c>
      <c r="I806" t="s">
        <v>197</v>
      </c>
      <c r="J806" t="s">
        <v>197</v>
      </c>
      <c r="K806" t="s">
        <v>574</v>
      </c>
    </row>
    <row r="807" spans="1:24">
      <c r="A807" t="s">
        <v>935</v>
      </c>
      <c r="K807" t="s">
        <v>936</v>
      </c>
      <c r="W807" t="s">
        <v>171</v>
      </c>
      <c r="X807" t="str">
        <f>A807</f>
        <v>info_int_dml_single_pk</v>
      </c>
    </row>
    <row r="808" spans="1:24">
      <c r="B808" t="s">
        <v>196</v>
      </c>
      <c r="C808" t="s">
        <v>197</v>
      </c>
      <c r="D808" t="s">
        <v>197</v>
      </c>
      <c r="E808" t="s">
        <v>197</v>
      </c>
      <c r="F808" t="s">
        <v>197</v>
      </c>
      <c r="G808" t="s">
        <v>197</v>
      </c>
      <c r="H808" t="s">
        <v>197</v>
      </c>
      <c r="I808" t="s">
        <v>937</v>
      </c>
      <c r="J808" t="s">
        <v>199</v>
      </c>
      <c r="K808" t="s">
        <v>200</v>
      </c>
    </row>
    <row r="809" spans="1:24">
      <c r="B809" t="s">
        <v>197</v>
      </c>
      <c r="C809" t="s">
        <v>197</v>
      </c>
      <c r="D809" t="s">
        <v>197</v>
      </c>
      <c r="E809" t="s">
        <v>197</v>
      </c>
      <c r="F809" t="s">
        <v>197</v>
      </c>
      <c r="G809" t="s">
        <v>197</v>
      </c>
      <c r="H809" t="s">
        <v>197</v>
      </c>
      <c r="I809" t="s">
        <v>197</v>
      </c>
      <c r="J809" t="s">
        <v>197</v>
      </c>
      <c r="K809" t="s">
        <v>549</v>
      </c>
    </row>
    <row r="810" spans="1:24">
      <c r="B810" t="s">
        <v>197</v>
      </c>
      <c r="C810" t="s">
        <v>197</v>
      </c>
      <c r="D810" t="s">
        <v>197</v>
      </c>
      <c r="E810" t="s">
        <v>197</v>
      </c>
      <c r="F810" t="s">
        <v>197</v>
      </c>
      <c r="G810" t="s">
        <v>197</v>
      </c>
      <c r="H810" t="s">
        <v>197</v>
      </c>
      <c r="I810" t="s">
        <v>197</v>
      </c>
      <c r="J810" t="s">
        <v>197</v>
      </c>
      <c r="K810" t="s">
        <v>550</v>
      </c>
    </row>
    <row r="811" spans="1:24">
      <c r="B811" t="s">
        <v>197</v>
      </c>
      <c r="C811" t="s">
        <v>197</v>
      </c>
      <c r="D811" t="s">
        <v>197</v>
      </c>
      <c r="E811" t="s">
        <v>197</v>
      </c>
      <c r="F811" t="s">
        <v>197</v>
      </c>
      <c r="G811" t="s">
        <v>197</v>
      </c>
      <c r="H811" t="s">
        <v>197</v>
      </c>
      <c r="I811" t="s">
        <v>197</v>
      </c>
      <c r="J811" t="s">
        <v>197</v>
      </c>
      <c r="K811" t="s">
        <v>551</v>
      </c>
    </row>
    <row r="812" spans="1:24">
      <c r="B812" t="s">
        <v>197</v>
      </c>
      <c r="C812" t="s">
        <v>197</v>
      </c>
      <c r="D812" t="s">
        <v>197</v>
      </c>
      <c r="E812" t="s">
        <v>197</v>
      </c>
      <c r="F812" t="s">
        <v>197</v>
      </c>
      <c r="G812" t="s">
        <v>197</v>
      </c>
      <c r="H812" t="s">
        <v>197</v>
      </c>
      <c r="I812" t="s">
        <v>197</v>
      </c>
      <c r="J812" t="s">
        <v>197</v>
      </c>
      <c r="K812" t="s">
        <v>552</v>
      </c>
    </row>
    <row r="813" spans="1:24">
      <c r="B813" t="s">
        <v>197</v>
      </c>
      <c r="C813" t="s">
        <v>197</v>
      </c>
      <c r="D813" t="s">
        <v>197</v>
      </c>
      <c r="E813" t="s">
        <v>197</v>
      </c>
      <c r="F813" t="s">
        <v>197</v>
      </c>
      <c r="G813" t="s">
        <v>197</v>
      </c>
      <c r="H813" t="s">
        <v>197</v>
      </c>
      <c r="I813" t="s">
        <v>197</v>
      </c>
      <c r="J813" t="s">
        <v>197</v>
      </c>
      <c r="K813" t="s">
        <v>553</v>
      </c>
    </row>
    <row r="814" spans="1:24">
      <c r="B814" t="s">
        <v>197</v>
      </c>
      <c r="C814" t="s">
        <v>197</v>
      </c>
      <c r="D814" t="s">
        <v>197</v>
      </c>
      <c r="E814" t="s">
        <v>197</v>
      </c>
      <c r="F814" t="s">
        <v>197</v>
      </c>
      <c r="G814" t="s">
        <v>197</v>
      </c>
      <c r="H814" t="s">
        <v>197</v>
      </c>
      <c r="I814" t="s">
        <v>197</v>
      </c>
      <c r="J814" t="s">
        <v>197</v>
      </c>
      <c r="K814" t="s">
        <v>554</v>
      </c>
    </row>
    <row r="815" spans="1:24">
      <c r="B815" t="s">
        <v>197</v>
      </c>
      <c r="C815" t="s">
        <v>197</v>
      </c>
      <c r="D815" t="s">
        <v>197</v>
      </c>
      <c r="E815" t="s">
        <v>197</v>
      </c>
      <c r="F815" t="s">
        <v>197</v>
      </c>
      <c r="G815" t="s">
        <v>197</v>
      </c>
      <c r="H815" t="s">
        <v>197</v>
      </c>
      <c r="I815" t="s">
        <v>197</v>
      </c>
      <c r="J815" t="s">
        <v>197</v>
      </c>
      <c r="K815" t="s">
        <v>555</v>
      </c>
    </row>
    <row r="816" spans="1:24">
      <c r="B816" t="s">
        <v>197</v>
      </c>
      <c r="C816" t="s">
        <v>197</v>
      </c>
      <c r="D816" t="s">
        <v>197</v>
      </c>
      <c r="E816" t="s">
        <v>197</v>
      </c>
      <c r="F816" t="s">
        <v>197</v>
      </c>
      <c r="G816" t="s">
        <v>197</v>
      </c>
      <c r="H816" t="s">
        <v>197</v>
      </c>
      <c r="I816" t="s">
        <v>197</v>
      </c>
      <c r="J816" t="s">
        <v>197</v>
      </c>
      <c r="K816" t="s">
        <v>556</v>
      </c>
    </row>
    <row r="817" spans="1:24">
      <c r="B817" t="s">
        <v>197</v>
      </c>
      <c r="C817" t="s">
        <v>197</v>
      </c>
      <c r="D817" t="s">
        <v>197</v>
      </c>
      <c r="E817" t="s">
        <v>197</v>
      </c>
      <c r="F817" t="s">
        <v>197</v>
      </c>
      <c r="G817" t="s">
        <v>197</v>
      </c>
      <c r="H817" t="s">
        <v>197</v>
      </c>
      <c r="I817" t="s">
        <v>197</v>
      </c>
      <c r="J817" t="s">
        <v>197</v>
      </c>
      <c r="K817" t="s">
        <v>557</v>
      </c>
    </row>
    <row r="818" spans="1:24">
      <c r="B818" t="s">
        <v>197</v>
      </c>
      <c r="C818" t="s">
        <v>197</v>
      </c>
      <c r="D818" t="s">
        <v>197</v>
      </c>
      <c r="E818" t="s">
        <v>197</v>
      </c>
      <c r="F818" t="s">
        <v>197</v>
      </c>
      <c r="G818" t="s">
        <v>197</v>
      </c>
      <c r="H818" t="s">
        <v>197</v>
      </c>
      <c r="I818" t="s">
        <v>197</v>
      </c>
      <c r="J818" t="s">
        <v>197</v>
      </c>
      <c r="K818" t="s">
        <v>558</v>
      </c>
    </row>
    <row r="819" spans="1:24">
      <c r="B819" t="s">
        <v>197</v>
      </c>
      <c r="C819" t="s">
        <v>197</v>
      </c>
      <c r="D819" t="s">
        <v>197</v>
      </c>
      <c r="E819" t="s">
        <v>197</v>
      </c>
      <c r="F819" t="s">
        <v>197</v>
      </c>
      <c r="G819" t="s">
        <v>197</v>
      </c>
      <c r="H819" t="s">
        <v>197</v>
      </c>
      <c r="I819" t="s">
        <v>197</v>
      </c>
      <c r="J819" t="s">
        <v>197</v>
      </c>
      <c r="K819" t="s">
        <v>559</v>
      </c>
    </row>
    <row r="820" spans="1:24">
      <c r="B820" t="s">
        <v>197</v>
      </c>
      <c r="C820" t="s">
        <v>197</v>
      </c>
      <c r="D820" t="s">
        <v>197</v>
      </c>
      <c r="E820" t="s">
        <v>197</v>
      </c>
      <c r="F820" t="s">
        <v>197</v>
      </c>
      <c r="G820" t="s">
        <v>197</v>
      </c>
      <c r="H820" t="s">
        <v>197</v>
      </c>
      <c r="I820" t="s">
        <v>197</v>
      </c>
      <c r="J820" t="s">
        <v>197</v>
      </c>
      <c r="K820" t="s">
        <v>560</v>
      </c>
    </row>
    <row r="821" spans="1:24">
      <c r="B821" t="s">
        <v>197</v>
      </c>
      <c r="C821" t="s">
        <v>197</v>
      </c>
      <c r="D821" t="s">
        <v>197</v>
      </c>
      <c r="E821" t="s">
        <v>197</v>
      </c>
      <c r="F821" t="s">
        <v>197</v>
      </c>
      <c r="G821" t="s">
        <v>197</v>
      </c>
      <c r="H821" t="s">
        <v>197</v>
      </c>
      <c r="I821" t="s">
        <v>197</v>
      </c>
      <c r="J821" t="s">
        <v>197</v>
      </c>
      <c r="K821" t="s">
        <v>561</v>
      </c>
    </row>
    <row r="822" spans="1:24">
      <c r="B822" t="s">
        <v>197</v>
      </c>
      <c r="C822" t="s">
        <v>197</v>
      </c>
      <c r="D822" t="s">
        <v>197</v>
      </c>
      <c r="E822" t="s">
        <v>197</v>
      </c>
      <c r="F822" t="s">
        <v>197</v>
      </c>
      <c r="G822" t="s">
        <v>197</v>
      </c>
      <c r="H822" t="s">
        <v>197</v>
      </c>
      <c r="I822" t="s">
        <v>197</v>
      </c>
      <c r="J822" t="s">
        <v>197</v>
      </c>
      <c r="K822" t="s">
        <v>562</v>
      </c>
    </row>
    <row r="823" spans="1:24">
      <c r="B823" t="s">
        <v>197</v>
      </c>
      <c r="C823" t="s">
        <v>197</v>
      </c>
      <c r="D823" t="s">
        <v>197</v>
      </c>
      <c r="E823" t="s">
        <v>197</v>
      </c>
      <c r="F823" t="s">
        <v>197</v>
      </c>
      <c r="G823" t="s">
        <v>197</v>
      </c>
      <c r="H823" t="s">
        <v>197</v>
      </c>
      <c r="I823" t="s">
        <v>197</v>
      </c>
      <c r="J823" t="s">
        <v>197</v>
      </c>
      <c r="K823" t="s">
        <v>563</v>
      </c>
    </row>
    <row r="824" spans="1:24">
      <c r="B824" t="s">
        <v>197</v>
      </c>
      <c r="C824" t="s">
        <v>197</v>
      </c>
      <c r="D824" t="s">
        <v>197</v>
      </c>
      <c r="E824" t="s">
        <v>197</v>
      </c>
      <c r="F824" t="s">
        <v>197</v>
      </c>
      <c r="G824" t="s">
        <v>197</v>
      </c>
      <c r="H824" t="s">
        <v>197</v>
      </c>
      <c r="I824" t="s">
        <v>197</v>
      </c>
      <c r="J824" t="s">
        <v>197</v>
      </c>
      <c r="K824" t="s">
        <v>564</v>
      </c>
    </row>
    <row r="825" spans="1:24">
      <c r="B825" t="s">
        <v>197</v>
      </c>
      <c r="C825" t="s">
        <v>197</v>
      </c>
      <c r="D825" t="s">
        <v>197</v>
      </c>
      <c r="E825" t="s">
        <v>197</v>
      </c>
      <c r="F825" t="s">
        <v>197</v>
      </c>
      <c r="G825" t="s">
        <v>197</v>
      </c>
      <c r="H825" t="s">
        <v>197</v>
      </c>
      <c r="I825" t="s">
        <v>197</v>
      </c>
      <c r="J825" t="s">
        <v>197</v>
      </c>
      <c r="K825" t="s">
        <v>565</v>
      </c>
    </row>
    <row r="826" spans="1:24">
      <c r="B826" t="s">
        <v>197</v>
      </c>
      <c r="C826" t="s">
        <v>197</v>
      </c>
      <c r="D826" t="s">
        <v>197</v>
      </c>
      <c r="E826" t="s">
        <v>197</v>
      </c>
      <c r="F826" t="s">
        <v>197</v>
      </c>
      <c r="G826" t="s">
        <v>197</v>
      </c>
      <c r="H826" t="s">
        <v>197</v>
      </c>
      <c r="I826" t="s">
        <v>197</v>
      </c>
      <c r="J826" t="s">
        <v>197</v>
      </c>
      <c r="K826" t="s">
        <v>566</v>
      </c>
    </row>
    <row r="827" spans="1:24">
      <c r="B827" t="s">
        <v>197</v>
      </c>
      <c r="C827" t="s">
        <v>197</v>
      </c>
      <c r="D827" t="s">
        <v>197</v>
      </c>
      <c r="E827" t="s">
        <v>197</v>
      </c>
      <c r="F827" t="s">
        <v>197</v>
      </c>
      <c r="G827" t="s">
        <v>197</v>
      </c>
      <c r="H827" t="s">
        <v>197</v>
      </c>
      <c r="I827" t="s">
        <v>197</v>
      </c>
      <c r="J827" t="s">
        <v>197</v>
      </c>
      <c r="K827" t="s">
        <v>567</v>
      </c>
    </row>
    <row r="828" spans="1:24">
      <c r="A828" t="s">
        <v>941</v>
      </c>
      <c r="K828" t="s">
        <v>942</v>
      </c>
      <c r="W828" t="s">
        <v>171</v>
      </c>
      <c r="X828" t="str">
        <f>A828</f>
        <v>info_timestamp_dml_single_pk_irp</v>
      </c>
    </row>
    <row r="829" spans="1:24">
      <c r="B829" t="s">
        <v>196</v>
      </c>
      <c r="C829" t="s">
        <v>197</v>
      </c>
      <c r="D829" t="s">
        <v>197</v>
      </c>
      <c r="E829" t="s">
        <v>197</v>
      </c>
      <c r="F829" t="s">
        <v>197</v>
      </c>
      <c r="G829" t="s">
        <v>197</v>
      </c>
      <c r="H829" t="s">
        <v>197</v>
      </c>
      <c r="I829" t="s">
        <v>943</v>
      </c>
      <c r="J829" t="s">
        <v>199</v>
      </c>
      <c r="K829" t="s">
        <v>200</v>
      </c>
    </row>
    <row r="830" spans="1:24">
      <c r="B830" t="s">
        <v>197</v>
      </c>
      <c r="C830" t="s">
        <v>197</v>
      </c>
      <c r="D830" t="s">
        <v>197</v>
      </c>
      <c r="E830" t="s">
        <v>197</v>
      </c>
      <c r="F830" t="s">
        <v>197</v>
      </c>
      <c r="G830" t="s">
        <v>197</v>
      </c>
      <c r="H830" t="s">
        <v>197</v>
      </c>
      <c r="I830" t="s">
        <v>197</v>
      </c>
      <c r="J830" t="s">
        <v>197</v>
      </c>
      <c r="K830" t="s">
        <v>944</v>
      </c>
    </row>
    <row r="831" spans="1:24">
      <c r="A831" t="s">
        <v>932</v>
      </c>
      <c r="K831" t="s">
        <v>933</v>
      </c>
      <c r="W831" t="s">
        <v>171</v>
      </c>
      <c r="X831" t="str">
        <f>A831</f>
        <v>info_char_dml_batch1_pk_urp1</v>
      </c>
    </row>
    <row r="832" spans="1:24">
      <c r="B832" t="s">
        <v>196</v>
      </c>
      <c r="C832" t="s">
        <v>197</v>
      </c>
      <c r="D832" t="s">
        <v>197</v>
      </c>
      <c r="E832" t="s">
        <v>197</v>
      </c>
      <c r="F832" t="s">
        <v>197</v>
      </c>
      <c r="G832" t="s">
        <v>197</v>
      </c>
      <c r="H832" t="s">
        <v>197</v>
      </c>
      <c r="I832" t="s">
        <v>934</v>
      </c>
      <c r="J832" t="s">
        <v>199</v>
      </c>
      <c r="K832" t="s">
        <v>200</v>
      </c>
    </row>
    <row r="833" spans="1:24">
      <c r="B833" t="s">
        <v>197</v>
      </c>
      <c r="C833" t="s">
        <v>197</v>
      </c>
      <c r="D833" t="s">
        <v>197</v>
      </c>
      <c r="E833" t="s">
        <v>197</v>
      </c>
      <c r="F833" t="s">
        <v>197</v>
      </c>
      <c r="G833" t="s">
        <v>197</v>
      </c>
      <c r="H833" t="s">
        <v>197</v>
      </c>
      <c r="I833" t="s">
        <v>197</v>
      </c>
      <c r="J833" t="s">
        <v>197</v>
      </c>
      <c r="K833" t="s">
        <v>622</v>
      </c>
    </row>
    <row r="834" spans="1:24">
      <c r="B834" t="s">
        <v>197</v>
      </c>
      <c r="C834" t="s">
        <v>197</v>
      </c>
      <c r="D834" t="s">
        <v>197</v>
      </c>
      <c r="E834" t="s">
        <v>197</v>
      </c>
      <c r="F834" t="s">
        <v>197</v>
      </c>
      <c r="G834" t="s">
        <v>197</v>
      </c>
      <c r="H834" t="s">
        <v>197</v>
      </c>
      <c r="I834" t="s">
        <v>197</v>
      </c>
      <c r="J834" t="s">
        <v>197</v>
      </c>
      <c r="K834" t="s">
        <v>623</v>
      </c>
    </row>
    <row r="835" spans="1:24">
      <c r="B835" t="s">
        <v>197</v>
      </c>
      <c r="C835" t="s">
        <v>197</v>
      </c>
      <c r="D835" t="s">
        <v>197</v>
      </c>
      <c r="E835" t="s">
        <v>197</v>
      </c>
      <c r="F835" t="s">
        <v>197</v>
      </c>
      <c r="G835" t="s">
        <v>197</v>
      </c>
      <c r="H835" t="s">
        <v>197</v>
      </c>
      <c r="I835" t="s">
        <v>197</v>
      </c>
      <c r="J835" t="s">
        <v>197</v>
      </c>
      <c r="K835" t="s">
        <v>832</v>
      </c>
    </row>
    <row r="836" spans="1:24">
      <c r="A836" t="s">
        <v>938</v>
      </c>
      <c r="K836" t="s">
        <v>939</v>
      </c>
      <c r="W836" t="s">
        <v>171</v>
      </c>
      <c r="X836" t="str">
        <f>A836</f>
        <v>info_varcharmax_dml_batch1_pk_drp1</v>
      </c>
    </row>
    <row r="837" spans="1:24">
      <c r="B837" t="s">
        <v>196</v>
      </c>
      <c r="C837" t="s">
        <v>197</v>
      </c>
      <c r="D837" t="s">
        <v>197</v>
      </c>
      <c r="E837" t="s">
        <v>197</v>
      </c>
      <c r="F837" t="s">
        <v>197</v>
      </c>
      <c r="G837" t="s">
        <v>197</v>
      </c>
      <c r="H837" t="s">
        <v>197</v>
      </c>
      <c r="I837" t="s">
        <v>940</v>
      </c>
      <c r="J837" t="s">
        <v>199</v>
      </c>
      <c r="K837" t="s">
        <v>200</v>
      </c>
    </row>
    <row r="838" spans="1:24">
      <c r="B838" t="s">
        <v>197</v>
      </c>
      <c r="C838" t="s">
        <v>197</v>
      </c>
      <c r="D838" t="s">
        <v>197</v>
      </c>
      <c r="E838" t="s">
        <v>197</v>
      </c>
      <c r="F838" t="s">
        <v>197</v>
      </c>
      <c r="G838" t="s">
        <v>197</v>
      </c>
      <c r="H838" t="s">
        <v>197</v>
      </c>
      <c r="I838" t="s">
        <v>197</v>
      </c>
      <c r="J838" t="s">
        <v>197</v>
      </c>
      <c r="K838" t="s">
        <v>725</v>
      </c>
    </row>
    <row r="839" spans="1:24">
      <c r="B839" t="s">
        <v>197</v>
      </c>
      <c r="C839" t="s">
        <v>197</v>
      </c>
      <c r="D839" t="s">
        <v>197</v>
      </c>
      <c r="E839" t="s">
        <v>197</v>
      </c>
      <c r="F839" t="s">
        <v>197</v>
      </c>
      <c r="G839" t="s">
        <v>197</v>
      </c>
      <c r="H839" t="s">
        <v>197</v>
      </c>
      <c r="I839" t="s">
        <v>197</v>
      </c>
      <c r="J839" t="s">
        <v>197</v>
      </c>
      <c r="K839" t="s">
        <v>726</v>
      </c>
    </row>
    <row r="840" spans="1:24">
      <c r="K840" t="s">
        <v>443</v>
      </c>
    </row>
    <row r="841" spans="1:24">
      <c r="A841" t="s">
        <v>929</v>
      </c>
      <c r="K841" t="s">
        <v>930</v>
      </c>
      <c r="W841" t="s">
        <v>171</v>
      </c>
      <c r="X841" t="str">
        <f>A841</f>
        <v>info_varcharmax_dml_single_pk_drp</v>
      </c>
    </row>
    <row r="842" spans="1:24">
      <c r="B842" t="s">
        <v>196</v>
      </c>
      <c r="C842" t="s">
        <v>197</v>
      </c>
      <c r="D842" t="s">
        <v>197</v>
      </c>
      <c r="E842" t="s">
        <v>197</v>
      </c>
      <c r="F842" t="s">
        <v>197</v>
      </c>
      <c r="G842" t="s">
        <v>197</v>
      </c>
      <c r="H842" t="s">
        <v>197</v>
      </c>
      <c r="I842" t="s">
        <v>931</v>
      </c>
      <c r="J842" t="s">
        <v>199</v>
      </c>
      <c r="K842" t="s">
        <v>200</v>
      </c>
    </row>
    <row r="843" spans="1:24">
      <c r="B843" t="s">
        <v>197</v>
      </c>
      <c r="C843" t="s">
        <v>197</v>
      </c>
      <c r="D843" t="s">
        <v>197</v>
      </c>
      <c r="E843" t="s">
        <v>197</v>
      </c>
      <c r="F843" t="s">
        <v>197</v>
      </c>
      <c r="G843" t="s">
        <v>197</v>
      </c>
      <c r="H843" t="s">
        <v>197</v>
      </c>
      <c r="I843" t="s">
        <v>197</v>
      </c>
      <c r="J843" t="s">
        <v>197</v>
      </c>
      <c r="K843" t="s">
        <v>725</v>
      </c>
    </row>
    <row r="844" spans="1:24">
      <c r="B844" t="s">
        <v>197</v>
      </c>
      <c r="C844" t="s">
        <v>197</v>
      </c>
      <c r="D844" t="s">
        <v>197</v>
      </c>
      <c r="E844" t="s">
        <v>197</v>
      </c>
      <c r="F844" t="s">
        <v>197</v>
      </c>
      <c r="G844" t="s">
        <v>197</v>
      </c>
      <c r="H844" t="s">
        <v>197</v>
      </c>
      <c r="I844" t="s">
        <v>197</v>
      </c>
      <c r="J844" t="s">
        <v>197</v>
      </c>
      <c r="K844" t="s">
        <v>726</v>
      </c>
    </row>
    <row r="845" spans="1:24">
      <c r="A845" t="s">
        <v>945</v>
      </c>
      <c r="K845" t="s">
        <v>946</v>
      </c>
      <c r="W845" t="s">
        <v>171</v>
      </c>
      <c r="X845" t="str">
        <f>A845</f>
        <v>info_char_dml_batch1_pk_urp2</v>
      </c>
    </row>
    <row r="846" spans="1:24">
      <c r="B846" t="s">
        <v>196</v>
      </c>
      <c r="C846" t="s">
        <v>197</v>
      </c>
      <c r="D846" t="s">
        <v>197</v>
      </c>
      <c r="E846" t="s">
        <v>197</v>
      </c>
      <c r="F846" t="s">
        <v>197</v>
      </c>
      <c r="G846" t="s">
        <v>197</v>
      </c>
      <c r="H846" t="s">
        <v>197</v>
      </c>
      <c r="I846" t="s">
        <v>947</v>
      </c>
      <c r="J846" t="s">
        <v>199</v>
      </c>
      <c r="K846" t="s">
        <v>200</v>
      </c>
    </row>
    <row r="847" spans="1:24">
      <c r="B847" t="s">
        <v>197</v>
      </c>
      <c r="C847" t="s">
        <v>197</v>
      </c>
      <c r="D847" t="s">
        <v>197</v>
      </c>
      <c r="E847" t="s">
        <v>197</v>
      </c>
      <c r="F847" t="s">
        <v>197</v>
      </c>
      <c r="G847" t="s">
        <v>197</v>
      </c>
      <c r="H847" t="s">
        <v>197</v>
      </c>
      <c r="I847" t="s">
        <v>197</v>
      </c>
      <c r="J847" t="s">
        <v>197</v>
      </c>
      <c r="K847" t="s">
        <v>622</v>
      </c>
    </row>
    <row r="848" spans="1:24">
      <c r="B848" t="s">
        <v>197</v>
      </c>
      <c r="C848" t="s">
        <v>197</v>
      </c>
      <c r="D848" t="s">
        <v>197</v>
      </c>
      <c r="E848" t="s">
        <v>197</v>
      </c>
      <c r="F848" t="s">
        <v>197</v>
      </c>
      <c r="G848" t="s">
        <v>197</v>
      </c>
      <c r="H848" t="s">
        <v>197</v>
      </c>
      <c r="I848" t="s">
        <v>197</v>
      </c>
      <c r="J848" t="s">
        <v>197</v>
      </c>
      <c r="K848" t="s">
        <v>623</v>
      </c>
    </row>
    <row r="849" spans="1:24">
      <c r="B849" t="s">
        <v>197</v>
      </c>
      <c r="C849" t="s">
        <v>197</v>
      </c>
      <c r="D849" t="s">
        <v>197</v>
      </c>
      <c r="E849" t="s">
        <v>197</v>
      </c>
      <c r="F849" t="s">
        <v>197</v>
      </c>
      <c r="G849" t="s">
        <v>197</v>
      </c>
      <c r="H849" t="s">
        <v>197</v>
      </c>
      <c r="I849" t="s">
        <v>197</v>
      </c>
      <c r="J849" t="s">
        <v>197</v>
      </c>
      <c r="K849" t="s">
        <v>832</v>
      </c>
    </row>
    <row r="850" spans="1:24">
      <c r="A850" t="s">
        <v>951</v>
      </c>
      <c r="K850" t="s">
        <v>952</v>
      </c>
      <c r="W850" t="s">
        <v>171</v>
      </c>
      <c r="X850" t="str">
        <f>A850</f>
        <v>info_varcharmax_dml_batch1_pk_drp2</v>
      </c>
    </row>
    <row r="851" spans="1:24">
      <c r="B851" t="s">
        <v>196</v>
      </c>
      <c r="C851" t="s">
        <v>197</v>
      </c>
      <c r="D851" t="s">
        <v>197</v>
      </c>
      <c r="E851" t="s">
        <v>197</v>
      </c>
      <c r="F851" t="s">
        <v>197</v>
      </c>
      <c r="G851" t="s">
        <v>197</v>
      </c>
      <c r="H851" t="s">
        <v>197</v>
      </c>
      <c r="I851" t="s">
        <v>953</v>
      </c>
      <c r="J851" t="s">
        <v>199</v>
      </c>
      <c r="K851" t="s">
        <v>200</v>
      </c>
    </row>
    <row r="852" spans="1:24">
      <c r="B852" t="s">
        <v>197</v>
      </c>
      <c r="C852" t="s">
        <v>197</v>
      </c>
      <c r="D852" t="s">
        <v>197</v>
      </c>
      <c r="E852" t="s">
        <v>197</v>
      </c>
      <c r="F852" t="s">
        <v>197</v>
      </c>
      <c r="G852" t="s">
        <v>197</v>
      </c>
      <c r="H852" t="s">
        <v>197</v>
      </c>
      <c r="I852" t="s">
        <v>197</v>
      </c>
      <c r="J852" t="s">
        <v>197</v>
      </c>
      <c r="K852" t="s">
        <v>725</v>
      </c>
    </row>
    <row r="853" spans="1:24">
      <c r="B853" t="s">
        <v>197</v>
      </c>
      <c r="C853" t="s">
        <v>197</v>
      </c>
      <c r="D853" t="s">
        <v>197</v>
      </c>
      <c r="E853" t="s">
        <v>197</v>
      </c>
      <c r="F853" t="s">
        <v>197</v>
      </c>
      <c r="G853" t="s">
        <v>197</v>
      </c>
      <c r="H853" t="s">
        <v>197</v>
      </c>
      <c r="I853" t="s">
        <v>197</v>
      </c>
      <c r="J853" t="s">
        <v>197</v>
      </c>
      <c r="K853" t="s">
        <v>726</v>
      </c>
    </row>
    <row r="854" spans="1:24">
      <c r="K854" t="s">
        <v>443</v>
      </c>
    </row>
    <row r="855" spans="1:24">
      <c r="A855" t="s">
        <v>948</v>
      </c>
      <c r="K855" t="s">
        <v>949</v>
      </c>
      <c r="W855" t="s">
        <v>171</v>
      </c>
      <c r="X855" t="str">
        <f>A855</f>
        <v>info_char_dml_single_pk_urp</v>
      </c>
    </row>
    <row r="856" spans="1:24">
      <c r="B856" t="s">
        <v>196</v>
      </c>
      <c r="C856" t="s">
        <v>197</v>
      </c>
      <c r="D856" t="s">
        <v>197</v>
      </c>
      <c r="E856" t="s">
        <v>197</v>
      </c>
      <c r="F856" t="s">
        <v>197</v>
      </c>
      <c r="G856" t="s">
        <v>197</v>
      </c>
      <c r="H856" t="s">
        <v>197</v>
      </c>
      <c r="I856" t="s">
        <v>950</v>
      </c>
      <c r="J856" t="s">
        <v>199</v>
      </c>
      <c r="K856" t="s">
        <v>200</v>
      </c>
    </row>
    <row r="857" spans="1:24">
      <c r="B857" t="s">
        <v>197</v>
      </c>
      <c r="C857" t="s">
        <v>197</v>
      </c>
      <c r="D857" t="s">
        <v>197</v>
      </c>
      <c r="E857" t="s">
        <v>197</v>
      </c>
      <c r="F857" t="s">
        <v>197</v>
      </c>
      <c r="G857" t="s">
        <v>197</v>
      </c>
      <c r="H857" t="s">
        <v>197</v>
      </c>
      <c r="I857" t="s">
        <v>197</v>
      </c>
      <c r="J857" t="s">
        <v>197</v>
      </c>
      <c r="K857" t="s">
        <v>622</v>
      </c>
    </row>
    <row r="858" spans="1:24">
      <c r="B858" t="s">
        <v>197</v>
      </c>
      <c r="C858" t="s">
        <v>197</v>
      </c>
      <c r="D858" t="s">
        <v>197</v>
      </c>
      <c r="E858" t="s">
        <v>197</v>
      </c>
      <c r="F858" t="s">
        <v>197</v>
      </c>
      <c r="G858" t="s">
        <v>197</v>
      </c>
      <c r="H858" t="s">
        <v>197</v>
      </c>
      <c r="I858" t="s">
        <v>197</v>
      </c>
      <c r="J858" t="s">
        <v>197</v>
      </c>
      <c r="K858" t="s">
        <v>623</v>
      </c>
    </row>
    <row r="859" spans="1:24">
      <c r="B859" t="s">
        <v>197</v>
      </c>
      <c r="C859" t="s">
        <v>197</v>
      </c>
      <c r="D859" t="s">
        <v>197</v>
      </c>
      <c r="E859" t="s">
        <v>197</v>
      </c>
      <c r="F859" t="s">
        <v>197</v>
      </c>
      <c r="G859" t="s">
        <v>197</v>
      </c>
      <c r="H859" t="s">
        <v>197</v>
      </c>
      <c r="I859" t="s">
        <v>197</v>
      </c>
      <c r="J859" t="s">
        <v>197</v>
      </c>
      <c r="K859" t="s">
        <v>832</v>
      </c>
    </row>
    <row r="860" spans="1:24">
      <c r="A860" t="s">
        <v>957</v>
      </c>
      <c r="K860" t="s">
        <v>958</v>
      </c>
      <c r="W860" t="s">
        <v>171</v>
      </c>
      <c r="X860" t="str">
        <f>A860</f>
        <v>info_date_dml_batch1_pk_drp1</v>
      </c>
    </row>
    <row r="861" spans="1:24">
      <c r="B861" t="s">
        <v>196</v>
      </c>
      <c r="C861" t="s">
        <v>197</v>
      </c>
      <c r="D861" t="s">
        <v>197</v>
      </c>
      <c r="E861" t="s">
        <v>197</v>
      </c>
      <c r="F861" t="s">
        <v>197</v>
      </c>
      <c r="G861" t="s">
        <v>197</v>
      </c>
      <c r="H861" t="s">
        <v>197</v>
      </c>
      <c r="I861" t="s">
        <v>959</v>
      </c>
      <c r="J861" t="s">
        <v>199</v>
      </c>
      <c r="K861" t="s">
        <v>200</v>
      </c>
    </row>
    <row r="862" spans="1:24">
      <c r="B862" t="s">
        <v>197</v>
      </c>
      <c r="C862" t="s">
        <v>197</v>
      </c>
      <c r="D862" t="s">
        <v>197</v>
      </c>
      <c r="E862" t="s">
        <v>197</v>
      </c>
      <c r="F862" t="s">
        <v>197</v>
      </c>
      <c r="G862" t="s">
        <v>197</v>
      </c>
      <c r="H862" t="s">
        <v>197</v>
      </c>
      <c r="I862" t="s">
        <v>197</v>
      </c>
      <c r="J862" t="s">
        <v>197</v>
      </c>
      <c r="K862" t="s">
        <v>678</v>
      </c>
    </row>
    <row r="863" spans="1:24">
      <c r="K863" t="s">
        <v>443</v>
      </c>
    </row>
    <row r="864" spans="1:24">
      <c r="A864" t="s">
        <v>960</v>
      </c>
      <c r="K864" t="s">
        <v>961</v>
      </c>
      <c r="W864" t="s">
        <v>171</v>
      </c>
      <c r="X864" t="str">
        <f>A864</f>
        <v>info_varchar_dml_batch1_pk_irp1</v>
      </c>
    </row>
    <row r="865" spans="1:24">
      <c r="B865" t="s">
        <v>196</v>
      </c>
      <c r="C865" t="s">
        <v>197</v>
      </c>
      <c r="D865" t="s">
        <v>197</v>
      </c>
      <c r="E865" t="s">
        <v>197</v>
      </c>
      <c r="F865" t="s">
        <v>197</v>
      </c>
      <c r="G865" t="s">
        <v>197</v>
      </c>
      <c r="H865" t="s">
        <v>197</v>
      </c>
      <c r="I865" t="s">
        <v>962</v>
      </c>
      <c r="J865" t="s">
        <v>199</v>
      </c>
      <c r="K865" t="s">
        <v>200</v>
      </c>
    </row>
    <row r="866" spans="1:24">
      <c r="B866" t="s">
        <v>197</v>
      </c>
      <c r="C866" t="s">
        <v>197</v>
      </c>
      <c r="D866" t="s">
        <v>197</v>
      </c>
      <c r="E866" t="s">
        <v>197</v>
      </c>
      <c r="F866" t="s">
        <v>197</v>
      </c>
      <c r="G866" t="s">
        <v>197</v>
      </c>
      <c r="H866" t="s">
        <v>197</v>
      </c>
      <c r="I866" t="s">
        <v>197</v>
      </c>
      <c r="J866" t="s">
        <v>197</v>
      </c>
      <c r="K866" t="s">
        <v>431</v>
      </c>
    </row>
    <row r="867" spans="1:24">
      <c r="B867" t="s">
        <v>197</v>
      </c>
      <c r="C867" t="s">
        <v>197</v>
      </c>
      <c r="D867" t="s">
        <v>197</v>
      </c>
      <c r="E867" t="s">
        <v>197</v>
      </c>
      <c r="F867" t="s">
        <v>197</v>
      </c>
      <c r="G867" t="s">
        <v>197</v>
      </c>
      <c r="H867" t="s">
        <v>197</v>
      </c>
      <c r="I867" t="s">
        <v>197</v>
      </c>
      <c r="J867" t="s">
        <v>197</v>
      </c>
      <c r="K867" t="s">
        <v>434</v>
      </c>
    </row>
    <row r="868" spans="1:24">
      <c r="B868" t="s">
        <v>197</v>
      </c>
      <c r="C868" t="s">
        <v>197</v>
      </c>
      <c r="D868" t="s">
        <v>197</v>
      </c>
      <c r="E868" t="s">
        <v>197</v>
      </c>
      <c r="F868" t="s">
        <v>197</v>
      </c>
      <c r="G868" t="s">
        <v>197</v>
      </c>
      <c r="H868" t="s">
        <v>197</v>
      </c>
      <c r="I868" t="s">
        <v>197</v>
      </c>
      <c r="J868" t="s">
        <v>197</v>
      </c>
      <c r="K868" t="s">
        <v>963</v>
      </c>
    </row>
    <row r="869" spans="1:24">
      <c r="K869" t="s">
        <v>443</v>
      </c>
    </row>
    <row r="870" spans="1:24">
      <c r="A870" t="s">
        <v>967</v>
      </c>
      <c r="K870" t="s">
        <v>968</v>
      </c>
      <c r="W870" t="s">
        <v>171</v>
      </c>
      <c r="X870" t="str">
        <f>A870</f>
        <v>info_nchar_dml_batch1_pk</v>
      </c>
    </row>
    <row r="871" spans="1:24">
      <c r="B871" t="s">
        <v>196</v>
      </c>
      <c r="C871" t="s">
        <v>197</v>
      </c>
      <c r="D871" t="s">
        <v>197</v>
      </c>
      <c r="E871" t="s">
        <v>197</v>
      </c>
      <c r="F871" t="s">
        <v>197</v>
      </c>
      <c r="G871" t="s">
        <v>197</v>
      </c>
      <c r="H871" t="s">
        <v>197</v>
      </c>
      <c r="I871" t="s">
        <v>969</v>
      </c>
      <c r="J871" t="s">
        <v>199</v>
      </c>
      <c r="K871" t="s">
        <v>200</v>
      </c>
    </row>
    <row r="872" spans="1:24">
      <c r="B872" t="s">
        <v>197</v>
      </c>
      <c r="C872" t="s">
        <v>197</v>
      </c>
      <c r="D872" t="s">
        <v>197</v>
      </c>
      <c r="E872" t="s">
        <v>197</v>
      </c>
      <c r="F872" t="s">
        <v>197</v>
      </c>
      <c r="G872" t="s">
        <v>197</v>
      </c>
      <c r="H872" t="s">
        <v>197</v>
      </c>
      <c r="I872" t="s">
        <v>197</v>
      </c>
      <c r="J872" t="s">
        <v>197</v>
      </c>
      <c r="K872" t="s">
        <v>514</v>
      </c>
    </row>
    <row r="873" spans="1:24">
      <c r="B873" t="s">
        <v>197</v>
      </c>
      <c r="C873" t="s">
        <v>197</v>
      </c>
      <c r="D873" t="s">
        <v>197</v>
      </c>
      <c r="E873" t="s">
        <v>197</v>
      </c>
      <c r="F873" t="s">
        <v>197</v>
      </c>
      <c r="G873" t="s">
        <v>197</v>
      </c>
      <c r="H873" t="s">
        <v>197</v>
      </c>
      <c r="I873" t="s">
        <v>197</v>
      </c>
      <c r="J873" t="s">
        <v>197</v>
      </c>
      <c r="K873" t="s">
        <v>516</v>
      </c>
    </row>
    <row r="874" spans="1:24">
      <c r="B874" t="s">
        <v>197</v>
      </c>
      <c r="C874" t="s">
        <v>197</v>
      </c>
      <c r="D874" t="s">
        <v>197</v>
      </c>
      <c r="E874" t="s">
        <v>197</v>
      </c>
      <c r="F874" t="s">
        <v>197</v>
      </c>
      <c r="G874" t="s">
        <v>197</v>
      </c>
      <c r="H874" t="s">
        <v>197</v>
      </c>
      <c r="I874" t="s">
        <v>197</v>
      </c>
      <c r="J874" t="s">
        <v>197</v>
      </c>
      <c r="K874" t="s">
        <v>612</v>
      </c>
    </row>
    <row r="875" spans="1:24">
      <c r="A875" t="s">
        <v>964</v>
      </c>
      <c r="K875" t="s">
        <v>965</v>
      </c>
      <c r="W875" t="s">
        <v>171</v>
      </c>
      <c r="X875" t="str">
        <f>A875</f>
        <v>info_datetime_dml_single_pk_urp</v>
      </c>
    </row>
    <row r="876" spans="1:24">
      <c r="B876" t="s">
        <v>196</v>
      </c>
      <c r="C876" t="s">
        <v>197</v>
      </c>
      <c r="D876" t="s">
        <v>197</v>
      </c>
      <c r="E876" t="s">
        <v>197</v>
      </c>
      <c r="F876" t="s">
        <v>197</v>
      </c>
      <c r="G876" t="s">
        <v>197</v>
      </c>
      <c r="H876" t="s">
        <v>197</v>
      </c>
      <c r="I876" t="s">
        <v>966</v>
      </c>
      <c r="J876" t="s">
        <v>199</v>
      </c>
      <c r="K876" t="s">
        <v>200</v>
      </c>
    </row>
    <row r="877" spans="1:24">
      <c r="B877" t="s">
        <v>197</v>
      </c>
      <c r="C877" t="s">
        <v>197</v>
      </c>
      <c r="D877" t="s">
        <v>197</v>
      </c>
      <c r="E877" t="s">
        <v>197</v>
      </c>
      <c r="F877" t="s">
        <v>197</v>
      </c>
      <c r="G877" t="s">
        <v>197</v>
      </c>
      <c r="H877" t="s">
        <v>197</v>
      </c>
      <c r="I877" t="s">
        <v>197</v>
      </c>
      <c r="J877" t="s">
        <v>197</v>
      </c>
      <c r="K877" t="s">
        <v>574</v>
      </c>
    </row>
    <row r="878" spans="1:24">
      <c r="A878" t="s">
        <v>973</v>
      </c>
      <c r="K878" t="s">
        <v>974</v>
      </c>
      <c r="W878" t="s">
        <v>171</v>
      </c>
      <c r="X878" t="str">
        <f>A878</f>
        <v>info_date_dml_batch1_pk_drp2</v>
      </c>
    </row>
    <row r="879" spans="1:24">
      <c r="B879" t="s">
        <v>196</v>
      </c>
      <c r="C879" t="s">
        <v>197</v>
      </c>
      <c r="D879" t="s">
        <v>197</v>
      </c>
      <c r="E879" t="s">
        <v>197</v>
      </c>
      <c r="F879" t="s">
        <v>197</v>
      </c>
      <c r="G879" t="s">
        <v>197</v>
      </c>
      <c r="H879" t="s">
        <v>197</v>
      </c>
      <c r="I879" t="s">
        <v>975</v>
      </c>
      <c r="J879" t="s">
        <v>199</v>
      </c>
      <c r="K879" t="s">
        <v>200</v>
      </c>
    </row>
    <row r="880" spans="1:24">
      <c r="B880" t="s">
        <v>197</v>
      </c>
      <c r="C880" t="s">
        <v>197</v>
      </c>
      <c r="D880" t="s">
        <v>197</v>
      </c>
      <c r="E880" t="s">
        <v>197</v>
      </c>
      <c r="F880" t="s">
        <v>197</v>
      </c>
      <c r="G880" t="s">
        <v>197</v>
      </c>
      <c r="H880" t="s">
        <v>197</v>
      </c>
      <c r="I880" t="s">
        <v>197</v>
      </c>
      <c r="J880" t="s">
        <v>197</v>
      </c>
      <c r="K880" t="s">
        <v>678</v>
      </c>
    </row>
    <row r="881" spans="1:24">
      <c r="A881" t="s">
        <v>970</v>
      </c>
      <c r="K881" t="s">
        <v>971</v>
      </c>
      <c r="W881" t="s">
        <v>171</v>
      </c>
      <c r="X881" t="str">
        <f>A881</f>
        <v>info_varcharmax_dml_single_pk</v>
      </c>
    </row>
    <row r="882" spans="1:24">
      <c r="B882" t="s">
        <v>196</v>
      </c>
      <c r="C882" t="s">
        <v>197</v>
      </c>
      <c r="D882" t="s">
        <v>197</v>
      </c>
      <c r="E882" t="s">
        <v>197</v>
      </c>
      <c r="F882" t="s">
        <v>197</v>
      </c>
      <c r="G882" t="s">
        <v>197</v>
      </c>
      <c r="H882" t="s">
        <v>197</v>
      </c>
      <c r="I882" t="s">
        <v>972</v>
      </c>
      <c r="J882" t="s">
        <v>199</v>
      </c>
      <c r="K882" t="s">
        <v>200</v>
      </c>
    </row>
    <row r="883" spans="1:24">
      <c r="B883" t="s">
        <v>197</v>
      </c>
      <c r="C883" t="s">
        <v>197</v>
      </c>
      <c r="D883" t="s">
        <v>197</v>
      </c>
      <c r="E883" t="s">
        <v>197</v>
      </c>
      <c r="F883" t="s">
        <v>197</v>
      </c>
      <c r="G883" t="s">
        <v>197</v>
      </c>
      <c r="H883" t="s">
        <v>197</v>
      </c>
      <c r="I883" t="s">
        <v>197</v>
      </c>
      <c r="J883" t="s">
        <v>197</v>
      </c>
      <c r="K883" t="s">
        <v>725</v>
      </c>
    </row>
    <row r="884" spans="1:24">
      <c r="B884" t="s">
        <v>197</v>
      </c>
      <c r="C884" t="s">
        <v>197</v>
      </c>
      <c r="D884" t="s">
        <v>197</v>
      </c>
      <c r="E884" t="s">
        <v>197</v>
      </c>
      <c r="F884" t="s">
        <v>197</v>
      </c>
      <c r="G884" t="s">
        <v>197</v>
      </c>
      <c r="H884" t="s">
        <v>197</v>
      </c>
      <c r="I884" t="s">
        <v>197</v>
      </c>
      <c r="J884" t="s">
        <v>197</v>
      </c>
      <c r="K884" t="s">
        <v>726</v>
      </c>
    </row>
    <row r="885" spans="1:24">
      <c r="A885" t="s">
        <v>976</v>
      </c>
      <c r="K885" t="s">
        <v>977</v>
      </c>
      <c r="W885" t="s">
        <v>171</v>
      </c>
      <c r="X885" t="str">
        <f>A885</f>
        <v>info_datetime_dml_single_pk_drp</v>
      </c>
    </row>
    <row r="886" spans="1:24">
      <c r="B886" t="s">
        <v>196</v>
      </c>
      <c r="C886" t="s">
        <v>197</v>
      </c>
      <c r="D886" t="s">
        <v>197</v>
      </c>
      <c r="E886" t="s">
        <v>197</v>
      </c>
      <c r="F886" t="s">
        <v>197</v>
      </c>
      <c r="G886" t="s">
        <v>197</v>
      </c>
      <c r="H886" t="s">
        <v>197</v>
      </c>
      <c r="I886" t="s">
        <v>978</v>
      </c>
      <c r="J886" t="s">
        <v>199</v>
      </c>
      <c r="K886" t="s">
        <v>200</v>
      </c>
    </row>
    <row r="887" spans="1:24">
      <c r="B887" t="s">
        <v>197</v>
      </c>
      <c r="C887" t="s">
        <v>197</v>
      </c>
      <c r="D887" t="s">
        <v>197</v>
      </c>
      <c r="E887" t="s">
        <v>197</v>
      </c>
      <c r="F887" t="s">
        <v>197</v>
      </c>
      <c r="G887" t="s">
        <v>197</v>
      </c>
      <c r="H887" t="s">
        <v>197</v>
      </c>
      <c r="I887" t="s">
        <v>197</v>
      </c>
      <c r="J887" t="s">
        <v>197</v>
      </c>
      <c r="K887" t="s">
        <v>574</v>
      </c>
    </row>
    <row r="888" spans="1:24">
      <c r="A888" t="s">
        <v>954</v>
      </c>
      <c r="K888" t="s">
        <v>955</v>
      </c>
      <c r="W888" t="s">
        <v>171</v>
      </c>
      <c r="X888" t="str">
        <f>A888</f>
        <v>info_char_dml_single_pk_drp</v>
      </c>
    </row>
    <row r="889" spans="1:24">
      <c r="B889" t="s">
        <v>196</v>
      </c>
      <c r="C889" t="s">
        <v>197</v>
      </c>
      <c r="D889" t="s">
        <v>197</v>
      </c>
      <c r="E889" t="s">
        <v>197</v>
      </c>
      <c r="F889" t="s">
        <v>197</v>
      </c>
      <c r="G889" t="s">
        <v>197</v>
      </c>
      <c r="H889" t="s">
        <v>197</v>
      </c>
      <c r="I889" t="s">
        <v>956</v>
      </c>
      <c r="J889" t="s">
        <v>199</v>
      </c>
      <c r="K889" t="s">
        <v>200</v>
      </c>
    </row>
    <row r="890" spans="1:24">
      <c r="B890" t="s">
        <v>197</v>
      </c>
      <c r="C890" t="s">
        <v>197</v>
      </c>
      <c r="D890" t="s">
        <v>197</v>
      </c>
      <c r="E890" t="s">
        <v>197</v>
      </c>
      <c r="F890" t="s">
        <v>197</v>
      </c>
      <c r="G890" t="s">
        <v>197</v>
      </c>
      <c r="H890" t="s">
        <v>197</v>
      </c>
      <c r="I890" t="s">
        <v>197</v>
      </c>
      <c r="J890" t="s">
        <v>197</v>
      </c>
      <c r="K890" t="s">
        <v>622</v>
      </c>
    </row>
    <row r="891" spans="1:24">
      <c r="B891" t="s">
        <v>197</v>
      </c>
      <c r="C891" t="s">
        <v>197</v>
      </c>
      <c r="D891" t="s">
        <v>197</v>
      </c>
      <c r="E891" t="s">
        <v>197</v>
      </c>
      <c r="F891" t="s">
        <v>197</v>
      </c>
      <c r="G891" t="s">
        <v>197</v>
      </c>
      <c r="H891" t="s">
        <v>197</v>
      </c>
      <c r="I891" t="s">
        <v>197</v>
      </c>
      <c r="J891" t="s">
        <v>197</v>
      </c>
      <c r="K891" t="s">
        <v>623</v>
      </c>
    </row>
    <row r="892" spans="1:24">
      <c r="B892" t="s">
        <v>197</v>
      </c>
      <c r="C892" t="s">
        <v>197</v>
      </c>
      <c r="D892" t="s">
        <v>197</v>
      </c>
      <c r="E892" t="s">
        <v>197</v>
      </c>
      <c r="F892" t="s">
        <v>197</v>
      </c>
      <c r="G892" t="s">
        <v>197</v>
      </c>
      <c r="H892" t="s">
        <v>197</v>
      </c>
      <c r="I892" t="s">
        <v>197</v>
      </c>
      <c r="J892" t="s">
        <v>197</v>
      </c>
      <c r="K892" t="s">
        <v>832</v>
      </c>
    </row>
    <row r="893" spans="1:24">
      <c r="A893" t="s">
        <v>979</v>
      </c>
      <c r="K893" t="s">
        <v>980</v>
      </c>
      <c r="W893" t="s">
        <v>171</v>
      </c>
      <c r="X893" t="str">
        <f>A893</f>
        <v>info_date_dml_batch1_pk</v>
      </c>
    </row>
    <row r="894" spans="1:24">
      <c r="B894" t="s">
        <v>196</v>
      </c>
      <c r="C894" t="s">
        <v>197</v>
      </c>
      <c r="D894" t="s">
        <v>197</v>
      </c>
      <c r="E894" t="s">
        <v>197</v>
      </c>
      <c r="F894" t="s">
        <v>197</v>
      </c>
      <c r="G894" t="s">
        <v>197</v>
      </c>
      <c r="H894" t="s">
        <v>197</v>
      </c>
      <c r="I894" t="s">
        <v>981</v>
      </c>
      <c r="J894" t="s">
        <v>199</v>
      </c>
      <c r="K894" t="s">
        <v>200</v>
      </c>
    </row>
    <row r="895" spans="1:24">
      <c r="B895" t="s">
        <v>197</v>
      </c>
      <c r="C895" t="s">
        <v>197</v>
      </c>
      <c r="D895" t="s">
        <v>197</v>
      </c>
      <c r="E895" t="s">
        <v>197</v>
      </c>
      <c r="F895" t="s">
        <v>197</v>
      </c>
      <c r="G895" t="s">
        <v>197</v>
      </c>
      <c r="H895" t="s">
        <v>197</v>
      </c>
      <c r="I895" t="s">
        <v>197</v>
      </c>
      <c r="J895" t="s">
        <v>197</v>
      </c>
      <c r="K895" t="s">
        <v>678</v>
      </c>
    </row>
    <row r="896" spans="1:24">
      <c r="A896" t="s">
        <v>985</v>
      </c>
      <c r="K896" t="s">
        <v>986</v>
      </c>
      <c r="W896" t="s">
        <v>171</v>
      </c>
      <c r="X896" t="str">
        <f>A896</f>
        <v>info_timestamp_dml_single_pk_drp</v>
      </c>
    </row>
    <row r="897" spans="1:24">
      <c r="B897" t="s">
        <v>196</v>
      </c>
      <c r="C897" t="s">
        <v>197</v>
      </c>
      <c r="D897" t="s">
        <v>197</v>
      </c>
      <c r="E897" t="s">
        <v>197</v>
      </c>
      <c r="F897" t="s">
        <v>197</v>
      </c>
      <c r="G897" t="s">
        <v>197</v>
      </c>
      <c r="H897" t="s">
        <v>197</v>
      </c>
      <c r="I897" t="s">
        <v>987</v>
      </c>
      <c r="J897" t="s">
        <v>199</v>
      </c>
      <c r="K897" t="s">
        <v>200</v>
      </c>
    </row>
    <row r="898" spans="1:24">
      <c r="B898" t="s">
        <v>197</v>
      </c>
      <c r="C898" t="s">
        <v>197</v>
      </c>
      <c r="D898" t="s">
        <v>197</v>
      </c>
      <c r="E898" t="s">
        <v>197</v>
      </c>
      <c r="F898" t="s">
        <v>197</v>
      </c>
      <c r="G898" t="s">
        <v>197</v>
      </c>
      <c r="H898" t="s">
        <v>197</v>
      </c>
      <c r="I898" t="s">
        <v>197</v>
      </c>
      <c r="J898" t="s">
        <v>197</v>
      </c>
      <c r="K898" t="s">
        <v>944</v>
      </c>
    </row>
    <row r="899" spans="1:24">
      <c r="A899" t="s">
        <v>988</v>
      </c>
      <c r="K899" t="s">
        <v>989</v>
      </c>
      <c r="W899" t="s">
        <v>171</v>
      </c>
      <c r="X899" t="str">
        <f>A899</f>
        <v>info_time_dml_batch1_pk_irp1</v>
      </c>
    </row>
    <row r="900" spans="1:24">
      <c r="B900" t="s">
        <v>196</v>
      </c>
      <c r="C900" t="s">
        <v>197</v>
      </c>
      <c r="D900" t="s">
        <v>197</v>
      </c>
      <c r="E900" t="s">
        <v>197</v>
      </c>
      <c r="F900" t="s">
        <v>197</v>
      </c>
      <c r="G900" t="s">
        <v>197</v>
      </c>
      <c r="H900" t="s">
        <v>197</v>
      </c>
      <c r="I900" t="s">
        <v>990</v>
      </c>
      <c r="J900" t="s">
        <v>199</v>
      </c>
      <c r="K900" t="s">
        <v>200</v>
      </c>
    </row>
    <row r="901" spans="1:24">
      <c r="B901" t="s">
        <v>197</v>
      </c>
      <c r="C901" t="s">
        <v>197</v>
      </c>
      <c r="D901" t="s">
        <v>197</v>
      </c>
      <c r="E901" t="s">
        <v>197</v>
      </c>
      <c r="F901" t="s">
        <v>197</v>
      </c>
      <c r="G901" t="s">
        <v>197</v>
      </c>
      <c r="H901" t="s">
        <v>197</v>
      </c>
      <c r="I901" t="s">
        <v>197</v>
      </c>
      <c r="J901" t="s">
        <v>197</v>
      </c>
      <c r="K901" t="s">
        <v>800</v>
      </c>
    </row>
    <row r="902" spans="1:24">
      <c r="B902" t="s">
        <v>197</v>
      </c>
      <c r="C902" t="s">
        <v>197</v>
      </c>
      <c r="D902" t="s">
        <v>197</v>
      </c>
      <c r="E902" t="s">
        <v>197</v>
      </c>
      <c r="F902" t="s">
        <v>197</v>
      </c>
      <c r="G902" t="s">
        <v>197</v>
      </c>
      <c r="H902" t="s">
        <v>197</v>
      </c>
      <c r="I902" t="s">
        <v>197</v>
      </c>
      <c r="J902" t="s">
        <v>197</v>
      </c>
      <c r="K902" t="s">
        <v>801</v>
      </c>
    </row>
    <row r="903" spans="1:24">
      <c r="B903" t="s">
        <v>197</v>
      </c>
      <c r="C903" t="s">
        <v>197</v>
      </c>
      <c r="D903" t="s">
        <v>197</v>
      </c>
      <c r="E903" t="s">
        <v>197</v>
      </c>
      <c r="F903" t="s">
        <v>197</v>
      </c>
      <c r="G903" t="s">
        <v>197</v>
      </c>
      <c r="H903" t="s">
        <v>197</v>
      </c>
      <c r="I903" t="s">
        <v>197</v>
      </c>
      <c r="J903" t="s">
        <v>197</v>
      </c>
      <c r="K903" t="s">
        <v>802</v>
      </c>
    </row>
    <row r="904" spans="1:24">
      <c r="B904" t="s">
        <v>197</v>
      </c>
      <c r="C904" t="s">
        <v>197</v>
      </c>
      <c r="D904" t="s">
        <v>197</v>
      </c>
      <c r="E904" t="s">
        <v>197</v>
      </c>
      <c r="F904" t="s">
        <v>197</v>
      </c>
      <c r="G904" t="s">
        <v>197</v>
      </c>
      <c r="H904" t="s">
        <v>197</v>
      </c>
      <c r="I904" t="s">
        <v>197</v>
      </c>
      <c r="J904" t="s">
        <v>197</v>
      </c>
      <c r="K904" t="s">
        <v>803</v>
      </c>
    </row>
    <row r="905" spans="1:24">
      <c r="B905" t="s">
        <v>197</v>
      </c>
      <c r="C905" t="s">
        <v>197</v>
      </c>
      <c r="D905" t="s">
        <v>197</v>
      </c>
      <c r="E905" t="s">
        <v>197</v>
      </c>
      <c r="F905" t="s">
        <v>197</v>
      </c>
      <c r="G905" t="s">
        <v>197</v>
      </c>
      <c r="H905" t="s">
        <v>197</v>
      </c>
      <c r="I905" t="s">
        <v>197</v>
      </c>
      <c r="J905" t="s">
        <v>197</v>
      </c>
      <c r="K905" t="s">
        <v>804</v>
      </c>
    </row>
    <row r="906" spans="1:24">
      <c r="B906" t="s">
        <v>197</v>
      </c>
      <c r="C906" t="s">
        <v>197</v>
      </c>
      <c r="D906" t="s">
        <v>197</v>
      </c>
      <c r="E906" t="s">
        <v>197</v>
      </c>
      <c r="F906" t="s">
        <v>197</v>
      </c>
      <c r="G906" t="s">
        <v>197</v>
      </c>
      <c r="H906" t="s">
        <v>197</v>
      </c>
      <c r="I906" t="s">
        <v>197</v>
      </c>
      <c r="J906" t="s">
        <v>197</v>
      </c>
      <c r="K906" t="s">
        <v>805</v>
      </c>
    </row>
    <row r="907" spans="1:24">
      <c r="B907" t="s">
        <v>197</v>
      </c>
      <c r="C907" t="s">
        <v>197</v>
      </c>
      <c r="D907" t="s">
        <v>197</v>
      </c>
      <c r="E907" t="s">
        <v>197</v>
      </c>
      <c r="F907" t="s">
        <v>197</v>
      </c>
      <c r="G907" t="s">
        <v>197</v>
      </c>
      <c r="H907" t="s">
        <v>197</v>
      </c>
      <c r="I907" t="s">
        <v>197</v>
      </c>
      <c r="J907" t="s">
        <v>197</v>
      </c>
      <c r="K907" t="s">
        <v>806</v>
      </c>
    </row>
    <row r="908" spans="1:24">
      <c r="B908" t="s">
        <v>197</v>
      </c>
      <c r="C908" t="s">
        <v>197</v>
      </c>
      <c r="D908" t="s">
        <v>197</v>
      </c>
      <c r="E908" t="s">
        <v>197</v>
      </c>
      <c r="F908" t="s">
        <v>197</v>
      </c>
      <c r="G908" t="s">
        <v>197</v>
      </c>
      <c r="H908" t="s">
        <v>197</v>
      </c>
      <c r="I908" t="s">
        <v>197</v>
      </c>
      <c r="J908" t="s">
        <v>197</v>
      </c>
      <c r="K908" t="s">
        <v>807</v>
      </c>
    </row>
    <row r="909" spans="1:24">
      <c r="A909" t="s">
        <v>991</v>
      </c>
      <c r="K909" t="s">
        <v>992</v>
      </c>
      <c r="W909" t="s">
        <v>171</v>
      </c>
      <c r="X909" t="str">
        <f>A909</f>
        <v>info_binary_dml_batch1_pk</v>
      </c>
    </row>
    <row r="910" spans="1:24">
      <c r="B910" t="s">
        <v>196</v>
      </c>
      <c r="C910" t="s">
        <v>197</v>
      </c>
      <c r="D910" t="s">
        <v>197</v>
      </c>
      <c r="E910" t="s">
        <v>197</v>
      </c>
      <c r="F910" t="s">
        <v>197</v>
      </c>
      <c r="G910" t="s">
        <v>197</v>
      </c>
      <c r="H910" t="s">
        <v>197</v>
      </c>
      <c r="I910" t="s">
        <v>993</v>
      </c>
      <c r="J910" t="s">
        <v>199</v>
      </c>
      <c r="K910" t="s">
        <v>200</v>
      </c>
    </row>
    <row r="911" spans="1:24">
      <c r="B911" t="s">
        <v>197</v>
      </c>
      <c r="C911" t="s">
        <v>197</v>
      </c>
      <c r="D911" t="s">
        <v>197</v>
      </c>
      <c r="E911" t="s">
        <v>197</v>
      </c>
      <c r="F911" t="s">
        <v>197</v>
      </c>
      <c r="G911" t="s">
        <v>197</v>
      </c>
      <c r="H911" t="s">
        <v>197</v>
      </c>
      <c r="I911" t="s">
        <v>197</v>
      </c>
      <c r="J911" t="s">
        <v>197</v>
      </c>
      <c r="K911" t="s">
        <v>691</v>
      </c>
    </row>
    <row r="912" spans="1:24">
      <c r="B912" t="s">
        <v>197</v>
      </c>
      <c r="C912" t="s">
        <v>197</v>
      </c>
      <c r="D912" t="s">
        <v>197</v>
      </c>
      <c r="E912" t="s">
        <v>197</v>
      </c>
      <c r="F912" t="s">
        <v>197</v>
      </c>
      <c r="G912" t="s">
        <v>197</v>
      </c>
      <c r="H912" t="s">
        <v>197</v>
      </c>
      <c r="I912" t="s">
        <v>197</v>
      </c>
      <c r="J912" t="s">
        <v>197</v>
      </c>
      <c r="K912" t="s">
        <v>692</v>
      </c>
    </row>
    <row r="913" spans="1:24">
      <c r="B913" t="s">
        <v>197</v>
      </c>
      <c r="C913" t="s">
        <v>197</v>
      </c>
      <c r="D913" t="s">
        <v>197</v>
      </c>
      <c r="E913" t="s">
        <v>197</v>
      </c>
      <c r="F913" t="s">
        <v>197</v>
      </c>
      <c r="G913" t="s">
        <v>197</v>
      </c>
      <c r="H913" t="s">
        <v>197</v>
      </c>
      <c r="I913" t="s">
        <v>197</v>
      </c>
      <c r="J913" t="s">
        <v>197</v>
      </c>
      <c r="K913" t="s">
        <v>693</v>
      </c>
    </row>
    <row r="914" spans="1:24">
      <c r="A914" t="s">
        <v>994</v>
      </c>
      <c r="K914" t="s">
        <v>995</v>
      </c>
      <c r="W914" t="s">
        <v>171</v>
      </c>
      <c r="X914" t="str">
        <f>A914</f>
        <v>info_varchar_dml_batch1_pk_irp2</v>
      </c>
    </row>
    <row r="915" spans="1:24">
      <c r="B915" t="s">
        <v>196</v>
      </c>
      <c r="C915" t="s">
        <v>197</v>
      </c>
      <c r="D915" t="s">
        <v>197</v>
      </c>
      <c r="E915" t="s">
        <v>197</v>
      </c>
      <c r="F915" t="s">
        <v>197</v>
      </c>
      <c r="G915" t="s">
        <v>197</v>
      </c>
      <c r="H915" t="s">
        <v>197</v>
      </c>
      <c r="I915" t="s">
        <v>996</v>
      </c>
      <c r="J915" t="s">
        <v>199</v>
      </c>
      <c r="K915" t="s">
        <v>200</v>
      </c>
    </row>
    <row r="916" spans="1:24">
      <c r="B916" t="s">
        <v>197</v>
      </c>
      <c r="C916" t="s">
        <v>197</v>
      </c>
      <c r="D916" t="s">
        <v>197</v>
      </c>
      <c r="E916" t="s">
        <v>197</v>
      </c>
      <c r="F916" t="s">
        <v>197</v>
      </c>
      <c r="G916" t="s">
        <v>197</v>
      </c>
      <c r="H916" t="s">
        <v>197</v>
      </c>
      <c r="I916" t="s">
        <v>197</v>
      </c>
      <c r="J916" t="s">
        <v>197</v>
      </c>
      <c r="K916" t="s">
        <v>431</v>
      </c>
    </row>
    <row r="917" spans="1:24">
      <c r="B917" t="s">
        <v>197</v>
      </c>
      <c r="C917" t="s">
        <v>197</v>
      </c>
      <c r="D917" t="s">
        <v>197</v>
      </c>
      <c r="E917" t="s">
        <v>197</v>
      </c>
      <c r="F917" t="s">
        <v>197</v>
      </c>
      <c r="G917" t="s">
        <v>197</v>
      </c>
      <c r="H917" t="s">
        <v>197</v>
      </c>
      <c r="I917" t="s">
        <v>197</v>
      </c>
      <c r="J917" t="s">
        <v>197</v>
      </c>
      <c r="K917" t="s">
        <v>434</v>
      </c>
    </row>
    <row r="918" spans="1:24">
      <c r="B918" t="s">
        <v>197</v>
      </c>
      <c r="C918" t="s">
        <v>197</v>
      </c>
      <c r="D918" t="s">
        <v>197</v>
      </c>
      <c r="E918" t="s">
        <v>197</v>
      </c>
      <c r="F918" t="s">
        <v>197</v>
      </c>
      <c r="G918" t="s">
        <v>197</v>
      </c>
      <c r="H918" t="s">
        <v>197</v>
      </c>
      <c r="I918" t="s">
        <v>197</v>
      </c>
      <c r="J918" t="s">
        <v>197</v>
      </c>
      <c r="K918" t="s">
        <v>963</v>
      </c>
    </row>
    <row r="919" spans="1:24">
      <c r="K919" t="s">
        <v>443</v>
      </c>
    </row>
    <row r="920" spans="1:24">
      <c r="A920" t="s">
        <v>997</v>
      </c>
      <c r="K920" t="s">
        <v>998</v>
      </c>
      <c r="W920" t="s">
        <v>171</v>
      </c>
      <c r="X920" t="str">
        <f>A920</f>
        <v>info_time_dml_batch1_pk_irp2</v>
      </c>
    </row>
    <row r="921" spans="1:24">
      <c r="B921" t="s">
        <v>196</v>
      </c>
      <c r="C921" t="s">
        <v>197</v>
      </c>
      <c r="D921" t="s">
        <v>197</v>
      </c>
      <c r="E921" t="s">
        <v>197</v>
      </c>
      <c r="F921" t="s">
        <v>197</v>
      </c>
      <c r="G921" t="s">
        <v>197</v>
      </c>
      <c r="H921" t="s">
        <v>197</v>
      </c>
      <c r="I921" t="s">
        <v>999</v>
      </c>
      <c r="J921" t="s">
        <v>199</v>
      </c>
      <c r="K921" t="s">
        <v>200</v>
      </c>
    </row>
    <row r="922" spans="1:24">
      <c r="B922" t="s">
        <v>197</v>
      </c>
      <c r="C922" t="s">
        <v>197</v>
      </c>
      <c r="D922" t="s">
        <v>197</v>
      </c>
      <c r="E922" t="s">
        <v>197</v>
      </c>
      <c r="F922" t="s">
        <v>197</v>
      </c>
      <c r="G922" t="s">
        <v>197</v>
      </c>
      <c r="H922" t="s">
        <v>197</v>
      </c>
      <c r="I922" t="s">
        <v>197</v>
      </c>
      <c r="J922" t="s">
        <v>197</v>
      </c>
      <c r="K922" t="s">
        <v>800</v>
      </c>
    </row>
    <row r="923" spans="1:24">
      <c r="B923" t="s">
        <v>197</v>
      </c>
      <c r="C923" t="s">
        <v>197</v>
      </c>
      <c r="D923" t="s">
        <v>197</v>
      </c>
      <c r="E923" t="s">
        <v>197</v>
      </c>
      <c r="F923" t="s">
        <v>197</v>
      </c>
      <c r="G923" t="s">
        <v>197</v>
      </c>
      <c r="H923" t="s">
        <v>197</v>
      </c>
      <c r="I923" t="s">
        <v>197</v>
      </c>
      <c r="J923" t="s">
        <v>197</v>
      </c>
      <c r="K923" t="s">
        <v>801</v>
      </c>
    </row>
    <row r="924" spans="1:24">
      <c r="B924" t="s">
        <v>197</v>
      </c>
      <c r="C924" t="s">
        <v>197</v>
      </c>
      <c r="D924" t="s">
        <v>197</v>
      </c>
      <c r="E924" t="s">
        <v>197</v>
      </c>
      <c r="F924" t="s">
        <v>197</v>
      </c>
      <c r="G924" t="s">
        <v>197</v>
      </c>
      <c r="H924" t="s">
        <v>197</v>
      </c>
      <c r="I924" t="s">
        <v>197</v>
      </c>
      <c r="J924" t="s">
        <v>197</v>
      </c>
      <c r="K924" t="s">
        <v>802</v>
      </c>
    </row>
    <row r="925" spans="1:24">
      <c r="B925" t="s">
        <v>197</v>
      </c>
      <c r="C925" t="s">
        <v>197</v>
      </c>
      <c r="D925" t="s">
        <v>197</v>
      </c>
      <c r="E925" t="s">
        <v>197</v>
      </c>
      <c r="F925" t="s">
        <v>197</v>
      </c>
      <c r="G925" t="s">
        <v>197</v>
      </c>
      <c r="H925" t="s">
        <v>197</v>
      </c>
      <c r="I925" t="s">
        <v>197</v>
      </c>
      <c r="J925" t="s">
        <v>197</v>
      </c>
      <c r="K925" t="s">
        <v>803</v>
      </c>
    </row>
    <row r="926" spans="1:24">
      <c r="B926" t="s">
        <v>197</v>
      </c>
      <c r="C926" t="s">
        <v>197</v>
      </c>
      <c r="D926" t="s">
        <v>197</v>
      </c>
      <c r="E926" t="s">
        <v>197</v>
      </c>
      <c r="F926" t="s">
        <v>197</v>
      </c>
      <c r="G926" t="s">
        <v>197</v>
      </c>
      <c r="H926" t="s">
        <v>197</v>
      </c>
      <c r="I926" t="s">
        <v>197</v>
      </c>
      <c r="J926" t="s">
        <v>197</v>
      </c>
      <c r="K926" t="s">
        <v>804</v>
      </c>
    </row>
    <row r="927" spans="1:24">
      <c r="B927" t="s">
        <v>197</v>
      </c>
      <c r="C927" t="s">
        <v>197</v>
      </c>
      <c r="D927" t="s">
        <v>197</v>
      </c>
      <c r="E927" t="s">
        <v>197</v>
      </c>
      <c r="F927" t="s">
        <v>197</v>
      </c>
      <c r="G927" t="s">
        <v>197</v>
      </c>
      <c r="H927" t="s">
        <v>197</v>
      </c>
      <c r="I927" t="s">
        <v>197</v>
      </c>
      <c r="J927" t="s">
        <v>197</v>
      </c>
      <c r="K927" t="s">
        <v>805</v>
      </c>
    </row>
    <row r="928" spans="1:24">
      <c r="B928" t="s">
        <v>197</v>
      </c>
      <c r="C928" t="s">
        <v>197</v>
      </c>
      <c r="D928" t="s">
        <v>197</v>
      </c>
      <c r="E928" t="s">
        <v>197</v>
      </c>
      <c r="F928" t="s">
        <v>197</v>
      </c>
      <c r="G928" t="s">
        <v>197</v>
      </c>
      <c r="H928" t="s">
        <v>197</v>
      </c>
      <c r="I928" t="s">
        <v>197</v>
      </c>
      <c r="J928" t="s">
        <v>197</v>
      </c>
      <c r="K928" t="s">
        <v>806</v>
      </c>
    </row>
    <row r="929" spans="1:24">
      <c r="B929" t="s">
        <v>197</v>
      </c>
      <c r="C929" t="s">
        <v>197</v>
      </c>
      <c r="D929" t="s">
        <v>197</v>
      </c>
      <c r="E929" t="s">
        <v>197</v>
      </c>
      <c r="F929" t="s">
        <v>197</v>
      </c>
      <c r="G929" t="s">
        <v>197</v>
      </c>
      <c r="H929" t="s">
        <v>197</v>
      </c>
      <c r="I929" t="s">
        <v>197</v>
      </c>
      <c r="J929" t="s">
        <v>197</v>
      </c>
      <c r="K929" t="s">
        <v>807</v>
      </c>
    </row>
    <row r="930" spans="1:24">
      <c r="A930" t="s">
        <v>1000</v>
      </c>
      <c r="K930" t="s">
        <v>1001</v>
      </c>
      <c r="W930" t="s">
        <v>171</v>
      </c>
      <c r="X930" t="str">
        <f>A930</f>
        <v>info_datetime_dml_single_pk</v>
      </c>
    </row>
    <row r="931" spans="1:24">
      <c r="B931" t="s">
        <v>196</v>
      </c>
      <c r="C931" t="s">
        <v>197</v>
      </c>
      <c r="D931" t="s">
        <v>197</v>
      </c>
      <c r="E931" t="s">
        <v>197</v>
      </c>
      <c r="F931" t="s">
        <v>197</v>
      </c>
      <c r="G931" t="s">
        <v>197</v>
      </c>
      <c r="H931" t="s">
        <v>197</v>
      </c>
      <c r="I931" t="s">
        <v>1002</v>
      </c>
      <c r="J931" t="s">
        <v>199</v>
      </c>
      <c r="K931" t="s">
        <v>200</v>
      </c>
    </row>
    <row r="932" spans="1:24">
      <c r="B932" t="s">
        <v>197</v>
      </c>
      <c r="C932" t="s">
        <v>197</v>
      </c>
      <c r="D932" t="s">
        <v>197</v>
      </c>
      <c r="E932" t="s">
        <v>197</v>
      </c>
      <c r="F932" t="s">
        <v>197</v>
      </c>
      <c r="G932" t="s">
        <v>197</v>
      </c>
      <c r="H932" t="s">
        <v>197</v>
      </c>
      <c r="I932" t="s">
        <v>197</v>
      </c>
      <c r="J932" t="s">
        <v>197</v>
      </c>
      <c r="K932" t="s">
        <v>574</v>
      </c>
    </row>
    <row r="933" spans="1:24">
      <c r="A933" t="s">
        <v>1003</v>
      </c>
      <c r="K933" t="s">
        <v>1004</v>
      </c>
      <c r="W933" s="1" t="str">
        <f>HYPERLINK("#2026042017hbase0!AC2","NO 源备存在差异，共2个")</f>
        <v>NO 源备存在差异，共2个</v>
      </c>
      <c r="X933" t="str">
        <f>A933</f>
        <v>info_sql_variant_dml_single_pk_irp</v>
      </c>
    </row>
    <row r="934" spans="1:24">
      <c r="B934" t="s">
        <v>196</v>
      </c>
      <c r="C934" t="s">
        <v>197</v>
      </c>
      <c r="D934" t="s">
        <v>197</v>
      </c>
      <c r="E934" t="s">
        <v>197</v>
      </c>
      <c r="F934" t="s">
        <v>197</v>
      </c>
      <c r="G934" t="s">
        <v>197</v>
      </c>
      <c r="H934" t="s">
        <v>197</v>
      </c>
      <c r="I934" t="s">
        <v>1005</v>
      </c>
      <c r="J934" t="s">
        <v>199</v>
      </c>
      <c r="K934" t="s">
        <v>200</v>
      </c>
    </row>
    <row r="935" spans="1:24">
      <c r="B935" t="s">
        <v>197</v>
      </c>
      <c r="C935" t="s">
        <v>197</v>
      </c>
      <c r="D935" t="s">
        <v>197</v>
      </c>
      <c r="E935" t="s">
        <v>197</v>
      </c>
      <c r="F935" t="s">
        <v>197</v>
      </c>
      <c r="G935" t="s">
        <v>197</v>
      </c>
      <c r="H935" t="s">
        <v>197</v>
      </c>
      <c r="I935" t="s">
        <v>197</v>
      </c>
      <c r="J935" t="s">
        <v>197</v>
      </c>
      <c r="K935" t="s">
        <v>1006</v>
      </c>
    </row>
    <row r="936" spans="1:24">
      <c r="B936" t="s">
        <v>197</v>
      </c>
      <c r="C936" t="s">
        <v>197</v>
      </c>
      <c r="D936" t="s">
        <v>197</v>
      </c>
      <c r="E936" t="s">
        <v>197</v>
      </c>
      <c r="F936" t="s">
        <v>197</v>
      </c>
      <c r="G936" t="s">
        <v>197</v>
      </c>
      <c r="H936" t="s">
        <v>197</v>
      </c>
      <c r="I936" t="s">
        <v>197</v>
      </c>
      <c r="J936" t="s">
        <v>197</v>
      </c>
      <c r="K936" t="s">
        <v>1007</v>
      </c>
    </row>
    <row r="937" spans="1:24">
      <c r="B937" t="s">
        <v>197</v>
      </c>
      <c r="C937" t="s">
        <v>197</v>
      </c>
      <c r="D937" t="s">
        <v>197</v>
      </c>
      <c r="E937" t="s">
        <v>197</v>
      </c>
      <c r="F937" t="s">
        <v>197</v>
      </c>
      <c r="G937" t="s">
        <v>197</v>
      </c>
      <c r="H937" t="s">
        <v>197</v>
      </c>
      <c r="I937" t="s">
        <v>197</v>
      </c>
      <c r="J937" t="s">
        <v>197</v>
      </c>
      <c r="K937" t="s">
        <v>1008</v>
      </c>
    </row>
    <row r="938" spans="1:24">
      <c r="B938" t="s">
        <v>197</v>
      </c>
      <c r="C938" t="s">
        <v>197</v>
      </c>
      <c r="D938" t="s">
        <v>197</v>
      </c>
      <c r="E938" t="s">
        <v>197</v>
      </c>
      <c r="F938" t="s">
        <v>197</v>
      </c>
      <c r="G938" t="s">
        <v>197</v>
      </c>
      <c r="H938" t="s">
        <v>197</v>
      </c>
      <c r="I938" t="s">
        <v>197</v>
      </c>
      <c r="J938" t="s">
        <v>197</v>
      </c>
      <c r="K938" t="s">
        <v>1009</v>
      </c>
    </row>
    <row r="939" spans="1:24">
      <c r="B939" t="s">
        <v>197</v>
      </c>
      <c r="C939" t="s">
        <v>197</v>
      </c>
      <c r="D939" t="s">
        <v>197</v>
      </c>
      <c r="E939" t="s">
        <v>197</v>
      </c>
      <c r="F939" t="s">
        <v>197</v>
      </c>
      <c r="G939" t="s">
        <v>197</v>
      </c>
      <c r="H939" t="s">
        <v>197</v>
      </c>
      <c r="I939" t="s">
        <v>197</v>
      </c>
      <c r="J939" t="s">
        <v>197</v>
      </c>
      <c r="K939" t="s">
        <v>1010</v>
      </c>
    </row>
    <row r="940" spans="1:24">
      <c r="B940" t="s">
        <v>197</v>
      </c>
      <c r="C940" t="s">
        <v>197</v>
      </c>
      <c r="D940" t="s">
        <v>197</v>
      </c>
      <c r="E940" t="s">
        <v>197</v>
      </c>
      <c r="F940" t="s">
        <v>197</v>
      </c>
      <c r="G940" t="s">
        <v>197</v>
      </c>
      <c r="H940" t="s">
        <v>197</v>
      </c>
      <c r="I940" t="s">
        <v>197</v>
      </c>
      <c r="J940" t="s">
        <v>197</v>
      </c>
      <c r="K940" t="s">
        <v>1011</v>
      </c>
    </row>
    <row r="941" spans="1:24">
      <c r="B941" t="s">
        <v>197</v>
      </c>
      <c r="C941" t="s">
        <v>197</v>
      </c>
      <c r="D941" t="s">
        <v>197</v>
      </c>
      <c r="E941" t="s">
        <v>197</v>
      </c>
      <c r="F941" t="s">
        <v>197</v>
      </c>
      <c r="G941" t="s">
        <v>197</v>
      </c>
      <c r="H941" t="s">
        <v>197</v>
      </c>
      <c r="I941" t="s">
        <v>197</v>
      </c>
      <c r="J941" t="s">
        <v>197</v>
      </c>
      <c r="K941" t="s">
        <v>1012</v>
      </c>
    </row>
    <row r="942" spans="1:24">
      <c r="B942" t="s">
        <v>197</v>
      </c>
      <c r="C942" t="s">
        <v>197</v>
      </c>
      <c r="D942" t="s">
        <v>197</v>
      </c>
      <c r="E942" t="s">
        <v>197</v>
      </c>
      <c r="F942" t="s">
        <v>197</v>
      </c>
      <c r="G942" t="s">
        <v>197</v>
      </c>
      <c r="H942" t="s">
        <v>197</v>
      </c>
      <c r="I942" t="s">
        <v>197</v>
      </c>
      <c r="J942" t="s">
        <v>197</v>
      </c>
      <c r="K942" t="s">
        <v>1013</v>
      </c>
    </row>
    <row r="943" spans="1:24">
      <c r="B943" t="s">
        <v>197</v>
      </c>
      <c r="C943" t="s">
        <v>197</v>
      </c>
      <c r="D943" t="s">
        <v>197</v>
      </c>
      <c r="E943" t="s">
        <v>197</v>
      </c>
      <c r="F943" t="s">
        <v>197</v>
      </c>
      <c r="G943" t="s">
        <v>197</v>
      </c>
      <c r="H943" t="s">
        <v>197</v>
      </c>
      <c r="I943" t="s">
        <v>197</v>
      </c>
      <c r="J943" t="s">
        <v>197</v>
      </c>
      <c r="K943" t="s">
        <v>1014</v>
      </c>
    </row>
    <row r="944" spans="1:24">
      <c r="B944" t="s">
        <v>197</v>
      </c>
      <c r="C944" t="s">
        <v>197</v>
      </c>
      <c r="D944" t="s">
        <v>197</v>
      </c>
      <c r="E944" t="s">
        <v>197</v>
      </c>
      <c r="F944" t="s">
        <v>197</v>
      </c>
      <c r="G944" t="s">
        <v>197</v>
      </c>
      <c r="H944" t="s">
        <v>197</v>
      </c>
      <c r="I944" t="s">
        <v>197</v>
      </c>
      <c r="J944" t="s">
        <v>197</v>
      </c>
      <c r="K944" t="s">
        <v>1015</v>
      </c>
    </row>
    <row r="945" spans="1:24">
      <c r="B945" t="s">
        <v>197</v>
      </c>
      <c r="C945" t="s">
        <v>197</v>
      </c>
      <c r="D945" t="s">
        <v>197</v>
      </c>
      <c r="E945" t="s">
        <v>197</v>
      </c>
      <c r="F945" t="s">
        <v>197</v>
      </c>
      <c r="G945" t="s">
        <v>197</v>
      </c>
      <c r="H945" t="s">
        <v>197</v>
      </c>
      <c r="I945" t="s">
        <v>197</v>
      </c>
      <c r="J945" t="s">
        <v>197</v>
      </c>
      <c r="K945" t="s">
        <v>1016</v>
      </c>
    </row>
    <row r="946" spans="1:24">
      <c r="B946" t="s">
        <v>197</v>
      </c>
      <c r="C946" t="s">
        <v>197</v>
      </c>
      <c r="D946" t="s">
        <v>197</v>
      </c>
      <c r="E946" t="s">
        <v>197</v>
      </c>
      <c r="F946" t="s">
        <v>197</v>
      </c>
      <c r="G946" t="s">
        <v>197</v>
      </c>
      <c r="H946" t="s">
        <v>197</v>
      </c>
      <c r="I946" t="s">
        <v>197</v>
      </c>
      <c r="J946" t="s">
        <v>197</v>
      </c>
      <c r="K946" t="s">
        <v>1017</v>
      </c>
    </row>
    <row r="947" spans="1:24">
      <c r="B947" t="s">
        <v>197</v>
      </c>
      <c r="C947" t="s">
        <v>197</v>
      </c>
      <c r="D947" t="s">
        <v>197</v>
      </c>
      <c r="E947" t="s">
        <v>197</v>
      </c>
      <c r="F947" t="s">
        <v>197</v>
      </c>
      <c r="G947" t="s">
        <v>197</v>
      </c>
      <c r="H947" t="s">
        <v>197</v>
      </c>
      <c r="I947" t="s">
        <v>197</v>
      </c>
      <c r="J947" t="s">
        <v>197</v>
      </c>
      <c r="K947" t="s">
        <v>1018</v>
      </c>
    </row>
    <row r="948" spans="1:24">
      <c r="B948" t="s">
        <v>197</v>
      </c>
      <c r="C948" t="s">
        <v>197</v>
      </c>
      <c r="D948" t="s">
        <v>197</v>
      </c>
      <c r="E948" t="s">
        <v>197</v>
      </c>
      <c r="F948" t="s">
        <v>197</v>
      </c>
      <c r="G948" t="s">
        <v>197</v>
      </c>
      <c r="H948" t="s">
        <v>197</v>
      </c>
      <c r="I948" t="s">
        <v>197</v>
      </c>
      <c r="J948" t="s">
        <v>197</v>
      </c>
      <c r="K948" t="s">
        <v>1019</v>
      </c>
    </row>
    <row r="949" spans="1:24">
      <c r="B949" t="s">
        <v>197</v>
      </c>
      <c r="C949" t="s">
        <v>197</v>
      </c>
      <c r="D949" t="s">
        <v>197</v>
      </c>
      <c r="E949" t="s">
        <v>197</v>
      </c>
      <c r="F949" t="s">
        <v>197</v>
      </c>
      <c r="G949" t="s">
        <v>197</v>
      </c>
      <c r="H949" t="s">
        <v>197</v>
      </c>
      <c r="I949" t="s">
        <v>197</v>
      </c>
      <c r="J949" t="s">
        <v>197</v>
      </c>
      <c r="K949" t="s">
        <v>1020</v>
      </c>
    </row>
    <row r="950" spans="1:24">
      <c r="B950" t="s">
        <v>197</v>
      </c>
      <c r="C950" t="s">
        <v>197</v>
      </c>
      <c r="D950" t="s">
        <v>197</v>
      </c>
      <c r="E950" t="s">
        <v>197</v>
      </c>
      <c r="F950" t="s">
        <v>197</v>
      </c>
      <c r="G950" t="s">
        <v>197</v>
      </c>
      <c r="H950" t="s">
        <v>197</v>
      </c>
      <c r="I950" t="s">
        <v>197</v>
      </c>
      <c r="J950" t="s">
        <v>197</v>
      </c>
      <c r="K950" t="s">
        <v>1021</v>
      </c>
    </row>
    <row r="951" spans="1:24">
      <c r="B951" t="s">
        <v>197</v>
      </c>
      <c r="C951" t="s">
        <v>197</v>
      </c>
      <c r="D951" t="s">
        <v>197</v>
      </c>
      <c r="E951" t="s">
        <v>197</v>
      </c>
      <c r="F951" t="s">
        <v>197</v>
      </c>
      <c r="G951" t="s">
        <v>197</v>
      </c>
      <c r="H951" t="s">
        <v>197</v>
      </c>
      <c r="I951" t="s">
        <v>197</v>
      </c>
      <c r="J951" t="s">
        <v>197</v>
      </c>
      <c r="K951" t="s">
        <v>1022</v>
      </c>
    </row>
    <row r="952" spans="1:24">
      <c r="B952" t="s">
        <v>197</v>
      </c>
      <c r="C952" t="s">
        <v>197</v>
      </c>
      <c r="D952" t="s">
        <v>197</v>
      </c>
      <c r="E952" t="s">
        <v>197</v>
      </c>
      <c r="F952" t="s">
        <v>197</v>
      </c>
      <c r="G952" t="s">
        <v>197</v>
      </c>
      <c r="H952" t="s">
        <v>197</v>
      </c>
      <c r="I952" t="s">
        <v>197</v>
      </c>
      <c r="J952" t="s">
        <v>197</v>
      </c>
      <c r="K952" t="s">
        <v>1023</v>
      </c>
    </row>
    <row r="953" spans="1:24">
      <c r="B953" t="s">
        <v>197</v>
      </c>
      <c r="C953" t="s">
        <v>197</v>
      </c>
      <c r="D953" t="s">
        <v>197</v>
      </c>
      <c r="E953" t="s">
        <v>197</v>
      </c>
      <c r="F953" t="s">
        <v>197</v>
      </c>
      <c r="G953" t="s">
        <v>197</v>
      </c>
      <c r="H953" t="s">
        <v>197</v>
      </c>
      <c r="I953" t="s">
        <v>197</v>
      </c>
      <c r="J953" t="s">
        <v>197</v>
      </c>
      <c r="K953" t="s">
        <v>1024</v>
      </c>
    </row>
    <row r="954" spans="1:24">
      <c r="B954" t="s">
        <v>197</v>
      </c>
      <c r="C954" t="s">
        <v>197</v>
      </c>
      <c r="D954" t="s">
        <v>197</v>
      </c>
      <c r="E954" t="s">
        <v>197</v>
      </c>
      <c r="F954" t="s">
        <v>197</v>
      </c>
      <c r="G954" t="s">
        <v>197</v>
      </c>
      <c r="H954" t="s">
        <v>197</v>
      </c>
      <c r="I954" t="s">
        <v>197</v>
      </c>
      <c r="J954" t="s">
        <v>197</v>
      </c>
      <c r="K954" t="s">
        <v>1025</v>
      </c>
    </row>
    <row r="955" spans="1:24">
      <c r="B955" t="s">
        <v>197</v>
      </c>
      <c r="C955" t="s">
        <v>197</v>
      </c>
      <c r="D955" t="s">
        <v>197</v>
      </c>
      <c r="E955" t="s">
        <v>197</v>
      </c>
      <c r="F955" t="s">
        <v>197</v>
      </c>
      <c r="G955" t="s">
        <v>197</v>
      </c>
      <c r="H955" t="s">
        <v>197</v>
      </c>
      <c r="I955" t="s">
        <v>197</v>
      </c>
      <c r="J955" t="s">
        <v>197</v>
      </c>
      <c r="K955" t="s">
        <v>1026</v>
      </c>
    </row>
    <row r="956" spans="1:24">
      <c r="B956" t="s">
        <v>197</v>
      </c>
      <c r="C956" t="s">
        <v>197</v>
      </c>
      <c r="D956" t="s">
        <v>197</v>
      </c>
      <c r="E956" t="s">
        <v>197</v>
      </c>
      <c r="F956" t="s">
        <v>197</v>
      </c>
      <c r="G956" t="s">
        <v>197</v>
      </c>
      <c r="H956" t="s">
        <v>197</v>
      </c>
      <c r="I956" t="s">
        <v>197</v>
      </c>
      <c r="J956" t="s">
        <v>197</v>
      </c>
      <c r="K956" t="s">
        <v>1027</v>
      </c>
    </row>
    <row r="957" spans="1:24">
      <c r="B957" t="s">
        <v>197</v>
      </c>
      <c r="C957" t="s">
        <v>197</v>
      </c>
      <c r="D957" t="s">
        <v>197</v>
      </c>
      <c r="E957" t="s">
        <v>197</v>
      </c>
      <c r="F957" t="s">
        <v>197</v>
      </c>
      <c r="G957" t="s">
        <v>197</v>
      </c>
      <c r="H957" t="s">
        <v>197</v>
      </c>
      <c r="I957" t="s">
        <v>197</v>
      </c>
      <c r="J957" t="s">
        <v>197</v>
      </c>
      <c r="K957" t="s">
        <v>1028</v>
      </c>
    </row>
    <row r="958" spans="1:24">
      <c r="B958" t="s">
        <v>197</v>
      </c>
      <c r="C958" t="s">
        <v>197</v>
      </c>
      <c r="D958" t="s">
        <v>197</v>
      </c>
      <c r="E958" t="s">
        <v>197</v>
      </c>
      <c r="F958" t="s">
        <v>197</v>
      </c>
      <c r="G958" t="s">
        <v>197</v>
      </c>
      <c r="H958" t="s">
        <v>197</v>
      </c>
      <c r="I958" t="s">
        <v>197</v>
      </c>
      <c r="J958" t="s">
        <v>197</v>
      </c>
      <c r="K958" t="s">
        <v>1029</v>
      </c>
    </row>
    <row r="959" spans="1:24">
      <c r="A959" t="s">
        <v>1036</v>
      </c>
      <c r="K959" t="s">
        <v>1037</v>
      </c>
      <c r="W959" t="s">
        <v>171</v>
      </c>
      <c r="X959" t="str">
        <f>A959</f>
        <v>info_uniqueidentifier_dml_single_pk_irp</v>
      </c>
    </row>
    <row r="960" spans="1:24">
      <c r="B960" t="s">
        <v>196</v>
      </c>
      <c r="C960" t="s">
        <v>197</v>
      </c>
      <c r="D960" t="s">
        <v>197</v>
      </c>
      <c r="E960" t="s">
        <v>197</v>
      </c>
      <c r="F960" t="s">
        <v>197</v>
      </c>
      <c r="G960" t="s">
        <v>197</v>
      </c>
      <c r="H960" t="s">
        <v>197</v>
      </c>
      <c r="I960" t="s">
        <v>1038</v>
      </c>
      <c r="J960" t="s">
        <v>199</v>
      </c>
      <c r="K960" t="s">
        <v>200</v>
      </c>
    </row>
    <row r="961" spans="1:24">
      <c r="B961" t="s">
        <v>197</v>
      </c>
      <c r="C961" t="s">
        <v>197</v>
      </c>
      <c r="D961" t="s">
        <v>197</v>
      </c>
      <c r="E961" t="s">
        <v>197</v>
      </c>
      <c r="F961" t="s">
        <v>197</v>
      </c>
      <c r="G961" t="s">
        <v>197</v>
      </c>
      <c r="H961" t="s">
        <v>197</v>
      </c>
      <c r="I961" t="s">
        <v>197</v>
      </c>
      <c r="J961" t="s">
        <v>197</v>
      </c>
      <c r="K961" t="s">
        <v>1039</v>
      </c>
    </row>
    <row r="962" spans="1:24">
      <c r="A962" t="s">
        <v>1040</v>
      </c>
      <c r="K962" t="s">
        <v>1041</v>
      </c>
      <c r="W962" t="s">
        <v>171</v>
      </c>
      <c r="X962" t="str">
        <f>A962</f>
        <v>info_datetime2_dml_single_pk_irp</v>
      </c>
    </row>
    <row r="963" spans="1:24">
      <c r="B963" t="s">
        <v>196</v>
      </c>
      <c r="C963" t="s">
        <v>197</v>
      </c>
      <c r="D963" t="s">
        <v>197</v>
      </c>
      <c r="E963" t="s">
        <v>197</v>
      </c>
      <c r="F963" t="s">
        <v>197</v>
      </c>
      <c r="G963" t="s">
        <v>197</v>
      </c>
      <c r="H963" t="s">
        <v>197</v>
      </c>
      <c r="I963" t="s">
        <v>1042</v>
      </c>
      <c r="J963" t="s">
        <v>199</v>
      </c>
      <c r="K963" t="s">
        <v>200</v>
      </c>
    </row>
    <row r="964" spans="1:24">
      <c r="B964" t="s">
        <v>197</v>
      </c>
      <c r="C964" t="s">
        <v>197</v>
      </c>
      <c r="D964" t="s">
        <v>197</v>
      </c>
      <c r="E964" t="s">
        <v>197</v>
      </c>
      <c r="F964" t="s">
        <v>197</v>
      </c>
      <c r="G964" t="s">
        <v>197</v>
      </c>
      <c r="H964" t="s">
        <v>197</v>
      </c>
      <c r="I964" t="s">
        <v>197</v>
      </c>
      <c r="J964" t="s">
        <v>197</v>
      </c>
      <c r="K964" t="s">
        <v>667</v>
      </c>
    </row>
    <row r="965" spans="1:24">
      <c r="B965" t="s">
        <v>197</v>
      </c>
      <c r="C965" t="s">
        <v>197</v>
      </c>
      <c r="D965" t="s">
        <v>197</v>
      </c>
      <c r="E965" t="s">
        <v>197</v>
      </c>
      <c r="F965" t="s">
        <v>197</v>
      </c>
      <c r="G965" t="s">
        <v>197</v>
      </c>
      <c r="H965" t="s">
        <v>197</v>
      </c>
      <c r="I965" t="s">
        <v>197</v>
      </c>
      <c r="J965" t="s">
        <v>197</v>
      </c>
      <c r="K965" t="s">
        <v>668</v>
      </c>
    </row>
    <row r="966" spans="1:24">
      <c r="B966" t="s">
        <v>197</v>
      </c>
      <c r="C966" t="s">
        <v>197</v>
      </c>
      <c r="D966" t="s">
        <v>197</v>
      </c>
      <c r="E966" t="s">
        <v>197</v>
      </c>
      <c r="F966" t="s">
        <v>197</v>
      </c>
      <c r="G966" t="s">
        <v>197</v>
      </c>
      <c r="H966" t="s">
        <v>197</v>
      </c>
      <c r="I966" t="s">
        <v>197</v>
      </c>
      <c r="J966" t="s">
        <v>197</v>
      </c>
      <c r="K966" t="s">
        <v>669</v>
      </c>
    </row>
    <row r="967" spans="1:24">
      <c r="B967" t="s">
        <v>197</v>
      </c>
      <c r="C967" t="s">
        <v>197</v>
      </c>
      <c r="D967" t="s">
        <v>197</v>
      </c>
      <c r="E967" t="s">
        <v>197</v>
      </c>
      <c r="F967" t="s">
        <v>197</v>
      </c>
      <c r="G967" t="s">
        <v>197</v>
      </c>
      <c r="H967" t="s">
        <v>197</v>
      </c>
      <c r="I967" t="s">
        <v>197</v>
      </c>
      <c r="J967" t="s">
        <v>197</v>
      </c>
      <c r="K967" t="s">
        <v>670</v>
      </c>
    </row>
    <row r="968" spans="1:24">
      <c r="B968" t="s">
        <v>197</v>
      </c>
      <c r="C968" t="s">
        <v>197</v>
      </c>
      <c r="D968" t="s">
        <v>197</v>
      </c>
      <c r="E968" t="s">
        <v>197</v>
      </c>
      <c r="F968" t="s">
        <v>197</v>
      </c>
      <c r="G968" t="s">
        <v>197</v>
      </c>
      <c r="H968" t="s">
        <v>197</v>
      </c>
      <c r="I968" t="s">
        <v>197</v>
      </c>
      <c r="J968" t="s">
        <v>197</v>
      </c>
      <c r="K968" t="s">
        <v>671</v>
      </c>
    </row>
    <row r="969" spans="1:24">
      <c r="B969" t="s">
        <v>197</v>
      </c>
      <c r="C969" t="s">
        <v>197</v>
      </c>
      <c r="D969" t="s">
        <v>197</v>
      </c>
      <c r="E969" t="s">
        <v>197</v>
      </c>
      <c r="F969" t="s">
        <v>197</v>
      </c>
      <c r="G969" t="s">
        <v>197</v>
      </c>
      <c r="H969" t="s">
        <v>197</v>
      </c>
      <c r="I969" t="s">
        <v>197</v>
      </c>
      <c r="J969" t="s">
        <v>197</v>
      </c>
      <c r="K969" t="s">
        <v>672</v>
      </c>
    </row>
    <row r="970" spans="1:24">
      <c r="B970" t="s">
        <v>197</v>
      </c>
      <c r="C970" t="s">
        <v>197</v>
      </c>
      <c r="D970" t="s">
        <v>197</v>
      </c>
      <c r="E970" t="s">
        <v>197</v>
      </c>
      <c r="F970" t="s">
        <v>197</v>
      </c>
      <c r="G970" t="s">
        <v>197</v>
      </c>
      <c r="H970" t="s">
        <v>197</v>
      </c>
      <c r="I970" t="s">
        <v>197</v>
      </c>
      <c r="J970" t="s">
        <v>197</v>
      </c>
      <c r="K970" t="s">
        <v>673</v>
      </c>
    </row>
    <row r="971" spans="1:24">
      <c r="B971" t="s">
        <v>197</v>
      </c>
      <c r="C971" t="s">
        <v>197</v>
      </c>
      <c r="D971" t="s">
        <v>197</v>
      </c>
      <c r="E971" t="s">
        <v>197</v>
      </c>
      <c r="F971" t="s">
        <v>197</v>
      </c>
      <c r="G971" t="s">
        <v>197</v>
      </c>
      <c r="H971" t="s">
        <v>197</v>
      </c>
      <c r="I971" t="s">
        <v>197</v>
      </c>
      <c r="J971" t="s">
        <v>197</v>
      </c>
      <c r="K971" t="s">
        <v>674</v>
      </c>
    </row>
    <row r="972" spans="1:24">
      <c r="A972" t="s">
        <v>1030</v>
      </c>
      <c r="K972" t="s">
        <v>1031</v>
      </c>
      <c r="W972" t="s">
        <v>171</v>
      </c>
      <c r="X972" t="str">
        <f>A972</f>
        <v>info_varcharmax_dml_batch1_pk</v>
      </c>
    </row>
    <row r="973" spans="1:24">
      <c r="B973" t="s">
        <v>196</v>
      </c>
      <c r="C973" t="s">
        <v>197</v>
      </c>
      <c r="D973" t="s">
        <v>197</v>
      </c>
      <c r="E973" t="s">
        <v>197</v>
      </c>
      <c r="F973" t="s">
        <v>197</v>
      </c>
      <c r="G973" t="s">
        <v>197</v>
      </c>
      <c r="H973" t="s">
        <v>197</v>
      </c>
      <c r="I973" t="s">
        <v>1032</v>
      </c>
      <c r="J973" t="s">
        <v>199</v>
      </c>
      <c r="K973" t="s">
        <v>200</v>
      </c>
    </row>
    <row r="974" spans="1:24">
      <c r="B974" t="s">
        <v>197</v>
      </c>
      <c r="C974" t="s">
        <v>197</v>
      </c>
      <c r="D974" t="s">
        <v>197</v>
      </c>
      <c r="E974" t="s">
        <v>197</v>
      </c>
      <c r="F974" t="s">
        <v>197</v>
      </c>
      <c r="G974" t="s">
        <v>197</v>
      </c>
      <c r="H974" t="s">
        <v>197</v>
      </c>
      <c r="I974" t="s">
        <v>197</v>
      </c>
      <c r="J974" t="s">
        <v>197</v>
      </c>
      <c r="K974" t="s">
        <v>725</v>
      </c>
    </row>
    <row r="975" spans="1:24">
      <c r="B975" t="s">
        <v>197</v>
      </c>
      <c r="C975" t="s">
        <v>197</v>
      </c>
      <c r="D975" t="s">
        <v>197</v>
      </c>
      <c r="E975" t="s">
        <v>197</v>
      </c>
      <c r="F975" t="s">
        <v>197</v>
      </c>
      <c r="G975" t="s">
        <v>197</v>
      </c>
      <c r="H975" t="s">
        <v>197</v>
      </c>
      <c r="I975" t="s">
        <v>197</v>
      </c>
      <c r="J975" t="s">
        <v>197</v>
      </c>
      <c r="K975" t="s">
        <v>726</v>
      </c>
    </row>
    <row r="976" spans="1:24">
      <c r="K976" t="s">
        <v>443</v>
      </c>
    </row>
    <row r="977" spans="1:24">
      <c r="A977" t="s">
        <v>982</v>
      </c>
      <c r="K977" t="s">
        <v>983</v>
      </c>
      <c r="W977" t="s">
        <v>171</v>
      </c>
      <c r="X977" t="str">
        <f>A977</f>
        <v>info_nvarchar_dml_batch1_pk_irp1</v>
      </c>
    </row>
    <row r="978" spans="1:24">
      <c r="B978" t="s">
        <v>196</v>
      </c>
      <c r="C978" t="s">
        <v>197</v>
      </c>
      <c r="D978" t="s">
        <v>197</v>
      </c>
      <c r="E978" t="s">
        <v>197</v>
      </c>
      <c r="F978" t="s">
        <v>197</v>
      </c>
      <c r="G978" t="s">
        <v>197</v>
      </c>
      <c r="H978" t="s">
        <v>197</v>
      </c>
      <c r="I978" t="s">
        <v>984</v>
      </c>
      <c r="J978" t="s">
        <v>199</v>
      </c>
      <c r="K978" t="s">
        <v>200</v>
      </c>
    </row>
    <row r="979" spans="1:24">
      <c r="B979" t="s">
        <v>197</v>
      </c>
      <c r="C979" t="s">
        <v>197</v>
      </c>
      <c r="D979" t="s">
        <v>197</v>
      </c>
      <c r="E979" t="s">
        <v>197</v>
      </c>
      <c r="F979" t="s">
        <v>197</v>
      </c>
      <c r="G979" t="s">
        <v>197</v>
      </c>
      <c r="H979" t="s">
        <v>197</v>
      </c>
      <c r="I979" t="s">
        <v>197</v>
      </c>
      <c r="J979" t="s">
        <v>197</v>
      </c>
      <c r="K979" t="s">
        <v>408</v>
      </c>
    </row>
    <row r="980" spans="1:24">
      <c r="B980" t="s">
        <v>197</v>
      </c>
      <c r="C980" t="s">
        <v>197</v>
      </c>
      <c r="D980" t="s">
        <v>197</v>
      </c>
      <c r="E980" t="s">
        <v>197</v>
      </c>
      <c r="F980" t="s">
        <v>197</v>
      </c>
      <c r="G980" t="s">
        <v>197</v>
      </c>
      <c r="H980" t="s">
        <v>197</v>
      </c>
      <c r="I980" t="s">
        <v>197</v>
      </c>
      <c r="J980" t="s">
        <v>197</v>
      </c>
      <c r="K980" t="s">
        <v>412</v>
      </c>
    </row>
    <row r="981" spans="1:24">
      <c r="B981" t="s">
        <v>197</v>
      </c>
      <c r="C981" t="s">
        <v>197</v>
      </c>
      <c r="D981" t="s">
        <v>197</v>
      </c>
      <c r="E981" t="s">
        <v>197</v>
      </c>
      <c r="F981" t="s">
        <v>197</v>
      </c>
      <c r="G981" t="s">
        <v>197</v>
      </c>
      <c r="H981" t="s">
        <v>197</v>
      </c>
      <c r="I981" t="s">
        <v>197</v>
      </c>
      <c r="J981" t="s">
        <v>197</v>
      </c>
      <c r="K981" t="s">
        <v>730</v>
      </c>
    </row>
    <row r="982" spans="1:24">
      <c r="A982" t="s">
        <v>1046</v>
      </c>
      <c r="K982" t="s">
        <v>1047</v>
      </c>
      <c r="W982" t="s">
        <v>171</v>
      </c>
      <c r="X982" t="str">
        <f>A982</f>
        <v>info_varbinary_dml_batch1_pk_irp1</v>
      </c>
    </row>
    <row r="983" spans="1:24">
      <c r="B983" t="s">
        <v>196</v>
      </c>
      <c r="C983" t="s">
        <v>197</v>
      </c>
      <c r="D983" t="s">
        <v>197</v>
      </c>
      <c r="E983" t="s">
        <v>197</v>
      </c>
      <c r="F983" t="s">
        <v>197</v>
      </c>
      <c r="G983" t="s">
        <v>197</v>
      </c>
      <c r="H983" t="s">
        <v>197</v>
      </c>
      <c r="I983" t="s">
        <v>1048</v>
      </c>
      <c r="J983" t="s">
        <v>199</v>
      </c>
      <c r="K983" t="s">
        <v>200</v>
      </c>
    </row>
    <row r="984" spans="1:24">
      <c r="B984" t="s">
        <v>197</v>
      </c>
      <c r="C984" t="s">
        <v>197</v>
      </c>
      <c r="D984" t="s">
        <v>197</v>
      </c>
      <c r="E984" t="s">
        <v>197</v>
      </c>
      <c r="F984" t="s">
        <v>197</v>
      </c>
      <c r="G984" t="s">
        <v>197</v>
      </c>
      <c r="H984" t="s">
        <v>197</v>
      </c>
      <c r="I984" t="s">
        <v>197</v>
      </c>
      <c r="J984" t="s">
        <v>197</v>
      </c>
      <c r="K984" t="s">
        <v>495</v>
      </c>
    </row>
    <row r="985" spans="1:24">
      <c r="B985" t="s">
        <v>197</v>
      </c>
      <c r="C985" t="s">
        <v>197</v>
      </c>
      <c r="D985" t="s">
        <v>197</v>
      </c>
      <c r="E985" t="s">
        <v>197</v>
      </c>
      <c r="F985" t="s">
        <v>197</v>
      </c>
      <c r="G985" t="s">
        <v>197</v>
      </c>
      <c r="H985" t="s">
        <v>197</v>
      </c>
      <c r="I985" t="s">
        <v>197</v>
      </c>
      <c r="J985" t="s">
        <v>197</v>
      </c>
      <c r="K985" t="s">
        <v>499</v>
      </c>
    </row>
    <row r="986" spans="1:24">
      <c r="B986" t="s">
        <v>197</v>
      </c>
      <c r="C986" t="s">
        <v>197</v>
      </c>
      <c r="D986" t="s">
        <v>197</v>
      </c>
      <c r="E986" t="s">
        <v>197</v>
      </c>
      <c r="F986" t="s">
        <v>197</v>
      </c>
      <c r="G986" t="s">
        <v>197</v>
      </c>
      <c r="H986" t="s">
        <v>197</v>
      </c>
      <c r="I986" t="s">
        <v>197</v>
      </c>
      <c r="J986" t="s">
        <v>197</v>
      </c>
      <c r="K986" t="s">
        <v>503</v>
      </c>
    </row>
    <row r="987" spans="1:24">
      <c r="A987" t="s">
        <v>1049</v>
      </c>
      <c r="K987" t="s">
        <v>1050</v>
      </c>
      <c r="W987" s="1" t="str">
        <f>HYPERLINK("#2026042017hbase0!AD2","NO 源备存在差异，共8个")</f>
        <v>NO 源备存在差异，共8个</v>
      </c>
      <c r="X987" t="str">
        <f>A987</f>
        <v>info_geography_dml_single_pk_irp</v>
      </c>
    </row>
    <row r="988" spans="1:24">
      <c r="B988" t="s">
        <v>196</v>
      </c>
      <c r="C988" t="s">
        <v>197</v>
      </c>
      <c r="D988" t="s">
        <v>197</v>
      </c>
      <c r="E988" t="s">
        <v>197</v>
      </c>
      <c r="F988" t="s">
        <v>197</v>
      </c>
      <c r="G988" t="s">
        <v>197</v>
      </c>
      <c r="H988" t="s">
        <v>197</v>
      </c>
      <c r="I988" t="s">
        <v>1051</v>
      </c>
      <c r="J988" t="s">
        <v>199</v>
      </c>
      <c r="K988" t="s">
        <v>200</v>
      </c>
    </row>
    <row r="989" spans="1:24">
      <c r="B989" t="s">
        <v>197</v>
      </c>
      <c r="C989" t="s">
        <v>197</v>
      </c>
      <c r="D989" t="s">
        <v>197</v>
      </c>
      <c r="E989" t="s">
        <v>197</v>
      </c>
      <c r="F989" t="s">
        <v>197</v>
      </c>
      <c r="G989" t="s">
        <v>197</v>
      </c>
      <c r="H989" t="s">
        <v>197</v>
      </c>
      <c r="I989" t="s">
        <v>197</v>
      </c>
      <c r="J989" t="s">
        <v>197</v>
      </c>
      <c r="K989" t="s">
        <v>1052</v>
      </c>
    </row>
    <row r="990" spans="1:24">
      <c r="A990" t="s">
        <v>1053</v>
      </c>
      <c r="K990" t="s">
        <v>1054</v>
      </c>
      <c r="W990" t="s">
        <v>171</v>
      </c>
      <c r="X990" t="str">
        <f>A990</f>
        <v>info_varchar_dml_single_pk_irp</v>
      </c>
    </row>
    <row r="991" spans="1:24">
      <c r="B991" t="s">
        <v>196</v>
      </c>
      <c r="C991" t="s">
        <v>197</v>
      </c>
      <c r="D991" t="s">
        <v>197</v>
      </c>
      <c r="E991" t="s">
        <v>197</v>
      </c>
      <c r="F991" t="s">
        <v>197</v>
      </c>
      <c r="G991" t="s">
        <v>197</v>
      </c>
      <c r="H991" t="s">
        <v>197</v>
      </c>
      <c r="I991" t="s">
        <v>1055</v>
      </c>
      <c r="J991" t="s">
        <v>199</v>
      </c>
      <c r="K991" t="s">
        <v>200</v>
      </c>
    </row>
    <row r="992" spans="1:24">
      <c r="B992" t="s">
        <v>197</v>
      </c>
      <c r="C992" t="s">
        <v>197</v>
      </c>
      <c r="D992" t="s">
        <v>197</v>
      </c>
      <c r="E992" t="s">
        <v>197</v>
      </c>
      <c r="F992" t="s">
        <v>197</v>
      </c>
      <c r="G992" t="s">
        <v>197</v>
      </c>
      <c r="H992" t="s">
        <v>197</v>
      </c>
      <c r="I992" t="s">
        <v>197</v>
      </c>
      <c r="J992" t="s">
        <v>197</v>
      </c>
      <c r="K992" t="s">
        <v>431</v>
      </c>
    </row>
    <row r="993" spans="1:24">
      <c r="B993" t="s">
        <v>197</v>
      </c>
      <c r="C993" t="s">
        <v>197</v>
      </c>
      <c r="D993" t="s">
        <v>197</v>
      </c>
      <c r="E993" t="s">
        <v>197</v>
      </c>
      <c r="F993" t="s">
        <v>197</v>
      </c>
      <c r="G993" t="s">
        <v>197</v>
      </c>
      <c r="H993" t="s">
        <v>197</v>
      </c>
      <c r="I993" t="s">
        <v>197</v>
      </c>
      <c r="J993" t="s">
        <v>197</v>
      </c>
      <c r="K993" t="s">
        <v>1056</v>
      </c>
    </row>
    <row r="994" spans="1:24">
      <c r="B994" t="s">
        <v>197</v>
      </c>
      <c r="C994" t="s">
        <v>197</v>
      </c>
      <c r="D994" t="s">
        <v>197</v>
      </c>
      <c r="E994" t="s">
        <v>197</v>
      </c>
      <c r="F994" t="s">
        <v>197</v>
      </c>
      <c r="G994" t="s">
        <v>197</v>
      </c>
      <c r="H994" t="s">
        <v>197</v>
      </c>
      <c r="I994" t="s">
        <v>197</v>
      </c>
      <c r="J994" t="s">
        <v>197</v>
      </c>
      <c r="K994" t="s">
        <v>963</v>
      </c>
    </row>
    <row r="995" spans="1:24">
      <c r="A995" t="s">
        <v>1043</v>
      </c>
      <c r="K995" t="s">
        <v>1044</v>
      </c>
      <c r="W995" t="s">
        <v>171</v>
      </c>
      <c r="X995" t="str">
        <f>A995</f>
        <v>info_char_dml_single_pk</v>
      </c>
    </row>
    <row r="996" spans="1:24">
      <c r="B996" t="s">
        <v>196</v>
      </c>
      <c r="C996" t="s">
        <v>197</v>
      </c>
      <c r="D996" t="s">
        <v>197</v>
      </c>
      <c r="E996" t="s">
        <v>197</v>
      </c>
      <c r="F996" t="s">
        <v>197</v>
      </c>
      <c r="G996" t="s">
        <v>197</v>
      </c>
      <c r="H996" t="s">
        <v>197</v>
      </c>
      <c r="I996" t="s">
        <v>1045</v>
      </c>
      <c r="J996" t="s">
        <v>199</v>
      </c>
      <c r="K996" t="s">
        <v>200</v>
      </c>
    </row>
    <row r="997" spans="1:24">
      <c r="B997" t="s">
        <v>197</v>
      </c>
      <c r="C997" t="s">
        <v>197</v>
      </c>
      <c r="D997" t="s">
        <v>197</v>
      </c>
      <c r="E997" t="s">
        <v>197</v>
      </c>
      <c r="F997" t="s">
        <v>197</v>
      </c>
      <c r="G997" t="s">
        <v>197</v>
      </c>
      <c r="H997" t="s">
        <v>197</v>
      </c>
      <c r="I997" t="s">
        <v>197</v>
      </c>
      <c r="J997" t="s">
        <v>197</v>
      </c>
      <c r="K997" t="s">
        <v>622</v>
      </c>
    </row>
    <row r="998" spans="1:24">
      <c r="B998" t="s">
        <v>197</v>
      </c>
      <c r="C998" t="s">
        <v>197</v>
      </c>
      <c r="D998" t="s">
        <v>197</v>
      </c>
      <c r="E998" t="s">
        <v>197</v>
      </c>
      <c r="F998" t="s">
        <v>197</v>
      </c>
      <c r="G998" t="s">
        <v>197</v>
      </c>
      <c r="H998" t="s">
        <v>197</v>
      </c>
      <c r="I998" t="s">
        <v>197</v>
      </c>
      <c r="J998" t="s">
        <v>197</v>
      </c>
      <c r="K998" t="s">
        <v>623</v>
      </c>
    </row>
    <row r="999" spans="1:24">
      <c r="B999" t="s">
        <v>197</v>
      </c>
      <c r="C999" t="s">
        <v>197</v>
      </c>
      <c r="D999" t="s">
        <v>197</v>
      </c>
      <c r="E999" t="s">
        <v>197</v>
      </c>
      <c r="F999" t="s">
        <v>197</v>
      </c>
      <c r="G999" t="s">
        <v>197</v>
      </c>
      <c r="H999" t="s">
        <v>197</v>
      </c>
      <c r="I999" t="s">
        <v>197</v>
      </c>
      <c r="J999" t="s">
        <v>197</v>
      </c>
      <c r="K999" t="s">
        <v>832</v>
      </c>
    </row>
    <row r="1000" spans="1:24">
      <c r="A1000" t="s">
        <v>1060</v>
      </c>
      <c r="K1000" t="s">
        <v>1061</v>
      </c>
      <c r="W1000" t="s">
        <v>171</v>
      </c>
      <c r="X1000" t="str">
        <f>A1000</f>
        <v>info_varchar_dml_batch2_pk_irp1</v>
      </c>
    </row>
    <row r="1001" spans="1:24">
      <c r="B1001" t="s">
        <v>196</v>
      </c>
      <c r="C1001" t="s">
        <v>197</v>
      </c>
      <c r="D1001" t="s">
        <v>197</v>
      </c>
      <c r="E1001" t="s">
        <v>197</v>
      </c>
      <c r="F1001" t="s">
        <v>197</v>
      </c>
      <c r="G1001" t="s">
        <v>197</v>
      </c>
      <c r="H1001" t="s">
        <v>197</v>
      </c>
      <c r="I1001" t="s">
        <v>1062</v>
      </c>
      <c r="J1001" t="s">
        <v>199</v>
      </c>
      <c r="K1001" t="s">
        <v>200</v>
      </c>
    </row>
    <row r="1002" spans="1:24">
      <c r="B1002" t="s">
        <v>197</v>
      </c>
      <c r="C1002" t="s">
        <v>197</v>
      </c>
      <c r="D1002" t="s">
        <v>197</v>
      </c>
      <c r="E1002" t="s">
        <v>197</v>
      </c>
      <c r="F1002" t="s">
        <v>197</v>
      </c>
      <c r="G1002" t="s">
        <v>197</v>
      </c>
      <c r="H1002" t="s">
        <v>197</v>
      </c>
      <c r="I1002" t="s">
        <v>197</v>
      </c>
      <c r="J1002" t="s">
        <v>197</v>
      </c>
      <c r="K1002" t="s">
        <v>431</v>
      </c>
    </row>
    <row r="1003" spans="1:24">
      <c r="B1003" t="s">
        <v>197</v>
      </c>
      <c r="C1003" t="s">
        <v>197</v>
      </c>
      <c r="D1003" t="s">
        <v>197</v>
      </c>
      <c r="E1003" t="s">
        <v>197</v>
      </c>
      <c r="F1003" t="s">
        <v>197</v>
      </c>
      <c r="G1003" t="s">
        <v>197</v>
      </c>
      <c r="H1003" t="s">
        <v>197</v>
      </c>
      <c r="I1003" t="s">
        <v>197</v>
      </c>
      <c r="J1003" t="s">
        <v>197</v>
      </c>
      <c r="K1003" t="s">
        <v>434</v>
      </c>
    </row>
    <row r="1004" spans="1:24">
      <c r="B1004" t="s">
        <v>197</v>
      </c>
      <c r="C1004" t="s">
        <v>197</v>
      </c>
      <c r="D1004" t="s">
        <v>197</v>
      </c>
      <c r="E1004" t="s">
        <v>197</v>
      </c>
      <c r="F1004" t="s">
        <v>197</v>
      </c>
      <c r="G1004" t="s">
        <v>197</v>
      </c>
      <c r="H1004" t="s">
        <v>197</v>
      </c>
      <c r="I1004" t="s">
        <v>197</v>
      </c>
      <c r="J1004" t="s">
        <v>197</v>
      </c>
      <c r="K1004" t="s">
        <v>963</v>
      </c>
    </row>
    <row r="1005" spans="1:24">
      <c r="K1005" t="s">
        <v>443</v>
      </c>
    </row>
    <row r="1006" spans="1:24">
      <c r="A1006" t="s">
        <v>1057</v>
      </c>
      <c r="K1006" t="s">
        <v>1058</v>
      </c>
      <c r="W1006" t="s">
        <v>171</v>
      </c>
      <c r="X1006" t="str">
        <f>A1006</f>
        <v>info_time_dml_batch2_pk_irp1</v>
      </c>
    </row>
    <row r="1007" spans="1:24">
      <c r="B1007" t="s">
        <v>196</v>
      </c>
      <c r="C1007" t="s">
        <v>197</v>
      </c>
      <c r="D1007" t="s">
        <v>197</v>
      </c>
      <c r="E1007" t="s">
        <v>197</v>
      </c>
      <c r="F1007" t="s">
        <v>197</v>
      </c>
      <c r="G1007" t="s">
        <v>197</v>
      </c>
      <c r="H1007" t="s">
        <v>197</v>
      </c>
      <c r="I1007" t="s">
        <v>1059</v>
      </c>
      <c r="J1007" t="s">
        <v>199</v>
      </c>
      <c r="K1007" t="s">
        <v>200</v>
      </c>
    </row>
    <row r="1008" spans="1:24">
      <c r="B1008" t="s">
        <v>197</v>
      </c>
      <c r="C1008" t="s">
        <v>197</v>
      </c>
      <c r="D1008" t="s">
        <v>197</v>
      </c>
      <c r="E1008" t="s">
        <v>197</v>
      </c>
      <c r="F1008" t="s">
        <v>197</v>
      </c>
      <c r="G1008" t="s">
        <v>197</v>
      </c>
      <c r="H1008" t="s">
        <v>197</v>
      </c>
      <c r="I1008" t="s">
        <v>197</v>
      </c>
      <c r="J1008" t="s">
        <v>197</v>
      </c>
      <c r="K1008" t="s">
        <v>800</v>
      </c>
    </row>
    <row r="1009" spans="1:24">
      <c r="B1009" t="s">
        <v>197</v>
      </c>
      <c r="C1009" t="s">
        <v>197</v>
      </c>
      <c r="D1009" t="s">
        <v>197</v>
      </c>
      <c r="E1009" t="s">
        <v>197</v>
      </c>
      <c r="F1009" t="s">
        <v>197</v>
      </c>
      <c r="G1009" t="s">
        <v>197</v>
      </c>
      <c r="H1009" t="s">
        <v>197</v>
      </c>
      <c r="I1009" t="s">
        <v>197</v>
      </c>
      <c r="J1009" t="s">
        <v>197</v>
      </c>
      <c r="K1009" t="s">
        <v>801</v>
      </c>
    </row>
    <row r="1010" spans="1:24">
      <c r="B1010" t="s">
        <v>197</v>
      </c>
      <c r="C1010" t="s">
        <v>197</v>
      </c>
      <c r="D1010" t="s">
        <v>197</v>
      </c>
      <c r="E1010" t="s">
        <v>197</v>
      </c>
      <c r="F1010" t="s">
        <v>197</v>
      </c>
      <c r="G1010" t="s">
        <v>197</v>
      </c>
      <c r="H1010" t="s">
        <v>197</v>
      </c>
      <c r="I1010" t="s">
        <v>197</v>
      </c>
      <c r="J1010" t="s">
        <v>197</v>
      </c>
      <c r="K1010" t="s">
        <v>802</v>
      </c>
    </row>
    <row r="1011" spans="1:24">
      <c r="B1011" t="s">
        <v>197</v>
      </c>
      <c r="C1011" t="s">
        <v>197</v>
      </c>
      <c r="D1011" t="s">
        <v>197</v>
      </c>
      <c r="E1011" t="s">
        <v>197</v>
      </c>
      <c r="F1011" t="s">
        <v>197</v>
      </c>
      <c r="G1011" t="s">
        <v>197</v>
      </c>
      <c r="H1011" t="s">
        <v>197</v>
      </c>
      <c r="I1011" t="s">
        <v>197</v>
      </c>
      <c r="J1011" t="s">
        <v>197</v>
      </c>
      <c r="K1011" t="s">
        <v>803</v>
      </c>
    </row>
    <row r="1012" spans="1:24">
      <c r="B1012" t="s">
        <v>197</v>
      </c>
      <c r="C1012" t="s">
        <v>197</v>
      </c>
      <c r="D1012" t="s">
        <v>197</v>
      </c>
      <c r="E1012" t="s">
        <v>197</v>
      </c>
      <c r="F1012" t="s">
        <v>197</v>
      </c>
      <c r="G1012" t="s">
        <v>197</v>
      </c>
      <c r="H1012" t="s">
        <v>197</v>
      </c>
      <c r="I1012" t="s">
        <v>197</v>
      </c>
      <c r="J1012" t="s">
        <v>197</v>
      </c>
      <c r="K1012" t="s">
        <v>804</v>
      </c>
    </row>
    <row r="1013" spans="1:24">
      <c r="B1013" t="s">
        <v>197</v>
      </c>
      <c r="C1013" t="s">
        <v>197</v>
      </c>
      <c r="D1013" t="s">
        <v>197</v>
      </c>
      <c r="E1013" t="s">
        <v>197</v>
      </c>
      <c r="F1013" t="s">
        <v>197</v>
      </c>
      <c r="G1013" t="s">
        <v>197</v>
      </c>
      <c r="H1013" t="s">
        <v>197</v>
      </c>
      <c r="I1013" t="s">
        <v>197</v>
      </c>
      <c r="J1013" t="s">
        <v>197</v>
      </c>
      <c r="K1013" t="s">
        <v>805</v>
      </c>
    </row>
    <row r="1014" spans="1:24">
      <c r="B1014" t="s">
        <v>197</v>
      </c>
      <c r="C1014" t="s">
        <v>197</v>
      </c>
      <c r="D1014" t="s">
        <v>197</v>
      </c>
      <c r="E1014" t="s">
        <v>197</v>
      </c>
      <c r="F1014" t="s">
        <v>197</v>
      </c>
      <c r="G1014" t="s">
        <v>197</v>
      </c>
      <c r="H1014" t="s">
        <v>197</v>
      </c>
      <c r="I1014" t="s">
        <v>197</v>
      </c>
      <c r="J1014" t="s">
        <v>197</v>
      </c>
      <c r="K1014" t="s">
        <v>806</v>
      </c>
    </row>
    <row r="1015" spans="1:24">
      <c r="B1015" t="s">
        <v>197</v>
      </c>
      <c r="C1015" t="s">
        <v>197</v>
      </c>
      <c r="D1015" t="s">
        <v>197</v>
      </c>
      <c r="E1015" t="s">
        <v>197</v>
      </c>
      <c r="F1015" t="s">
        <v>197</v>
      </c>
      <c r="G1015" t="s">
        <v>197</v>
      </c>
      <c r="H1015" t="s">
        <v>197</v>
      </c>
      <c r="I1015" t="s">
        <v>197</v>
      </c>
      <c r="J1015" t="s">
        <v>197</v>
      </c>
      <c r="K1015" t="s">
        <v>807</v>
      </c>
    </row>
    <row r="1016" spans="1:24">
      <c r="A1016" t="s">
        <v>1063</v>
      </c>
      <c r="K1016" t="s">
        <v>1064</v>
      </c>
      <c r="W1016" t="s">
        <v>171</v>
      </c>
      <c r="X1016" t="str">
        <f>A1016</f>
        <v>info_varbinary_dml_batch1_pk_irp2</v>
      </c>
    </row>
    <row r="1017" spans="1:24">
      <c r="B1017" t="s">
        <v>196</v>
      </c>
      <c r="C1017" t="s">
        <v>197</v>
      </c>
      <c r="D1017" t="s">
        <v>197</v>
      </c>
      <c r="E1017" t="s">
        <v>197</v>
      </c>
      <c r="F1017" t="s">
        <v>197</v>
      </c>
      <c r="G1017" t="s">
        <v>197</v>
      </c>
      <c r="H1017" t="s">
        <v>197</v>
      </c>
      <c r="I1017" t="s">
        <v>1065</v>
      </c>
      <c r="J1017" t="s">
        <v>199</v>
      </c>
      <c r="K1017" t="s">
        <v>200</v>
      </c>
    </row>
    <row r="1018" spans="1:24">
      <c r="B1018" t="s">
        <v>197</v>
      </c>
      <c r="C1018" t="s">
        <v>197</v>
      </c>
      <c r="D1018" t="s">
        <v>197</v>
      </c>
      <c r="E1018" t="s">
        <v>197</v>
      </c>
      <c r="F1018" t="s">
        <v>197</v>
      </c>
      <c r="G1018" t="s">
        <v>197</v>
      </c>
      <c r="H1018" t="s">
        <v>197</v>
      </c>
      <c r="I1018" t="s">
        <v>197</v>
      </c>
      <c r="J1018" t="s">
        <v>197</v>
      </c>
      <c r="K1018" t="s">
        <v>495</v>
      </c>
    </row>
    <row r="1019" spans="1:24">
      <c r="B1019" t="s">
        <v>197</v>
      </c>
      <c r="C1019" t="s">
        <v>197</v>
      </c>
      <c r="D1019" t="s">
        <v>197</v>
      </c>
      <c r="E1019" t="s">
        <v>197</v>
      </c>
      <c r="F1019" t="s">
        <v>197</v>
      </c>
      <c r="G1019" t="s">
        <v>197</v>
      </c>
      <c r="H1019" t="s">
        <v>197</v>
      </c>
      <c r="I1019" t="s">
        <v>197</v>
      </c>
      <c r="J1019" t="s">
        <v>197</v>
      </c>
      <c r="K1019" t="s">
        <v>499</v>
      </c>
    </row>
    <row r="1020" spans="1:24">
      <c r="B1020" t="s">
        <v>197</v>
      </c>
      <c r="C1020" t="s">
        <v>197</v>
      </c>
      <c r="D1020" t="s">
        <v>197</v>
      </c>
      <c r="E1020" t="s">
        <v>197</v>
      </c>
      <c r="F1020" t="s">
        <v>197</v>
      </c>
      <c r="G1020" t="s">
        <v>197</v>
      </c>
      <c r="H1020" t="s">
        <v>197</v>
      </c>
      <c r="I1020" t="s">
        <v>197</v>
      </c>
      <c r="J1020" t="s">
        <v>197</v>
      </c>
      <c r="K1020" t="s">
        <v>503</v>
      </c>
    </row>
    <row r="1021" spans="1:24">
      <c r="A1021" t="s">
        <v>1066</v>
      </c>
      <c r="K1021" t="s">
        <v>1067</v>
      </c>
      <c r="W1021" s="1" t="str">
        <f>HYPERLINK("#2026042017hbase0!AE2","NO 源备存在差异，共2个")</f>
        <v>NO 源备存在差异，共2个</v>
      </c>
      <c r="X1021" t="str">
        <f>A1021</f>
        <v>info_sql_variant_dml_single_pk_urp</v>
      </c>
    </row>
    <row r="1022" spans="1:24">
      <c r="B1022" t="s">
        <v>196</v>
      </c>
      <c r="C1022" t="s">
        <v>197</v>
      </c>
      <c r="D1022" t="s">
        <v>197</v>
      </c>
      <c r="E1022" t="s">
        <v>197</v>
      </c>
      <c r="F1022" t="s">
        <v>197</v>
      </c>
      <c r="G1022" t="s">
        <v>197</v>
      </c>
      <c r="H1022" t="s">
        <v>197</v>
      </c>
      <c r="I1022" t="s">
        <v>1068</v>
      </c>
      <c r="J1022" t="s">
        <v>199</v>
      </c>
      <c r="K1022" t="s">
        <v>200</v>
      </c>
    </row>
    <row r="1023" spans="1:24">
      <c r="B1023" t="s">
        <v>197</v>
      </c>
      <c r="C1023" t="s">
        <v>197</v>
      </c>
      <c r="D1023" t="s">
        <v>197</v>
      </c>
      <c r="E1023" t="s">
        <v>197</v>
      </c>
      <c r="F1023" t="s">
        <v>197</v>
      </c>
      <c r="G1023" t="s">
        <v>197</v>
      </c>
      <c r="H1023" t="s">
        <v>197</v>
      </c>
      <c r="I1023" t="s">
        <v>197</v>
      </c>
      <c r="J1023" t="s">
        <v>197</v>
      </c>
      <c r="K1023" t="s">
        <v>1006</v>
      </c>
    </row>
    <row r="1024" spans="1:24">
      <c r="B1024" t="s">
        <v>197</v>
      </c>
      <c r="C1024" t="s">
        <v>197</v>
      </c>
      <c r="D1024" t="s">
        <v>197</v>
      </c>
      <c r="E1024" t="s">
        <v>197</v>
      </c>
      <c r="F1024" t="s">
        <v>197</v>
      </c>
      <c r="G1024" t="s">
        <v>197</v>
      </c>
      <c r="H1024" t="s">
        <v>197</v>
      </c>
      <c r="I1024" t="s">
        <v>197</v>
      </c>
      <c r="J1024" t="s">
        <v>197</v>
      </c>
      <c r="K1024" t="s">
        <v>1007</v>
      </c>
    </row>
    <row r="1025" spans="2:11">
      <c r="B1025" t="s">
        <v>197</v>
      </c>
      <c r="C1025" t="s">
        <v>197</v>
      </c>
      <c r="D1025" t="s">
        <v>197</v>
      </c>
      <c r="E1025" t="s">
        <v>197</v>
      </c>
      <c r="F1025" t="s">
        <v>197</v>
      </c>
      <c r="G1025" t="s">
        <v>197</v>
      </c>
      <c r="H1025" t="s">
        <v>197</v>
      </c>
      <c r="I1025" t="s">
        <v>197</v>
      </c>
      <c r="J1025" t="s">
        <v>197</v>
      </c>
      <c r="K1025" t="s">
        <v>1008</v>
      </c>
    </row>
    <row r="1026" spans="2:11">
      <c r="B1026" t="s">
        <v>197</v>
      </c>
      <c r="C1026" t="s">
        <v>197</v>
      </c>
      <c r="D1026" t="s">
        <v>197</v>
      </c>
      <c r="E1026" t="s">
        <v>197</v>
      </c>
      <c r="F1026" t="s">
        <v>197</v>
      </c>
      <c r="G1026" t="s">
        <v>197</v>
      </c>
      <c r="H1026" t="s">
        <v>197</v>
      </c>
      <c r="I1026" t="s">
        <v>197</v>
      </c>
      <c r="J1026" t="s">
        <v>197</v>
      </c>
      <c r="K1026" t="s">
        <v>1009</v>
      </c>
    </row>
    <row r="1027" spans="2:11">
      <c r="B1027" t="s">
        <v>197</v>
      </c>
      <c r="C1027" t="s">
        <v>197</v>
      </c>
      <c r="D1027" t="s">
        <v>197</v>
      </c>
      <c r="E1027" t="s">
        <v>197</v>
      </c>
      <c r="F1027" t="s">
        <v>197</v>
      </c>
      <c r="G1027" t="s">
        <v>197</v>
      </c>
      <c r="H1027" t="s">
        <v>197</v>
      </c>
      <c r="I1027" t="s">
        <v>197</v>
      </c>
      <c r="J1027" t="s">
        <v>197</v>
      </c>
      <c r="K1027" t="s">
        <v>1010</v>
      </c>
    </row>
    <row r="1028" spans="2:11">
      <c r="B1028" t="s">
        <v>197</v>
      </c>
      <c r="C1028" t="s">
        <v>197</v>
      </c>
      <c r="D1028" t="s">
        <v>197</v>
      </c>
      <c r="E1028" t="s">
        <v>197</v>
      </c>
      <c r="F1028" t="s">
        <v>197</v>
      </c>
      <c r="G1028" t="s">
        <v>197</v>
      </c>
      <c r="H1028" t="s">
        <v>197</v>
      </c>
      <c r="I1028" t="s">
        <v>197</v>
      </c>
      <c r="J1028" t="s">
        <v>197</v>
      </c>
      <c r="K1028" t="s">
        <v>1011</v>
      </c>
    </row>
    <row r="1029" spans="2:11">
      <c r="B1029" t="s">
        <v>197</v>
      </c>
      <c r="C1029" t="s">
        <v>197</v>
      </c>
      <c r="D1029" t="s">
        <v>197</v>
      </c>
      <c r="E1029" t="s">
        <v>197</v>
      </c>
      <c r="F1029" t="s">
        <v>197</v>
      </c>
      <c r="G1029" t="s">
        <v>197</v>
      </c>
      <c r="H1029" t="s">
        <v>197</v>
      </c>
      <c r="I1029" t="s">
        <v>197</v>
      </c>
      <c r="J1029" t="s">
        <v>197</v>
      </c>
      <c r="K1029" t="s">
        <v>1012</v>
      </c>
    </row>
    <row r="1030" spans="2:11">
      <c r="B1030" t="s">
        <v>197</v>
      </c>
      <c r="C1030" t="s">
        <v>197</v>
      </c>
      <c r="D1030" t="s">
        <v>197</v>
      </c>
      <c r="E1030" t="s">
        <v>197</v>
      </c>
      <c r="F1030" t="s">
        <v>197</v>
      </c>
      <c r="G1030" t="s">
        <v>197</v>
      </c>
      <c r="H1030" t="s">
        <v>197</v>
      </c>
      <c r="I1030" t="s">
        <v>197</v>
      </c>
      <c r="J1030" t="s">
        <v>197</v>
      </c>
      <c r="K1030" t="s">
        <v>1013</v>
      </c>
    </row>
    <row r="1031" spans="2:11">
      <c r="B1031" t="s">
        <v>197</v>
      </c>
      <c r="C1031" t="s">
        <v>197</v>
      </c>
      <c r="D1031" t="s">
        <v>197</v>
      </c>
      <c r="E1031" t="s">
        <v>197</v>
      </c>
      <c r="F1031" t="s">
        <v>197</v>
      </c>
      <c r="G1031" t="s">
        <v>197</v>
      </c>
      <c r="H1031" t="s">
        <v>197</v>
      </c>
      <c r="I1031" t="s">
        <v>197</v>
      </c>
      <c r="J1031" t="s">
        <v>197</v>
      </c>
      <c r="K1031" t="s">
        <v>1014</v>
      </c>
    </row>
    <row r="1032" spans="2:11">
      <c r="B1032" t="s">
        <v>197</v>
      </c>
      <c r="C1032" t="s">
        <v>197</v>
      </c>
      <c r="D1032" t="s">
        <v>197</v>
      </c>
      <c r="E1032" t="s">
        <v>197</v>
      </c>
      <c r="F1032" t="s">
        <v>197</v>
      </c>
      <c r="G1032" t="s">
        <v>197</v>
      </c>
      <c r="H1032" t="s">
        <v>197</v>
      </c>
      <c r="I1032" t="s">
        <v>197</v>
      </c>
      <c r="J1032" t="s">
        <v>197</v>
      </c>
      <c r="K1032" t="s">
        <v>1015</v>
      </c>
    </row>
    <row r="1033" spans="2:11">
      <c r="B1033" t="s">
        <v>197</v>
      </c>
      <c r="C1033" t="s">
        <v>197</v>
      </c>
      <c r="D1033" t="s">
        <v>197</v>
      </c>
      <c r="E1033" t="s">
        <v>197</v>
      </c>
      <c r="F1033" t="s">
        <v>197</v>
      </c>
      <c r="G1033" t="s">
        <v>197</v>
      </c>
      <c r="H1033" t="s">
        <v>197</v>
      </c>
      <c r="I1033" t="s">
        <v>197</v>
      </c>
      <c r="J1033" t="s">
        <v>197</v>
      </c>
      <c r="K1033" t="s">
        <v>1016</v>
      </c>
    </row>
    <row r="1034" spans="2:11">
      <c r="B1034" t="s">
        <v>197</v>
      </c>
      <c r="C1034" t="s">
        <v>197</v>
      </c>
      <c r="D1034" t="s">
        <v>197</v>
      </c>
      <c r="E1034" t="s">
        <v>197</v>
      </c>
      <c r="F1034" t="s">
        <v>197</v>
      </c>
      <c r="G1034" t="s">
        <v>197</v>
      </c>
      <c r="H1034" t="s">
        <v>197</v>
      </c>
      <c r="I1034" t="s">
        <v>197</v>
      </c>
      <c r="J1034" t="s">
        <v>197</v>
      </c>
      <c r="K1034" t="s">
        <v>1017</v>
      </c>
    </row>
    <row r="1035" spans="2:11">
      <c r="B1035" t="s">
        <v>197</v>
      </c>
      <c r="C1035" t="s">
        <v>197</v>
      </c>
      <c r="D1035" t="s">
        <v>197</v>
      </c>
      <c r="E1035" t="s">
        <v>197</v>
      </c>
      <c r="F1035" t="s">
        <v>197</v>
      </c>
      <c r="G1035" t="s">
        <v>197</v>
      </c>
      <c r="H1035" t="s">
        <v>197</v>
      </c>
      <c r="I1035" t="s">
        <v>197</v>
      </c>
      <c r="J1035" t="s">
        <v>197</v>
      </c>
      <c r="K1035" t="s">
        <v>1018</v>
      </c>
    </row>
    <row r="1036" spans="2:11">
      <c r="B1036" t="s">
        <v>197</v>
      </c>
      <c r="C1036" t="s">
        <v>197</v>
      </c>
      <c r="D1036" t="s">
        <v>197</v>
      </c>
      <c r="E1036" t="s">
        <v>197</v>
      </c>
      <c r="F1036" t="s">
        <v>197</v>
      </c>
      <c r="G1036" t="s">
        <v>197</v>
      </c>
      <c r="H1036" t="s">
        <v>197</v>
      </c>
      <c r="I1036" t="s">
        <v>197</v>
      </c>
      <c r="J1036" t="s">
        <v>197</v>
      </c>
      <c r="K1036" t="s">
        <v>1019</v>
      </c>
    </row>
    <row r="1037" spans="2:11">
      <c r="B1037" t="s">
        <v>197</v>
      </c>
      <c r="C1037" t="s">
        <v>197</v>
      </c>
      <c r="D1037" t="s">
        <v>197</v>
      </c>
      <c r="E1037" t="s">
        <v>197</v>
      </c>
      <c r="F1037" t="s">
        <v>197</v>
      </c>
      <c r="G1037" t="s">
        <v>197</v>
      </c>
      <c r="H1037" t="s">
        <v>197</v>
      </c>
      <c r="I1037" t="s">
        <v>197</v>
      </c>
      <c r="J1037" t="s">
        <v>197</v>
      </c>
      <c r="K1037" t="s">
        <v>1020</v>
      </c>
    </row>
    <row r="1038" spans="2:11">
      <c r="B1038" t="s">
        <v>197</v>
      </c>
      <c r="C1038" t="s">
        <v>197</v>
      </c>
      <c r="D1038" t="s">
        <v>197</v>
      </c>
      <c r="E1038" t="s">
        <v>197</v>
      </c>
      <c r="F1038" t="s">
        <v>197</v>
      </c>
      <c r="G1038" t="s">
        <v>197</v>
      </c>
      <c r="H1038" t="s">
        <v>197</v>
      </c>
      <c r="I1038" t="s">
        <v>197</v>
      </c>
      <c r="J1038" t="s">
        <v>197</v>
      </c>
      <c r="K1038" t="s">
        <v>1021</v>
      </c>
    </row>
    <row r="1039" spans="2:11">
      <c r="B1039" t="s">
        <v>197</v>
      </c>
      <c r="C1039" t="s">
        <v>197</v>
      </c>
      <c r="D1039" t="s">
        <v>197</v>
      </c>
      <c r="E1039" t="s">
        <v>197</v>
      </c>
      <c r="F1039" t="s">
        <v>197</v>
      </c>
      <c r="G1039" t="s">
        <v>197</v>
      </c>
      <c r="H1039" t="s">
        <v>197</v>
      </c>
      <c r="I1039" t="s">
        <v>197</v>
      </c>
      <c r="J1039" t="s">
        <v>197</v>
      </c>
      <c r="K1039" t="s">
        <v>1022</v>
      </c>
    </row>
    <row r="1040" spans="2:11">
      <c r="B1040" t="s">
        <v>197</v>
      </c>
      <c r="C1040" t="s">
        <v>197</v>
      </c>
      <c r="D1040" t="s">
        <v>197</v>
      </c>
      <c r="E1040" t="s">
        <v>197</v>
      </c>
      <c r="F1040" t="s">
        <v>197</v>
      </c>
      <c r="G1040" t="s">
        <v>197</v>
      </c>
      <c r="H1040" t="s">
        <v>197</v>
      </c>
      <c r="I1040" t="s">
        <v>197</v>
      </c>
      <c r="J1040" t="s">
        <v>197</v>
      </c>
      <c r="K1040" t="s">
        <v>1023</v>
      </c>
    </row>
    <row r="1041" spans="1:24">
      <c r="B1041" t="s">
        <v>197</v>
      </c>
      <c r="C1041" t="s">
        <v>197</v>
      </c>
      <c r="D1041" t="s">
        <v>197</v>
      </c>
      <c r="E1041" t="s">
        <v>197</v>
      </c>
      <c r="F1041" t="s">
        <v>197</v>
      </c>
      <c r="G1041" t="s">
        <v>197</v>
      </c>
      <c r="H1041" t="s">
        <v>197</v>
      </c>
      <c r="I1041" t="s">
        <v>197</v>
      </c>
      <c r="J1041" t="s">
        <v>197</v>
      </c>
      <c r="K1041" t="s">
        <v>1024</v>
      </c>
    </row>
    <row r="1042" spans="1:24">
      <c r="B1042" t="s">
        <v>197</v>
      </c>
      <c r="C1042" t="s">
        <v>197</v>
      </c>
      <c r="D1042" t="s">
        <v>197</v>
      </c>
      <c r="E1042" t="s">
        <v>197</v>
      </c>
      <c r="F1042" t="s">
        <v>197</v>
      </c>
      <c r="G1042" t="s">
        <v>197</v>
      </c>
      <c r="H1042" t="s">
        <v>197</v>
      </c>
      <c r="I1042" t="s">
        <v>197</v>
      </c>
      <c r="J1042" t="s">
        <v>197</v>
      </c>
      <c r="K1042" t="s">
        <v>1025</v>
      </c>
    </row>
    <row r="1043" spans="1:24">
      <c r="B1043" t="s">
        <v>197</v>
      </c>
      <c r="C1043" t="s">
        <v>197</v>
      </c>
      <c r="D1043" t="s">
        <v>197</v>
      </c>
      <c r="E1043" t="s">
        <v>197</v>
      </c>
      <c r="F1043" t="s">
        <v>197</v>
      </c>
      <c r="G1043" t="s">
        <v>197</v>
      </c>
      <c r="H1043" t="s">
        <v>197</v>
      </c>
      <c r="I1043" t="s">
        <v>197</v>
      </c>
      <c r="J1043" t="s">
        <v>197</v>
      </c>
      <c r="K1043" t="s">
        <v>1026</v>
      </c>
    </row>
    <row r="1044" spans="1:24">
      <c r="B1044" t="s">
        <v>197</v>
      </c>
      <c r="C1044" t="s">
        <v>197</v>
      </c>
      <c r="D1044" t="s">
        <v>197</v>
      </c>
      <c r="E1044" t="s">
        <v>197</v>
      </c>
      <c r="F1044" t="s">
        <v>197</v>
      </c>
      <c r="G1044" t="s">
        <v>197</v>
      </c>
      <c r="H1044" t="s">
        <v>197</v>
      </c>
      <c r="I1044" t="s">
        <v>197</v>
      </c>
      <c r="J1044" t="s">
        <v>197</v>
      </c>
      <c r="K1044" t="s">
        <v>1027</v>
      </c>
    </row>
    <row r="1045" spans="1:24">
      <c r="B1045" t="s">
        <v>197</v>
      </c>
      <c r="C1045" t="s">
        <v>197</v>
      </c>
      <c r="D1045" t="s">
        <v>197</v>
      </c>
      <c r="E1045" t="s">
        <v>197</v>
      </c>
      <c r="F1045" t="s">
        <v>197</v>
      </c>
      <c r="G1045" t="s">
        <v>197</v>
      </c>
      <c r="H1045" t="s">
        <v>197</v>
      </c>
      <c r="I1045" t="s">
        <v>197</v>
      </c>
      <c r="J1045" t="s">
        <v>197</v>
      </c>
      <c r="K1045" t="s">
        <v>1028</v>
      </c>
    </row>
    <row r="1046" spans="1:24">
      <c r="B1046" t="s">
        <v>197</v>
      </c>
      <c r="C1046" t="s">
        <v>197</v>
      </c>
      <c r="D1046" t="s">
        <v>197</v>
      </c>
      <c r="E1046" t="s">
        <v>197</v>
      </c>
      <c r="F1046" t="s">
        <v>197</v>
      </c>
      <c r="G1046" t="s">
        <v>197</v>
      </c>
      <c r="H1046" t="s">
        <v>197</v>
      </c>
      <c r="I1046" t="s">
        <v>197</v>
      </c>
      <c r="J1046" t="s">
        <v>197</v>
      </c>
      <c r="K1046" t="s">
        <v>1029</v>
      </c>
    </row>
    <row r="1047" spans="1:24">
      <c r="A1047" t="s">
        <v>1033</v>
      </c>
      <c r="K1047" t="s">
        <v>1034</v>
      </c>
      <c r="W1047" t="s">
        <v>171</v>
      </c>
      <c r="X1047" t="str">
        <f>A1047</f>
        <v>info_nvarchar_dml_batch1_pk_irp2</v>
      </c>
    </row>
    <row r="1048" spans="1:24">
      <c r="B1048" t="s">
        <v>196</v>
      </c>
      <c r="C1048" t="s">
        <v>197</v>
      </c>
      <c r="D1048" t="s">
        <v>197</v>
      </c>
      <c r="E1048" t="s">
        <v>197</v>
      </c>
      <c r="F1048" t="s">
        <v>197</v>
      </c>
      <c r="G1048" t="s">
        <v>197</v>
      </c>
      <c r="H1048" t="s">
        <v>197</v>
      </c>
      <c r="I1048" t="s">
        <v>1035</v>
      </c>
      <c r="J1048" t="s">
        <v>199</v>
      </c>
      <c r="K1048" t="s">
        <v>200</v>
      </c>
    </row>
    <row r="1049" spans="1:24">
      <c r="B1049" t="s">
        <v>197</v>
      </c>
      <c r="C1049" t="s">
        <v>197</v>
      </c>
      <c r="D1049" t="s">
        <v>197</v>
      </c>
      <c r="E1049" t="s">
        <v>197</v>
      </c>
      <c r="F1049" t="s">
        <v>197</v>
      </c>
      <c r="G1049" t="s">
        <v>197</v>
      </c>
      <c r="H1049" t="s">
        <v>197</v>
      </c>
      <c r="I1049" t="s">
        <v>197</v>
      </c>
      <c r="J1049" t="s">
        <v>197</v>
      </c>
      <c r="K1049" t="s">
        <v>408</v>
      </c>
    </row>
    <row r="1050" spans="1:24">
      <c r="B1050" t="s">
        <v>197</v>
      </c>
      <c r="C1050" t="s">
        <v>197</v>
      </c>
      <c r="D1050" t="s">
        <v>197</v>
      </c>
      <c r="E1050" t="s">
        <v>197</v>
      </c>
      <c r="F1050" t="s">
        <v>197</v>
      </c>
      <c r="G1050" t="s">
        <v>197</v>
      </c>
      <c r="H1050" t="s">
        <v>197</v>
      </c>
      <c r="I1050" t="s">
        <v>197</v>
      </c>
      <c r="J1050" t="s">
        <v>197</v>
      </c>
      <c r="K1050" t="s">
        <v>412</v>
      </c>
    </row>
    <row r="1051" spans="1:24">
      <c r="B1051" t="s">
        <v>197</v>
      </c>
      <c r="C1051" t="s">
        <v>197</v>
      </c>
      <c r="D1051" t="s">
        <v>197</v>
      </c>
      <c r="E1051" t="s">
        <v>197</v>
      </c>
      <c r="F1051" t="s">
        <v>197</v>
      </c>
      <c r="G1051" t="s">
        <v>197</v>
      </c>
      <c r="H1051" t="s">
        <v>197</v>
      </c>
      <c r="I1051" t="s">
        <v>197</v>
      </c>
      <c r="J1051" t="s">
        <v>197</v>
      </c>
      <c r="K1051" t="s">
        <v>416</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1072</v>
      </c>
      <c r="K1058" t="s">
        <v>1073</v>
      </c>
      <c r="W1058" s="1" t="str">
        <f>HYPERLINK("#2026042017hbase0!AF2","NO 源备存在差异，共2个")</f>
        <v>NO 源备存在差异，共2个</v>
      </c>
      <c r="X1058" t="str">
        <f>A1058</f>
        <v>info_sql_variant_dml_single_pk_drp</v>
      </c>
    </row>
    <row r="1059" spans="1:24">
      <c r="B1059" t="s">
        <v>196</v>
      </c>
      <c r="C1059" t="s">
        <v>197</v>
      </c>
      <c r="D1059" t="s">
        <v>197</v>
      </c>
      <c r="E1059" t="s">
        <v>197</v>
      </c>
      <c r="F1059" t="s">
        <v>197</v>
      </c>
      <c r="G1059" t="s">
        <v>197</v>
      </c>
      <c r="H1059" t="s">
        <v>197</v>
      </c>
      <c r="I1059" t="s">
        <v>1074</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1078</v>
      </c>
      <c r="K1084" t="s">
        <v>1079</v>
      </c>
      <c r="W1084" t="s">
        <v>171</v>
      </c>
      <c r="X1084" t="str">
        <f>A1084</f>
        <v>info_uniqueidentifier_dml_single_pk_urp</v>
      </c>
    </row>
    <row r="1085" spans="1:24">
      <c r="B1085" t="s">
        <v>196</v>
      </c>
      <c r="C1085" t="s">
        <v>197</v>
      </c>
      <c r="D1085" t="s">
        <v>197</v>
      </c>
      <c r="E1085" t="s">
        <v>197</v>
      </c>
      <c r="F1085" t="s">
        <v>197</v>
      </c>
      <c r="G1085" t="s">
        <v>197</v>
      </c>
      <c r="H1085" t="s">
        <v>197</v>
      </c>
      <c r="I1085" t="s">
        <v>1080</v>
      </c>
      <c r="J1085" t="s">
        <v>199</v>
      </c>
      <c r="K1085" t="s">
        <v>200</v>
      </c>
    </row>
    <row r="1086" spans="1:24">
      <c r="B1086" t="s">
        <v>197</v>
      </c>
      <c r="C1086" t="s">
        <v>197</v>
      </c>
      <c r="D1086" t="s">
        <v>197</v>
      </c>
      <c r="E1086" t="s">
        <v>197</v>
      </c>
      <c r="F1086" t="s">
        <v>197</v>
      </c>
      <c r="G1086" t="s">
        <v>197</v>
      </c>
      <c r="H1086" t="s">
        <v>197</v>
      </c>
      <c r="I1086" t="s">
        <v>197</v>
      </c>
      <c r="J1086" t="s">
        <v>197</v>
      </c>
      <c r="K1086" t="s">
        <v>1039</v>
      </c>
    </row>
    <row r="1087" spans="1:24">
      <c r="A1087" t="s">
        <v>1081</v>
      </c>
      <c r="K1087" t="s">
        <v>1082</v>
      </c>
      <c r="W1087" t="s">
        <v>171</v>
      </c>
      <c r="X1087" t="str">
        <f>A1087</f>
        <v>info_nvarchar_dml_batch2_pk_irp1</v>
      </c>
    </row>
    <row r="1088" spans="1:24">
      <c r="B1088" t="s">
        <v>196</v>
      </c>
      <c r="C1088" t="s">
        <v>197</v>
      </c>
      <c r="D1088" t="s">
        <v>197</v>
      </c>
      <c r="E1088" t="s">
        <v>197</v>
      </c>
      <c r="F1088" t="s">
        <v>197</v>
      </c>
      <c r="G1088" t="s">
        <v>197</v>
      </c>
      <c r="H1088" t="s">
        <v>197</v>
      </c>
      <c r="I1088" t="s">
        <v>1083</v>
      </c>
      <c r="J1088" t="s">
        <v>199</v>
      </c>
      <c r="K1088" t="s">
        <v>200</v>
      </c>
    </row>
    <row r="1089" spans="1:24">
      <c r="B1089" t="s">
        <v>197</v>
      </c>
      <c r="C1089" t="s">
        <v>197</v>
      </c>
      <c r="D1089" t="s">
        <v>197</v>
      </c>
      <c r="E1089" t="s">
        <v>197</v>
      </c>
      <c r="F1089" t="s">
        <v>197</v>
      </c>
      <c r="G1089" t="s">
        <v>197</v>
      </c>
      <c r="H1089" t="s">
        <v>197</v>
      </c>
      <c r="I1089" t="s">
        <v>197</v>
      </c>
      <c r="J1089" t="s">
        <v>197</v>
      </c>
      <c r="K1089" t="s">
        <v>408</v>
      </c>
    </row>
    <row r="1090" spans="1:24">
      <c r="B1090" t="s">
        <v>197</v>
      </c>
      <c r="C1090" t="s">
        <v>197</v>
      </c>
      <c r="D1090" t="s">
        <v>197</v>
      </c>
      <c r="E1090" t="s">
        <v>197</v>
      </c>
      <c r="F1090" t="s">
        <v>197</v>
      </c>
      <c r="G1090" t="s">
        <v>197</v>
      </c>
      <c r="H1090" t="s">
        <v>197</v>
      </c>
      <c r="I1090" t="s">
        <v>197</v>
      </c>
      <c r="J1090" t="s">
        <v>197</v>
      </c>
      <c r="K1090" t="s">
        <v>412</v>
      </c>
    </row>
    <row r="1091" spans="1:24">
      <c r="B1091" t="s">
        <v>197</v>
      </c>
      <c r="C1091" t="s">
        <v>197</v>
      </c>
      <c r="D1091" t="s">
        <v>197</v>
      </c>
      <c r="E1091" t="s">
        <v>197</v>
      </c>
      <c r="F1091" t="s">
        <v>197</v>
      </c>
      <c r="G1091" t="s">
        <v>197</v>
      </c>
      <c r="H1091" t="s">
        <v>197</v>
      </c>
      <c r="I1091" t="s">
        <v>197</v>
      </c>
      <c r="J1091" t="s">
        <v>197</v>
      </c>
      <c r="K1091" t="s">
        <v>416</v>
      </c>
    </row>
    <row r="1092" spans="1:24">
      <c r="A1092" t="s">
        <v>1084</v>
      </c>
      <c r="K1092" t="s">
        <v>1085</v>
      </c>
      <c r="W1092" t="s">
        <v>171</v>
      </c>
      <c r="X1092" t="str">
        <f>A1092</f>
        <v>info_datetime2_dml_single_pk_urp</v>
      </c>
    </row>
    <row r="1093" spans="1:24">
      <c r="B1093" t="s">
        <v>196</v>
      </c>
      <c r="C1093" t="s">
        <v>197</v>
      </c>
      <c r="D1093" t="s">
        <v>197</v>
      </c>
      <c r="E1093" t="s">
        <v>197</v>
      </c>
      <c r="F1093" t="s">
        <v>197</v>
      </c>
      <c r="G1093" t="s">
        <v>197</v>
      </c>
      <c r="H1093" t="s">
        <v>197</v>
      </c>
      <c r="I1093" t="s">
        <v>1086</v>
      </c>
      <c r="J1093" t="s">
        <v>199</v>
      </c>
      <c r="K1093" t="s">
        <v>200</v>
      </c>
    </row>
    <row r="1094" spans="1:24">
      <c r="B1094" t="s">
        <v>197</v>
      </c>
      <c r="C1094" t="s">
        <v>197</v>
      </c>
      <c r="D1094" t="s">
        <v>197</v>
      </c>
      <c r="E1094" t="s">
        <v>197</v>
      </c>
      <c r="F1094" t="s">
        <v>197</v>
      </c>
      <c r="G1094" t="s">
        <v>197</v>
      </c>
      <c r="H1094" t="s">
        <v>197</v>
      </c>
      <c r="I1094" t="s">
        <v>197</v>
      </c>
      <c r="J1094" t="s">
        <v>197</v>
      </c>
      <c r="K1094" t="s">
        <v>667</v>
      </c>
    </row>
    <row r="1095" spans="1:24">
      <c r="B1095" t="s">
        <v>197</v>
      </c>
      <c r="C1095" t="s">
        <v>197</v>
      </c>
      <c r="D1095" t="s">
        <v>197</v>
      </c>
      <c r="E1095" t="s">
        <v>197</v>
      </c>
      <c r="F1095" t="s">
        <v>197</v>
      </c>
      <c r="G1095" t="s">
        <v>197</v>
      </c>
      <c r="H1095" t="s">
        <v>197</v>
      </c>
      <c r="I1095" t="s">
        <v>197</v>
      </c>
      <c r="J1095" t="s">
        <v>197</v>
      </c>
      <c r="K1095" t="s">
        <v>668</v>
      </c>
    </row>
    <row r="1096" spans="1:24">
      <c r="B1096" t="s">
        <v>197</v>
      </c>
      <c r="C1096" t="s">
        <v>197</v>
      </c>
      <c r="D1096" t="s">
        <v>197</v>
      </c>
      <c r="E1096" t="s">
        <v>197</v>
      </c>
      <c r="F1096" t="s">
        <v>197</v>
      </c>
      <c r="G1096" t="s">
        <v>197</v>
      </c>
      <c r="H1096" t="s">
        <v>197</v>
      </c>
      <c r="I1096" t="s">
        <v>197</v>
      </c>
      <c r="J1096" t="s">
        <v>197</v>
      </c>
      <c r="K1096" t="s">
        <v>669</v>
      </c>
    </row>
    <row r="1097" spans="1:24">
      <c r="B1097" t="s">
        <v>197</v>
      </c>
      <c r="C1097" t="s">
        <v>197</v>
      </c>
      <c r="D1097" t="s">
        <v>197</v>
      </c>
      <c r="E1097" t="s">
        <v>197</v>
      </c>
      <c r="F1097" t="s">
        <v>197</v>
      </c>
      <c r="G1097" t="s">
        <v>197</v>
      </c>
      <c r="H1097" t="s">
        <v>197</v>
      </c>
      <c r="I1097" t="s">
        <v>197</v>
      </c>
      <c r="J1097" t="s">
        <v>197</v>
      </c>
      <c r="K1097" t="s">
        <v>670</v>
      </c>
    </row>
    <row r="1098" spans="1:24">
      <c r="B1098" t="s">
        <v>197</v>
      </c>
      <c r="C1098" t="s">
        <v>197</v>
      </c>
      <c r="D1098" t="s">
        <v>197</v>
      </c>
      <c r="E1098" t="s">
        <v>197</v>
      </c>
      <c r="F1098" t="s">
        <v>197</v>
      </c>
      <c r="G1098" t="s">
        <v>197</v>
      </c>
      <c r="H1098" t="s">
        <v>197</v>
      </c>
      <c r="I1098" t="s">
        <v>197</v>
      </c>
      <c r="J1098" t="s">
        <v>197</v>
      </c>
      <c r="K1098" t="s">
        <v>671</v>
      </c>
    </row>
    <row r="1099" spans="1:24">
      <c r="B1099" t="s">
        <v>197</v>
      </c>
      <c r="C1099" t="s">
        <v>197</v>
      </c>
      <c r="D1099" t="s">
        <v>197</v>
      </c>
      <c r="E1099" t="s">
        <v>197</v>
      </c>
      <c r="F1099" t="s">
        <v>197</v>
      </c>
      <c r="G1099" t="s">
        <v>197</v>
      </c>
      <c r="H1099" t="s">
        <v>197</v>
      </c>
      <c r="I1099" t="s">
        <v>197</v>
      </c>
      <c r="J1099" t="s">
        <v>197</v>
      </c>
      <c r="K1099" t="s">
        <v>672</v>
      </c>
    </row>
    <row r="1100" spans="1:24">
      <c r="B1100" t="s">
        <v>197</v>
      </c>
      <c r="C1100" t="s">
        <v>197</v>
      </c>
      <c r="D1100" t="s">
        <v>197</v>
      </c>
      <c r="E1100" t="s">
        <v>197</v>
      </c>
      <c r="F1100" t="s">
        <v>197</v>
      </c>
      <c r="G1100" t="s">
        <v>197</v>
      </c>
      <c r="H1100" t="s">
        <v>197</v>
      </c>
      <c r="I1100" t="s">
        <v>197</v>
      </c>
      <c r="J1100" t="s">
        <v>197</v>
      </c>
      <c r="K1100" t="s">
        <v>673</v>
      </c>
    </row>
    <row r="1101" spans="1:24">
      <c r="B1101" t="s">
        <v>197</v>
      </c>
      <c r="C1101" t="s">
        <v>197</v>
      </c>
      <c r="D1101" t="s">
        <v>197</v>
      </c>
      <c r="E1101" t="s">
        <v>197</v>
      </c>
      <c r="F1101" t="s">
        <v>197</v>
      </c>
      <c r="G1101" t="s">
        <v>197</v>
      </c>
      <c r="H1101" t="s">
        <v>197</v>
      </c>
      <c r="I1101" t="s">
        <v>197</v>
      </c>
      <c r="J1101" t="s">
        <v>197</v>
      </c>
      <c r="K1101" t="s">
        <v>674</v>
      </c>
    </row>
    <row r="1102" spans="1:24">
      <c r="A1102" t="s">
        <v>1087</v>
      </c>
      <c r="K1102" t="s">
        <v>1088</v>
      </c>
      <c r="W1102" s="1" t="str">
        <f>HYPERLINK("#2026042017hbase0!AG2","NO 源备存在差异，共4个")</f>
        <v>NO 源备存在差异，共4个</v>
      </c>
      <c r="X1102" t="str">
        <f>A1102</f>
        <v>info_geography_dml_single_pk_urp</v>
      </c>
    </row>
    <row r="1103" spans="1:24">
      <c r="B1103" t="s">
        <v>196</v>
      </c>
      <c r="C1103" t="s">
        <v>197</v>
      </c>
      <c r="D1103" t="s">
        <v>197</v>
      </c>
      <c r="E1103" t="s">
        <v>197</v>
      </c>
      <c r="F1103" t="s">
        <v>197</v>
      </c>
      <c r="G1103" t="s">
        <v>197</v>
      </c>
      <c r="H1103" t="s">
        <v>197</v>
      </c>
      <c r="I1103" t="s">
        <v>1089</v>
      </c>
      <c r="J1103" t="s">
        <v>199</v>
      </c>
      <c r="K1103" t="s">
        <v>200</v>
      </c>
    </row>
    <row r="1104" spans="1:24">
      <c r="B1104" t="s">
        <v>197</v>
      </c>
      <c r="C1104" t="s">
        <v>197</v>
      </c>
      <c r="D1104" t="s">
        <v>197</v>
      </c>
      <c r="E1104" t="s">
        <v>197</v>
      </c>
      <c r="F1104" t="s">
        <v>197</v>
      </c>
      <c r="G1104" t="s">
        <v>197</v>
      </c>
      <c r="H1104" t="s">
        <v>197</v>
      </c>
      <c r="I1104" t="s">
        <v>197</v>
      </c>
      <c r="J1104" t="s">
        <v>197</v>
      </c>
      <c r="K1104" t="s">
        <v>1052</v>
      </c>
    </row>
    <row r="1105" spans="1:24">
      <c r="A1105" t="s">
        <v>1075</v>
      </c>
      <c r="K1105" t="s">
        <v>1076</v>
      </c>
      <c r="W1105" s="1" t="str">
        <f>HYPERLINK("#2026042017hbase0!AH2","NO 源备存在差异，共4个")</f>
        <v>NO 源备存在差异，共4个</v>
      </c>
      <c r="X1105" t="str">
        <f>A1105</f>
        <v>info_int_dml_batch1_pk_irp1</v>
      </c>
    </row>
    <row r="1106" spans="1:24">
      <c r="B1106" t="s">
        <v>196</v>
      </c>
      <c r="C1106" t="s">
        <v>197</v>
      </c>
      <c r="D1106" t="s">
        <v>197</v>
      </c>
      <c r="E1106" t="s">
        <v>197</v>
      </c>
      <c r="F1106" t="s">
        <v>197</v>
      </c>
      <c r="G1106" t="s">
        <v>197</v>
      </c>
      <c r="H1106" t="s">
        <v>197</v>
      </c>
      <c r="I1106" t="s">
        <v>1077</v>
      </c>
      <c r="J1106" t="s">
        <v>199</v>
      </c>
      <c r="K1106" t="s">
        <v>200</v>
      </c>
    </row>
    <row r="1107" spans="1:24">
      <c r="B1107" t="s">
        <v>197</v>
      </c>
      <c r="C1107" t="s">
        <v>197</v>
      </c>
      <c r="D1107" t="s">
        <v>197</v>
      </c>
      <c r="E1107" t="s">
        <v>197</v>
      </c>
      <c r="F1107" t="s">
        <v>197</v>
      </c>
      <c r="G1107" t="s">
        <v>197</v>
      </c>
      <c r="H1107" t="s">
        <v>197</v>
      </c>
      <c r="I1107" t="s">
        <v>197</v>
      </c>
      <c r="J1107" t="s">
        <v>197</v>
      </c>
      <c r="K1107" t="s">
        <v>549</v>
      </c>
    </row>
    <row r="1108" spans="1:24">
      <c r="B1108" t="s">
        <v>197</v>
      </c>
      <c r="C1108" t="s">
        <v>197</v>
      </c>
      <c r="D1108" t="s">
        <v>197</v>
      </c>
      <c r="E1108" t="s">
        <v>197</v>
      </c>
      <c r="F1108" t="s">
        <v>197</v>
      </c>
      <c r="G1108" t="s">
        <v>197</v>
      </c>
      <c r="H1108" t="s">
        <v>197</v>
      </c>
      <c r="I1108" t="s">
        <v>197</v>
      </c>
      <c r="J1108" t="s">
        <v>197</v>
      </c>
      <c r="K1108" t="s">
        <v>550</v>
      </c>
    </row>
    <row r="1109" spans="1:24">
      <c r="B1109" t="s">
        <v>197</v>
      </c>
      <c r="C1109" t="s">
        <v>197</v>
      </c>
      <c r="D1109" t="s">
        <v>197</v>
      </c>
      <c r="E1109" t="s">
        <v>197</v>
      </c>
      <c r="F1109" t="s">
        <v>197</v>
      </c>
      <c r="G1109" t="s">
        <v>197</v>
      </c>
      <c r="H1109" t="s">
        <v>197</v>
      </c>
      <c r="I1109" t="s">
        <v>197</v>
      </c>
      <c r="J1109" t="s">
        <v>197</v>
      </c>
      <c r="K1109" t="s">
        <v>551</v>
      </c>
    </row>
    <row r="1110" spans="1:24">
      <c r="B1110" t="s">
        <v>197</v>
      </c>
      <c r="C1110" t="s">
        <v>197</v>
      </c>
      <c r="D1110" t="s">
        <v>197</v>
      </c>
      <c r="E1110" t="s">
        <v>197</v>
      </c>
      <c r="F1110" t="s">
        <v>197</v>
      </c>
      <c r="G1110" t="s">
        <v>197</v>
      </c>
      <c r="H1110" t="s">
        <v>197</v>
      </c>
      <c r="I1110" t="s">
        <v>197</v>
      </c>
      <c r="J1110" t="s">
        <v>197</v>
      </c>
      <c r="K1110" t="s">
        <v>552</v>
      </c>
    </row>
    <row r="1111" spans="1:24">
      <c r="B1111" t="s">
        <v>197</v>
      </c>
      <c r="C1111" t="s">
        <v>197</v>
      </c>
      <c r="D1111" t="s">
        <v>197</v>
      </c>
      <c r="E1111" t="s">
        <v>197</v>
      </c>
      <c r="F1111" t="s">
        <v>197</v>
      </c>
      <c r="G1111" t="s">
        <v>197</v>
      </c>
      <c r="H1111" t="s">
        <v>197</v>
      </c>
      <c r="I1111" t="s">
        <v>197</v>
      </c>
      <c r="J1111" t="s">
        <v>197</v>
      </c>
      <c r="K1111" t="s">
        <v>553</v>
      </c>
    </row>
    <row r="1112" spans="1:24">
      <c r="B1112" t="s">
        <v>197</v>
      </c>
      <c r="C1112" t="s">
        <v>197</v>
      </c>
      <c r="D1112" t="s">
        <v>197</v>
      </c>
      <c r="E1112" t="s">
        <v>197</v>
      </c>
      <c r="F1112" t="s">
        <v>197</v>
      </c>
      <c r="G1112" t="s">
        <v>197</v>
      </c>
      <c r="H1112" t="s">
        <v>197</v>
      </c>
      <c r="I1112" t="s">
        <v>197</v>
      </c>
      <c r="J1112" t="s">
        <v>197</v>
      </c>
      <c r="K1112" t="s">
        <v>554</v>
      </c>
    </row>
    <row r="1113" spans="1:24">
      <c r="B1113" t="s">
        <v>197</v>
      </c>
      <c r="C1113" t="s">
        <v>197</v>
      </c>
      <c r="D1113" t="s">
        <v>197</v>
      </c>
      <c r="E1113" t="s">
        <v>197</v>
      </c>
      <c r="F1113" t="s">
        <v>197</v>
      </c>
      <c r="G1113" t="s">
        <v>197</v>
      </c>
      <c r="H1113" t="s">
        <v>197</v>
      </c>
      <c r="I1113" t="s">
        <v>197</v>
      </c>
      <c r="J1113" t="s">
        <v>197</v>
      </c>
      <c r="K1113" t="s">
        <v>555</v>
      </c>
    </row>
    <row r="1114" spans="1:24">
      <c r="B1114" t="s">
        <v>197</v>
      </c>
      <c r="C1114" t="s">
        <v>197</v>
      </c>
      <c r="D1114" t="s">
        <v>197</v>
      </c>
      <c r="E1114" t="s">
        <v>197</v>
      </c>
      <c r="F1114" t="s">
        <v>197</v>
      </c>
      <c r="G1114" t="s">
        <v>197</v>
      </c>
      <c r="H1114" t="s">
        <v>197</v>
      </c>
      <c r="I1114" t="s">
        <v>197</v>
      </c>
      <c r="J1114" t="s">
        <v>197</v>
      </c>
      <c r="K1114" t="s">
        <v>556</v>
      </c>
    </row>
    <row r="1115" spans="1:24">
      <c r="B1115" t="s">
        <v>197</v>
      </c>
      <c r="C1115" t="s">
        <v>197</v>
      </c>
      <c r="D1115" t="s">
        <v>197</v>
      </c>
      <c r="E1115" t="s">
        <v>197</v>
      </c>
      <c r="F1115" t="s">
        <v>197</v>
      </c>
      <c r="G1115" t="s">
        <v>197</v>
      </c>
      <c r="H1115" t="s">
        <v>197</v>
      </c>
      <c r="I1115" t="s">
        <v>197</v>
      </c>
      <c r="J1115" t="s">
        <v>197</v>
      </c>
      <c r="K1115" t="s">
        <v>557</v>
      </c>
    </row>
    <row r="1116" spans="1:24">
      <c r="B1116" t="s">
        <v>197</v>
      </c>
      <c r="C1116" t="s">
        <v>197</v>
      </c>
      <c r="D1116" t="s">
        <v>197</v>
      </c>
      <c r="E1116" t="s">
        <v>197</v>
      </c>
      <c r="F1116" t="s">
        <v>197</v>
      </c>
      <c r="G1116" t="s">
        <v>197</v>
      </c>
      <c r="H1116" t="s">
        <v>197</v>
      </c>
      <c r="I1116" t="s">
        <v>197</v>
      </c>
      <c r="J1116" t="s">
        <v>197</v>
      </c>
      <c r="K1116" t="s">
        <v>558</v>
      </c>
    </row>
    <row r="1117" spans="1:24">
      <c r="B1117" t="s">
        <v>197</v>
      </c>
      <c r="C1117" t="s">
        <v>197</v>
      </c>
      <c r="D1117" t="s">
        <v>197</v>
      </c>
      <c r="E1117" t="s">
        <v>197</v>
      </c>
      <c r="F1117" t="s">
        <v>197</v>
      </c>
      <c r="G1117" t="s">
        <v>197</v>
      </c>
      <c r="H1117" t="s">
        <v>197</v>
      </c>
      <c r="I1117" t="s">
        <v>197</v>
      </c>
      <c r="J1117" t="s">
        <v>197</v>
      </c>
      <c r="K1117" t="s">
        <v>559</v>
      </c>
    </row>
    <row r="1118" spans="1:24">
      <c r="B1118" t="s">
        <v>197</v>
      </c>
      <c r="C1118" t="s">
        <v>197</v>
      </c>
      <c r="D1118" t="s">
        <v>197</v>
      </c>
      <c r="E1118" t="s">
        <v>197</v>
      </c>
      <c r="F1118" t="s">
        <v>197</v>
      </c>
      <c r="G1118" t="s">
        <v>197</v>
      </c>
      <c r="H1118" t="s">
        <v>197</v>
      </c>
      <c r="I1118" t="s">
        <v>197</v>
      </c>
      <c r="J1118" t="s">
        <v>197</v>
      </c>
      <c r="K1118" t="s">
        <v>560</v>
      </c>
    </row>
    <row r="1119" spans="1:24">
      <c r="B1119" t="s">
        <v>197</v>
      </c>
      <c r="C1119" t="s">
        <v>197</v>
      </c>
      <c r="D1119" t="s">
        <v>197</v>
      </c>
      <c r="E1119" t="s">
        <v>197</v>
      </c>
      <c r="F1119" t="s">
        <v>197</v>
      </c>
      <c r="G1119" t="s">
        <v>197</v>
      </c>
      <c r="H1119" t="s">
        <v>197</v>
      </c>
      <c r="I1119" t="s">
        <v>197</v>
      </c>
      <c r="J1119" t="s">
        <v>197</v>
      </c>
      <c r="K1119" t="s">
        <v>561</v>
      </c>
    </row>
    <row r="1120" spans="1:24">
      <c r="B1120" t="s">
        <v>197</v>
      </c>
      <c r="C1120" t="s">
        <v>197</v>
      </c>
      <c r="D1120" t="s">
        <v>197</v>
      </c>
      <c r="E1120" t="s">
        <v>197</v>
      </c>
      <c r="F1120" t="s">
        <v>197</v>
      </c>
      <c r="G1120" t="s">
        <v>197</v>
      </c>
      <c r="H1120" t="s">
        <v>197</v>
      </c>
      <c r="I1120" t="s">
        <v>197</v>
      </c>
      <c r="J1120" t="s">
        <v>197</v>
      </c>
      <c r="K1120" t="s">
        <v>562</v>
      </c>
    </row>
    <row r="1121" spans="1:24">
      <c r="B1121" t="s">
        <v>197</v>
      </c>
      <c r="C1121" t="s">
        <v>197</v>
      </c>
      <c r="D1121" t="s">
        <v>197</v>
      </c>
      <c r="E1121" t="s">
        <v>197</v>
      </c>
      <c r="F1121" t="s">
        <v>197</v>
      </c>
      <c r="G1121" t="s">
        <v>197</v>
      </c>
      <c r="H1121" t="s">
        <v>197</v>
      </c>
      <c r="I1121" t="s">
        <v>197</v>
      </c>
      <c r="J1121" t="s">
        <v>197</v>
      </c>
      <c r="K1121" t="s">
        <v>563</v>
      </c>
    </row>
    <row r="1122" spans="1:24">
      <c r="B1122" t="s">
        <v>197</v>
      </c>
      <c r="C1122" t="s">
        <v>197</v>
      </c>
      <c r="D1122" t="s">
        <v>197</v>
      </c>
      <c r="E1122" t="s">
        <v>197</v>
      </c>
      <c r="F1122" t="s">
        <v>197</v>
      </c>
      <c r="G1122" t="s">
        <v>197</v>
      </c>
      <c r="H1122" t="s">
        <v>197</v>
      </c>
      <c r="I1122" t="s">
        <v>197</v>
      </c>
      <c r="J1122" t="s">
        <v>197</v>
      </c>
      <c r="K1122" t="s">
        <v>564</v>
      </c>
    </row>
    <row r="1123" spans="1:24">
      <c r="B1123" t="s">
        <v>197</v>
      </c>
      <c r="C1123" t="s">
        <v>197</v>
      </c>
      <c r="D1123" t="s">
        <v>197</v>
      </c>
      <c r="E1123" t="s">
        <v>197</v>
      </c>
      <c r="F1123" t="s">
        <v>197</v>
      </c>
      <c r="G1123" t="s">
        <v>197</v>
      </c>
      <c r="H1123" t="s">
        <v>197</v>
      </c>
      <c r="I1123" t="s">
        <v>197</v>
      </c>
      <c r="J1123" t="s">
        <v>197</v>
      </c>
      <c r="K1123" t="s">
        <v>565</v>
      </c>
    </row>
    <row r="1124" spans="1:24">
      <c r="B1124" t="s">
        <v>197</v>
      </c>
      <c r="C1124" t="s">
        <v>197</v>
      </c>
      <c r="D1124" t="s">
        <v>197</v>
      </c>
      <c r="E1124" t="s">
        <v>197</v>
      </c>
      <c r="F1124" t="s">
        <v>197</v>
      </c>
      <c r="G1124" t="s">
        <v>197</v>
      </c>
      <c r="H1124" t="s">
        <v>197</v>
      </c>
      <c r="I1124" t="s">
        <v>197</v>
      </c>
      <c r="J1124" t="s">
        <v>197</v>
      </c>
      <c r="K1124" t="s">
        <v>566</v>
      </c>
    </row>
    <row r="1125" spans="1:24">
      <c r="B1125" t="s">
        <v>197</v>
      </c>
      <c r="C1125" t="s">
        <v>197</v>
      </c>
      <c r="D1125" t="s">
        <v>197</v>
      </c>
      <c r="E1125" t="s">
        <v>197</v>
      </c>
      <c r="F1125" t="s">
        <v>197</v>
      </c>
      <c r="G1125" t="s">
        <v>197</v>
      </c>
      <c r="H1125" t="s">
        <v>197</v>
      </c>
      <c r="I1125" t="s">
        <v>197</v>
      </c>
      <c r="J1125" t="s">
        <v>197</v>
      </c>
      <c r="K1125" t="s">
        <v>567</v>
      </c>
    </row>
    <row r="1126" spans="1:24">
      <c r="A1126" t="s">
        <v>1096</v>
      </c>
      <c r="K1126" t="s">
        <v>1097</v>
      </c>
      <c r="W1126" t="s">
        <v>171</v>
      </c>
      <c r="X1126" t="str">
        <f>A1126</f>
        <v>info_time_dml_batch1_pk_urp1</v>
      </c>
    </row>
    <row r="1127" spans="1:24">
      <c r="B1127" t="s">
        <v>196</v>
      </c>
      <c r="C1127" t="s">
        <v>197</v>
      </c>
      <c r="D1127" t="s">
        <v>197</v>
      </c>
      <c r="E1127" t="s">
        <v>197</v>
      </c>
      <c r="F1127" t="s">
        <v>197</v>
      </c>
      <c r="G1127" t="s">
        <v>197</v>
      </c>
      <c r="H1127" t="s">
        <v>197</v>
      </c>
      <c r="I1127" t="s">
        <v>1098</v>
      </c>
      <c r="J1127" t="s">
        <v>199</v>
      </c>
      <c r="K1127" t="s">
        <v>200</v>
      </c>
    </row>
    <row r="1128" spans="1:24">
      <c r="B1128" t="s">
        <v>197</v>
      </c>
      <c r="C1128" t="s">
        <v>197</v>
      </c>
      <c r="D1128" t="s">
        <v>197</v>
      </c>
      <c r="E1128" t="s">
        <v>197</v>
      </c>
      <c r="F1128" t="s">
        <v>197</v>
      </c>
      <c r="G1128" t="s">
        <v>197</v>
      </c>
      <c r="H1128" t="s">
        <v>197</v>
      </c>
      <c r="I1128" t="s">
        <v>197</v>
      </c>
      <c r="J1128" t="s">
        <v>197</v>
      </c>
      <c r="K1128" t="s">
        <v>800</v>
      </c>
    </row>
    <row r="1129" spans="1:24">
      <c r="B1129" t="s">
        <v>197</v>
      </c>
      <c r="C1129" t="s">
        <v>197</v>
      </c>
      <c r="D1129" t="s">
        <v>197</v>
      </c>
      <c r="E1129" t="s">
        <v>197</v>
      </c>
      <c r="F1129" t="s">
        <v>197</v>
      </c>
      <c r="G1129" t="s">
        <v>197</v>
      </c>
      <c r="H1129" t="s">
        <v>197</v>
      </c>
      <c r="I1129" t="s">
        <v>197</v>
      </c>
      <c r="J1129" t="s">
        <v>197</v>
      </c>
      <c r="K1129" t="s">
        <v>801</v>
      </c>
    </row>
    <row r="1130" spans="1:24">
      <c r="B1130" t="s">
        <v>197</v>
      </c>
      <c r="C1130" t="s">
        <v>197</v>
      </c>
      <c r="D1130" t="s">
        <v>197</v>
      </c>
      <c r="E1130" t="s">
        <v>197</v>
      </c>
      <c r="F1130" t="s">
        <v>197</v>
      </c>
      <c r="G1130" t="s">
        <v>197</v>
      </c>
      <c r="H1130" t="s">
        <v>197</v>
      </c>
      <c r="I1130" t="s">
        <v>197</v>
      </c>
      <c r="J1130" t="s">
        <v>197</v>
      </c>
      <c r="K1130" t="s">
        <v>802</v>
      </c>
    </row>
    <row r="1131" spans="1:24">
      <c r="B1131" t="s">
        <v>197</v>
      </c>
      <c r="C1131" t="s">
        <v>197</v>
      </c>
      <c r="D1131" t="s">
        <v>197</v>
      </c>
      <c r="E1131" t="s">
        <v>197</v>
      </c>
      <c r="F1131" t="s">
        <v>197</v>
      </c>
      <c r="G1131" t="s">
        <v>197</v>
      </c>
      <c r="H1131" t="s">
        <v>197</v>
      </c>
      <c r="I1131" t="s">
        <v>197</v>
      </c>
      <c r="J1131" t="s">
        <v>197</v>
      </c>
      <c r="K1131" t="s">
        <v>803</v>
      </c>
    </row>
    <row r="1132" spans="1:24">
      <c r="B1132" t="s">
        <v>197</v>
      </c>
      <c r="C1132" t="s">
        <v>197</v>
      </c>
      <c r="D1132" t="s">
        <v>197</v>
      </c>
      <c r="E1132" t="s">
        <v>197</v>
      </c>
      <c r="F1132" t="s">
        <v>197</v>
      </c>
      <c r="G1132" t="s">
        <v>197</v>
      </c>
      <c r="H1132" t="s">
        <v>197</v>
      </c>
      <c r="I1132" t="s">
        <v>197</v>
      </c>
      <c r="J1132" t="s">
        <v>197</v>
      </c>
      <c r="K1132" t="s">
        <v>804</v>
      </c>
    </row>
    <row r="1133" spans="1:24">
      <c r="B1133" t="s">
        <v>197</v>
      </c>
      <c r="C1133" t="s">
        <v>197</v>
      </c>
      <c r="D1133" t="s">
        <v>197</v>
      </c>
      <c r="E1133" t="s">
        <v>197</v>
      </c>
      <c r="F1133" t="s">
        <v>197</v>
      </c>
      <c r="G1133" t="s">
        <v>197</v>
      </c>
      <c r="H1133" t="s">
        <v>197</v>
      </c>
      <c r="I1133" t="s">
        <v>197</v>
      </c>
      <c r="J1133" t="s">
        <v>197</v>
      </c>
      <c r="K1133" t="s">
        <v>805</v>
      </c>
    </row>
    <row r="1134" spans="1:24">
      <c r="B1134" t="s">
        <v>197</v>
      </c>
      <c r="C1134" t="s">
        <v>197</v>
      </c>
      <c r="D1134" t="s">
        <v>197</v>
      </c>
      <c r="E1134" t="s">
        <v>197</v>
      </c>
      <c r="F1134" t="s">
        <v>197</v>
      </c>
      <c r="G1134" t="s">
        <v>197</v>
      </c>
      <c r="H1134" t="s">
        <v>197</v>
      </c>
      <c r="I1134" t="s">
        <v>197</v>
      </c>
      <c r="J1134" t="s">
        <v>197</v>
      </c>
      <c r="K1134" t="s">
        <v>806</v>
      </c>
    </row>
    <row r="1135" spans="1:24">
      <c r="B1135" t="s">
        <v>197</v>
      </c>
      <c r="C1135" t="s">
        <v>197</v>
      </c>
      <c r="D1135" t="s">
        <v>197</v>
      </c>
      <c r="E1135" t="s">
        <v>197</v>
      </c>
      <c r="F1135" t="s">
        <v>197</v>
      </c>
      <c r="G1135" t="s">
        <v>197</v>
      </c>
      <c r="H1135" t="s">
        <v>197</v>
      </c>
      <c r="I1135" t="s">
        <v>197</v>
      </c>
      <c r="J1135" t="s">
        <v>197</v>
      </c>
      <c r="K1135" t="s">
        <v>807</v>
      </c>
    </row>
    <row r="1136" spans="1:24">
      <c r="A1136" t="s">
        <v>1090</v>
      </c>
      <c r="K1136" t="s">
        <v>1091</v>
      </c>
      <c r="W1136" t="s">
        <v>171</v>
      </c>
      <c r="X1136" t="str">
        <f>A1136</f>
        <v>info_time_dml_batch2_pk_irp2</v>
      </c>
    </row>
    <row r="1137" spans="1:24">
      <c r="B1137" t="s">
        <v>196</v>
      </c>
      <c r="C1137" t="s">
        <v>197</v>
      </c>
      <c r="D1137" t="s">
        <v>197</v>
      </c>
      <c r="E1137" t="s">
        <v>197</v>
      </c>
      <c r="F1137" t="s">
        <v>197</v>
      </c>
      <c r="G1137" t="s">
        <v>197</v>
      </c>
      <c r="H1137" t="s">
        <v>197</v>
      </c>
      <c r="I1137" t="s">
        <v>1092</v>
      </c>
      <c r="J1137" t="s">
        <v>199</v>
      </c>
      <c r="K1137" t="s">
        <v>200</v>
      </c>
    </row>
    <row r="1138" spans="1:24">
      <c r="B1138" t="s">
        <v>197</v>
      </c>
      <c r="C1138" t="s">
        <v>197</v>
      </c>
      <c r="D1138" t="s">
        <v>197</v>
      </c>
      <c r="E1138" t="s">
        <v>197</v>
      </c>
      <c r="F1138" t="s">
        <v>197</v>
      </c>
      <c r="G1138" t="s">
        <v>197</v>
      </c>
      <c r="H1138" t="s">
        <v>197</v>
      </c>
      <c r="I1138" t="s">
        <v>197</v>
      </c>
      <c r="J1138" t="s">
        <v>197</v>
      </c>
      <c r="K1138" t="s">
        <v>800</v>
      </c>
    </row>
    <row r="1139" spans="1:24">
      <c r="B1139" t="s">
        <v>197</v>
      </c>
      <c r="C1139" t="s">
        <v>197</v>
      </c>
      <c r="D1139" t="s">
        <v>197</v>
      </c>
      <c r="E1139" t="s">
        <v>197</v>
      </c>
      <c r="F1139" t="s">
        <v>197</v>
      </c>
      <c r="G1139" t="s">
        <v>197</v>
      </c>
      <c r="H1139" t="s">
        <v>197</v>
      </c>
      <c r="I1139" t="s">
        <v>197</v>
      </c>
      <c r="J1139" t="s">
        <v>197</v>
      </c>
      <c r="K1139" t="s">
        <v>801</v>
      </c>
    </row>
    <row r="1140" spans="1:24">
      <c r="B1140" t="s">
        <v>197</v>
      </c>
      <c r="C1140" t="s">
        <v>197</v>
      </c>
      <c r="D1140" t="s">
        <v>197</v>
      </c>
      <c r="E1140" t="s">
        <v>197</v>
      </c>
      <c r="F1140" t="s">
        <v>197</v>
      </c>
      <c r="G1140" t="s">
        <v>197</v>
      </c>
      <c r="H1140" t="s">
        <v>197</v>
      </c>
      <c r="I1140" t="s">
        <v>197</v>
      </c>
      <c r="J1140" t="s">
        <v>197</v>
      </c>
      <c r="K1140" t="s">
        <v>802</v>
      </c>
    </row>
    <row r="1141" spans="1:24">
      <c r="B1141" t="s">
        <v>197</v>
      </c>
      <c r="C1141" t="s">
        <v>197</v>
      </c>
      <c r="D1141" t="s">
        <v>197</v>
      </c>
      <c r="E1141" t="s">
        <v>197</v>
      </c>
      <c r="F1141" t="s">
        <v>197</v>
      </c>
      <c r="G1141" t="s">
        <v>197</v>
      </c>
      <c r="H1141" t="s">
        <v>197</v>
      </c>
      <c r="I1141" t="s">
        <v>197</v>
      </c>
      <c r="J1141" t="s">
        <v>197</v>
      </c>
      <c r="K1141" t="s">
        <v>803</v>
      </c>
    </row>
    <row r="1142" spans="1:24">
      <c r="B1142" t="s">
        <v>197</v>
      </c>
      <c r="C1142" t="s">
        <v>197</v>
      </c>
      <c r="D1142" t="s">
        <v>197</v>
      </c>
      <c r="E1142" t="s">
        <v>197</v>
      </c>
      <c r="F1142" t="s">
        <v>197</v>
      </c>
      <c r="G1142" t="s">
        <v>197</v>
      </c>
      <c r="H1142" t="s">
        <v>197</v>
      </c>
      <c r="I1142" t="s">
        <v>197</v>
      </c>
      <c r="J1142" t="s">
        <v>197</v>
      </c>
      <c r="K1142" t="s">
        <v>804</v>
      </c>
    </row>
    <row r="1143" spans="1:24">
      <c r="B1143" t="s">
        <v>197</v>
      </c>
      <c r="C1143" t="s">
        <v>197</v>
      </c>
      <c r="D1143" t="s">
        <v>197</v>
      </c>
      <c r="E1143" t="s">
        <v>197</v>
      </c>
      <c r="F1143" t="s">
        <v>197</v>
      </c>
      <c r="G1143" t="s">
        <v>197</v>
      </c>
      <c r="H1143" t="s">
        <v>197</v>
      </c>
      <c r="I1143" t="s">
        <v>197</v>
      </c>
      <c r="J1143" t="s">
        <v>197</v>
      </c>
      <c r="K1143" t="s">
        <v>805</v>
      </c>
    </row>
    <row r="1144" spans="1:24">
      <c r="B1144" t="s">
        <v>197</v>
      </c>
      <c r="C1144" t="s">
        <v>197</v>
      </c>
      <c r="D1144" t="s">
        <v>197</v>
      </c>
      <c r="E1144" t="s">
        <v>197</v>
      </c>
      <c r="F1144" t="s">
        <v>197</v>
      </c>
      <c r="G1144" t="s">
        <v>197</v>
      </c>
      <c r="H1144" t="s">
        <v>197</v>
      </c>
      <c r="I1144" t="s">
        <v>197</v>
      </c>
      <c r="J1144" t="s">
        <v>197</v>
      </c>
      <c r="K1144" t="s">
        <v>806</v>
      </c>
    </row>
    <row r="1145" spans="1:24">
      <c r="B1145" t="s">
        <v>197</v>
      </c>
      <c r="C1145" t="s">
        <v>197</v>
      </c>
      <c r="D1145" t="s">
        <v>197</v>
      </c>
      <c r="E1145" t="s">
        <v>197</v>
      </c>
      <c r="F1145" t="s">
        <v>197</v>
      </c>
      <c r="G1145" t="s">
        <v>197</v>
      </c>
      <c r="H1145" t="s">
        <v>197</v>
      </c>
      <c r="I1145" t="s">
        <v>197</v>
      </c>
      <c r="J1145" t="s">
        <v>197</v>
      </c>
      <c r="K1145" t="s">
        <v>807</v>
      </c>
    </row>
    <row r="1146" spans="1:24">
      <c r="A1146" t="s">
        <v>1093</v>
      </c>
      <c r="K1146" t="s">
        <v>1094</v>
      </c>
      <c r="W1146" t="s">
        <v>171</v>
      </c>
      <c r="X1146" t="str">
        <f>A1146</f>
        <v>info_varbinary_dml_batch2_pk_irp1</v>
      </c>
    </row>
    <row r="1147" spans="1:24">
      <c r="B1147" t="s">
        <v>196</v>
      </c>
      <c r="C1147" t="s">
        <v>197</v>
      </c>
      <c r="D1147" t="s">
        <v>197</v>
      </c>
      <c r="E1147" t="s">
        <v>197</v>
      </c>
      <c r="F1147" t="s">
        <v>197</v>
      </c>
      <c r="G1147" t="s">
        <v>197</v>
      </c>
      <c r="H1147" t="s">
        <v>197</v>
      </c>
      <c r="I1147" t="s">
        <v>1095</v>
      </c>
      <c r="J1147" t="s">
        <v>199</v>
      </c>
      <c r="K1147" t="s">
        <v>200</v>
      </c>
    </row>
    <row r="1148" spans="1:24">
      <c r="B1148" t="s">
        <v>197</v>
      </c>
      <c r="C1148" t="s">
        <v>197</v>
      </c>
      <c r="D1148" t="s">
        <v>197</v>
      </c>
      <c r="E1148" t="s">
        <v>197</v>
      </c>
      <c r="F1148" t="s">
        <v>197</v>
      </c>
      <c r="G1148" t="s">
        <v>197</v>
      </c>
      <c r="H1148" t="s">
        <v>197</v>
      </c>
      <c r="I1148" t="s">
        <v>197</v>
      </c>
      <c r="J1148" t="s">
        <v>197</v>
      </c>
      <c r="K1148" t="s">
        <v>495</v>
      </c>
    </row>
    <row r="1149" spans="1:24">
      <c r="B1149" t="s">
        <v>197</v>
      </c>
      <c r="C1149" t="s">
        <v>197</v>
      </c>
      <c r="D1149" t="s">
        <v>197</v>
      </c>
      <c r="E1149" t="s">
        <v>197</v>
      </c>
      <c r="F1149" t="s">
        <v>197</v>
      </c>
      <c r="G1149" t="s">
        <v>197</v>
      </c>
      <c r="H1149" t="s">
        <v>197</v>
      </c>
      <c r="I1149" t="s">
        <v>197</v>
      </c>
      <c r="J1149" t="s">
        <v>197</v>
      </c>
      <c r="K1149" t="s">
        <v>499</v>
      </c>
    </row>
    <row r="1150" spans="1:24">
      <c r="B1150" t="s">
        <v>197</v>
      </c>
      <c r="C1150" t="s">
        <v>197</v>
      </c>
      <c r="D1150" t="s">
        <v>197</v>
      </c>
      <c r="E1150" t="s">
        <v>197</v>
      </c>
      <c r="F1150" t="s">
        <v>197</v>
      </c>
      <c r="G1150" t="s">
        <v>197</v>
      </c>
      <c r="H1150" t="s">
        <v>197</v>
      </c>
      <c r="I1150" t="s">
        <v>197</v>
      </c>
      <c r="J1150" t="s">
        <v>197</v>
      </c>
      <c r="K1150" t="s">
        <v>503</v>
      </c>
    </row>
    <row r="1151" spans="1:24">
      <c r="A1151" t="s">
        <v>1099</v>
      </c>
      <c r="K1151" t="s">
        <v>1100</v>
      </c>
      <c r="W1151" s="1" t="str">
        <f>HYPERLINK("#2026042017hbase0!AI2","NO 源备存在差异，共2个")</f>
        <v>NO 源备存在差异，共2个</v>
      </c>
      <c r="X1151" t="str">
        <f>A1151</f>
        <v>info_sql_variant_dml_single_pk</v>
      </c>
    </row>
    <row r="1152" spans="1:24">
      <c r="B1152" t="s">
        <v>196</v>
      </c>
      <c r="C1152" t="s">
        <v>197</v>
      </c>
      <c r="D1152" t="s">
        <v>197</v>
      </c>
      <c r="E1152" t="s">
        <v>197</v>
      </c>
      <c r="F1152" t="s">
        <v>197</v>
      </c>
      <c r="G1152" t="s">
        <v>197</v>
      </c>
      <c r="H1152" t="s">
        <v>197</v>
      </c>
      <c r="I1152" t="s">
        <v>1101</v>
      </c>
      <c r="J1152" t="s">
        <v>199</v>
      </c>
      <c r="K1152" t="s">
        <v>200</v>
      </c>
    </row>
    <row r="1153" spans="2:11">
      <c r="B1153" t="s">
        <v>197</v>
      </c>
      <c r="C1153" t="s">
        <v>197</v>
      </c>
      <c r="D1153" t="s">
        <v>197</v>
      </c>
      <c r="E1153" t="s">
        <v>197</v>
      </c>
      <c r="F1153" t="s">
        <v>197</v>
      </c>
      <c r="G1153" t="s">
        <v>197</v>
      </c>
      <c r="H1153" t="s">
        <v>197</v>
      </c>
      <c r="I1153" t="s">
        <v>197</v>
      </c>
      <c r="J1153" t="s">
        <v>197</v>
      </c>
      <c r="K1153" t="s">
        <v>1006</v>
      </c>
    </row>
    <row r="1154" spans="2:11">
      <c r="B1154" t="s">
        <v>197</v>
      </c>
      <c r="C1154" t="s">
        <v>197</v>
      </c>
      <c r="D1154" t="s">
        <v>197</v>
      </c>
      <c r="E1154" t="s">
        <v>197</v>
      </c>
      <c r="F1154" t="s">
        <v>197</v>
      </c>
      <c r="G1154" t="s">
        <v>197</v>
      </c>
      <c r="H1154" t="s">
        <v>197</v>
      </c>
      <c r="I1154" t="s">
        <v>197</v>
      </c>
      <c r="J1154" t="s">
        <v>197</v>
      </c>
      <c r="K1154" t="s">
        <v>1007</v>
      </c>
    </row>
    <row r="1155" spans="2:11">
      <c r="B1155" t="s">
        <v>197</v>
      </c>
      <c r="C1155" t="s">
        <v>197</v>
      </c>
      <c r="D1155" t="s">
        <v>197</v>
      </c>
      <c r="E1155" t="s">
        <v>197</v>
      </c>
      <c r="F1155" t="s">
        <v>197</v>
      </c>
      <c r="G1155" t="s">
        <v>197</v>
      </c>
      <c r="H1155" t="s">
        <v>197</v>
      </c>
      <c r="I1155" t="s">
        <v>197</v>
      </c>
      <c r="J1155" t="s">
        <v>197</v>
      </c>
      <c r="K1155" t="s">
        <v>1008</v>
      </c>
    </row>
    <row r="1156" spans="2:11">
      <c r="B1156" t="s">
        <v>197</v>
      </c>
      <c r="C1156" t="s">
        <v>197</v>
      </c>
      <c r="D1156" t="s">
        <v>197</v>
      </c>
      <c r="E1156" t="s">
        <v>197</v>
      </c>
      <c r="F1156" t="s">
        <v>197</v>
      </c>
      <c r="G1156" t="s">
        <v>197</v>
      </c>
      <c r="H1156" t="s">
        <v>197</v>
      </c>
      <c r="I1156" t="s">
        <v>197</v>
      </c>
      <c r="J1156" t="s">
        <v>197</v>
      </c>
      <c r="K1156" t="s">
        <v>1009</v>
      </c>
    </row>
    <row r="1157" spans="2:11">
      <c r="B1157" t="s">
        <v>197</v>
      </c>
      <c r="C1157" t="s">
        <v>197</v>
      </c>
      <c r="D1157" t="s">
        <v>197</v>
      </c>
      <c r="E1157" t="s">
        <v>197</v>
      </c>
      <c r="F1157" t="s">
        <v>197</v>
      </c>
      <c r="G1157" t="s">
        <v>197</v>
      </c>
      <c r="H1157" t="s">
        <v>197</v>
      </c>
      <c r="I1157" t="s">
        <v>197</v>
      </c>
      <c r="J1157" t="s">
        <v>197</v>
      </c>
      <c r="K1157" t="s">
        <v>1010</v>
      </c>
    </row>
    <row r="1158" spans="2:11">
      <c r="B1158" t="s">
        <v>197</v>
      </c>
      <c r="C1158" t="s">
        <v>197</v>
      </c>
      <c r="D1158" t="s">
        <v>197</v>
      </c>
      <c r="E1158" t="s">
        <v>197</v>
      </c>
      <c r="F1158" t="s">
        <v>197</v>
      </c>
      <c r="G1158" t="s">
        <v>197</v>
      </c>
      <c r="H1158" t="s">
        <v>197</v>
      </c>
      <c r="I1158" t="s">
        <v>197</v>
      </c>
      <c r="J1158" t="s">
        <v>197</v>
      </c>
      <c r="K1158" t="s">
        <v>1011</v>
      </c>
    </row>
    <row r="1159" spans="2:11">
      <c r="B1159" t="s">
        <v>197</v>
      </c>
      <c r="C1159" t="s">
        <v>197</v>
      </c>
      <c r="D1159" t="s">
        <v>197</v>
      </c>
      <c r="E1159" t="s">
        <v>197</v>
      </c>
      <c r="F1159" t="s">
        <v>197</v>
      </c>
      <c r="G1159" t="s">
        <v>197</v>
      </c>
      <c r="H1159" t="s">
        <v>197</v>
      </c>
      <c r="I1159" t="s">
        <v>197</v>
      </c>
      <c r="J1159" t="s">
        <v>197</v>
      </c>
      <c r="K1159" t="s">
        <v>1012</v>
      </c>
    </row>
    <row r="1160" spans="2:11">
      <c r="B1160" t="s">
        <v>197</v>
      </c>
      <c r="C1160" t="s">
        <v>197</v>
      </c>
      <c r="D1160" t="s">
        <v>197</v>
      </c>
      <c r="E1160" t="s">
        <v>197</v>
      </c>
      <c r="F1160" t="s">
        <v>197</v>
      </c>
      <c r="G1160" t="s">
        <v>197</v>
      </c>
      <c r="H1160" t="s">
        <v>197</v>
      </c>
      <c r="I1160" t="s">
        <v>197</v>
      </c>
      <c r="J1160" t="s">
        <v>197</v>
      </c>
      <c r="K1160" t="s">
        <v>1013</v>
      </c>
    </row>
    <row r="1161" spans="2:11">
      <c r="B1161" t="s">
        <v>197</v>
      </c>
      <c r="C1161" t="s">
        <v>197</v>
      </c>
      <c r="D1161" t="s">
        <v>197</v>
      </c>
      <c r="E1161" t="s">
        <v>197</v>
      </c>
      <c r="F1161" t="s">
        <v>197</v>
      </c>
      <c r="G1161" t="s">
        <v>197</v>
      </c>
      <c r="H1161" t="s">
        <v>197</v>
      </c>
      <c r="I1161" t="s">
        <v>197</v>
      </c>
      <c r="J1161" t="s">
        <v>197</v>
      </c>
      <c r="K1161" t="s">
        <v>1014</v>
      </c>
    </row>
    <row r="1162" spans="2:11">
      <c r="B1162" t="s">
        <v>197</v>
      </c>
      <c r="C1162" t="s">
        <v>197</v>
      </c>
      <c r="D1162" t="s">
        <v>197</v>
      </c>
      <c r="E1162" t="s">
        <v>197</v>
      </c>
      <c r="F1162" t="s">
        <v>197</v>
      </c>
      <c r="G1162" t="s">
        <v>197</v>
      </c>
      <c r="H1162" t="s">
        <v>197</v>
      </c>
      <c r="I1162" t="s">
        <v>197</v>
      </c>
      <c r="J1162" t="s">
        <v>197</v>
      </c>
      <c r="K1162" t="s">
        <v>1015</v>
      </c>
    </row>
    <row r="1163" spans="2:11">
      <c r="B1163" t="s">
        <v>197</v>
      </c>
      <c r="C1163" t="s">
        <v>197</v>
      </c>
      <c r="D1163" t="s">
        <v>197</v>
      </c>
      <c r="E1163" t="s">
        <v>197</v>
      </c>
      <c r="F1163" t="s">
        <v>197</v>
      </c>
      <c r="G1163" t="s">
        <v>197</v>
      </c>
      <c r="H1163" t="s">
        <v>197</v>
      </c>
      <c r="I1163" t="s">
        <v>197</v>
      </c>
      <c r="J1163" t="s">
        <v>197</v>
      </c>
      <c r="K1163" t="s">
        <v>1016</v>
      </c>
    </row>
    <row r="1164" spans="2:11">
      <c r="B1164" t="s">
        <v>197</v>
      </c>
      <c r="C1164" t="s">
        <v>197</v>
      </c>
      <c r="D1164" t="s">
        <v>197</v>
      </c>
      <c r="E1164" t="s">
        <v>197</v>
      </c>
      <c r="F1164" t="s">
        <v>197</v>
      </c>
      <c r="G1164" t="s">
        <v>197</v>
      </c>
      <c r="H1164" t="s">
        <v>197</v>
      </c>
      <c r="I1164" t="s">
        <v>197</v>
      </c>
      <c r="J1164" t="s">
        <v>197</v>
      </c>
      <c r="K1164" t="s">
        <v>1017</v>
      </c>
    </row>
    <row r="1165" spans="2:11">
      <c r="B1165" t="s">
        <v>197</v>
      </c>
      <c r="C1165" t="s">
        <v>197</v>
      </c>
      <c r="D1165" t="s">
        <v>197</v>
      </c>
      <c r="E1165" t="s">
        <v>197</v>
      </c>
      <c r="F1165" t="s">
        <v>197</v>
      </c>
      <c r="G1165" t="s">
        <v>197</v>
      </c>
      <c r="H1165" t="s">
        <v>197</v>
      </c>
      <c r="I1165" t="s">
        <v>197</v>
      </c>
      <c r="J1165" t="s">
        <v>197</v>
      </c>
      <c r="K1165" t="s">
        <v>1018</v>
      </c>
    </row>
    <row r="1166" spans="2:11">
      <c r="B1166" t="s">
        <v>197</v>
      </c>
      <c r="C1166" t="s">
        <v>197</v>
      </c>
      <c r="D1166" t="s">
        <v>197</v>
      </c>
      <c r="E1166" t="s">
        <v>197</v>
      </c>
      <c r="F1166" t="s">
        <v>197</v>
      </c>
      <c r="G1166" t="s">
        <v>197</v>
      </c>
      <c r="H1166" t="s">
        <v>197</v>
      </c>
      <c r="I1166" t="s">
        <v>197</v>
      </c>
      <c r="J1166" t="s">
        <v>197</v>
      </c>
      <c r="K1166" t="s">
        <v>1019</v>
      </c>
    </row>
    <row r="1167" spans="2:11">
      <c r="B1167" t="s">
        <v>197</v>
      </c>
      <c r="C1167" t="s">
        <v>197</v>
      </c>
      <c r="D1167" t="s">
        <v>197</v>
      </c>
      <c r="E1167" t="s">
        <v>197</v>
      </c>
      <c r="F1167" t="s">
        <v>197</v>
      </c>
      <c r="G1167" t="s">
        <v>197</v>
      </c>
      <c r="H1167" t="s">
        <v>197</v>
      </c>
      <c r="I1167" t="s">
        <v>197</v>
      </c>
      <c r="J1167" t="s">
        <v>197</v>
      </c>
      <c r="K1167" t="s">
        <v>1020</v>
      </c>
    </row>
    <row r="1168" spans="2:11">
      <c r="B1168" t="s">
        <v>197</v>
      </c>
      <c r="C1168" t="s">
        <v>197</v>
      </c>
      <c r="D1168" t="s">
        <v>197</v>
      </c>
      <c r="E1168" t="s">
        <v>197</v>
      </c>
      <c r="F1168" t="s">
        <v>197</v>
      </c>
      <c r="G1168" t="s">
        <v>197</v>
      </c>
      <c r="H1168" t="s">
        <v>197</v>
      </c>
      <c r="I1168" t="s">
        <v>197</v>
      </c>
      <c r="J1168" t="s">
        <v>197</v>
      </c>
      <c r="K1168" t="s">
        <v>1021</v>
      </c>
    </row>
    <row r="1169" spans="1:24">
      <c r="B1169" t="s">
        <v>197</v>
      </c>
      <c r="C1169" t="s">
        <v>197</v>
      </c>
      <c r="D1169" t="s">
        <v>197</v>
      </c>
      <c r="E1169" t="s">
        <v>197</v>
      </c>
      <c r="F1169" t="s">
        <v>197</v>
      </c>
      <c r="G1169" t="s">
        <v>197</v>
      </c>
      <c r="H1169" t="s">
        <v>197</v>
      </c>
      <c r="I1169" t="s">
        <v>197</v>
      </c>
      <c r="J1169" t="s">
        <v>197</v>
      </c>
      <c r="K1169" t="s">
        <v>1022</v>
      </c>
    </row>
    <row r="1170" spans="1:24">
      <c r="B1170" t="s">
        <v>197</v>
      </c>
      <c r="C1170" t="s">
        <v>197</v>
      </c>
      <c r="D1170" t="s">
        <v>197</v>
      </c>
      <c r="E1170" t="s">
        <v>197</v>
      </c>
      <c r="F1170" t="s">
        <v>197</v>
      </c>
      <c r="G1170" t="s">
        <v>197</v>
      </c>
      <c r="H1170" t="s">
        <v>197</v>
      </c>
      <c r="I1170" t="s">
        <v>197</v>
      </c>
      <c r="J1170" t="s">
        <v>197</v>
      </c>
      <c r="K1170" t="s">
        <v>1023</v>
      </c>
    </row>
    <row r="1171" spans="1:24">
      <c r="B1171" t="s">
        <v>197</v>
      </c>
      <c r="C1171" t="s">
        <v>197</v>
      </c>
      <c r="D1171" t="s">
        <v>197</v>
      </c>
      <c r="E1171" t="s">
        <v>197</v>
      </c>
      <c r="F1171" t="s">
        <v>197</v>
      </c>
      <c r="G1171" t="s">
        <v>197</v>
      </c>
      <c r="H1171" t="s">
        <v>197</v>
      </c>
      <c r="I1171" t="s">
        <v>197</v>
      </c>
      <c r="J1171" t="s">
        <v>197</v>
      </c>
      <c r="K1171" t="s">
        <v>1024</v>
      </c>
    </row>
    <row r="1172" spans="1:24">
      <c r="B1172" t="s">
        <v>197</v>
      </c>
      <c r="C1172" t="s">
        <v>197</v>
      </c>
      <c r="D1172" t="s">
        <v>197</v>
      </c>
      <c r="E1172" t="s">
        <v>197</v>
      </c>
      <c r="F1172" t="s">
        <v>197</v>
      </c>
      <c r="G1172" t="s">
        <v>197</v>
      </c>
      <c r="H1172" t="s">
        <v>197</v>
      </c>
      <c r="I1172" t="s">
        <v>197</v>
      </c>
      <c r="J1172" t="s">
        <v>197</v>
      </c>
      <c r="K1172" t="s">
        <v>1025</v>
      </c>
    </row>
    <row r="1173" spans="1:24">
      <c r="B1173" t="s">
        <v>197</v>
      </c>
      <c r="C1173" t="s">
        <v>197</v>
      </c>
      <c r="D1173" t="s">
        <v>197</v>
      </c>
      <c r="E1173" t="s">
        <v>197</v>
      </c>
      <c r="F1173" t="s">
        <v>197</v>
      </c>
      <c r="G1173" t="s">
        <v>197</v>
      </c>
      <c r="H1173" t="s">
        <v>197</v>
      </c>
      <c r="I1173" t="s">
        <v>197</v>
      </c>
      <c r="J1173" t="s">
        <v>197</v>
      </c>
      <c r="K1173" t="s">
        <v>1026</v>
      </c>
    </row>
    <row r="1174" spans="1:24">
      <c r="B1174" t="s">
        <v>197</v>
      </c>
      <c r="C1174" t="s">
        <v>197</v>
      </c>
      <c r="D1174" t="s">
        <v>197</v>
      </c>
      <c r="E1174" t="s">
        <v>197</v>
      </c>
      <c r="F1174" t="s">
        <v>197</v>
      </c>
      <c r="G1174" t="s">
        <v>197</v>
      </c>
      <c r="H1174" t="s">
        <v>197</v>
      </c>
      <c r="I1174" t="s">
        <v>197</v>
      </c>
      <c r="J1174" t="s">
        <v>197</v>
      </c>
      <c r="K1174" t="s">
        <v>1027</v>
      </c>
    </row>
    <row r="1175" spans="1:24">
      <c r="B1175" t="s">
        <v>197</v>
      </c>
      <c r="C1175" t="s">
        <v>197</v>
      </c>
      <c r="D1175" t="s">
        <v>197</v>
      </c>
      <c r="E1175" t="s">
        <v>197</v>
      </c>
      <c r="F1175" t="s">
        <v>197</v>
      </c>
      <c r="G1175" t="s">
        <v>197</v>
      </c>
      <c r="H1175" t="s">
        <v>197</v>
      </c>
      <c r="I1175" t="s">
        <v>197</v>
      </c>
      <c r="J1175" t="s">
        <v>197</v>
      </c>
      <c r="K1175" t="s">
        <v>1028</v>
      </c>
    </row>
    <row r="1176" spans="1:24">
      <c r="B1176" t="s">
        <v>197</v>
      </c>
      <c r="C1176" t="s">
        <v>197</v>
      </c>
      <c r="D1176" t="s">
        <v>197</v>
      </c>
      <c r="E1176" t="s">
        <v>197</v>
      </c>
      <c r="F1176" t="s">
        <v>197</v>
      </c>
      <c r="G1176" t="s">
        <v>197</v>
      </c>
      <c r="H1176" t="s">
        <v>197</v>
      </c>
      <c r="I1176" t="s">
        <v>197</v>
      </c>
      <c r="J1176" t="s">
        <v>197</v>
      </c>
      <c r="K1176" t="s">
        <v>1029</v>
      </c>
    </row>
    <row r="1177" spans="1:24">
      <c r="A1177" t="s">
        <v>1105</v>
      </c>
      <c r="K1177" t="s">
        <v>1106</v>
      </c>
      <c r="W1177" t="s">
        <v>171</v>
      </c>
      <c r="X1177" t="str">
        <f>A1177</f>
        <v>info_time_dml_batch1_pk_urp2</v>
      </c>
    </row>
    <row r="1178" spans="1:24">
      <c r="B1178" t="s">
        <v>196</v>
      </c>
      <c r="C1178" t="s">
        <v>197</v>
      </c>
      <c r="D1178" t="s">
        <v>197</v>
      </c>
      <c r="E1178" t="s">
        <v>197</v>
      </c>
      <c r="F1178" t="s">
        <v>197</v>
      </c>
      <c r="G1178" t="s">
        <v>197</v>
      </c>
      <c r="H1178" t="s">
        <v>197</v>
      </c>
      <c r="I1178" t="s">
        <v>1107</v>
      </c>
      <c r="J1178" t="s">
        <v>199</v>
      </c>
      <c r="K1178" t="s">
        <v>200</v>
      </c>
    </row>
    <row r="1179" spans="1:24">
      <c r="B1179" t="s">
        <v>197</v>
      </c>
      <c r="C1179" t="s">
        <v>197</v>
      </c>
      <c r="D1179" t="s">
        <v>197</v>
      </c>
      <c r="E1179" t="s">
        <v>197</v>
      </c>
      <c r="F1179" t="s">
        <v>197</v>
      </c>
      <c r="G1179" t="s">
        <v>197</v>
      </c>
      <c r="H1179" t="s">
        <v>197</v>
      </c>
      <c r="I1179" t="s">
        <v>197</v>
      </c>
      <c r="J1179" t="s">
        <v>197</v>
      </c>
      <c r="K1179" t="s">
        <v>800</v>
      </c>
    </row>
    <row r="1180" spans="1:24">
      <c r="B1180" t="s">
        <v>197</v>
      </c>
      <c r="C1180" t="s">
        <v>197</v>
      </c>
      <c r="D1180" t="s">
        <v>197</v>
      </c>
      <c r="E1180" t="s">
        <v>197</v>
      </c>
      <c r="F1180" t="s">
        <v>197</v>
      </c>
      <c r="G1180" t="s">
        <v>197</v>
      </c>
      <c r="H1180" t="s">
        <v>197</v>
      </c>
      <c r="I1180" t="s">
        <v>197</v>
      </c>
      <c r="J1180" t="s">
        <v>197</v>
      </c>
      <c r="K1180" t="s">
        <v>801</v>
      </c>
    </row>
    <row r="1181" spans="1:24">
      <c r="B1181" t="s">
        <v>197</v>
      </c>
      <c r="C1181" t="s">
        <v>197</v>
      </c>
      <c r="D1181" t="s">
        <v>197</v>
      </c>
      <c r="E1181" t="s">
        <v>197</v>
      </c>
      <c r="F1181" t="s">
        <v>197</v>
      </c>
      <c r="G1181" t="s">
        <v>197</v>
      </c>
      <c r="H1181" t="s">
        <v>197</v>
      </c>
      <c r="I1181" t="s">
        <v>197</v>
      </c>
      <c r="J1181" t="s">
        <v>197</v>
      </c>
      <c r="K1181" t="s">
        <v>802</v>
      </c>
    </row>
    <row r="1182" spans="1:24">
      <c r="B1182" t="s">
        <v>197</v>
      </c>
      <c r="C1182" t="s">
        <v>197</v>
      </c>
      <c r="D1182" t="s">
        <v>197</v>
      </c>
      <c r="E1182" t="s">
        <v>197</v>
      </c>
      <c r="F1182" t="s">
        <v>197</v>
      </c>
      <c r="G1182" t="s">
        <v>197</v>
      </c>
      <c r="H1182" t="s">
        <v>197</v>
      </c>
      <c r="I1182" t="s">
        <v>197</v>
      </c>
      <c r="J1182" t="s">
        <v>197</v>
      </c>
      <c r="K1182" t="s">
        <v>803</v>
      </c>
    </row>
    <row r="1183" spans="1:24">
      <c r="B1183" t="s">
        <v>197</v>
      </c>
      <c r="C1183" t="s">
        <v>197</v>
      </c>
      <c r="D1183" t="s">
        <v>197</v>
      </c>
      <c r="E1183" t="s">
        <v>197</v>
      </c>
      <c r="F1183" t="s">
        <v>197</v>
      </c>
      <c r="G1183" t="s">
        <v>197</v>
      </c>
      <c r="H1183" t="s">
        <v>197</v>
      </c>
      <c r="I1183" t="s">
        <v>197</v>
      </c>
      <c r="J1183" t="s">
        <v>197</v>
      </c>
      <c r="K1183" t="s">
        <v>804</v>
      </c>
    </row>
    <row r="1184" spans="1:24">
      <c r="B1184" t="s">
        <v>197</v>
      </c>
      <c r="C1184" t="s">
        <v>197</v>
      </c>
      <c r="D1184" t="s">
        <v>197</v>
      </c>
      <c r="E1184" t="s">
        <v>197</v>
      </c>
      <c r="F1184" t="s">
        <v>197</v>
      </c>
      <c r="G1184" t="s">
        <v>197</v>
      </c>
      <c r="H1184" t="s">
        <v>197</v>
      </c>
      <c r="I1184" t="s">
        <v>197</v>
      </c>
      <c r="J1184" t="s">
        <v>197</v>
      </c>
      <c r="K1184" t="s">
        <v>805</v>
      </c>
    </row>
    <row r="1185" spans="1:24">
      <c r="B1185" t="s">
        <v>197</v>
      </c>
      <c r="C1185" t="s">
        <v>197</v>
      </c>
      <c r="D1185" t="s">
        <v>197</v>
      </c>
      <c r="E1185" t="s">
        <v>197</v>
      </c>
      <c r="F1185" t="s">
        <v>197</v>
      </c>
      <c r="G1185" t="s">
        <v>197</v>
      </c>
      <c r="H1185" t="s">
        <v>197</v>
      </c>
      <c r="I1185" t="s">
        <v>197</v>
      </c>
      <c r="J1185" t="s">
        <v>197</v>
      </c>
      <c r="K1185" t="s">
        <v>806</v>
      </c>
    </row>
    <row r="1186" spans="1:24">
      <c r="B1186" t="s">
        <v>197</v>
      </c>
      <c r="C1186" t="s">
        <v>197</v>
      </c>
      <c r="D1186" t="s">
        <v>197</v>
      </c>
      <c r="E1186" t="s">
        <v>197</v>
      </c>
      <c r="F1186" t="s">
        <v>197</v>
      </c>
      <c r="G1186" t="s">
        <v>197</v>
      </c>
      <c r="H1186" t="s">
        <v>197</v>
      </c>
      <c r="I1186" t="s">
        <v>197</v>
      </c>
      <c r="J1186" t="s">
        <v>197</v>
      </c>
      <c r="K1186" t="s">
        <v>807</v>
      </c>
    </row>
    <row r="1187" spans="1:24">
      <c r="A1187" t="s">
        <v>1108</v>
      </c>
      <c r="K1187" t="s">
        <v>1109</v>
      </c>
      <c r="W1187" t="s">
        <v>171</v>
      </c>
      <c r="X1187" t="str">
        <f>A1187</f>
        <v>info_datetime2_dml_single_pk_drp</v>
      </c>
    </row>
    <row r="1188" spans="1:24">
      <c r="B1188" t="s">
        <v>196</v>
      </c>
      <c r="C1188" t="s">
        <v>197</v>
      </c>
      <c r="D1188" t="s">
        <v>197</v>
      </c>
      <c r="E1188" t="s">
        <v>197</v>
      </c>
      <c r="F1188" t="s">
        <v>197</v>
      </c>
      <c r="G1188" t="s">
        <v>197</v>
      </c>
      <c r="H1188" t="s">
        <v>197</v>
      </c>
      <c r="I1188" t="s">
        <v>1110</v>
      </c>
      <c r="J1188" t="s">
        <v>199</v>
      </c>
      <c r="K1188" t="s">
        <v>200</v>
      </c>
    </row>
    <row r="1189" spans="1:24">
      <c r="B1189" t="s">
        <v>197</v>
      </c>
      <c r="C1189" t="s">
        <v>197</v>
      </c>
      <c r="D1189" t="s">
        <v>197</v>
      </c>
      <c r="E1189" t="s">
        <v>197</v>
      </c>
      <c r="F1189" t="s">
        <v>197</v>
      </c>
      <c r="G1189" t="s">
        <v>197</v>
      </c>
      <c r="H1189" t="s">
        <v>197</v>
      </c>
      <c r="I1189" t="s">
        <v>197</v>
      </c>
      <c r="J1189" t="s">
        <v>197</v>
      </c>
      <c r="K1189" t="s">
        <v>667</v>
      </c>
    </row>
    <row r="1190" spans="1:24">
      <c r="B1190" t="s">
        <v>197</v>
      </c>
      <c r="C1190" t="s">
        <v>197</v>
      </c>
      <c r="D1190" t="s">
        <v>197</v>
      </c>
      <c r="E1190" t="s">
        <v>197</v>
      </c>
      <c r="F1190" t="s">
        <v>197</v>
      </c>
      <c r="G1190" t="s">
        <v>197</v>
      </c>
      <c r="H1190" t="s">
        <v>197</v>
      </c>
      <c r="I1190" t="s">
        <v>197</v>
      </c>
      <c r="J1190" t="s">
        <v>197</v>
      </c>
      <c r="K1190" t="s">
        <v>668</v>
      </c>
    </row>
    <row r="1191" spans="1:24">
      <c r="B1191" t="s">
        <v>197</v>
      </c>
      <c r="C1191" t="s">
        <v>197</v>
      </c>
      <c r="D1191" t="s">
        <v>197</v>
      </c>
      <c r="E1191" t="s">
        <v>197</v>
      </c>
      <c r="F1191" t="s">
        <v>197</v>
      </c>
      <c r="G1191" t="s">
        <v>197</v>
      </c>
      <c r="H1191" t="s">
        <v>197</v>
      </c>
      <c r="I1191" t="s">
        <v>197</v>
      </c>
      <c r="J1191" t="s">
        <v>197</v>
      </c>
      <c r="K1191" t="s">
        <v>669</v>
      </c>
    </row>
    <row r="1192" spans="1:24">
      <c r="B1192" t="s">
        <v>197</v>
      </c>
      <c r="C1192" t="s">
        <v>197</v>
      </c>
      <c r="D1192" t="s">
        <v>197</v>
      </c>
      <c r="E1192" t="s">
        <v>197</v>
      </c>
      <c r="F1192" t="s">
        <v>197</v>
      </c>
      <c r="G1192" t="s">
        <v>197</v>
      </c>
      <c r="H1192" t="s">
        <v>197</v>
      </c>
      <c r="I1192" t="s">
        <v>197</v>
      </c>
      <c r="J1192" t="s">
        <v>197</v>
      </c>
      <c r="K1192" t="s">
        <v>670</v>
      </c>
    </row>
    <row r="1193" spans="1:24">
      <c r="B1193" t="s">
        <v>197</v>
      </c>
      <c r="C1193" t="s">
        <v>197</v>
      </c>
      <c r="D1193" t="s">
        <v>197</v>
      </c>
      <c r="E1193" t="s">
        <v>197</v>
      </c>
      <c r="F1193" t="s">
        <v>197</v>
      </c>
      <c r="G1193" t="s">
        <v>197</v>
      </c>
      <c r="H1193" t="s">
        <v>197</v>
      </c>
      <c r="I1193" t="s">
        <v>197</v>
      </c>
      <c r="J1193" t="s">
        <v>197</v>
      </c>
      <c r="K1193" t="s">
        <v>671</v>
      </c>
    </row>
    <row r="1194" spans="1:24">
      <c r="B1194" t="s">
        <v>197</v>
      </c>
      <c r="C1194" t="s">
        <v>197</v>
      </c>
      <c r="D1194" t="s">
        <v>197</v>
      </c>
      <c r="E1194" t="s">
        <v>197</v>
      </c>
      <c r="F1194" t="s">
        <v>197</v>
      </c>
      <c r="G1194" t="s">
        <v>197</v>
      </c>
      <c r="H1194" t="s">
        <v>197</v>
      </c>
      <c r="I1194" t="s">
        <v>197</v>
      </c>
      <c r="J1194" t="s">
        <v>197</v>
      </c>
      <c r="K1194" t="s">
        <v>672</v>
      </c>
    </row>
    <row r="1195" spans="1:24">
      <c r="B1195" t="s">
        <v>197</v>
      </c>
      <c r="C1195" t="s">
        <v>197</v>
      </c>
      <c r="D1195" t="s">
        <v>197</v>
      </c>
      <c r="E1195" t="s">
        <v>197</v>
      </c>
      <c r="F1195" t="s">
        <v>197</v>
      </c>
      <c r="G1195" t="s">
        <v>197</v>
      </c>
      <c r="H1195" t="s">
        <v>197</v>
      </c>
      <c r="I1195" t="s">
        <v>197</v>
      </c>
      <c r="J1195" t="s">
        <v>197</v>
      </c>
      <c r="K1195" t="s">
        <v>673</v>
      </c>
    </row>
    <row r="1196" spans="1:24">
      <c r="B1196" t="s">
        <v>197</v>
      </c>
      <c r="C1196" t="s">
        <v>197</v>
      </c>
      <c r="D1196" t="s">
        <v>197</v>
      </c>
      <c r="E1196" t="s">
        <v>197</v>
      </c>
      <c r="F1196" t="s">
        <v>197</v>
      </c>
      <c r="G1196" t="s">
        <v>197</v>
      </c>
      <c r="H1196" t="s">
        <v>197</v>
      </c>
      <c r="I1196" t="s">
        <v>197</v>
      </c>
      <c r="J1196" t="s">
        <v>197</v>
      </c>
      <c r="K1196" t="s">
        <v>674</v>
      </c>
    </row>
    <row r="1197" spans="1:24">
      <c r="A1197" t="s">
        <v>1111</v>
      </c>
      <c r="K1197" t="s">
        <v>1112</v>
      </c>
      <c r="W1197" t="s">
        <v>171</v>
      </c>
      <c r="X1197" t="str">
        <f>A1197</f>
        <v>info_varchar_dml_single_pk_urp</v>
      </c>
    </row>
    <row r="1198" spans="1:24">
      <c r="B1198" t="s">
        <v>196</v>
      </c>
      <c r="C1198" t="s">
        <v>197</v>
      </c>
      <c r="D1198" t="s">
        <v>197</v>
      </c>
      <c r="E1198" t="s">
        <v>197</v>
      </c>
      <c r="F1198" t="s">
        <v>197</v>
      </c>
      <c r="G1198" t="s">
        <v>197</v>
      </c>
      <c r="H1198" t="s">
        <v>197</v>
      </c>
      <c r="I1198" t="s">
        <v>1113</v>
      </c>
      <c r="J1198" t="s">
        <v>199</v>
      </c>
      <c r="K1198" t="s">
        <v>200</v>
      </c>
    </row>
    <row r="1199" spans="1:24">
      <c r="B1199" t="s">
        <v>197</v>
      </c>
      <c r="C1199" t="s">
        <v>197</v>
      </c>
      <c r="D1199" t="s">
        <v>197</v>
      </c>
      <c r="E1199" t="s">
        <v>197</v>
      </c>
      <c r="F1199" t="s">
        <v>197</v>
      </c>
      <c r="G1199" t="s">
        <v>197</v>
      </c>
      <c r="H1199" t="s">
        <v>197</v>
      </c>
      <c r="I1199" t="s">
        <v>197</v>
      </c>
      <c r="J1199" t="s">
        <v>197</v>
      </c>
      <c r="K1199" t="s">
        <v>431</v>
      </c>
    </row>
    <row r="1200" spans="1:24">
      <c r="B1200" t="s">
        <v>197</v>
      </c>
      <c r="C1200" t="s">
        <v>197</v>
      </c>
      <c r="D1200" t="s">
        <v>197</v>
      </c>
      <c r="E1200" t="s">
        <v>197</v>
      </c>
      <c r="F1200" t="s">
        <v>197</v>
      </c>
      <c r="G1200" t="s">
        <v>197</v>
      </c>
      <c r="H1200" t="s">
        <v>197</v>
      </c>
      <c r="I1200" t="s">
        <v>197</v>
      </c>
      <c r="J1200" t="s">
        <v>197</v>
      </c>
      <c r="K1200" t="s">
        <v>1056</v>
      </c>
    </row>
    <row r="1201" spans="1:24">
      <c r="B1201" t="s">
        <v>197</v>
      </c>
      <c r="C1201" t="s">
        <v>197</v>
      </c>
      <c r="D1201" t="s">
        <v>197</v>
      </c>
      <c r="E1201" t="s">
        <v>197</v>
      </c>
      <c r="F1201" t="s">
        <v>197</v>
      </c>
      <c r="G1201" t="s">
        <v>197</v>
      </c>
      <c r="H1201" t="s">
        <v>197</v>
      </c>
      <c r="I1201" t="s">
        <v>197</v>
      </c>
      <c r="J1201" t="s">
        <v>197</v>
      </c>
      <c r="K1201" t="s">
        <v>963</v>
      </c>
    </row>
    <row r="1202" spans="1:24">
      <c r="A1202" t="s">
        <v>1102</v>
      </c>
      <c r="K1202" t="s">
        <v>1103</v>
      </c>
      <c r="W1202" t="s">
        <v>171</v>
      </c>
      <c r="X1202" t="str">
        <f>A1202</f>
        <v>info_uniqueidentifier_dml_single_pk_drp</v>
      </c>
    </row>
    <row r="1203" spans="1:24">
      <c r="B1203" t="s">
        <v>196</v>
      </c>
      <c r="C1203" t="s">
        <v>197</v>
      </c>
      <c r="D1203" t="s">
        <v>197</v>
      </c>
      <c r="E1203" t="s">
        <v>197</v>
      </c>
      <c r="F1203" t="s">
        <v>197</v>
      </c>
      <c r="G1203" t="s">
        <v>197</v>
      </c>
      <c r="H1203" t="s">
        <v>197</v>
      </c>
      <c r="I1203" t="s">
        <v>1104</v>
      </c>
      <c r="J1203" t="s">
        <v>199</v>
      </c>
      <c r="K1203" t="s">
        <v>200</v>
      </c>
    </row>
    <row r="1204" spans="1:24">
      <c r="B1204" t="s">
        <v>197</v>
      </c>
      <c r="C1204" t="s">
        <v>197</v>
      </c>
      <c r="D1204" t="s">
        <v>197</v>
      </c>
      <c r="E1204" t="s">
        <v>197</v>
      </c>
      <c r="F1204" t="s">
        <v>197</v>
      </c>
      <c r="G1204" t="s">
        <v>197</v>
      </c>
      <c r="H1204" t="s">
        <v>197</v>
      </c>
      <c r="I1204" t="s">
        <v>197</v>
      </c>
      <c r="J1204" t="s">
        <v>197</v>
      </c>
      <c r="K1204" t="s">
        <v>1039</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1120</v>
      </c>
      <c r="K1216" t="s">
        <v>1121</v>
      </c>
      <c r="W1216" t="s">
        <v>171</v>
      </c>
      <c r="X1216" t="str">
        <f>A1216</f>
        <v>info_uniqueidentifier_dml_single_pk</v>
      </c>
    </row>
    <row r="1217" spans="1:24">
      <c r="B1217" t="s">
        <v>196</v>
      </c>
      <c r="C1217" t="s">
        <v>197</v>
      </c>
      <c r="D1217" t="s">
        <v>197</v>
      </c>
      <c r="E1217" t="s">
        <v>197</v>
      </c>
      <c r="F1217" t="s">
        <v>197</v>
      </c>
      <c r="G1217" t="s">
        <v>197</v>
      </c>
      <c r="H1217" t="s">
        <v>197</v>
      </c>
      <c r="I1217" t="s">
        <v>1122</v>
      </c>
      <c r="J1217" t="s">
        <v>199</v>
      </c>
      <c r="K1217" t="s">
        <v>200</v>
      </c>
    </row>
    <row r="1218" spans="1:24">
      <c r="B1218" t="s">
        <v>197</v>
      </c>
      <c r="C1218" t="s">
        <v>197</v>
      </c>
      <c r="D1218" t="s">
        <v>197</v>
      </c>
      <c r="E1218" t="s">
        <v>197</v>
      </c>
      <c r="F1218" t="s">
        <v>197</v>
      </c>
      <c r="G1218" t="s">
        <v>197</v>
      </c>
      <c r="H1218" t="s">
        <v>197</v>
      </c>
      <c r="I1218" t="s">
        <v>197</v>
      </c>
      <c r="J1218" t="s">
        <v>197</v>
      </c>
      <c r="K1218" t="s">
        <v>1039</v>
      </c>
    </row>
    <row r="1219" spans="1:24">
      <c r="A1219" t="s">
        <v>1117</v>
      </c>
      <c r="K1219" t="s">
        <v>1118</v>
      </c>
      <c r="W1219" s="1" t="str">
        <f>HYPERLINK("#2026042017hbase0!AJ2","NO 源备存在差异，共8个")</f>
        <v>NO 源备存在差异，共8个</v>
      </c>
      <c r="X1219" t="str">
        <f>A1219</f>
        <v>info_int_dml_batch1_pk_irp2</v>
      </c>
    </row>
    <row r="1220" spans="1:24">
      <c r="B1220" t="s">
        <v>196</v>
      </c>
      <c r="C1220" t="s">
        <v>197</v>
      </c>
      <c r="D1220" t="s">
        <v>197</v>
      </c>
      <c r="E1220" t="s">
        <v>197</v>
      </c>
      <c r="F1220" t="s">
        <v>197</v>
      </c>
      <c r="G1220" t="s">
        <v>197</v>
      </c>
      <c r="H1220" t="s">
        <v>197</v>
      </c>
      <c r="I1220" t="s">
        <v>1119</v>
      </c>
      <c r="J1220" t="s">
        <v>199</v>
      </c>
      <c r="K1220" t="s">
        <v>200</v>
      </c>
    </row>
    <row r="1221" spans="1:24">
      <c r="B1221" t="s">
        <v>197</v>
      </c>
      <c r="C1221" t="s">
        <v>197</v>
      </c>
      <c r="D1221" t="s">
        <v>197</v>
      </c>
      <c r="E1221" t="s">
        <v>197</v>
      </c>
      <c r="F1221" t="s">
        <v>197</v>
      </c>
      <c r="G1221" t="s">
        <v>197</v>
      </c>
      <c r="H1221" t="s">
        <v>197</v>
      </c>
      <c r="I1221" t="s">
        <v>197</v>
      </c>
      <c r="J1221" t="s">
        <v>197</v>
      </c>
      <c r="K1221" t="s">
        <v>549</v>
      </c>
    </row>
    <row r="1222" spans="1:24">
      <c r="B1222" t="s">
        <v>197</v>
      </c>
      <c r="C1222" t="s">
        <v>197</v>
      </c>
      <c r="D1222" t="s">
        <v>197</v>
      </c>
      <c r="E1222" t="s">
        <v>197</v>
      </c>
      <c r="F1222" t="s">
        <v>197</v>
      </c>
      <c r="G1222" t="s">
        <v>197</v>
      </c>
      <c r="H1222" t="s">
        <v>197</v>
      </c>
      <c r="I1222" t="s">
        <v>197</v>
      </c>
      <c r="J1222" t="s">
        <v>197</v>
      </c>
      <c r="K1222" t="s">
        <v>550</v>
      </c>
    </row>
    <row r="1223" spans="1:24">
      <c r="B1223" t="s">
        <v>197</v>
      </c>
      <c r="C1223" t="s">
        <v>197</v>
      </c>
      <c r="D1223" t="s">
        <v>197</v>
      </c>
      <c r="E1223" t="s">
        <v>197</v>
      </c>
      <c r="F1223" t="s">
        <v>197</v>
      </c>
      <c r="G1223" t="s">
        <v>197</v>
      </c>
      <c r="H1223" t="s">
        <v>197</v>
      </c>
      <c r="I1223" t="s">
        <v>197</v>
      </c>
      <c r="J1223" t="s">
        <v>197</v>
      </c>
      <c r="K1223" t="s">
        <v>551</v>
      </c>
    </row>
    <row r="1224" spans="1:24">
      <c r="B1224" t="s">
        <v>197</v>
      </c>
      <c r="C1224" t="s">
        <v>197</v>
      </c>
      <c r="D1224" t="s">
        <v>197</v>
      </c>
      <c r="E1224" t="s">
        <v>197</v>
      </c>
      <c r="F1224" t="s">
        <v>197</v>
      </c>
      <c r="G1224" t="s">
        <v>197</v>
      </c>
      <c r="H1224" t="s">
        <v>197</v>
      </c>
      <c r="I1224" t="s">
        <v>197</v>
      </c>
      <c r="J1224" t="s">
        <v>197</v>
      </c>
      <c r="K1224" t="s">
        <v>552</v>
      </c>
    </row>
    <row r="1225" spans="1:24">
      <c r="B1225" t="s">
        <v>197</v>
      </c>
      <c r="C1225" t="s">
        <v>197</v>
      </c>
      <c r="D1225" t="s">
        <v>197</v>
      </c>
      <c r="E1225" t="s">
        <v>197</v>
      </c>
      <c r="F1225" t="s">
        <v>197</v>
      </c>
      <c r="G1225" t="s">
        <v>197</v>
      </c>
      <c r="H1225" t="s">
        <v>197</v>
      </c>
      <c r="I1225" t="s">
        <v>197</v>
      </c>
      <c r="J1225" t="s">
        <v>197</v>
      </c>
      <c r="K1225" t="s">
        <v>553</v>
      </c>
    </row>
    <row r="1226" spans="1:24">
      <c r="B1226" t="s">
        <v>197</v>
      </c>
      <c r="C1226" t="s">
        <v>197</v>
      </c>
      <c r="D1226" t="s">
        <v>197</v>
      </c>
      <c r="E1226" t="s">
        <v>197</v>
      </c>
      <c r="F1226" t="s">
        <v>197</v>
      </c>
      <c r="G1226" t="s">
        <v>197</v>
      </c>
      <c r="H1226" t="s">
        <v>197</v>
      </c>
      <c r="I1226" t="s">
        <v>197</v>
      </c>
      <c r="J1226" t="s">
        <v>197</v>
      </c>
      <c r="K1226" t="s">
        <v>554</v>
      </c>
    </row>
    <row r="1227" spans="1:24">
      <c r="B1227" t="s">
        <v>197</v>
      </c>
      <c r="C1227" t="s">
        <v>197</v>
      </c>
      <c r="D1227" t="s">
        <v>197</v>
      </c>
      <c r="E1227" t="s">
        <v>197</v>
      </c>
      <c r="F1227" t="s">
        <v>197</v>
      </c>
      <c r="G1227" t="s">
        <v>197</v>
      </c>
      <c r="H1227" t="s">
        <v>197</v>
      </c>
      <c r="I1227" t="s">
        <v>197</v>
      </c>
      <c r="J1227" t="s">
        <v>197</v>
      </c>
      <c r="K1227" t="s">
        <v>555</v>
      </c>
    </row>
    <row r="1228" spans="1:24">
      <c r="B1228" t="s">
        <v>197</v>
      </c>
      <c r="C1228" t="s">
        <v>197</v>
      </c>
      <c r="D1228" t="s">
        <v>197</v>
      </c>
      <c r="E1228" t="s">
        <v>197</v>
      </c>
      <c r="F1228" t="s">
        <v>197</v>
      </c>
      <c r="G1228" t="s">
        <v>197</v>
      </c>
      <c r="H1228" t="s">
        <v>197</v>
      </c>
      <c r="I1228" t="s">
        <v>197</v>
      </c>
      <c r="J1228" t="s">
        <v>197</v>
      </c>
      <c r="K1228" t="s">
        <v>556</v>
      </c>
    </row>
    <row r="1229" spans="1:24">
      <c r="B1229" t="s">
        <v>197</v>
      </c>
      <c r="C1229" t="s">
        <v>197</v>
      </c>
      <c r="D1229" t="s">
        <v>197</v>
      </c>
      <c r="E1229" t="s">
        <v>197</v>
      </c>
      <c r="F1229" t="s">
        <v>197</v>
      </c>
      <c r="G1229" t="s">
        <v>197</v>
      </c>
      <c r="H1229" t="s">
        <v>197</v>
      </c>
      <c r="I1229" t="s">
        <v>197</v>
      </c>
      <c r="J1229" t="s">
        <v>197</v>
      </c>
      <c r="K1229" t="s">
        <v>557</v>
      </c>
    </row>
    <row r="1230" spans="1:24">
      <c r="B1230" t="s">
        <v>197</v>
      </c>
      <c r="C1230" t="s">
        <v>197</v>
      </c>
      <c r="D1230" t="s">
        <v>197</v>
      </c>
      <c r="E1230" t="s">
        <v>197</v>
      </c>
      <c r="F1230" t="s">
        <v>197</v>
      </c>
      <c r="G1230" t="s">
        <v>197</v>
      </c>
      <c r="H1230" t="s">
        <v>197</v>
      </c>
      <c r="I1230" t="s">
        <v>197</v>
      </c>
      <c r="J1230" t="s">
        <v>197</v>
      </c>
      <c r="K1230" t="s">
        <v>558</v>
      </c>
    </row>
    <row r="1231" spans="1:24">
      <c r="B1231" t="s">
        <v>197</v>
      </c>
      <c r="C1231" t="s">
        <v>197</v>
      </c>
      <c r="D1231" t="s">
        <v>197</v>
      </c>
      <c r="E1231" t="s">
        <v>197</v>
      </c>
      <c r="F1231" t="s">
        <v>197</v>
      </c>
      <c r="G1231" t="s">
        <v>197</v>
      </c>
      <c r="H1231" t="s">
        <v>197</v>
      </c>
      <c r="I1231" t="s">
        <v>197</v>
      </c>
      <c r="J1231" t="s">
        <v>197</v>
      </c>
      <c r="K1231" t="s">
        <v>559</v>
      </c>
    </row>
    <row r="1232" spans="1:24">
      <c r="B1232" t="s">
        <v>197</v>
      </c>
      <c r="C1232" t="s">
        <v>197</v>
      </c>
      <c r="D1232" t="s">
        <v>197</v>
      </c>
      <c r="E1232" t="s">
        <v>197</v>
      </c>
      <c r="F1232" t="s">
        <v>197</v>
      </c>
      <c r="G1232" t="s">
        <v>197</v>
      </c>
      <c r="H1232" t="s">
        <v>197</v>
      </c>
      <c r="I1232" t="s">
        <v>197</v>
      </c>
      <c r="J1232" t="s">
        <v>197</v>
      </c>
      <c r="K1232" t="s">
        <v>560</v>
      </c>
    </row>
    <row r="1233" spans="1:24">
      <c r="B1233" t="s">
        <v>197</v>
      </c>
      <c r="C1233" t="s">
        <v>197</v>
      </c>
      <c r="D1233" t="s">
        <v>197</v>
      </c>
      <c r="E1233" t="s">
        <v>197</v>
      </c>
      <c r="F1233" t="s">
        <v>197</v>
      </c>
      <c r="G1233" t="s">
        <v>197</v>
      </c>
      <c r="H1233" t="s">
        <v>197</v>
      </c>
      <c r="I1233" t="s">
        <v>197</v>
      </c>
      <c r="J1233" t="s">
        <v>197</v>
      </c>
      <c r="K1233" t="s">
        <v>561</v>
      </c>
    </row>
    <row r="1234" spans="1:24">
      <c r="B1234" t="s">
        <v>197</v>
      </c>
      <c r="C1234" t="s">
        <v>197</v>
      </c>
      <c r="D1234" t="s">
        <v>197</v>
      </c>
      <c r="E1234" t="s">
        <v>197</v>
      </c>
      <c r="F1234" t="s">
        <v>197</v>
      </c>
      <c r="G1234" t="s">
        <v>197</v>
      </c>
      <c r="H1234" t="s">
        <v>197</v>
      </c>
      <c r="I1234" t="s">
        <v>197</v>
      </c>
      <c r="J1234" t="s">
        <v>197</v>
      </c>
      <c r="K1234" t="s">
        <v>562</v>
      </c>
    </row>
    <row r="1235" spans="1:24">
      <c r="B1235" t="s">
        <v>197</v>
      </c>
      <c r="C1235" t="s">
        <v>197</v>
      </c>
      <c r="D1235" t="s">
        <v>197</v>
      </c>
      <c r="E1235" t="s">
        <v>197</v>
      </c>
      <c r="F1235" t="s">
        <v>197</v>
      </c>
      <c r="G1235" t="s">
        <v>197</v>
      </c>
      <c r="H1235" t="s">
        <v>197</v>
      </c>
      <c r="I1235" t="s">
        <v>197</v>
      </c>
      <c r="J1235" t="s">
        <v>197</v>
      </c>
      <c r="K1235" t="s">
        <v>563</v>
      </c>
    </row>
    <row r="1236" spans="1:24">
      <c r="B1236" t="s">
        <v>197</v>
      </c>
      <c r="C1236" t="s">
        <v>197</v>
      </c>
      <c r="D1236" t="s">
        <v>197</v>
      </c>
      <c r="E1236" t="s">
        <v>197</v>
      </c>
      <c r="F1236" t="s">
        <v>197</v>
      </c>
      <c r="G1236" t="s">
        <v>197</v>
      </c>
      <c r="H1236" t="s">
        <v>197</v>
      </c>
      <c r="I1236" t="s">
        <v>197</v>
      </c>
      <c r="J1236" t="s">
        <v>197</v>
      </c>
      <c r="K1236" t="s">
        <v>564</v>
      </c>
    </row>
    <row r="1237" spans="1:24">
      <c r="B1237" t="s">
        <v>197</v>
      </c>
      <c r="C1237" t="s">
        <v>197</v>
      </c>
      <c r="D1237" t="s">
        <v>197</v>
      </c>
      <c r="E1237" t="s">
        <v>197</v>
      </c>
      <c r="F1237" t="s">
        <v>197</v>
      </c>
      <c r="G1237" t="s">
        <v>197</v>
      </c>
      <c r="H1237" t="s">
        <v>197</v>
      </c>
      <c r="I1237" t="s">
        <v>197</v>
      </c>
      <c r="J1237" t="s">
        <v>197</v>
      </c>
      <c r="K1237" t="s">
        <v>565</v>
      </c>
    </row>
    <row r="1238" spans="1:24">
      <c r="B1238" t="s">
        <v>197</v>
      </c>
      <c r="C1238" t="s">
        <v>197</v>
      </c>
      <c r="D1238" t="s">
        <v>197</v>
      </c>
      <c r="E1238" t="s">
        <v>197</v>
      </c>
      <c r="F1238" t="s">
        <v>197</v>
      </c>
      <c r="G1238" t="s">
        <v>197</v>
      </c>
      <c r="H1238" t="s">
        <v>197</v>
      </c>
      <c r="I1238" t="s">
        <v>197</v>
      </c>
      <c r="J1238" t="s">
        <v>197</v>
      </c>
      <c r="K1238" t="s">
        <v>566</v>
      </c>
    </row>
    <row r="1239" spans="1:24">
      <c r="B1239" t="s">
        <v>197</v>
      </c>
      <c r="C1239" t="s">
        <v>197</v>
      </c>
      <c r="D1239" t="s">
        <v>197</v>
      </c>
      <c r="E1239" t="s">
        <v>197</v>
      </c>
      <c r="F1239" t="s">
        <v>197</v>
      </c>
      <c r="G1239" t="s">
        <v>197</v>
      </c>
      <c r="H1239" t="s">
        <v>197</v>
      </c>
      <c r="I1239" t="s">
        <v>197</v>
      </c>
      <c r="J1239" t="s">
        <v>197</v>
      </c>
      <c r="K1239" t="s">
        <v>567</v>
      </c>
    </row>
    <row r="1240" spans="1:24">
      <c r="A1240" t="s">
        <v>1123</v>
      </c>
      <c r="K1240" t="s">
        <v>1124</v>
      </c>
      <c r="W1240" t="s">
        <v>171</v>
      </c>
      <c r="X1240" t="str">
        <f>A1240</f>
        <v>info_datetime2_dml_single_pk</v>
      </c>
    </row>
    <row r="1241" spans="1:24">
      <c r="B1241" t="s">
        <v>196</v>
      </c>
      <c r="C1241" t="s">
        <v>197</v>
      </c>
      <c r="D1241" t="s">
        <v>197</v>
      </c>
      <c r="E1241" t="s">
        <v>197</v>
      </c>
      <c r="F1241" t="s">
        <v>197</v>
      </c>
      <c r="G1241" t="s">
        <v>197</v>
      </c>
      <c r="H1241" t="s">
        <v>197</v>
      </c>
      <c r="I1241" t="s">
        <v>1125</v>
      </c>
      <c r="J1241" t="s">
        <v>199</v>
      </c>
      <c r="K1241" t="s">
        <v>200</v>
      </c>
    </row>
    <row r="1242" spans="1:24">
      <c r="B1242" t="s">
        <v>197</v>
      </c>
      <c r="C1242" t="s">
        <v>197</v>
      </c>
      <c r="D1242" t="s">
        <v>197</v>
      </c>
      <c r="E1242" t="s">
        <v>197</v>
      </c>
      <c r="F1242" t="s">
        <v>197</v>
      </c>
      <c r="G1242" t="s">
        <v>197</v>
      </c>
      <c r="H1242" t="s">
        <v>197</v>
      </c>
      <c r="I1242" t="s">
        <v>197</v>
      </c>
      <c r="J1242" t="s">
        <v>197</v>
      </c>
      <c r="K1242" t="s">
        <v>667</v>
      </c>
    </row>
    <row r="1243" spans="1:24">
      <c r="B1243" t="s">
        <v>197</v>
      </c>
      <c r="C1243" t="s">
        <v>197</v>
      </c>
      <c r="D1243" t="s">
        <v>197</v>
      </c>
      <c r="E1243" t="s">
        <v>197</v>
      </c>
      <c r="F1243" t="s">
        <v>197</v>
      </c>
      <c r="G1243" t="s">
        <v>197</v>
      </c>
      <c r="H1243" t="s">
        <v>197</v>
      </c>
      <c r="I1243" t="s">
        <v>197</v>
      </c>
      <c r="J1243" t="s">
        <v>197</v>
      </c>
      <c r="K1243" t="s">
        <v>668</v>
      </c>
    </row>
    <row r="1244" spans="1:24">
      <c r="B1244" t="s">
        <v>197</v>
      </c>
      <c r="C1244" t="s">
        <v>197</v>
      </c>
      <c r="D1244" t="s">
        <v>197</v>
      </c>
      <c r="E1244" t="s">
        <v>197</v>
      </c>
      <c r="F1244" t="s">
        <v>197</v>
      </c>
      <c r="G1244" t="s">
        <v>197</v>
      </c>
      <c r="H1244" t="s">
        <v>197</v>
      </c>
      <c r="I1244" t="s">
        <v>197</v>
      </c>
      <c r="J1244" t="s">
        <v>197</v>
      </c>
      <c r="K1244" t="s">
        <v>669</v>
      </c>
    </row>
    <row r="1245" spans="1:24">
      <c r="B1245" t="s">
        <v>197</v>
      </c>
      <c r="C1245" t="s">
        <v>197</v>
      </c>
      <c r="D1245" t="s">
        <v>197</v>
      </c>
      <c r="E1245" t="s">
        <v>197</v>
      </c>
      <c r="F1245" t="s">
        <v>197</v>
      </c>
      <c r="G1245" t="s">
        <v>197</v>
      </c>
      <c r="H1245" t="s">
        <v>197</v>
      </c>
      <c r="I1245" t="s">
        <v>197</v>
      </c>
      <c r="J1245" t="s">
        <v>197</v>
      </c>
      <c r="K1245" t="s">
        <v>670</v>
      </c>
    </row>
    <row r="1246" spans="1:24">
      <c r="B1246" t="s">
        <v>197</v>
      </c>
      <c r="C1246" t="s">
        <v>197</v>
      </c>
      <c r="D1246" t="s">
        <v>197</v>
      </c>
      <c r="E1246" t="s">
        <v>197</v>
      </c>
      <c r="F1246" t="s">
        <v>197</v>
      </c>
      <c r="G1246" t="s">
        <v>197</v>
      </c>
      <c r="H1246" t="s">
        <v>197</v>
      </c>
      <c r="I1246" t="s">
        <v>197</v>
      </c>
      <c r="J1246" t="s">
        <v>197</v>
      </c>
      <c r="K1246" t="s">
        <v>671</v>
      </c>
    </row>
    <row r="1247" spans="1:24">
      <c r="B1247" t="s">
        <v>197</v>
      </c>
      <c r="C1247" t="s">
        <v>197</v>
      </c>
      <c r="D1247" t="s">
        <v>197</v>
      </c>
      <c r="E1247" t="s">
        <v>197</v>
      </c>
      <c r="F1247" t="s">
        <v>197</v>
      </c>
      <c r="G1247" t="s">
        <v>197</v>
      </c>
      <c r="H1247" t="s">
        <v>197</v>
      </c>
      <c r="I1247" t="s">
        <v>197</v>
      </c>
      <c r="J1247" t="s">
        <v>197</v>
      </c>
      <c r="K1247" t="s">
        <v>672</v>
      </c>
    </row>
    <row r="1248" spans="1:24">
      <c r="B1248" t="s">
        <v>197</v>
      </c>
      <c r="C1248" t="s">
        <v>197</v>
      </c>
      <c r="D1248" t="s">
        <v>197</v>
      </c>
      <c r="E1248" t="s">
        <v>197</v>
      </c>
      <c r="F1248" t="s">
        <v>197</v>
      </c>
      <c r="G1248" t="s">
        <v>197</v>
      </c>
      <c r="H1248" t="s">
        <v>197</v>
      </c>
      <c r="I1248" t="s">
        <v>197</v>
      </c>
      <c r="J1248" t="s">
        <v>197</v>
      </c>
      <c r="K1248" t="s">
        <v>673</v>
      </c>
    </row>
    <row r="1249" spans="1:24">
      <c r="B1249" t="s">
        <v>197</v>
      </c>
      <c r="C1249" t="s">
        <v>197</v>
      </c>
      <c r="D1249" t="s">
        <v>197</v>
      </c>
      <c r="E1249" t="s">
        <v>197</v>
      </c>
      <c r="F1249" t="s">
        <v>197</v>
      </c>
      <c r="G1249" t="s">
        <v>197</v>
      </c>
      <c r="H1249" t="s">
        <v>197</v>
      </c>
      <c r="I1249" t="s">
        <v>197</v>
      </c>
      <c r="J1249" t="s">
        <v>197</v>
      </c>
      <c r="K1249" t="s">
        <v>674</v>
      </c>
    </row>
    <row r="1250" spans="1:24">
      <c r="A1250" t="s">
        <v>1132</v>
      </c>
      <c r="K1250" t="s">
        <v>1133</v>
      </c>
      <c r="W1250" t="s">
        <v>171</v>
      </c>
      <c r="X1250" t="str">
        <f>A1250</f>
        <v>info_time_dml_batch1_pk_drp2</v>
      </c>
    </row>
    <row r="1251" spans="1:24">
      <c r="B1251" t="s">
        <v>196</v>
      </c>
      <c r="C1251" t="s">
        <v>197</v>
      </c>
      <c r="D1251" t="s">
        <v>197</v>
      </c>
      <c r="E1251" t="s">
        <v>197</v>
      </c>
      <c r="F1251" t="s">
        <v>197</v>
      </c>
      <c r="G1251" t="s">
        <v>197</v>
      </c>
      <c r="H1251" t="s">
        <v>197</v>
      </c>
      <c r="I1251" t="s">
        <v>1134</v>
      </c>
      <c r="J1251" t="s">
        <v>199</v>
      </c>
      <c r="K1251" t="s">
        <v>200</v>
      </c>
    </row>
    <row r="1252" spans="1:24">
      <c r="B1252" t="s">
        <v>197</v>
      </c>
      <c r="C1252" t="s">
        <v>197</v>
      </c>
      <c r="D1252" t="s">
        <v>197</v>
      </c>
      <c r="E1252" t="s">
        <v>197</v>
      </c>
      <c r="F1252" t="s">
        <v>197</v>
      </c>
      <c r="G1252" t="s">
        <v>197</v>
      </c>
      <c r="H1252" t="s">
        <v>197</v>
      </c>
      <c r="I1252" t="s">
        <v>197</v>
      </c>
      <c r="J1252" t="s">
        <v>197</v>
      </c>
      <c r="K1252" t="s">
        <v>800</v>
      </c>
    </row>
    <row r="1253" spans="1:24">
      <c r="B1253" t="s">
        <v>197</v>
      </c>
      <c r="C1253" t="s">
        <v>197</v>
      </c>
      <c r="D1253" t="s">
        <v>197</v>
      </c>
      <c r="E1253" t="s">
        <v>197</v>
      </c>
      <c r="F1253" t="s">
        <v>197</v>
      </c>
      <c r="G1253" t="s">
        <v>197</v>
      </c>
      <c r="H1253" t="s">
        <v>197</v>
      </c>
      <c r="I1253" t="s">
        <v>197</v>
      </c>
      <c r="J1253" t="s">
        <v>197</v>
      </c>
      <c r="K1253" t="s">
        <v>801</v>
      </c>
    </row>
    <row r="1254" spans="1:24">
      <c r="B1254" t="s">
        <v>197</v>
      </c>
      <c r="C1254" t="s">
        <v>197</v>
      </c>
      <c r="D1254" t="s">
        <v>197</v>
      </c>
      <c r="E1254" t="s">
        <v>197</v>
      </c>
      <c r="F1254" t="s">
        <v>197</v>
      </c>
      <c r="G1254" t="s">
        <v>197</v>
      </c>
      <c r="H1254" t="s">
        <v>197</v>
      </c>
      <c r="I1254" t="s">
        <v>197</v>
      </c>
      <c r="J1254" t="s">
        <v>197</v>
      </c>
      <c r="K1254" t="s">
        <v>802</v>
      </c>
    </row>
    <row r="1255" spans="1:24">
      <c r="B1255" t="s">
        <v>197</v>
      </c>
      <c r="C1255" t="s">
        <v>197</v>
      </c>
      <c r="D1255" t="s">
        <v>197</v>
      </c>
      <c r="E1255" t="s">
        <v>197</v>
      </c>
      <c r="F1255" t="s">
        <v>197</v>
      </c>
      <c r="G1255" t="s">
        <v>197</v>
      </c>
      <c r="H1255" t="s">
        <v>197</v>
      </c>
      <c r="I1255" t="s">
        <v>197</v>
      </c>
      <c r="J1255" t="s">
        <v>197</v>
      </c>
      <c r="K1255" t="s">
        <v>803</v>
      </c>
    </row>
    <row r="1256" spans="1:24">
      <c r="B1256" t="s">
        <v>197</v>
      </c>
      <c r="C1256" t="s">
        <v>197</v>
      </c>
      <c r="D1256" t="s">
        <v>197</v>
      </c>
      <c r="E1256" t="s">
        <v>197</v>
      </c>
      <c r="F1256" t="s">
        <v>197</v>
      </c>
      <c r="G1256" t="s">
        <v>197</v>
      </c>
      <c r="H1256" t="s">
        <v>197</v>
      </c>
      <c r="I1256" t="s">
        <v>197</v>
      </c>
      <c r="J1256" t="s">
        <v>197</v>
      </c>
      <c r="K1256" t="s">
        <v>804</v>
      </c>
    </row>
    <row r="1257" spans="1:24">
      <c r="B1257" t="s">
        <v>197</v>
      </c>
      <c r="C1257" t="s">
        <v>197</v>
      </c>
      <c r="D1257" t="s">
        <v>197</v>
      </c>
      <c r="E1257" t="s">
        <v>197</v>
      </c>
      <c r="F1257" t="s">
        <v>197</v>
      </c>
      <c r="G1257" t="s">
        <v>197</v>
      </c>
      <c r="H1257" t="s">
        <v>197</v>
      </c>
      <c r="I1257" t="s">
        <v>197</v>
      </c>
      <c r="J1257" t="s">
        <v>197</v>
      </c>
      <c r="K1257" t="s">
        <v>805</v>
      </c>
    </row>
    <row r="1258" spans="1:24">
      <c r="B1258" t="s">
        <v>197</v>
      </c>
      <c r="C1258" t="s">
        <v>197</v>
      </c>
      <c r="D1258" t="s">
        <v>197</v>
      </c>
      <c r="E1258" t="s">
        <v>197</v>
      </c>
      <c r="F1258" t="s">
        <v>197</v>
      </c>
      <c r="G1258" t="s">
        <v>197</v>
      </c>
      <c r="H1258" t="s">
        <v>197</v>
      </c>
      <c r="I1258" t="s">
        <v>197</v>
      </c>
      <c r="J1258" t="s">
        <v>197</v>
      </c>
      <c r="K1258" t="s">
        <v>806</v>
      </c>
    </row>
    <row r="1259" spans="1:24">
      <c r="B1259" t="s">
        <v>197</v>
      </c>
      <c r="C1259" t="s">
        <v>197</v>
      </c>
      <c r="D1259" t="s">
        <v>197</v>
      </c>
      <c r="E1259" t="s">
        <v>197</v>
      </c>
      <c r="F1259" t="s">
        <v>197</v>
      </c>
      <c r="G1259" t="s">
        <v>197</v>
      </c>
      <c r="H1259" t="s">
        <v>197</v>
      </c>
      <c r="I1259" t="s">
        <v>197</v>
      </c>
      <c r="J1259" t="s">
        <v>197</v>
      </c>
      <c r="K1259" t="s">
        <v>807</v>
      </c>
    </row>
    <row r="1260" spans="1:24">
      <c r="A1260" t="s">
        <v>1126</v>
      </c>
      <c r="K1260" t="s">
        <v>1127</v>
      </c>
      <c r="W1260" t="s">
        <v>171</v>
      </c>
      <c r="X1260" t="str">
        <f>A1260</f>
        <v>info_varchar_dml_single_pk_drp</v>
      </c>
    </row>
    <row r="1261" spans="1:24">
      <c r="B1261" t="s">
        <v>196</v>
      </c>
      <c r="C1261" t="s">
        <v>197</v>
      </c>
      <c r="D1261" t="s">
        <v>197</v>
      </c>
      <c r="E1261" t="s">
        <v>197</v>
      </c>
      <c r="F1261" t="s">
        <v>197</v>
      </c>
      <c r="G1261" t="s">
        <v>197</v>
      </c>
      <c r="H1261" t="s">
        <v>197</v>
      </c>
      <c r="I1261" t="s">
        <v>1128</v>
      </c>
      <c r="J1261" t="s">
        <v>199</v>
      </c>
      <c r="K1261" t="s">
        <v>200</v>
      </c>
    </row>
    <row r="1262" spans="1:24">
      <c r="B1262" t="s">
        <v>197</v>
      </c>
      <c r="C1262" t="s">
        <v>197</v>
      </c>
      <c r="D1262" t="s">
        <v>197</v>
      </c>
      <c r="E1262" t="s">
        <v>197</v>
      </c>
      <c r="F1262" t="s">
        <v>197</v>
      </c>
      <c r="G1262" t="s">
        <v>197</v>
      </c>
      <c r="H1262" t="s">
        <v>197</v>
      </c>
      <c r="I1262" t="s">
        <v>197</v>
      </c>
      <c r="J1262" t="s">
        <v>197</v>
      </c>
      <c r="K1262" t="s">
        <v>431</v>
      </c>
    </row>
    <row r="1263" spans="1:24">
      <c r="B1263" t="s">
        <v>197</v>
      </c>
      <c r="C1263" t="s">
        <v>197</v>
      </c>
      <c r="D1263" t="s">
        <v>197</v>
      </c>
      <c r="E1263" t="s">
        <v>197</v>
      </c>
      <c r="F1263" t="s">
        <v>197</v>
      </c>
      <c r="G1263" t="s">
        <v>197</v>
      </c>
      <c r="H1263" t="s">
        <v>197</v>
      </c>
      <c r="I1263" t="s">
        <v>197</v>
      </c>
      <c r="J1263" t="s">
        <v>197</v>
      </c>
      <c r="K1263" t="s">
        <v>1056</v>
      </c>
    </row>
    <row r="1264" spans="1:24">
      <c r="B1264" t="s">
        <v>197</v>
      </c>
      <c r="C1264" t="s">
        <v>197</v>
      </c>
      <c r="D1264" t="s">
        <v>197</v>
      </c>
      <c r="E1264" t="s">
        <v>197</v>
      </c>
      <c r="F1264" t="s">
        <v>197</v>
      </c>
      <c r="G1264" t="s">
        <v>197</v>
      </c>
      <c r="H1264" t="s">
        <v>197</v>
      </c>
      <c r="I1264" t="s">
        <v>197</v>
      </c>
      <c r="J1264" t="s">
        <v>197</v>
      </c>
      <c r="K1264" t="s">
        <v>963</v>
      </c>
    </row>
    <row r="1265" spans="1:24">
      <c r="A1265" t="s">
        <v>1129</v>
      </c>
      <c r="K1265" t="s">
        <v>1130</v>
      </c>
      <c r="W1265" s="1" t="str">
        <f>HYPERLINK("#2026042017hbase0!AK2","NO 源备存在差异，共4个")</f>
        <v>NO 源备存在差异，共4个</v>
      </c>
      <c r="X1265" t="str">
        <f>A1265</f>
        <v>info_geography_dml_single_pk_drp</v>
      </c>
    </row>
    <row r="1266" spans="1:24">
      <c r="B1266" t="s">
        <v>196</v>
      </c>
      <c r="C1266" t="s">
        <v>197</v>
      </c>
      <c r="D1266" t="s">
        <v>197</v>
      </c>
      <c r="E1266" t="s">
        <v>197</v>
      </c>
      <c r="F1266" t="s">
        <v>197</v>
      </c>
      <c r="G1266" t="s">
        <v>197</v>
      </c>
      <c r="H1266" t="s">
        <v>197</v>
      </c>
      <c r="I1266" t="s">
        <v>1131</v>
      </c>
      <c r="J1266" t="s">
        <v>199</v>
      </c>
      <c r="K1266" t="s">
        <v>200</v>
      </c>
    </row>
    <row r="1267" spans="1:24">
      <c r="B1267" t="s">
        <v>197</v>
      </c>
      <c r="C1267" t="s">
        <v>197</v>
      </c>
      <c r="D1267" t="s">
        <v>197</v>
      </c>
      <c r="E1267" t="s">
        <v>197</v>
      </c>
      <c r="F1267" t="s">
        <v>197</v>
      </c>
      <c r="G1267" t="s">
        <v>197</v>
      </c>
      <c r="H1267" t="s">
        <v>197</v>
      </c>
      <c r="I1267" t="s">
        <v>197</v>
      </c>
      <c r="J1267" t="s">
        <v>197</v>
      </c>
      <c r="K1267" t="s">
        <v>1052</v>
      </c>
    </row>
    <row r="1268" spans="1:24">
      <c r="A1268" t="s">
        <v>1141</v>
      </c>
      <c r="K1268" t="s">
        <v>1142</v>
      </c>
      <c r="W1268" t="s">
        <v>171</v>
      </c>
      <c r="X1268" t="str">
        <f>A1268</f>
        <v>info_nvarchar_dml_batch2_pk_irp2</v>
      </c>
    </row>
    <row r="1269" spans="1:24">
      <c r="B1269" t="s">
        <v>196</v>
      </c>
      <c r="C1269" t="s">
        <v>197</v>
      </c>
      <c r="D1269" t="s">
        <v>197</v>
      </c>
      <c r="E1269" t="s">
        <v>197</v>
      </c>
      <c r="F1269" t="s">
        <v>197</v>
      </c>
      <c r="G1269" t="s">
        <v>197</v>
      </c>
      <c r="H1269" t="s">
        <v>197</v>
      </c>
      <c r="I1269" t="s">
        <v>1143</v>
      </c>
      <c r="J1269" t="s">
        <v>199</v>
      </c>
      <c r="K1269" t="s">
        <v>200</v>
      </c>
    </row>
    <row r="1270" spans="1:24">
      <c r="B1270" t="s">
        <v>197</v>
      </c>
      <c r="C1270" t="s">
        <v>197</v>
      </c>
      <c r="D1270" t="s">
        <v>197</v>
      </c>
      <c r="E1270" t="s">
        <v>197</v>
      </c>
      <c r="F1270" t="s">
        <v>197</v>
      </c>
      <c r="G1270" t="s">
        <v>197</v>
      </c>
      <c r="H1270" t="s">
        <v>197</v>
      </c>
      <c r="I1270" t="s">
        <v>197</v>
      </c>
      <c r="J1270" t="s">
        <v>197</v>
      </c>
      <c r="K1270" t="s">
        <v>408</v>
      </c>
    </row>
    <row r="1271" spans="1:24">
      <c r="B1271" t="s">
        <v>197</v>
      </c>
      <c r="C1271" t="s">
        <v>197</v>
      </c>
      <c r="D1271" t="s">
        <v>197</v>
      </c>
      <c r="E1271" t="s">
        <v>197</v>
      </c>
      <c r="F1271" t="s">
        <v>197</v>
      </c>
      <c r="G1271" t="s">
        <v>197</v>
      </c>
      <c r="H1271" t="s">
        <v>197</v>
      </c>
      <c r="I1271" t="s">
        <v>197</v>
      </c>
      <c r="J1271" t="s">
        <v>197</v>
      </c>
      <c r="K1271" t="s">
        <v>412</v>
      </c>
    </row>
    <row r="1272" spans="1:24">
      <c r="B1272" t="s">
        <v>197</v>
      </c>
      <c r="C1272" t="s">
        <v>197</v>
      </c>
      <c r="D1272" t="s">
        <v>197</v>
      </c>
      <c r="E1272" t="s">
        <v>197</v>
      </c>
      <c r="F1272" t="s">
        <v>197</v>
      </c>
      <c r="G1272" t="s">
        <v>197</v>
      </c>
      <c r="H1272" t="s">
        <v>197</v>
      </c>
      <c r="I1272" t="s">
        <v>197</v>
      </c>
      <c r="J1272" t="s">
        <v>197</v>
      </c>
      <c r="K1272" t="s">
        <v>416</v>
      </c>
    </row>
    <row r="1273" spans="1:24">
      <c r="A1273" t="s">
        <v>1138</v>
      </c>
      <c r="K1273" t="s">
        <v>1139</v>
      </c>
      <c r="W1273" t="s">
        <v>171</v>
      </c>
      <c r="X1273" t="str">
        <f>A1273</f>
        <v>info_geography_dml_single_pk</v>
      </c>
    </row>
    <row r="1274" spans="1:24">
      <c r="B1274" t="s">
        <v>196</v>
      </c>
      <c r="C1274" t="s">
        <v>197</v>
      </c>
      <c r="D1274" t="s">
        <v>197</v>
      </c>
      <c r="E1274" t="s">
        <v>197</v>
      </c>
      <c r="F1274" t="s">
        <v>197</v>
      </c>
      <c r="G1274" t="s">
        <v>197</v>
      </c>
      <c r="H1274" t="s">
        <v>197</v>
      </c>
      <c r="I1274" t="s">
        <v>1140</v>
      </c>
      <c r="J1274" t="s">
        <v>199</v>
      </c>
      <c r="K1274" t="s">
        <v>200</v>
      </c>
    </row>
    <row r="1275" spans="1:24">
      <c r="B1275" t="s">
        <v>197</v>
      </c>
      <c r="C1275" t="s">
        <v>197</v>
      </c>
      <c r="D1275" t="s">
        <v>197</v>
      </c>
      <c r="E1275" t="s">
        <v>197</v>
      </c>
      <c r="F1275" t="s">
        <v>197</v>
      </c>
      <c r="G1275" t="s">
        <v>197</v>
      </c>
      <c r="H1275" t="s">
        <v>197</v>
      </c>
      <c r="I1275" t="s">
        <v>197</v>
      </c>
      <c r="J1275" t="s">
        <v>197</v>
      </c>
      <c r="K1275" t="s">
        <v>1052</v>
      </c>
    </row>
    <row r="1276" spans="1:24">
      <c r="A1276" t="s">
        <v>1150</v>
      </c>
      <c r="K1276" t="s">
        <v>1151</v>
      </c>
      <c r="W1276" t="s">
        <v>171</v>
      </c>
      <c r="X1276" t="str">
        <f>A1276</f>
        <v>info_time_dml_batch1_pk</v>
      </c>
    </row>
    <row r="1277" spans="1:24">
      <c r="B1277" t="s">
        <v>196</v>
      </c>
      <c r="C1277" t="s">
        <v>197</v>
      </c>
      <c r="D1277" t="s">
        <v>197</v>
      </c>
      <c r="E1277" t="s">
        <v>197</v>
      </c>
      <c r="F1277" t="s">
        <v>197</v>
      </c>
      <c r="G1277" t="s">
        <v>197</v>
      </c>
      <c r="H1277" t="s">
        <v>197</v>
      </c>
      <c r="I1277" t="s">
        <v>1152</v>
      </c>
      <c r="J1277" t="s">
        <v>199</v>
      </c>
      <c r="K1277" t="s">
        <v>200</v>
      </c>
    </row>
    <row r="1278" spans="1:24">
      <c r="B1278" t="s">
        <v>197</v>
      </c>
      <c r="C1278" t="s">
        <v>197</v>
      </c>
      <c r="D1278" t="s">
        <v>197</v>
      </c>
      <c r="E1278" t="s">
        <v>197</v>
      </c>
      <c r="F1278" t="s">
        <v>197</v>
      </c>
      <c r="G1278" t="s">
        <v>197</v>
      </c>
      <c r="H1278" t="s">
        <v>197</v>
      </c>
      <c r="I1278" t="s">
        <v>197</v>
      </c>
      <c r="J1278" t="s">
        <v>197</v>
      </c>
      <c r="K1278" t="s">
        <v>800</v>
      </c>
    </row>
    <row r="1279" spans="1:24">
      <c r="B1279" t="s">
        <v>197</v>
      </c>
      <c r="C1279" t="s">
        <v>197</v>
      </c>
      <c r="D1279" t="s">
        <v>197</v>
      </c>
      <c r="E1279" t="s">
        <v>197</v>
      </c>
      <c r="F1279" t="s">
        <v>197</v>
      </c>
      <c r="G1279" t="s">
        <v>197</v>
      </c>
      <c r="H1279" t="s">
        <v>197</v>
      </c>
      <c r="I1279" t="s">
        <v>197</v>
      </c>
      <c r="J1279" t="s">
        <v>197</v>
      </c>
      <c r="K1279" t="s">
        <v>801</v>
      </c>
    </row>
    <row r="1280" spans="1:24">
      <c r="B1280" t="s">
        <v>197</v>
      </c>
      <c r="C1280" t="s">
        <v>197</v>
      </c>
      <c r="D1280" t="s">
        <v>197</v>
      </c>
      <c r="E1280" t="s">
        <v>197</v>
      </c>
      <c r="F1280" t="s">
        <v>197</v>
      </c>
      <c r="G1280" t="s">
        <v>197</v>
      </c>
      <c r="H1280" t="s">
        <v>197</v>
      </c>
      <c r="I1280" t="s">
        <v>197</v>
      </c>
      <c r="J1280" t="s">
        <v>197</v>
      </c>
      <c r="K1280" t="s">
        <v>802</v>
      </c>
    </row>
    <row r="1281" spans="1:24">
      <c r="B1281" t="s">
        <v>197</v>
      </c>
      <c r="C1281" t="s">
        <v>197</v>
      </c>
      <c r="D1281" t="s">
        <v>197</v>
      </c>
      <c r="E1281" t="s">
        <v>197</v>
      </c>
      <c r="F1281" t="s">
        <v>197</v>
      </c>
      <c r="G1281" t="s">
        <v>197</v>
      </c>
      <c r="H1281" t="s">
        <v>197</v>
      </c>
      <c r="I1281" t="s">
        <v>197</v>
      </c>
      <c r="J1281" t="s">
        <v>197</v>
      </c>
      <c r="K1281" t="s">
        <v>803</v>
      </c>
    </row>
    <row r="1282" spans="1:24">
      <c r="B1282" t="s">
        <v>197</v>
      </c>
      <c r="C1282" t="s">
        <v>197</v>
      </c>
      <c r="D1282" t="s">
        <v>197</v>
      </c>
      <c r="E1282" t="s">
        <v>197</v>
      </c>
      <c r="F1282" t="s">
        <v>197</v>
      </c>
      <c r="G1282" t="s">
        <v>197</v>
      </c>
      <c r="H1282" t="s">
        <v>197</v>
      </c>
      <c r="I1282" t="s">
        <v>197</v>
      </c>
      <c r="J1282" t="s">
        <v>197</v>
      </c>
      <c r="K1282" t="s">
        <v>804</v>
      </c>
    </row>
    <row r="1283" spans="1:24">
      <c r="B1283" t="s">
        <v>197</v>
      </c>
      <c r="C1283" t="s">
        <v>197</v>
      </c>
      <c r="D1283" t="s">
        <v>197</v>
      </c>
      <c r="E1283" t="s">
        <v>197</v>
      </c>
      <c r="F1283" t="s">
        <v>197</v>
      </c>
      <c r="G1283" t="s">
        <v>197</v>
      </c>
      <c r="H1283" t="s">
        <v>197</v>
      </c>
      <c r="I1283" t="s">
        <v>197</v>
      </c>
      <c r="J1283" t="s">
        <v>197</v>
      </c>
      <c r="K1283" t="s">
        <v>805</v>
      </c>
    </row>
    <row r="1284" spans="1:24">
      <c r="B1284" t="s">
        <v>197</v>
      </c>
      <c r="C1284" t="s">
        <v>197</v>
      </c>
      <c r="D1284" t="s">
        <v>197</v>
      </c>
      <c r="E1284" t="s">
        <v>197</v>
      </c>
      <c r="F1284" t="s">
        <v>197</v>
      </c>
      <c r="G1284" t="s">
        <v>197</v>
      </c>
      <c r="H1284" t="s">
        <v>197</v>
      </c>
      <c r="I1284" t="s">
        <v>197</v>
      </c>
      <c r="J1284" t="s">
        <v>197</v>
      </c>
      <c r="K1284" t="s">
        <v>806</v>
      </c>
    </row>
    <row r="1285" spans="1:24">
      <c r="B1285" t="s">
        <v>197</v>
      </c>
      <c r="C1285" t="s">
        <v>197</v>
      </c>
      <c r="D1285" t="s">
        <v>197</v>
      </c>
      <c r="E1285" t="s">
        <v>197</v>
      </c>
      <c r="F1285" t="s">
        <v>197</v>
      </c>
      <c r="G1285" t="s">
        <v>197</v>
      </c>
      <c r="H1285" t="s">
        <v>197</v>
      </c>
      <c r="I1285" t="s">
        <v>197</v>
      </c>
      <c r="J1285" t="s">
        <v>197</v>
      </c>
      <c r="K1285" t="s">
        <v>807</v>
      </c>
    </row>
    <row r="1286" spans="1:24">
      <c r="A1286" t="s">
        <v>1135</v>
      </c>
      <c r="K1286" t="s">
        <v>1136</v>
      </c>
      <c r="W1286" t="s">
        <v>171</v>
      </c>
      <c r="X1286" t="str">
        <f>A1286</f>
        <v>info_varchar_dml_batch1_pk_urp1</v>
      </c>
    </row>
    <row r="1287" spans="1:24">
      <c r="B1287" t="s">
        <v>196</v>
      </c>
      <c r="C1287" t="s">
        <v>197</v>
      </c>
      <c r="D1287" t="s">
        <v>197</v>
      </c>
      <c r="E1287" t="s">
        <v>197</v>
      </c>
      <c r="F1287" t="s">
        <v>197</v>
      </c>
      <c r="G1287" t="s">
        <v>197</v>
      </c>
      <c r="H1287" t="s">
        <v>197</v>
      </c>
      <c r="I1287" t="s">
        <v>1137</v>
      </c>
      <c r="J1287" t="s">
        <v>199</v>
      </c>
      <c r="K1287" t="s">
        <v>200</v>
      </c>
    </row>
    <row r="1288" spans="1:24">
      <c r="B1288" t="s">
        <v>197</v>
      </c>
      <c r="C1288" t="s">
        <v>197</v>
      </c>
      <c r="D1288" t="s">
        <v>197</v>
      </c>
      <c r="E1288" t="s">
        <v>197</v>
      </c>
      <c r="F1288" t="s">
        <v>197</v>
      </c>
      <c r="G1288" t="s">
        <v>197</v>
      </c>
      <c r="H1288" t="s">
        <v>197</v>
      </c>
      <c r="I1288" t="s">
        <v>197</v>
      </c>
      <c r="J1288" t="s">
        <v>197</v>
      </c>
      <c r="K1288" t="s">
        <v>431</v>
      </c>
    </row>
    <row r="1289" spans="1:24">
      <c r="B1289" t="s">
        <v>197</v>
      </c>
      <c r="C1289" t="s">
        <v>197</v>
      </c>
      <c r="D1289" t="s">
        <v>197</v>
      </c>
      <c r="E1289" t="s">
        <v>197</v>
      </c>
      <c r="F1289" t="s">
        <v>197</v>
      </c>
      <c r="G1289" t="s">
        <v>197</v>
      </c>
      <c r="H1289" t="s">
        <v>197</v>
      </c>
      <c r="I1289" t="s">
        <v>197</v>
      </c>
      <c r="J1289" t="s">
        <v>197</v>
      </c>
      <c r="K1289" t="s">
        <v>434</v>
      </c>
    </row>
    <row r="1290" spans="1:24">
      <c r="B1290" t="s">
        <v>197</v>
      </c>
      <c r="C1290" t="s">
        <v>197</v>
      </c>
      <c r="D1290" t="s">
        <v>197</v>
      </c>
      <c r="E1290" t="s">
        <v>197</v>
      </c>
      <c r="F1290" t="s">
        <v>197</v>
      </c>
      <c r="G1290" t="s">
        <v>197</v>
      </c>
      <c r="H1290" t="s">
        <v>197</v>
      </c>
      <c r="I1290" t="s">
        <v>197</v>
      </c>
      <c r="J1290" t="s">
        <v>197</v>
      </c>
      <c r="K1290" t="s">
        <v>439</v>
      </c>
    </row>
    <row r="1291" spans="1:24">
      <c r="A1291" t="s">
        <v>697</v>
      </c>
      <c r="K1291" t="s">
        <v>698</v>
      </c>
      <c r="W1291" t="s">
        <v>171</v>
      </c>
      <c r="X1291" t="str">
        <f>A1291</f>
        <v>info_int_dml_batch1_pk</v>
      </c>
    </row>
    <row r="1292" spans="1:24">
      <c r="B1292" t="s">
        <v>196</v>
      </c>
      <c r="C1292" t="s">
        <v>197</v>
      </c>
      <c r="D1292" t="s">
        <v>197</v>
      </c>
      <c r="E1292" t="s">
        <v>197</v>
      </c>
      <c r="F1292" t="s">
        <v>197</v>
      </c>
      <c r="G1292" t="s">
        <v>197</v>
      </c>
      <c r="H1292" t="s">
        <v>197</v>
      </c>
      <c r="I1292" t="s">
        <v>1297</v>
      </c>
      <c r="J1292" t="s">
        <v>199</v>
      </c>
      <c r="K1292" t="s">
        <v>200</v>
      </c>
    </row>
    <row r="1293" spans="1:24">
      <c r="B1293" t="s">
        <v>197</v>
      </c>
      <c r="C1293" t="s">
        <v>197</v>
      </c>
      <c r="D1293" t="s">
        <v>197</v>
      </c>
      <c r="E1293" t="s">
        <v>197</v>
      </c>
      <c r="F1293" t="s">
        <v>197</v>
      </c>
      <c r="G1293" t="s">
        <v>197</v>
      </c>
      <c r="H1293" t="s">
        <v>197</v>
      </c>
      <c r="I1293" t="s">
        <v>197</v>
      </c>
      <c r="J1293" t="s">
        <v>197</v>
      </c>
      <c r="K1293" t="s">
        <v>549</v>
      </c>
    </row>
    <row r="1294" spans="1:24">
      <c r="B1294" t="s">
        <v>197</v>
      </c>
      <c r="C1294" t="s">
        <v>197</v>
      </c>
      <c r="D1294" t="s">
        <v>197</v>
      </c>
      <c r="E1294" t="s">
        <v>197</v>
      </c>
      <c r="F1294" t="s">
        <v>197</v>
      </c>
      <c r="G1294" t="s">
        <v>197</v>
      </c>
      <c r="H1294" t="s">
        <v>197</v>
      </c>
      <c r="I1294" t="s">
        <v>197</v>
      </c>
      <c r="J1294" t="s">
        <v>197</v>
      </c>
      <c r="K1294" t="s">
        <v>550</v>
      </c>
    </row>
    <row r="1295" spans="1:24">
      <c r="B1295" t="s">
        <v>197</v>
      </c>
      <c r="C1295" t="s">
        <v>197</v>
      </c>
      <c r="D1295" t="s">
        <v>197</v>
      </c>
      <c r="E1295" t="s">
        <v>197</v>
      </c>
      <c r="F1295" t="s">
        <v>197</v>
      </c>
      <c r="G1295" t="s">
        <v>197</v>
      </c>
      <c r="H1295" t="s">
        <v>197</v>
      </c>
      <c r="I1295" t="s">
        <v>197</v>
      </c>
      <c r="J1295" t="s">
        <v>197</v>
      </c>
      <c r="K1295" t="s">
        <v>551</v>
      </c>
    </row>
    <row r="1296" spans="1:24">
      <c r="B1296" t="s">
        <v>197</v>
      </c>
      <c r="C1296" t="s">
        <v>197</v>
      </c>
      <c r="D1296" t="s">
        <v>197</v>
      </c>
      <c r="E1296" t="s">
        <v>197</v>
      </c>
      <c r="F1296" t="s">
        <v>197</v>
      </c>
      <c r="G1296" t="s">
        <v>197</v>
      </c>
      <c r="H1296" t="s">
        <v>197</v>
      </c>
      <c r="I1296" t="s">
        <v>197</v>
      </c>
      <c r="J1296" t="s">
        <v>197</v>
      </c>
      <c r="K1296" t="s">
        <v>552</v>
      </c>
    </row>
    <row r="1297" spans="1:24">
      <c r="B1297" t="s">
        <v>197</v>
      </c>
      <c r="C1297" t="s">
        <v>197</v>
      </c>
      <c r="D1297" t="s">
        <v>197</v>
      </c>
      <c r="E1297" t="s">
        <v>197</v>
      </c>
      <c r="F1297" t="s">
        <v>197</v>
      </c>
      <c r="G1297" t="s">
        <v>197</v>
      </c>
      <c r="H1297" t="s">
        <v>197</v>
      </c>
      <c r="I1297" t="s">
        <v>197</v>
      </c>
      <c r="J1297" t="s">
        <v>197</v>
      </c>
      <c r="K1297" t="s">
        <v>553</v>
      </c>
    </row>
    <row r="1298" spans="1:24">
      <c r="B1298" t="s">
        <v>197</v>
      </c>
      <c r="C1298" t="s">
        <v>197</v>
      </c>
      <c r="D1298" t="s">
        <v>197</v>
      </c>
      <c r="E1298" t="s">
        <v>197</v>
      </c>
      <c r="F1298" t="s">
        <v>197</v>
      </c>
      <c r="G1298" t="s">
        <v>197</v>
      </c>
      <c r="H1298" t="s">
        <v>197</v>
      </c>
      <c r="I1298" t="s">
        <v>197</v>
      </c>
      <c r="J1298" t="s">
        <v>197</v>
      </c>
      <c r="K1298" t="s">
        <v>554</v>
      </c>
    </row>
    <row r="1299" spans="1:24">
      <c r="B1299" t="s">
        <v>197</v>
      </c>
      <c r="C1299" t="s">
        <v>197</v>
      </c>
      <c r="D1299" t="s">
        <v>197</v>
      </c>
      <c r="E1299" t="s">
        <v>197</v>
      </c>
      <c r="F1299" t="s">
        <v>197</v>
      </c>
      <c r="G1299" t="s">
        <v>197</v>
      </c>
      <c r="H1299" t="s">
        <v>197</v>
      </c>
      <c r="I1299" t="s">
        <v>197</v>
      </c>
      <c r="J1299" t="s">
        <v>197</v>
      </c>
      <c r="K1299" t="s">
        <v>555</v>
      </c>
    </row>
    <row r="1300" spans="1:24">
      <c r="B1300" t="s">
        <v>197</v>
      </c>
      <c r="C1300" t="s">
        <v>197</v>
      </c>
      <c r="D1300" t="s">
        <v>197</v>
      </c>
      <c r="E1300" t="s">
        <v>197</v>
      </c>
      <c r="F1300" t="s">
        <v>197</v>
      </c>
      <c r="G1300" t="s">
        <v>197</v>
      </c>
      <c r="H1300" t="s">
        <v>197</v>
      </c>
      <c r="I1300" t="s">
        <v>197</v>
      </c>
      <c r="J1300" t="s">
        <v>197</v>
      </c>
      <c r="K1300" t="s">
        <v>556</v>
      </c>
    </row>
    <row r="1301" spans="1:24">
      <c r="B1301" t="s">
        <v>197</v>
      </c>
      <c r="C1301" t="s">
        <v>197</v>
      </c>
      <c r="D1301" t="s">
        <v>197</v>
      </c>
      <c r="E1301" t="s">
        <v>197</v>
      </c>
      <c r="F1301" t="s">
        <v>197</v>
      </c>
      <c r="G1301" t="s">
        <v>197</v>
      </c>
      <c r="H1301" t="s">
        <v>197</v>
      </c>
      <c r="I1301" t="s">
        <v>197</v>
      </c>
      <c r="J1301" t="s">
        <v>197</v>
      </c>
      <c r="K1301" t="s">
        <v>557</v>
      </c>
    </row>
    <row r="1302" spans="1:24">
      <c r="B1302" t="s">
        <v>197</v>
      </c>
      <c r="C1302" t="s">
        <v>197</v>
      </c>
      <c r="D1302" t="s">
        <v>197</v>
      </c>
      <c r="E1302" t="s">
        <v>197</v>
      </c>
      <c r="F1302" t="s">
        <v>197</v>
      </c>
      <c r="G1302" t="s">
        <v>197</v>
      </c>
      <c r="H1302" t="s">
        <v>197</v>
      </c>
      <c r="I1302" t="s">
        <v>197</v>
      </c>
      <c r="J1302" t="s">
        <v>197</v>
      </c>
      <c r="K1302" t="s">
        <v>558</v>
      </c>
    </row>
    <row r="1303" spans="1:24">
      <c r="B1303" t="s">
        <v>197</v>
      </c>
      <c r="C1303" t="s">
        <v>197</v>
      </c>
      <c r="D1303" t="s">
        <v>197</v>
      </c>
      <c r="E1303" t="s">
        <v>197</v>
      </c>
      <c r="F1303" t="s">
        <v>197</v>
      </c>
      <c r="G1303" t="s">
        <v>197</v>
      </c>
      <c r="H1303" t="s">
        <v>197</v>
      </c>
      <c r="I1303" t="s">
        <v>197</v>
      </c>
      <c r="J1303" t="s">
        <v>197</v>
      </c>
      <c r="K1303" t="s">
        <v>559</v>
      </c>
    </row>
    <row r="1304" spans="1:24">
      <c r="B1304" t="s">
        <v>197</v>
      </c>
      <c r="C1304" t="s">
        <v>197</v>
      </c>
      <c r="D1304" t="s">
        <v>197</v>
      </c>
      <c r="E1304" t="s">
        <v>197</v>
      </c>
      <c r="F1304" t="s">
        <v>197</v>
      </c>
      <c r="G1304" t="s">
        <v>197</v>
      </c>
      <c r="H1304" t="s">
        <v>197</v>
      </c>
      <c r="I1304" t="s">
        <v>197</v>
      </c>
      <c r="J1304" t="s">
        <v>197</v>
      </c>
      <c r="K1304" t="s">
        <v>560</v>
      </c>
    </row>
    <row r="1305" spans="1:24">
      <c r="B1305" t="s">
        <v>197</v>
      </c>
      <c r="C1305" t="s">
        <v>197</v>
      </c>
      <c r="D1305" t="s">
        <v>197</v>
      </c>
      <c r="E1305" t="s">
        <v>197</v>
      </c>
      <c r="F1305" t="s">
        <v>197</v>
      </c>
      <c r="G1305" t="s">
        <v>197</v>
      </c>
      <c r="H1305" t="s">
        <v>197</v>
      </c>
      <c r="I1305" t="s">
        <v>197</v>
      </c>
      <c r="J1305" t="s">
        <v>197</v>
      </c>
      <c r="K1305" t="s">
        <v>561</v>
      </c>
    </row>
    <row r="1306" spans="1:24">
      <c r="B1306" t="s">
        <v>197</v>
      </c>
      <c r="C1306" t="s">
        <v>197</v>
      </c>
      <c r="D1306" t="s">
        <v>197</v>
      </c>
      <c r="E1306" t="s">
        <v>197</v>
      </c>
      <c r="F1306" t="s">
        <v>197</v>
      </c>
      <c r="G1306" t="s">
        <v>197</v>
      </c>
      <c r="H1306" t="s">
        <v>197</v>
      </c>
      <c r="I1306" t="s">
        <v>197</v>
      </c>
      <c r="J1306" t="s">
        <v>197</v>
      </c>
      <c r="K1306" t="s">
        <v>562</v>
      </c>
    </row>
    <row r="1307" spans="1:24">
      <c r="B1307" t="s">
        <v>197</v>
      </c>
      <c r="C1307" t="s">
        <v>197</v>
      </c>
      <c r="D1307" t="s">
        <v>197</v>
      </c>
      <c r="E1307" t="s">
        <v>197</v>
      </c>
      <c r="F1307" t="s">
        <v>197</v>
      </c>
      <c r="G1307" t="s">
        <v>197</v>
      </c>
      <c r="H1307" t="s">
        <v>197</v>
      </c>
      <c r="I1307" t="s">
        <v>197</v>
      </c>
      <c r="J1307" t="s">
        <v>197</v>
      </c>
      <c r="K1307" t="s">
        <v>563</v>
      </c>
    </row>
    <row r="1308" spans="1:24">
      <c r="B1308" t="s">
        <v>197</v>
      </c>
      <c r="C1308" t="s">
        <v>197</v>
      </c>
      <c r="D1308" t="s">
        <v>197</v>
      </c>
      <c r="E1308" t="s">
        <v>197</v>
      </c>
      <c r="F1308" t="s">
        <v>197</v>
      </c>
      <c r="G1308" t="s">
        <v>197</v>
      </c>
      <c r="H1308" t="s">
        <v>197</v>
      </c>
      <c r="I1308" t="s">
        <v>197</v>
      </c>
      <c r="J1308" t="s">
        <v>197</v>
      </c>
      <c r="K1308" t="s">
        <v>564</v>
      </c>
    </row>
    <row r="1309" spans="1:24">
      <c r="B1309" t="s">
        <v>197</v>
      </c>
      <c r="C1309" t="s">
        <v>197</v>
      </c>
      <c r="D1309" t="s">
        <v>197</v>
      </c>
      <c r="E1309" t="s">
        <v>197</v>
      </c>
      <c r="F1309" t="s">
        <v>197</v>
      </c>
      <c r="G1309" t="s">
        <v>197</v>
      </c>
      <c r="H1309" t="s">
        <v>197</v>
      </c>
      <c r="I1309" t="s">
        <v>197</v>
      </c>
      <c r="J1309" t="s">
        <v>197</v>
      </c>
      <c r="K1309" t="s">
        <v>565</v>
      </c>
    </row>
    <row r="1310" spans="1:24">
      <c r="B1310" t="s">
        <v>197</v>
      </c>
      <c r="C1310" t="s">
        <v>197</v>
      </c>
      <c r="D1310" t="s">
        <v>197</v>
      </c>
      <c r="E1310" t="s">
        <v>197</v>
      </c>
      <c r="F1310" t="s">
        <v>197</v>
      </c>
      <c r="G1310" t="s">
        <v>197</v>
      </c>
      <c r="H1310" t="s">
        <v>197</v>
      </c>
      <c r="I1310" t="s">
        <v>197</v>
      </c>
      <c r="J1310" t="s">
        <v>197</v>
      </c>
      <c r="K1310" t="s">
        <v>566</v>
      </c>
    </row>
    <row r="1311" spans="1:24">
      <c r="B1311" t="s">
        <v>197</v>
      </c>
      <c r="C1311" t="s">
        <v>197</v>
      </c>
      <c r="D1311" t="s">
        <v>197</v>
      </c>
      <c r="E1311" t="s">
        <v>197</v>
      </c>
      <c r="F1311" t="s">
        <v>197</v>
      </c>
      <c r="G1311" t="s">
        <v>197</v>
      </c>
      <c r="H1311" t="s">
        <v>197</v>
      </c>
      <c r="I1311" t="s">
        <v>197</v>
      </c>
      <c r="J1311" t="s">
        <v>197</v>
      </c>
      <c r="K1311" t="s">
        <v>567</v>
      </c>
    </row>
    <row r="1312" spans="1:24">
      <c r="A1312" t="s">
        <v>1144</v>
      </c>
      <c r="K1312" t="s">
        <v>1145</v>
      </c>
      <c r="W1312" s="1" t="str">
        <f>HYPERLINK("#2026042017hbase0!AL2","NO 源备存在差异，共4个")</f>
        <v>NO 源备存在差异，共4个</v>
      </c>
      <c r="X1312" t="str">
        <f>A1312</f>
        <v>info_int_dml_batch2_pk_irp1</v>
      </c>
    </row>
    <row r="1313" spans="2:11">
      <c r="B1313" t="s">
        <v>196</v>
      </c>
      <c r="C1313" t="s">
        <v>197</v>
      </c>
      <c r="D1313" t="s">
        <v>197</v>
      </c>
      <c r="E1313" t="s">
        <v>197</v>
      </c>
      <c r="F1313" t="s">
        <v>197</v>
      </c>
      <c r="G1313" t="s">
        <v>197</v>
      </c>
      <c r="H1313" t="s">
        <v>197</v>
      </c>
      <c r="I1313" t="s">
        <v>1146</v>
      </c>
      <c r="J1313" t="s">
        <v>199</v>
      </c>
      <c r="K1313" t="s">
        <v>200</v>
      </c>
    </row>
    <row r="1314" spans="2:11">
      <c r="B1314" t="s">
        <v>197</v>
      </c>
      <c r="C1314" t="s">
        <v>197</v>
      </c>
      <c r="D1314" t="s">
        <v>197</v>
      </c>
      <c r="E1314" t="s">
        <v>197</v>
      </c>
      <c r="F1314" t="s">
        <v>197</v>
      </c>
      <c r="G1314" t="s">
        <v>197</v>
      </c>
      <c r="H1314" t="s">
        <v>197</v>
      </c>
      <c r="I1314" t="s">
        <v>197</v>
      </c>
      <c r="J1314" t="s">
        <v>197</v>
      </c>
      <c r="K1314" t="s">
        <v>549</v>
      </c>
    </row>
    <row r="1315" spans="2:11">
      <c r="B1315" t="s">
        <v>197</v>
      </c>
      <c r="C1315" t="s">
        <v>197</v>
      </c>
      <c r="D1315" t="s">
        <v>197</v>
      </c>
      <c r="E1315" t="s">
        <v>197</v>
      </c>
      <c r="F1315" t="s">
        <v>197</v>
      </c>
      <c r="G1315" t="s">
        <v>197</v>
      </c>
      <c r="H1315" t="s">
        <v>197</v>
      </c>
      <c r="I1315" t="s">
        <v>197</v>
      </c>
      <c r="J1315" t="s">
        <v>197</v>
      </c>
      <c r="K1315" t="s">
        <v>550</v>
      </c>
    </row>
    <row r="1316" spans="2:11">
      <c r="B1316" t="s">
        <v>197</v>
      </c>
      <c r="C1316" t="s">
        <v>197</v>
      </c>
      <c r="D1316" t="s">
        <v>197</v>
      </c>
      <c r="E1316" t="s">
        <v>197</v>
      </c>
      <c r="F1316" t="s">
        <v>197</v>
      </c>
      <c r="G1316" t="s">
        <v>197</v>
      </c>
      <c r="H1316" t="s">
        <v>197</v>
      </c>
      <c r="I1316" t="s">
        <v>197</v>
      </c>
      <c r="J1316" t="s">
        <v>197</v>
      </c>
      <c r="K1316" t="s">
        <v>551</v>
      </c>
    </row>
    <row r="1317" spans="2:11">
      <c r="B1317" t="s">
        <v>197</v>
      </c>
      <c r="C1317" t="s">
        <v>197</v>
      </c>
      <c r="D1317" t="s">
        <v>197</v>
      </c>
      <c r="E1317" t="s">
        <v>197</v>
      </c>
      <c r="F1317" t="s">
        <v>197</v>
      </c>
      <c r="G1317" t="s">
        <v>197</v>
      </c>
      <c r="H1317" t="s">
        <v>197</v>
      </c>
      <c r="I1317" t="s">
        <v>197</v>
      </c>
      <c r="J1317" t="s">
        <v>197</v>
      </c>
      <c r="K1317" t="s">
        <v>552</v>
      </c>
    </row>
    <row r="1318" spans="2:11">
      <c r="B1318" t="s">
        <v>197</v>
      </c>
      <c r="C1318" t="s">
        <v>197</v>
      </c>
      <c r="D1318" t="s">
        <v>197</v>
      </c>
      <c r="E1318" t="s">
        <v>197</v>
      </c>
      <c r="F1318" t="s">
        <v>197</v>
      </c>
      <c r="G1318" t="s">
        <v>197</v>
      </c>
      <c r="H1318" t="s">
        <v>197</v>
      </c>
      <c r="I1318" t="s">
        <v>197</v>
      </c>
      <c r="J1318" t="s">
        <v>197</v>
      </c>
      <c r="K1318" t="s">
        <v>553</v>
      </c>
    </row>
    <row r="1319" spans="2:11">
      <c r="B1319" t="s">
        <v>197</v>
      </c>
      <c r="C1319" t="s">
        <v>197</v>
      </c>
      <c r="D1319" t="s">
        <v>197</v>
      </c>
      <c r="E1319" t="s">
        <v>197</v>
      </c>
      <c r="F1319" t="s">
        <v>197</v>
      </c>
      <c r="G1319" t="s">
        <v>197</v>
      </c>
      <c r="H1319" t="s">
        <v>197</v>
      </c>
      <c r="I1319" t="s">
        <v>197</v>
      </c>
      <c r="J1319" t="s">
        <v>197</v>
      </c>
      <c r="K1319" t="s">
        <v>554</v>
      </c>
    </row>
    <row r="1320" spans="2:11">
      <c r="B1320" t="s">
        <v>197</v>
      </c>
      <c r="C1320" t="s">
        <v>197</v>
      </c>
      <c r="D1320" t="s">
        <v>197</v>
      </c>
      <c r="E1320" t="s">
        <v>197</v>
      </c>
      <c r="F1320" t="s">
        <v>197</v>
      </c>
      <c r="G1320" t="s">
        <v>197</v>
      </c>
      <c r="H1320" t="s">
        <v>197</v>
      </c>
      <c r="I1320" t="s">
        <v>197</v>
      </c>
      <c r="J1320" t="s">
        <v>197</v>
      </c>
      <c r="K1320" t="s">
        <v>555</v>
      </c>
    </row>
    <row r="1321" spans="2:11">
      <c r="B1321" t="s">
        <v>197</v>
      </c>
      <c r="C1321" t="s">
        <v>197</v>
      </c>
      <c r="D1321" t="s">
        <v>197</v>
      </c>
      <c r="E1321" t="s">
        <v>197</v>
      </c>
      <c r="F1321" t="s">
        <v>197</v>
      </c>
      <c r="G1321" t="s">
        <v>197</v>
      </c>
      <c r="H1321" t="s">
        <v>197</v>
      </c>
      <c r="I1321" t="s">
        <v>197</v>
      </c>
      <c r="J1321" t="s">
        <v>197</v>
      </c>
      <c r="K1321" t="s">
        <v>556</v>
      </c>
    </row>
    <row r="1322" spans="2:11">
      <c r="B1322" t="s">
        <v>197</v>
      </c>
      <c r="C1322" t="s">
        <v>197</v>
      </c>
      <c r="D1322" t="s">
        <v>197</v>
      </c>
      <c r="E1322" t="s">
        <v>197</v>
      </c>
      <c r="F1322" t="s">
        <v>197</v>
      </c>
      <c r="G1322" t="s">
        <v>197</v>
      </c>
      <c r="H1322" t="s">
        <v>197</v>
      </c>
      <c r="I1322" t="s">
        <v>197</v>
      </c>
      <c r="J1322" t="s">
        <v>197</v>
      </c>
      <c r="K1322" t="s">
        <v>557</v>
      </c>
    </row>
    <row r="1323" spans="2:11">
      <c r="B1323" t="s">
        <v>197</v>
      </c>
      <c r="C1323" t="s">
        <v>197</v>
      </c>
      <c r="D1323" t="s">
        <v>197</v>
      </c>
      <c r="E1323" t="s">
        <v>197</v>
      </c>
      <c r="F1323" t="s">
        <v>197</v>
      </c>
      <c r="G1323" t="s">
        <v>197</v>
      </c>
      <c r="H1323" t="s">
        <v>197</v>
      </c>
      <c r="I1323" t="s">
        <v>197</v>
      </c>
      <c r="J1323" t="s">
        <v>197</v>
      </c>
      <c r="K1323" t="s">
        <v>558</v>
      </c>
    </row>
    <row r="1324" spans="2:11">
      <c r="B1324" t="s">
        <v>197</v>
      </c>
      <c r="C1324" t="s">
        <v>197</v>
      </c>
      <c r="D1324" t="s">
        <v>197</v>
      </c>
      <c r="E1324" t="s">
        <v>197</v>
      </c>
      <c r="F1324" t="s">
        <v>197</v>
      </c>
      <c r="G1324" t="s">
        <v>197</v>
      </c>
      <c r="H1324" t="s">
        <v>197</v>
      </c>
      <c r="I1324" t="s">
        <v>197</v>
      </c>
      <c r="J1324" t="s">
        <v>197</v>
      </c>
      <c r="K1324" t="s">
        <v>559</v>
      </c>
    </row>
    <row r="1325" spans="2:11">
      <c r="B1325" t="s">
        <v>197</v>
      </c>
      <c r="C1325" t="s">
        <v>197</v>
      </c>
      <c r="D1325" t="s">
        <v>197</v>
      </c>
      <c r="E1325" t="s">
        <v>197</v>
      </c>
      <c r="F1325" t="s">
        <v>197</v>
      </c>
      <c r="G1325" t="s">
        <v>197</v>
      </c>
      <c r="H1325" t="s">
        <v>197</v>
      </c>
      <c r="I1325" t="s">
        <v>197</v>
      </c>
      <c r="J1325" t="s">
        <v>197</v>
      </c>
      <c r="K1325" t="s">
        <v>560</v>
      </c>
    </row>
    <row r="1326" spans="2:11">
      <c r="B1326" t="s">
        <v>197</v>
      </c>
      <c r="C1326" t="s">
        <v>197</v>
      </c>
      <c r="D1326" t="s">
        <v>197</v>
      </c>
      <c r="E1326" t="s">
        <v>197</v>
      </c>
      <c r="F1326" t="s">
        <v>197</v>
      </c>
      <c r="G1326" t="s">
        <v>197</v>
      </c>
      <c r="H1326" t="s">
        <v>197</v>
      </c>
      <c r="I1326" t="s">
        <v>197</v>
      </c>
      <c r="J1326" t="s">
        <v>197</v>
      </c>
      <c r="K1326" t="s">
        <v>561</v>
      </c>
    </row>
    <row r="1327" spans="2:11">
      <c r="B1327" t="s">
        <v>197</v>
      </c>
      <c r="C1327" t="s">
        <v>197</v>
      </c>
      <c r="D1327" t="s">
        <v>197</v>
      </c>
      <c r="E1327" t="s">
        <v>197</v>
      </c>
      <c r="F1327" t="s">
        <v>197</v>
      </c>
      <c r="G1327" t="s">
        <v>197</v>
      </c>
      <c r="H1327" t="s">
        <v>197</v>
      </c>
      <c r="I1327" t="s">
        <v>197</v>
      </c>
      <c r="J1327" t="s">
        <v>197</v>
      </c>
      <c r="K1327" t="s">
        <v>562</v>
      </c>
    </row>
    <row r="1328" spans="2:11">
      <c r="B1328" t="s">
        <v>197</v>
      </c>
      <c r="C1328" t="s">
        <v>197</v>
      </c>
      <c r="D1328" t="s">
        <v>197</v>
      </c>
      <c r="E1328" t="s">
        <v>197</v>
      </c>
      <c r="F1328" t="s">
        <v>197</v>
      </c>
      <c r="G1328" t="s">
        <v>197</v>
      </c>
      <c r="H1328" t="s">
        <v>197</v>
      </c>
      <c r="I1328" t="s">
        <v>197</v>
      </c>
      <c r="J1328" t="s">
        <v>197</v>
      </c>
      <c r="K1328" t="s">
        <v>563</v>
      </c>
    </row>
    <row r="1329" spans="1:24">
      <c r="B1329" t="s">
        <v>197</v>
      </c>
      <c r="C1329" t="s">
        <v>197</v>
      </c>
      <c r="D1329" t="s">
        <v>197</v>
      </c>
      <c r="E1329" t="s">
        <v>197</v>
      </c>
      <c r="F1329" t="s">
        <v>197</v>
      </c>
      <c r="G1329" t="s">
        <v>197</v>
      </c>
      <c r="H1329" t="s">
        <v>197</v>
      </c>
      <c r="I1329" t="s">
        <v>197</v>
      </c>
      <c r="J1329" t="s">
        <v>197</v>
      </c>
      <c r="K1329" t="s">
        <v>564</v>
      </c>
    </row>
    <row r="1330" spans="1:24">
      <c r="B1330" t="s">
        <v>197</v>
      </c>
      <c r="C1330" t="s">
        <v>197</v>
      </c>
      <c r="D1330" t="s">
        <v>197</v>
      </c>
      <c r="E1330" t="s">
        <v>197</v>
      </c>
      <c r="F1330" t="s">
        <v>197</v>
      </c>
      <c r="G1330" t="s">
        <v>197</v>
      </c>
      <c r="H1330" t="s">
        <v>197</v>
      </c>
      <c r="I1330" t="s">
        <v>197</v>
      </c>
      <c r="J1330" t="s">
        <v>197</v>
      </c>
      <c r="K1330" t="s">
        <v>565</v>
      </c>
    </row>
    <row r="1331" spans="1:24">
      <c r="B1331" t="s">
        <v>197</v>
      </c>
      <c r="C1331" t="s">
        <v>197</v>
      </c>
      <c r="D1331" t="s">
        <v>197</v>
      </c>
      <c r="E1331" t="s">
        <v>197</v>
      </c>
      <c r="F1331" t="s">
        <v>197</v>
      </c>
      <c r="G1331" t="s">
        <v>197</v>
      </c>
      <c r="H1331" t="s">
        <v>197</v>
      </c>
      <c r="I1331" t="s">
        <v>197</v>
      </c>
      <c r="J1331" t="s">
        <v>197</v>
      </c>
      <c r="K1331" t="s">
        <v>566</v>
      </c>
    </row>
    <row r="1332" spans="1:24">
      <c r="B1332" t="s">
        <v>197</v>
      </c>
      <c r="C1332" t="s">
        <v>197</v>
      </c>
      <c r="D1332" t="s">
        <v>197</v>
      </c>
      <c r="E1332" t="s">
        <v>197</v>
      </c>
      <c r="F1332" t="s">
        <v>197</v>
      </c>
      <c r="G1332" t="s">
        <v>197</v>
      </c>
      <c r="H1332" t="s">
        <v>197</v>
      </c>
      <c r="I1332" t="s">
        <v>197</v>
      </c>
      <c r="J1332" t="s">
        <v>197</v>
      </c>
      <c r="K1332" t="s">
        <v>567</v>
      </c>
    </row>
    <row r="1333" spans="1:24">
      <c r="A1333" t="s">
        <v>1147</v>
      </c>
      <c r="K1333" t="s">
        <v>1148</v>
      </c>
      <c r="W1333" t="s">
        <v>171</v>
      </c>
      <c r="X1333" t="str">
        <f>A1333</f>
        <v>info_varbinary_dml_batch2_pk_irp2</v>
      </c>
    </row>
    <row r="1334" spans="1:24">
      <c r="B1334" t="s">
        <v>196</v>
      </c>
      <c r="C1334" t="s">
        <v>197</v>
      </c>
      <c r="D1334" t="s">
        <v>197</v>
      </c>
      <c r="E1334" t="s">
        <v>197</v>
      </c>
      <c r="F1334" t="s">
        <v>197</v>
      </c>
      <c r="G1334" t="s">
        <v>197</v>
      </c>
      <c r="H1334" t="s">
        <v>197</v>
      </c>
      <c r="I1334" t="s">
        <v>1149</v>
      </c>
      <c r="J1334" t="s">
        <v>199</v>
      </c>
      <c r="K1334" t="s">
        <v>200</v>
      </c>
    </row>
    <row r="1335" spans="1:24">
      <c r="B1335" t="s">
        <v>197</v>
      </c>
      <c r="C1335" t="s">
        <v>197</v>
      </c>
      <c r="D1335" t="s">
        <v>197</v>
      </c>
      <c r="E1335" t="s">
        <v>197</v>
      </c>
      <c r="F1335" t="s">
        <v>197</v>
      </c>
      <c r="G1335" t="s">
        <v>197</v>
      </c>
      <c r="H1335" t="s">
        <v>197</v>
      </c>
      <c r="I1335" t="s">
        <v>197</v>
      </c>
      <c r="J1335" t="s">
        <v>197</v>
      </c>
      <c r="K1335" t="s">
        <v>495</v>
      </c>
    </row>
    <row r="1336" spans="1:24">
      <c r="B1336" t="s">
        <v>197</v>
      </c>
      <c r="C1336" t="s">
        <v>197</v>
      </c>
      <c r="D1336" t="s">
        <v>197</v>
      </c>
      <c r="E1336" t="s">
        <v>197</v>
      </c>
      <c r="F1336" t="s">
        <v>197</v>
      </c>
      <c r="G1336" t="s">
        <v>197</v>
      </c>
      <c r="H1336" t="s">
        <v>197</v>
      </c>
      <c r="I1336" t="s">
        <v>197</v>
      </c>
      <c r="J1336" t="s">
        <v>197</v>
      </c>
      <c r="K1336" t="s">
        <v>499</v>
      </c>
    </row>
    <row r="1337" spans="1:24">
      <c r="B1337" t="s">
        <v>197</v>
      </c>
      <c r="C1337" t="s">
        <v>197</v>
      </c>
      <c r="D1337" t="s">
        <v>197</v>
      </c>
      <c r="E1337" t="s">
        <v>197</v>
      </c>
      <c r="F1337" t="s">
        <v>197</v>
      </c>
      <c r="G1337" t="s">
        <v>197</v>
      </c>
      <c r="H1337" t="s">
        <v>197</v>
      </c>
      <c r="I1337" t="s">
        <v>197</v>
      </c>
      <c r="J1337" t="s">
        <v>197</v>
      </c>
      <c r="K1337" t="s">
        <v>503</v>
      </c>
    </row>
    <row r="1338" spans="1:24">
      <c r="A1338" t="s">
        <v>1153</v>
      </c>
      <c r="K1338" t="s">
        <v>1154</v>
      </c>
      <c r="W1338" t="s">
        <v>171</v>
      </c>
      <c r="X1338" t="str">
        <f>A1338</f>
        <v>info_sdt_dml_batch1_pk_irp1</v>
      </c>
    </row>
    <row r="1339" spans="1:24">
      <c r="B1339" t="s">
        <v>196</v>
      </c>
      <c r="C1339" t="s">
        <v>197</v>
      </c>
      <c r="D1339" t="s">
        <v>197</v>
      </c>
      <c r="E1339" t="s">
        <v>197</v>
      </c>
      <c r="F1339" t="s">
        <v>197</v>
      </c>
      <c r="G1339" t="s">
        <v>197</v>
      </c>
      <c r="H1339" t="s">
        <v>197</v>
      </c>
      <c r="I1339" t="s">
        <v>1155</v>
      </c>
      <c r="J1339" t="s">
        <v>199</v>
      </c>
      <c r="K1339" t="s">
        <v>200</v>
      </c>
    </row>
    <row r="1340" spans="1:24">
      <c r="B1340" t="s">
        <v>197</v>
      </c>
      <c r="C1340" t="s">
        <v>197</v>
      </c>
      <c r="D1340" t="s">
        <v>197</v>
      </c>
      <c r="E1340" t="s">
        <v>197</v>
      </c>
      <c r="F1340" t="s">
        <v>197</v>
      </c>
      <c r="G1340" t="s">
        <v>197</v>
      </c>
      <c r="H1340" t="s">
        <v>197</v>
      </c>
      <c r="I1340" t="s">
        <v>197</v>
      </c>
      <c r="J1340" t="s">
        <v>197</v>
      </c>
      <c r="K1340" t="s">
        <v>422</v>
      </c>
    </row>
    <row r="1341" spans="1:24">
      <c r="A1341" t="s">
        <v>1156</v>
      </c>
      <c r="K1341" t="s">
        <v>1157</v>
      </c>
      <c r="W1341" t="s">
        <v>171</v>
      </c>
      <c r="X1341" t="str">
        <f>A1341</f>
        <v>info_sdt_dml_batch1_pk_irp2</v>
      </c>
    </row>
    <row r="1342" spans="1:24">
      <c r="B1342" t="s">
        <v>196</v>
      </c>
      <c r="C1342" t="s">
        <v>197</v>
      </c>
      <c r="D1342" t="s">
        <v>197</v>
      </c>
      <c r="E1342" t="s">
        <v>197</v>
      </c>
      <c r="F1342" t="s">
        <v>197</v>
      </c>
      <c r="G1342" t="s">
        <v>197</v>
      </c>
      <c r="H1342" t="s">
        <v>197</v>
      </c>
      <c r="I1342" t="s">
        <v>1158</v>
      </c>
      <c r="J1342" t="s">
        <v>199</v>
      </c>
      <c r="K1342" t="s">
        <v>200</v>
      </c>
    </row>
    <row r="1343" spans="1:24">
      <c r="B1343" t="s">
        <v>197</v>
      </c>
      <c r="C1343" t="s">
        <v>197</v>
      </c>
      <c r="D1343" t="s">
        <v>197</v>
      </c>
      <c r="E1343" t="s">
        <v>197</v>
      </c>
      <c r="F1343" t="s">
        <v>197</v>
      </c>
      <c r="G1343" t="s">
        <v>197</v>
      </c>
      <c r="H1343" t="s">
        <v>197</v>
      </c>
      <c r="I1343" t="s">
        <v>197</v>
      </c>
      <c r="J1343" t="s">
        <v>197</v>
      </c>
      <c r="K1343" t="s">
        <v>422</v>
      </c>
    </row>
    <row r="1344" spans="1:24">
      <c r="A1344" t="s">
        <v>1165</v>
      </c>
      <c r="K1344" t="s">
        <v>1166</v>
      </c>
      <c r="W1344" s="1" t="str">
        <f>HYPERLINK("#2026042017hbase0!AM2","NO 源备存在差异，共8个")</f>
        <v>NO 源备存在差异，共8个</v>
      </c>
      <c r="X1344" t="str">
        <f>A1344</f>
        <v>info_int_dml_batch2_pk_irp2</v>
      </c>
    </row>
    <row r="1345" spans="2:11">
      <c r="B1345" t="s">
        <v>196</v>
      </c>
      <c r="C1345" t="s">
        <v>197</v>
      </c>
      <c r="D1345" t="s">
        <v>197</v>
      </c>
      <c r="E1345" t="s">
        <v>197</v>
      </c>
      <c r="F1345" t="s">
        <v>197</v>
      </c>
      <c r="G1345" t="s">
        <v>197</v>
      </c>
      <c r="H1345" t="s">
        <v>197</v>
      </c>
      <c r="I1345" t="s">
        <v>1167</v>
      </c>
      <c r="J1345" t="s">
        <v>199</v>
      </c>
      <c r="K1345" t="s">
        <v>200</v>
      </c>
    </row>
    <row r="1346" spans="2:11">
      <c r="B1346" t="s">
        <v>197</v>
      </c>
      <c r="C1346" t="s">
        <v>197</v>
      </c>
      <c r="D1346" t="s">
        <v>197</v>
      </c>
      <c r="E1346" t="s">
        <v>197</v>
      </c>
      <c r="F1346" t="s">
        <v>197</v>
      </c>
      <c r="G1346" t="s">
        <v>197</v>
      </c>
      <c r="H1346" t="s">
        <v>197</v>
      </c>
      <c r="I1346" t="s">
        <v>197</v>
      </c>
      <c r="J1346" t="s">
        <v>197</v>
      </c>
      <c r="K1346" t="s">
        <v>549</v>
      </c>
    </row>
    <row r="1347" spans="2:11">
      <c r="B1347" t="s">
        <v>197</v>
      </c>
      <c r="C1347" t="s">
        <v>197</v>
      </c>
      <c r="D1347" t="s">
        <v>197</v>
      </c>
      <c r="E1347" t="s">
        <v>197</v>
      </c>
      <c r="F1347" t="s">
        <v>197</v>
      </c>
      <c r="G1347" t="s">
        <v>197</v>
      </c>
      <c r="H1347" t="s">
        <v>197</v>
      </c>
      <c r="I1347" t="s">
        <v>197</v>
      </c>
      <c r="J1347" t="s">
        <v>197</v>
      </c>
      <c r="K1347" t="s">
        <v>550</v>
      </c>
    </row>
    <row r="1348" spans="2:11">
      <c r="B1348" t="s">
        <v>197</v>
      </c>
      <c r="C1348" t="s">
        <v>197</v>
      </c>
      <c r="D1348" t="s">
        <v>197</v>
      </c>
      <c r="E1348" t="s">
        <v>197</v>
      </c>
      <c r="F1348" t="s">
        <v>197</v>
      </c>
      <c r="G1348" t="s">
        <v>197</v>
      </c>
      <c r="H1348" t="s">
        <v>197</v>
      </c>
      <c r="I1348" t="s">
        <v>197</v>
      </c>
      <c r="J1348" t="s">
        <v>197</v>
      </c>
      <c r="K1348" t="s">
        <v>551</v>
      </c>
    </row>
    <row r="1349" spans="2:11">
      <c r="B1349" t="s">
        <v>197</v>
      </c>
      <c r="C1349" t="s">
        <v>197</v>
      </c>
      <c r="D1349" t="s">
        <v>197</v>
      </c>
      <c r="E1349" t="s">
        <v>197</v>
      </c>
      <c r="F1349" t="s">
        <v>197</v>
      </c>
      <c r="G1349" t="s">
        <v>197</v>
      </c>
      <c r="H1349" t="s">
        <v>197</v>
      </c>
      <c r="I1349" t="s">
        <v>197</v>
      </c>
      <c r="J1349" t="s">
        <v>197</v>
      </c>
      <c r="K1349" t="s">
        <v>552</v>
      </c>
    </row>
    <row r="1350" spans="2:11">
      <c r="B1350" t="s">
        <v>197</v>
      </c>
      <c r="C1350" t="s">
        <v>197</v>
      </c>
      <c r="D1350" t="s">
        <v>197</v>
      </c>
      <c r="E1350" t="s">
        <v>197</v>
      </c>
      <c r="F1350" t="s">
        <v>197</v>
      </c>
      <c r="G1350" t="s">
        <v>197</v>
      </c>
      <c r="H1350" t="s">
        <v>197</v>
      </c>
      <c r="I1350" t="s">
        <v>197</v>
      </c>
      <c r="J1350" t="s">
        <v>197</v>
      </c>
      <c r="K1350" t="s">
        <v>553</v>
      </c>
    </row>
    <row r="1351" spans="2:11">
      <c r="B1351" t="s">
        <v>197</v>
      </c>
      <c r="C1351" t="s">
        <v>197</v>
      </c>
      <c r="D1351" t="s">
        <v>197</v>
      </c>
      <c r="E1351" t="s">
        <v>197</v>
      </c>
      <c r="F1351" t="s">
        <v>197</v>
      </c>
      <c r="G1351" t="s">
        <v>197</v>
      </c>
      <c r="H1351" t="s">
        <v>197</v>
      </c>
      <c r="I1351" t="s">
        <v>197</v>
      </c>
      <c r="J1351" t="s">
        <v>197</v>
      </c>
      <c r="K1351" t="s">
        <v>554</v>
      </c>
    </row>
    <row r="1352" spans="2:11">
      <c r="B1352" t="s">
        <v>197</v>
      </c>
      <c r="C1352" t="s">
        <v>197</v>
      </c>
      <c r="D1352" t="s">
        <v>197</v>
      </c>
      <c r="E1352" t="s">
        <v>197</v>
      </c>
      <c r="F1352" t="s">
        <v>197</v>
      </c>
      <c r="G1352" t="s">
        <v>197</v>
      </c>
      <c r="H1352" t="s">
        <v>197</v>
      </c>
      <c r="I1352" t="s">
        <v>197</v>
      </c>
      <c r="J1352" t="s">
        <v>197</v>
      </c>
      <c r="K1352" t="s">
        <v>555</v>
      </c>
    </row>
    <row r="1353" spans="2:11">
      <c r="B1353" t="s">
        <v>197</v>
      </c>
      <c r="C1353" t="s">
        <v>197</v>
      </c>
      <c r="D1353" t="s">
        <v>197</v>
      </c>
      <c r="E1353" t="s">
        <v>197</v>
      </c>
      <c r="F1353" t="s">
        <v>197</v>
      </c>
      <c r="G1353" t="s">
        <v>197</v>
      </c>
      <c r="H1353" t="s">
        <v>197</v>
      </c>
      <c r="I1353" t="s">
        <v>197</v>
      </c>
      <c r="J1353" t="s">
        <v>197</v>
      </c>
      <c r="K1353" t="s">
        <v>556</v>
      </c>
    </row>
    <row r="1354" spans="2:11">
      <c r="B1354" t="s">
        <v>197</v>
      </c>
      <c r="C1354" t="s">
        <v>197</v>
      </c>
      <c r="D1354" t="s">
        <v>197</v>
      </c>
      <c r="E1354" t="s">
        <v>197</v>
      </c>
      <c r="F1354" t="s">
        <v>197</v>
      </c>
      <c r="G1354" t="s">
        <v>197</v>
      </c>
      <c r="H1354" t="s">
        <v>197</v>
      </c>
      <c r="I1354" t="s">
        <v>197</v>
      </c>
      <c r="J1354" t="s">
        <v>197</v>
      </c>
      <c r="K1354" t="s">
        <v>557</v>
      </c>
    </row>
    <row r="1355" spans="2:11">
      <c r="B1355" t="s">
        <v>197</v>
      </c>
      <c r="C1355" t="s">
        <v>197</v>
      </c>
      <c r="D1355" t="s">
        <v>197</v>
      </c>
      <c r="E1355" t="s">
        <v>197</v>
      </c>
      <c r="F1355" t="s">
        <v>197</v>
      </c>
      <c r="G1355" t="s">
        <v>197</v>
      </c>
      <c r="H1355" t="s">
        <v>197</v>
      </c>
      <c r="I1355" t="s">
        <v>197</v>
      </c>
      <c r="J1355" t="s">
        <v>197</v>
      </c>
      <c r="K1355" t="s">
        <v>558</v>
      </c>
    </row>
    <row r="1356" spans="2:11">
      <c r="B1356" t="s">
        <v>197</v>
      </c>
      <c r="C1356" t="s">
        <v>197</v>
      </c>
      <c r="D1356" t="s">
        <v>197</v>
      </c>
      <c r="E1356" t="s">
        <v>197</v>
      </c>
      <c r="F1356" t="s">
        <v>197</v>
      </c>
      <c r="G1356" t="s">
        <v>197</v>
      </c>
      <c r="H1356" t="s">
        <v>197</v>
      </c>
      <c r="I1356" t="s">
        <v>197</v>
      </c>
      <c r="J1356" t="s">
        <v>197</v>
      </c>
      <c r="K1356" t="s">
        <v>559</v>
      </c>
    </row>
    <row r="1357" spans="2:11">
      <c r="B1357" t="s">
        <v>197</v>
      </c>
      <c r="C1357" t="s">
        <v>197</v>
      </c>
      <c r="D1357" t="s">
        <v>197</v>
      </c>
      <c r="E1357" t="s">
        <v>197</v>
      </c>
      <c r="F1357" t="s">
        <v>197</v>
      </c>
      <c r="G1357" t="s">
        <v>197</v>
      </c>
      <c r="H1357" t="s">
        <v>197</v>
      </c>
      <c r="I1357" t="s">
        <v>197</v>
      </c>
      <c r="J1357" t="s">
        <v>197</v>
      </c>
      <c r="K1357" t="s">
        <v>560</v>
      </c>
    </row>
    <row r="1358" spans="2:11">
      <c r="B1358" t="s">
        <v>197</v>
      </c>
      <c r="C1358" t="s">
        <v>197</v>
      </c>
      <c r="D1358" t="s">
        <v>197</v>
      </c>
      <c r="E1358" t="s">
        <v>197</v>
      </c>
      <c r="F1358" t="s">
        <v>197</v>
      </c>
      <c r="G1358" t="s">
        <v>197</v>
      </c>
      <c r="H1358" t="s">
        <v>197</v>
      </c>
      <c r="I1358" t="s">
        <v>197</v>
      </c>
      <c r="J1358" t="s">
        <v>197</v>
      </c>
      <c r="K1358" t="s">
        <v>561</v>
      </c>
    </row>
    <row r="1359" spans="2:11">
      <c r="B1359" t="s">
        <v>197</v>
      </c>
      <c r="C1359" t="s">
        <v>197</v>
      </c>
      <c r="D1359" t="s">
        <v>197</v>
      </c>
      <c r="E1359" t="s">
        <v>197</v>
      </c>
      <c r="F1359" t="s">
        <v>197</v>
      </c>
      <c r="G1359" t="s">
        <v>197</v>
      </c>
      <c r="H1359" t="s">
        <v>197</v>
      </c>
      <c r="I1359" t="s">
        <v>197</v>
      </c>
      <c r="J1359" t="s">
        <v>197</v>
      </c>
      <c r="K1359" t="s">
        <v>562</v>
      </c>
    </row>
    <row r="1360" spans="2:11">
      <c r="B1360" t="s">
        <v>197</v>
      </c>
      <c r="C1360" t="s">
        <v>197</v>
      </c>
      <c r="D1360" t="s">
        <v>197</v>
      </c>
      <c r="E1360" t="s">
        <v>197</v>
      </c>
      <c r="F1360" t="s">
        <v>197</v>
      </c>
      <c r="G1360" t="s">
        <v>197</v>
      </c>
      <c r="H1360" t="s">
        <v>197</v>
      </c>
      <c r="I1360" t="s">
        <v>197</v>
      </c>
      <c r="J1360" t="s">
        <v>197</v>
      </c>
      <c r="K1360" t="s">
        <v>563</v>
      </c>
    </row>
    <row r="1361" spans="1:24">
      <c r="B1361" t="s">
        <v>197</v>
      </c>
      <c r="C1361" t="s">
        <v>197</v>
      </c>
      <c r="D1361" t="s">
        <v>197</v>
      </c>
      <c r="E1361" t="s">
        <v>197</v>
      </c>
      <c r="F1361" t="s">
        <v>197</v>
      </c>
      <c r="G1361" t="s">
        <v>197</v>
      </c>
      <c r="H1361" t="s">
        <v>197</v>
      </c>
      <c r="I1361" t="s">
        <v>197</v>
      </c>
      <c r="J1361" t="s">
        <v>197</v>
      </c>
      <c r="K1361" t="s">
        <v>564</v>
      </c>
    </row>
    <row r="1362" spans="1:24">
      <c r="B1362" t="s">
        <v>197</v>
      </c>
      <c r="C1362" t="s">
        <v>197</v>
      </c>
      <c r="D1362" t="s">
        <v>197</v>
      </c>
      <c r="E1362" t="s">
        <v>197</v>
      </c>
      <c r="F1362" t="s">
        <v>197</v>
      </c>
      <c r="G1362" t="s">
        <v>197</v>
      </c>
      <c r="H1362" t="s">
        <v>197</v>
      </c>
      <c r="I1362" t="s">
        <v>197</v>
      </c>
      <c r="J1362" t="s">
        <v>197</v>
      </c>
      <c r="K1362" t="s">
        <v>565</v>
      </c>
    </row>
    <row r="1363" spans="1:24">
      <c r="B1363" t="s">
        <v>197</v>
      </c>
      <c r="C1363" t="s">
        <v>197</v>
      </c>
      <c r="D1363" t="s">
        <v>197</v>
      </c>
      <c r="E1363" t="s">
        <v>197</v>
      </c>
      <c r="F1363" t="s">
        <v>197</v>
      </c>
      <c r="G1363" t="s">
        <v>197</v>
      </c>
      <c r="H1363" t="s">
        <v>197</v>
      </c>
      <c r="I1363" t="s">
        <v>197</v>
      </c>
      <c r="J1363" t="s">
        <v>197</v>
      </c>
      <c r="K1363" t="s">
        <v>566</v>
      </c>
    </row>
    <row r="1364" spans="1:24">
      <c r="B1364" t="s">
        <v>197</v>
      </c>
      <c r="C1364" t="s">
        <v>197</v>
      </c>
      <c r="D1364" t="s">
        <v>197</v>
      </c>
      <c r="E1364" t="s">
        <v>197</v>
      </c>
      <c r="F1364" t="s">
        <v>197</v>
      </c>
      <c r="G1364" t="s">
        <v>197</v>
      </c>
      <c r="H1364" t="s">
        <v>197</v>
      </c>
      <c r="I1364" t="s">
        <v>197</v>
      </c>
      <c r="J1364" t="s">
        <v>197</v>
      </c>
      <c r="K1364" t="s">
        <v>567</v>
      </c>
    </row>
    <row r="1365" spans="1:24">
      <c r="A1365" t="s">
        <v>1159</v>
      </c>
      <c r="K1365" t="s">
        <v>1160</v>
      </c>
      <c r="W1365" t="s">
        <v>171</v>
      </c>
      <c r="X1365" t="str">
        <f>A1365</f>
        <v>info_datetimeoffset_dml_single_pk_irp</v>
      </c>
    </row>
    <row r="1366" spans="1:24">
      <c r="B1366" t="s">
        <v>196</v>
      </c>
      <c r="C1366" t="s">
        <v>197</v>
      </c>
      <c r="D1366" t="s">
        <v>197</v>
      </c>
      <c r="E1366" t="s">
        <v>197</v>
      </c>
      <c r="F1366" t="s">
        <v>197</v>
      </c>
      <c r="G1366" t="s">
        <v>197</v>
      </c>
      <c r="H1366" t="s">
        <v>197</v>
      </c>
      <c r="I1366" t="s">
        <v>1161</v>
      </c>
      <c r="J1366" t="s">
        <v>199</v>
      </c>
      <c r="K1366" t="s">
        <v>200</v>
      </c>
    </row>
    <row r="1367" spans="1:24">
      <c r="B1367" t="s">
        <v>197</v>
      </c>
      <c r="C1367" t="s">
        <v>197</v>
      </c>
      <c r="D1367" t="s">
        <v>197</v>
      </c>
      <c r="E1367" t="s">
        <v>197</v>
      </c>
      <c r="F1367" t="s">
        <v>197</v>
      </c>
      <c r="G1367" t="s">
        <v>197</v>
      </c>
      <c r="H1367" t="s">
        <v>197</v>
      </c>
      <c r="I1367" t="s">
        <v>197</v>
      </c>
      <c r="J1367" t="s">
        <v>197</v>
      </c>
      <c r="K1367" t="s">
        <v>301</v>
      </c>
    </row>
    <row r="1368" spans="1:24">
      <c r="B1368" t="s">
        <v>197</v>
      </c>
      <c r="C1368" t="s">
        <v>197</v>
      </c>
      <c r="D1368" t="s">
        <v>197</v>
      </c>
      <c r="E1368" t="s">
        <v>197</v>
      </c>
      <c r="F1368" t="s">
        <v>197</v>
      </c>
      <c r="G1368" t="s">
        <v>197</v>
      </c>
      <c r="H1368" t="s">
        <v>197</v>
      </c>
      <c r="I1368" t="s">
        <v>197</v>
      </c>
      <c r="J1368" t="s">
        <v>197</v>
      </c>
      <c r="K1368" t="s">
        <v>314</v>
      </c>
    </row>
    <row r="1369" spans="1:24">
      <c r="B1369" t="s">
        <v>197</v>
      </c>
      <c r="C1369" t="s">
        <v>197</v>
      </c>
      <c r="D1369" t="s">
        <v>197</v>
      </c>
      <c r="E1369" t="s">
        <v>197</v>
      </c>
      <c r="F1369" t="s">
        <v>197</v>
      </c>
      <c r="G1369" t="s">
        <v>197</v>
      </c>
      <c r="H1369" t="s">
        <v>197</v>
      </c>
      <c r="I1369" t="s">
        <v>197</v>
      </c>
      <c r="J1369" t="s">
        <v>197</v>
      </c>
      <c r="K1369" t="s">
        <v>324</v>
      </c>
    </row>
    <row r="1370" spans="1:24">
      <c r="B1370" t="s">
        <v>197</v>
      </c>
      <c r="C1370" t="s">
        <v>197</v>
      </c>
      <c r="D1370" t="s">
        <v>197</v>
      </c>
      <c r="E1370" t="s">
        <v>197</v>
      </c>
      <c r="F1370" t="s">
        <v>197</v>
      </c>
      <c r="G1370" t="s">
        <v>197</v>
      </c>
      <c r="H1370" t="s">
        <v>197</v>
      </c>
      <c r="I1370" t="s">
        <v>197</v>
      </c>
      <c r="J1370" t="s">
        <v>197</v>
      </c>
      <c r="K1370" t="s">
        <v>335</v>
      </c>
    </row>
    <row r="1371" spans="1:24">
      <c r="B1371" t="s">
        <v>197</v>
      </c>
      <c r="C1371" t="s">
        <v>197</v>
      </c>
      <c r="D1371" t="s">
        <v>197</v>
      </c>
      <c r="E1371" t="s">
        <v>197</v>
      </c>
      <c r="F1371" t="s">
        <v>197</v>
      </c>
      <c r="G1371" t="s">
        <v>197</v>
      </c>
      <c r="H1371" t="s">
        <v>197</v>
      </c>
      <c r="I1371" t="s">
        <v>197</v>
      </c>
      <c r="J1371" t="s">
        <v>197</v>
      </c>
      <c r="K1371" t="s">
        <v>350</v>
      </c>
    </row>
    <row r="1372" spans="1:24">
      <c r="B1372" t="s">
        <v>197</v>
      </c>
      <c r="C1372" t="s">
        <v>197</v>
      </c>
      <c r="D1372" t="s">
        <v>197</v>
      </c>
      <c r="E1372" t="s">
        <v>197</v>
      </c>
      <c r="F1372" t="s">
        <v>197</v>
      </c>
      <c r="G1372" t="s">
        <v>197</v>
      </c>
      <c r="H1372" t="s">
        <v>197</v>
      </c>
      <c r="I1372" t="s">
        <v>197</v>
      </c>
      <c r="J1372" t="s">
        <v>197</v>
      </c>
      <c r="K1372" t="s">
        <v>360</v>
      </c>
    </row>
    <row r="1373" spans="1:24">
      <c r="B1373" t="s">
        <v>197</v>
      </c>
      <c r="C1373" t="s">
        <v>197</v>
      </c>
      <c r="D1373" t="s">
        <v>197</v>
      </c>
      <c r="E1373" t="s">
        <v>197</v>
      </c>
      <c r="F1373" t="s">
        <v>197</v>
      </c>
      <c r="G1373" t="s">
        <v>197</v>
      </c>
      <c r="H1373" t="s">
        <v>197</v>
      </c>
      <c r="I1373" t="s">
        <v>197</v>
      </c>
      <c r="J1373" t="s">
        <v>197</v>
      </c>
      <c r="K1373" t="s">
        <v>367</v>
      </c>
    </row>
    <row r="1374" spans="1:24">
      <c r="B1374" t="s">
        <v>197</v>
      </c>
      <c r="C1374" t="s">
        <v>197</v>
      </c>
      <c r="D1374" t="s">
        <v>197</v>
      </c>
      <c r="E1374" t="s">
        <v>197</v>
      </c>
      <c r="F1374" t="s">
        <v>197</v>
      </c>
      <c r="G1374" t="s">
        <v>197</v>
      </c>
      <c r="H1374" t="s">
        <v>197</v>
      </c>
      <c r="I1374" t="s">
        <v>197</v>
      </c>
      <c r="J1374" t="s">
        <v>197</v>
      </c>
      <c r="K1374" t="s">
        <v>373</v>
      </c>
    </row>
    <row r="1375" spans="1:24">
      <c r="A1375" t="s">
        <v>1168</v>
      </c>
      <c r="K1375" t="s">
        <v>1169</v>
      </c>
      <c r="W1375" t="s">
        <v>171</v>
      </c>
      <c r="X1375" t="str">
        <f>A1375</f>
        <v>info_varchar_dml_single_pk</v>
      </c>
    </row>
    <row r="1376" spans="1:24">
      <c r="B1376" t="s">
        <v>196</v>
      </c>
      <c r="C1376" t="s">
        <v>197</v>
      </c>
      <c r="D1376" t="s">
        <v>197</v>
      </c>
      <c r="E1376" t="s">
        <v>197</v>
      </c>
      <c r="F1376" t="s">
        <v>197</v>
      </c>
      <c r="G1376" t="s">
        <v>197</v>
      </c>
      <c r="H1376" t="s">
        <v>197</v>
      </c>
      <c r="I1376" t="s">
        <v>1170</v>
      </c>
      <c r="J1376" t="s">
        <v>199</v>
      </c>
      <c r="K1376" t="s">
        <v>200</v>
      </c>
    </row>
    <row r="1377" spans="1:24">
      <c r="B1377" t="s">
        <v>197</v>
      </c>
      <c r="C1377" t="s">
        <v>197</v>
      </c>
      <c r="D1377" t="s">
        <v>197</v>
      </c>
      <c r="E1377" t="s">
        <v>197</v>
      </c>
      <c r="F1377" t="s">
        <v>197</v>
      </c>
      <c r="G1377" t="s">
        <v>197</v>
      </c>
      <c r="H1377" t="s">
        <v>197</v>
      </c>
      <c r="I1377" t="s">
        <v>197</v>
      </c>
      <c r="J1377" t="s">
        <v>197</v>
      </c>
      <c r="K1377" t="s">
        <v>431</v>
      </c>
    </row>
    <row r="1378" spans="1:24">
      <c r="B1378" t="s">
        <v>197</v>
      </c>
      <c r="C1378" t="s">
        <v>197</v>
      </c>
      <c r="D1378" t="s">
        <v>197</v>
      </c>
      <c r="E1378" t="s">
        <v>197</v>
      </c>
      <c r="F1378" t="s">
        <v>197</v>
      </c>
      <c r="G1378" t="s">
        <v>197</v>
      </c>
      <c r="H1378" t="s">
        <v>197</v>
      </c>
      <c r="I1378" t="s">
        <v>197</v>
      </c>
      <c r="J1378" t="s">
        <v>197</v>
      </c>
      <c r="K1378" t="s">
        <v>1056</v>
      </c>
    </row>
    <row r="1379" spans="1:24">
      <c r="B1379" t="s">
        <v>197</v>
      </c>
      <c r="C1379" t="s">
        <v>197</v>
      </c>
      <c r="D1379" t="s">
        <v>197</v>
      </c>
      <c r="E1379" t="s">
        <v>197</v>
      </c>
      <c r="F1379" t="s">
        <v>197</v>
      </c>
      <c r="G1379" t="s">
        <v>197</v>
      </c>
      <c r="H1379" t="s">
        <v>197</v>
      </c>
      <c r="I1379" t="s">
        <v>197</v>
      </c>
      <c r="J1379" t="s">
        <v>197</v>
      </c>
      <c r="K1379" t="s">
        <v>963</v>
      </c>
    </row>
    <row r="1380" spans="1:24">
      <c r="A1380" t="s">
        <v>1162</v>
      </c>
      <c r="K1380" t="s">
        <v>1163</v>
      </c>
      <c r="W1380" t="s">
        <v>171</v>
      </c>
      <c r="X1380" t="str">
        <f>A1380</f>
        <v>info_varchar_dml_batch1_pk_urp2</v>
      </c>
    </row>
    <row r="1381" spans="1:24">
      <c r="B1381" t="s">
        <v>196</v>
      </c>
      <c r="C1381" t="s">
        <v>197</v>
      </c>
      <c r="D1381" t="s">
        <v>197</v>
      </c>
      <c r="E1381" t="s">
        <v>197</v>
      </c>
      <c r="F1381" t="s">
        <v>197</v>
      </c>
      <c r="G1381" t="s">
        <v>197</v>
      </c>
      <c r="H1381" t="s">
        <v>197</v>
      </c>
      <c r="I1381" t="s">
        <v>1164</v>
      </c>
      <c r="J1381" t="s">
        <v>199</v>
      </c>
      <c r="K1381" t="s">
        <v>200</v>
      </c>
    </row>
    <row r="1382" spans="1:24">
      <c r="B1382" t="s">
        <v>197</v>
      </c>
      <c r="C1382" t="s">
        <v>197</v>
      </c>
      <c r="D1382" t="s">
        <v>197</v>
      </c>
      <c r="E1382" t="s">
        <v>197</v>
      </c>
      <c r="F1382" t="s">
        <v>197</v>
      </c>
      <c r="G1382" t="s">
        <v>197</v>
      </c>
      <c r="H1382" t="s">
        <v>197</v>
      </c>
      <c r="I1382" t="s">
        <v>197</v>
      </c>
      <c r="J1382" t="s">
        <v>197</v>
      </c>
      <c r="K1382" t="s">
        <v>431</v>
      </c>
    </row>
    <row r="1383" spans="1:24">
      <c r="B1383" t="s">
        <v>197</v>
      </c>
      <c r="C1383" t="s">
        <v>197</v>
      </c>
      <c r="D1383" t="s">
        <v>197</v>
      </c>
      <c r="E1383" t="s">
        <v>197</v>
      </c>
      <c r="F1383" t="s">
        <v>197</v>
      </c>
      <c r="G1383" t="s">
        <v>197</v>
      </c>
      <c r="H1383" t="s">
        <v>197</v>
      </c>
      <c r="I1383" t="s">
        <v>197</v>
      </c>
      <c r="J1383" t="s">
        <v>197</v>
      </c>
      <c r="K1383" t="s">
        <v>434</v>
      </c>
    </row>
    <row r="1384" spans="1:24">
      <c r="B1384" t="s">
        <v>197</v>
      </c>
      <c r="C1384" t="s">
        <v>197</v>
      </c>
      <c r="D1384" t="s">
        <v>197</v>
      </c>
      <c r="E1384" t="s">
        <v>197</v>
      </c>
      <c r="F1384" t="s">
        <v>197</v>
      </c>
      <c r="G1384" t="s">
        <v>197</v>
      </c>
      <c r="H1384" t="s">
        <v>197</v>
      </c>
      <c r="I1384" t="s">
        <v>197</v>
      </c>
      <c r="J1384" t="s">
        <v>197</v>
      </c>
      <c r="K1384" t="s">
        <v>439</v>
      </c>
    </row>
    <row r="1385" spans="1:24">
      <c r="A1385" t="s">
        <v>1171</v>
      </c>
      <c r="K1385" t="s">
        <v>1172</v>
      </c>
      <c r="W1385" t="s">
        <v>171</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5"/>
    <mergeCell ref="A6:A9"/>
    <mergeCell ref="A10:A19"/>
    <mergeCell ref="A20:A22"/>
    <mergeCell ref="A23:A28"/>
    <mergeCell ref="A29:A31"/>
    <mergeCell ref="A32:A34"/>
    <mergeCell ref="A35:A37"/>
    <mergeCell ref="A38:A42"/>
    <mergeCell ref="A43:A46"/>
    <mergeCell ref="A47:A51"/>
    <mergeCell ref="A52:A61"/>
    <mergeCell ref="A62:A65"/>
    <mergeCell ref="A66:A68"/>
    <mergeCell ref="A69:A71"/>
    <mergeCell ref="A72:A76"/>
    <mergeCell ref="A77:A81"/>
    <mergeCell ref="A82:A84"/>
    <mergeCell ref="A85:A105"/>
    <mergeCell ref="A106:A108"/>
    <mergeCell ref="A109:A111"/>
    <mergeCell ref="A112:A114"/>
    <mergeCell ref="A115:A119"/>
    <mergeCell ref="A120:A129"/>
    <mergeCell ref="A130:A134"/>
    <mergeCell ref="A135:A155"/>
    <mergeCell ref="A156:A160"/>
    <mergeCell ref="A161:A163"/>
    <mergeCell ref="A164:A169"/>
    <mergeCell ref="A170:A173"/>
    <mergeCell ref="A174:A176"/>
    <mergeCell ref="A177:A181"/>
    <mergeCell ref="A182:A186"/>
    <mergeCell ref="A187:A189"/>
    <mergeCell ref="A190:A211"/>
    <mergeCell ref="A212:A214"/>
    <mergeCell ref="A215:A220"/>
    <mergeCell ref="A221:A223"/>
    <mergeCell ref="A224:A226"/>
    <mergeCell ref="A227:A229"/>
    <mergeCell ref="A230:A234"/>
    <mergeCell ref="A235:A238"/>
    <mergeCell ref="A239:A241"/>
    <mergeCell ref="A242:A246"/>
    <mergeCell ref="A247:A249"/>
    <mergeCell ref="A250:A254"/>
    <mergeCell ref="A255:A260"/>
    <mergeCell ref="A261:A263"/>
    <mergeCell ref="A264:A268"/>
    <mergeCell ref="A269:A273"/>
    <mergeCell ref="A274:A283"/>
    <mergeCell ref="A284:A286"/>
    <mergeCell ref="A287:A296"/>
    <mergeCell ref="A297:A306"/>
    <mergeCell ref="A307:A327"/>
    <mergeCell ref="A328:A332"/>
    <mergeCell ref="A333:A342"/>
    <mergeCell ref="A343:A345"/>
    <mergeCell ref="A346:A355"/>
    <mergeCell ref="A356:A361"/>
    <mergeCell ref="A362:A364"/>
    <mergeCell ref="A365:A370"/>
    <mergeCell ref="A371:A380"/>
    <mergeCell ref="A381:A385"/>
    <mergeCell ref="A386:A390"/>
    <mergeCell ref="A391:A401"/>
    <mergeCell ref="A402:A406"/>
    <mergeCell ref="A407:A411"/>
    <mergeCell ref="A412:A416"/>
    <mergeCell ref="A417:A426"/>
    <mergeCell ref="A427:A429"/>
    <mergeCell ref="A430:A439"/>
    <mergeCell ref="A440:A444"/>
    <mergeCell ref="A445:A449"/>
    <mergeCell ref="A450:A454"/>
    <mergeCell ref="A455:A457"/>
    <mergeCell ref="A458:A460"/>
    <mergeCell ref="A461:A470"/>
    <mergeCell ref="A471:A474"/>
    <mergeCell ref="A475:A477"/>
    <mergeCell ref="A478:A487"/>
    <mergeCell ref="A488:A497"/>
    <mergeCell ref="A498:A502"/>
    <mergeCell ref="A503:A507"/>
    <mergeCell ref="A508:A517"/>
    <mergeCell ref="A518:A522"/>
    <mergeCell ref="A523:A527"/>
    <mergeCell ref="A528:A537"/>
    <mergeCell ref="A538:A547"/>
    <mergeCell ref="A548:A550"/>
    <mergeCell ref="A551:A555"/>
    <mergeCell ref="A556:A566"/>
    <mergeCell ref="A567:A576"/>
    <mergeCell ref="A577:A579"/>
    <mergeCell ref="A580:A584"/>
    <mergeCell ref="A585:A590"/>
    <mergeCell ref="A591:A600"/>
    <mergeCell ref="A601:A610"/>
    <mergeCell ref="A611:A620"/>
    <mergeCell ref="A621:A625"/>
    <mergeCell ref="A626:A635"/>
    <mergeCell ref="A636:A638"/>
    <mergeCell ref="A639:A643"/>
    <mergeCell ref="A644:A648"/>
    <mergeCell ref="A649:A658"/>
    <mergeCell ref="A659:A661"/>
    <mergeCell ref="A662:A666"/>
    <mergeCell ref="A667:A669"/>
    <mergeCell ref="A670:A674"/>
    <mergeCell ref="A675:A695"/>
    <mergeCell ref="A696:A701"/>
    <mergeCell ref="A702:A704"/>
    <mergeCell ref="A705:A709"/>
    <mergeCell ref="A710:A712"/>
    <mergeCell ref="A713:A716"/>
    <mergeCell ref="A717:A719"/>
    <mergeCell ref="A720:A740"/>
    <mergeCell ref="A741:A745"/>
    <mergeCell ref="A746:A749"/>
    <mergeCell ref="A750:A755"/>
    <mergeCell ref="A756:A760"/>
    <mergeCell ref="A761:A765"/>
    <mergeCell ref="A766:A771"/>
    <mergeCell ref="A772:A774"/>
    <mergeCell ref="A775:A777"/>
    <mergeCell ref="A778:A782"/>
    <mergeCell ref="A783:A803"/>
    <mergeCell ref="A804:A806"/>
    <mergeCell ref="A807:A827"/>
    <mergeCell ref="A828:A830"/>
    <mergeCell ref="A831:A835"/>
    <mergeCell ref="A836:A840"/>
    <mergeCell ref="A841:A844"/>
    <mergeCell ref="A845:A849"/>
    <mergeCell ref="A850:A854"/>
    <mergeCell ref="A855:A859"/>
    <mergeCell ref="A860:A863"/>
    <mergeCell ref="A864:A869"/>
    <mergeCell ref="A870:A874"/>
    <mergeCell ref="A875:A877"/>
    <mergeCell ref="A878:A880"/>
    <mergeCell ref="A881:A884"/>
    <mergeCell ref="A885:A887"/>
    <mergeCell ref="A888:A892"/>
    <mergeCell ref="A893:A895"/>
    <mergeCell ref="A896:A898"/>
    <mergeCell ref="A899:A908"/>
    <mergeCell ref="A909:A913"/>
    <mergeCell ref="A914:A919"/>
    <mergeCell ref="A920:A929"/>
    <mergeCell ref="A930:A932"/>
    <mergeCell ref="A933:A958"/>
    <mergeCell ref="A959:A961"/>
    <mergeCell ref="A962:A971"/>
    <mergeCell ref="A972:A976"/>
    <mergeCell ref="A977:A981"/>
    <mergeCell ref="A982:A986"/>
    <mergeCell ref="A987:A989"/>
    <mergeCell ref="A990:A994"/>
    <mergeCell ref="A995:A999"/>
    <mergeCell ref="A1000:A1005"/>
    <mergeCell ref="A1006:A1015"/>
    <mergeCell ref="A1016:A1020"/>
    <mergeCell ref="A1021:A1046"/>
    <mergeCell ref="A1047:A1051"/>
    <mergeCell ref="A1052:A1057"/>
    <mergeCell ref="A1058:A1083"/>
    <mergeCell ref="A1084:A1086"/>
    <mergeCell ref="A1087:A1091"/>
    <mergeCell ref="A1092:A1101"/>
    <mergeCell ref="A1102:A1104"/>
    <mergeCell ref="A1105:A1125"/>
    <mergeCell ref="A1126:A1135"/>
    <mergeCell ref="A1136:A1145"/>
    <mergeCell ref="A1146:A1150"/>
    <mergeCell ref="A1151:A1176"/>
    <mergeCell ref="A1177:A1186"/>
    <mergeCell ref="A1187:A1196"/>
    <mergeCell ref="A1197:A1201"/>
    <mergeCell ref="A1202:A1204"/>
    <mergeCell ref="A1205:A1215"/>
    <mergeCell ref="A1216:A1218"/>
    <mergeCell ref="A1219:A1239"/>
    <mergeCell ref="A1240:A1249"/>
    <mergeCell ref="A1250:A1259"/>
    <mergeCell ref="A1260:A1264"/>
    <mergeCell ref="A1265:A1267"/>
    <mergeCell ref="A1268:A1272"/>
    <mergeCell ref="A1273:A1275"/>
    <mergeCell ref="A1276:A1285"/>
    <mergeCell ref="A1286:A1290"/>
    <mergeCell ref="A1291:A1311"/>
    <mergeCell ref="A1312:A1332"/>
    <mergeCell ref="A1333:A1337"/>
    <mergeCell ref="A1338:A1340"/>
    <mergeCell ref="A1341:A1343"/>
    <mergeCell ref="A1344:A1364"/>
    <mergeCell ref="A1365:A1374"/>
    <mergeCell ref="A1375:A1379"/>
    <mergeCell ref="A1380:A1384"/>
    <mergeCell ref="A1385:A1387"/>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387"/>
  <sheetViews>
    <sheetView tabSelected="1" topLeftCell="K1" workbookViewId="0">
      <selection activeCell="AH5" sqref="AH5"/>
    </sheetView>
  </sheetViews>
  <sheetFormatPr defaultColWidth="9" defaultRowHeight="13.5"/>
  <sheetData>
    <row r="1" spans="1:32">
      <c r="A1" t="s">
        <v>2387</v>
      </c>
      <c r="E1" t="s">
        <v>1196</v>
      </c>
    </row>
    <row r="2" spans="1:32">
      <c r="A2" t="s">
        <v>157</v>
      </c>
      <c r="B2" t="s">
        <v>158</v>
      </c>
      <c r="C2" t="s">
        <v>159</v>
      </c>
      <c r="D2" t="s">
        <v>160</v>
      </c>
      <c r="E2" t="s">
        <v>161</v>
      </c>
      <c r="F2" t="s">
        <v>162</v>
      </c>
      <c r="G2" t="s">
        <v>163</v>
      </c>
      <c r="H2" t="s">
        <v>164</v>
      </c>
      <c r="I2" t="s">
        <v>165</v>
      </c>
      <c r="J2" t="s">
        <v>166</v>
      </c>
      <c r="K2" t="s">
        <v>167</v>
      </c>
      <c r="W2" t="s">
        <v>168</v>
      </c>
      <c r="Y2" s="1" t="str">
        <f>HYPERLINK("#2026042017hbase1!W349","info_hierarchyid_dml_single_pk_irp")</f>
        <v>info_hierarchyid_dml_single_pk_irp</v>
      </c>
      <c r="Z2" s="1" t="str">
        <f>HYPERLINK("#2026042017hbase1!W938","info_sql_variant_dml_single_pk_irp")</f>
        <v>info_sql_variant_dml_single_pk_irp</v>
      </c>
      <c r="AA2" s="1" t="str">
        <f>HYPERLINK("#2026042017hbase1!W992","info_geography_dml_single_pk_irp")</f>
        <v>info_geography_dml_single_pk_irp</v>
      </c>
      <c r="AB2" s="1" t="str">
        <f>HYPERLINK("#2026042017hbase1!W1026","info_sql_variant_dml_single_pk_urp")</f>
        <v>info_sql_variant_dml_single_pk_urp</v>
      </c>
      <c r="AC2" s="1" t="str">
        <f>HYPERLINK("#2026042017hbase1!W1058","info_sql_variant_dml_single_pk_drp")</f>
        <v>info_sql_variant_dml_single_pk_drp</v>
      </c>
      <c r="AD2" s="1" t="str">
        <f>HYPERLINK("#2026042017hbase1!W1123","info_geography_dml_single_pk_urp")</f>
        <v>info_geography_dml_single_pk_urp</v>
      </c>
      <c r="AE2" s="1" t="str">
        <f>HYPERLINK("#2026042017hbase1!W1151","info_sql_variant_dml_single_pk")</f>
        <v>info_sql_variant_dml_single_pk</v>
      </c>
      <c r="AF2" s="1" t="str">
        <f>HYPERLINK("#2026042017hbase1!W1250","info_geography_dml_single_pk_drp")</f>
        <v>info_geography_dml_single_pk_drp</v>
      </c>
    </row>
    <row r="3" spans="1:32">
      <c r="A3" t="s">
        <v>380</v>
      </c>
      <c r="K3" t="s">
        <v>381</v>
      </c>
      <c r="W3" t="s">
        <v>171</v>
      </c>
      <c r="X3" t="str">
        <f>A3</f>
        <v>info_geometry_dml_single_pk_irp</v>
      </c>
      <c r="Y3" t="s">
        <v>177</v>
      </c>
      <c r="Z3" t="s">
        <v>2379</v>
      </c>
      <c r="AA3" t="s">
        <v>190</v>
      </c>
      <c r="AB3" t="s">
        <v>2380</v>
      </c>
      <c r="AC3" t="s">
        <v>2381</v>
      </c>
      <c r="AD3" t="s">
        <v>193</v>
      </c>
      <c r="AE3" t="s">
        <v>2382</v>
      </c>
      <c r="AF3" t="s">
        <v>195</v>
      </c>
    </row>
    <row r="4" spans="1:32">
      <c r="B4" t="s">
        <v>196</v>
      </c>
      <c r="C4" t="s">
        <v>197</v>
      </c>
      <c r="D4" t="s">
        <v>197</v>
      </c>
      <c r="E4" t="s">
        <v>197</v>
      </c>
      <c r="F4" t="s">
        <v>197</v>
      </c>
      <c r="G4" t="s">
        <v>197</v>
      </c>
      <c r="H4" t="s">
        <v>197</v>
      </c>
      <c r="I4" t="s">
        <v>385</v>
      </c>
      <c r="J4" t="s">
        <v>199</v>
      </c>
      <c r="K4" t="s">
        <v>200</v>
      </c>
      <c r="Y4" t="s">
        <v>206</v>
      </c>
      <c r="Z4" t="s">
        <v>2383</v>
      </c>
      <c r="AA4" t="s">
        <v>195</v>
      </c>
      <c r="AB4" t="s">
        <v>2384</v>
      </c>
      <c r="AC4" t="s">
        <v>2385</v>
      </c>
      <c r="AD4" t="s">
        <v>225</v>
      </c>
      <c r="AE4" t="s">
        <v>2386</v>
      </c>
      <c r="AF4" t="s">
        <v>227</v>
      </c>
    </row>
    <row r="5" spans="1:32">
      <c r="B5" t="s">
        <v>197</v>
      </c>
      <c r="C5" t="s">
        <v>197</v>
      </c>
      <c r="D5" t="s">
        <v>197</v>
      </c>
      <c r="E5" t="s">
        <v>197</v>
      </c>
      <c r="F5" t="s">
        <v>197</v>
      </c>
      <c r="G5" t="s">
        <v>197</v>
      </c>
      <c r="H5" t="s">
        <v>197</v>
      </c>
      <c r="I5" t="s">
        <v>197</v>
      </c>
      <c r="J5" t="s">
        <v>197</v>
      </c>
      <c r="K5" t="s">
        <v>393</v>
      </c>
      <c r="Y5" t="s">
        <v>234</v>
      </c>
      <c r="AA5" t="s">
        <v>227</v>
      </c>
      <c r="AD5" t="s">
        <v>248</v>
      </c>
      <c r="AF5" t="s">
        <v>249</v>
      </c>
    </row>
    <row r="6" spans="1:32">
      <c r="A6" t="s">
        <v>397</v>
      </c>
      <c r="K6" t="s">
        <v>398</v>
      </c>
      <c r="W6" t="s">
        <v>171</v>
      </c>
      <c r="X6" t="str">
        <f>A6</f>
        <v>info_nvarchar_dml_batch1_pk_urp1</v>
      </c>
      <c r="Y6" t="s">
        <v>257</v>
      </c>
      <c r="AA6" t="s">
        <v>270</v>
      </c>
      <c r="AD6" t="s">
        <v>273</v>
      </c>
      <c r="AF6" t="s">
        <v>275</v>
      </c>
    </row>
    <row r="7" spans="1:32">
      <c r="B7" t="s">
        <v>196</v>
      </c>
      <c r="C7" t="s">
        <v>197</v>
      </c>
      <c r="D7" t="s">
        <v>197</v>
      </c>
      <c r="E7" t="s">
        <v>197</v>
      </c>
      <c r="F7" t="s">
        <v>197</v>
      </c>
      <c r="G7" t="s">
        <v>197</v>
      </c>
      <c r="H7" t="s">
        <v>197</v>
      </c>
      <c r="I7" t="s">
        <v>403</v>
      </c>
      <c r="J7" t="s">
        <v>199</v>
      </c>
      <c r="K7" t="s">
        <v>200</v>
      </c>
      <c r="AA7" t="s">
        <v>288</v>
      </c>
    </row>
    <row r="8" spans="1:32">
      <c r="B8" t="s">
        <v>197</v>
      </c>
      <c r="C8" t="s">
        <v>197</v>
      </c>
      <c r="D8" t="s">
        <v>197</v>
      </c>
      <c r="E8" t="s">
        <v>197</v>
      </c>
      <c r="F8" t="s">
        <v>197</v>
      </c>
      <c r="G8" t="s">
        <v>197</v>
      </c>
      <c r="H8" t="s">
        <v>197</v>
      </c>
      <c r="I8" t="s">
        <v>197</v>
      </c>
      <c r="J8" t="s">
        <v>197</v>
      </c>
      <c r="K8" t="s">
        <v>408</v>
      </c>
      <c r="AA8" t="s">
        <v>249</v>
      </c>
    </row>
    <row r="9" spans="1:32">
      <c r="B9" t="s">
        <v>197</v>
      </c>
      <c r="C9" t="s">
        <v>197</v>
      </c>
      <c r="D9" t="s">
        <v>197</v>
      </c>
      <c r="E9" t="s">
        <v>197</v>
      </c>
      <c r="F9" t="s">
        <v>197</v>
      </c>
      <c r="G9" t="s">
        <v>197</v>
      </c>
      <c r="H9" t="s">
        <v>197</v>
      </c>
      <c r="I9" t="s">
        <v>197</v>
      </c>
      <c r="J9" t="s">
        <v>197</v>
      </c>
      <c r="K9" t="s">
        <v>412</v>
      </c>
      <c r="AA9" t="s">
        <v>275</v>
      </c>
    </row>
    <row r="10" spans="1:32">
      <c r="B10" t="s">
        <v>197</v>
      </c>
      <c r="C10" t="s">
        <v>197</v>
      </c>
      <c r="D10" t="s">
        <v>197</v>
      </c>
      <c r="E10" t="s">
        <v>197</v>
      </c>
      <c r="F10" t="s">
        <v>197</v>
      </c>
      <c r="G10" t="s">
        <v>197</v>
      </c>
      <c r="H10" t="s">
        <v>197</v>
      </c>
      <c r="I10" t="s">
        <v>197</v>
      </c>
      <c r="J10" t="s">
        <v>197</v>
      </c>
      <c r="K10" t="s">
        <v>416</v>
      </c>
      <c r="AA10" t="s">
        <v>321</v>
      </c>
    </row>
    <row r="11" spans="1:32">
      <c r="A11" t="s">
        <v>169</v>
      </c>
      <c r="K11" t="s">
        <v>170</v>
      </c>
      <c r="W11" t="s">
        <v>171</v>
      </c>
      <c r="X11" t="str">
        <f>A11</f>
        <v>info_text_dml_single_pk_irp</v>
      </c>
    </row>
    <row r="12" spans="1:32">
      <c r="B12" t="s">
        <v>196</v>
      </c>
      <c r="C12" t="s">
        <v>197</v>
      </c>
      <c r="D12" t="s">
        <v>197</v>
      </c>
      <c r="E12" t="s">
        <v>197</v>
      </c>
      <c r="F12" t="s">
        <v>197</v>
      </c>
      <c r="G12" t="s">
        <v>197</v>
      </c>
      <c r="H12" t="s">
        <v>197</v>
      </c>
      <c r="I12" t="s">
        <v>198</v>
      </c>
      <c r="J12" t="s">
        <v>199</v>
      </c>
      <c r="K12" t="s">
        <v>200</v>
      </c>
    </row>
    <row r="13" spans="1:32">
      <c r="B13" t="s">
        <v>197</v>
      </c>
      <c r="C13" t="s">
        <v>197</v>
      </c>
      <c r="D13" t="s">
        <v>197</v>
      </c>
      <c r="E13" t="s">
        <v>197</v>
      </c>
      <c r="F13" t="s">
        <v>197</v>
      </c>
      <c r="G13" t="s">
        <v>197</v>
      </c>
      <c r="H13" t="s">
        <v>197</v>
      </c>
      <c r="I13" t="s">
        <v>197</v>
      </c>
      <c r="J13" t="s">
        <v>197</v>
      </c>
      <c r="K13" t="s">
        <v>229</v>
      </c>
    </row>
    <row r="14" spans="1:32">
      <c r="B14" t="s">
        <v>197</v>
      </c>
      <c r="C14" t="s">
        <v>197</v>
      </c>
      <c r="D14" t="s">
        <v>197</v>
      </c>
      <c r="E14" t="s">
        <v>197</v>
      </c>
      <c r="F14" t="s">
        <v>197</v>
      </c>
      <c r="G14" t="s">
        <v>197</v>
      </c>
      <c r="H14" t="s">
        <v>197</v>
      </c>
      <c r="I14" t="s">
        <v>197</v>
      </c>
      <c r="J14" t="s">
        <v>197</v>
      </c>
      <c r="K14" t="s">
        <v>251</v>
      </c>
    </row>
    <row r="15" spans="1:32">
      <c r="A15" t="s">
        <v>277</v>
      </c>
      <c r="K15" t="s">
        <v>278</v>
      </c>
      <c r="W15" t="s">
        <v>171</v>
      </c>
      <c r="X15" t="str">
        <f>A15</f>
        <v>info_datetimeoffset_dml_single_pk_urp</v>
      </c>
    </row>
    <row r="16" spans="1:32">
      <c r="B16" t="s">
        <v>196</v>
      </c>
      <c r="C16" t="s">
        <v>197</v>
      </c>
      <c r="D16" t="s">
        <v>197</v>
      </c>
      <c r="E16" t="s">
        <v>197</v>
      </c>
      <c r="F16" t="s">
        <v>197</v>
      </c>
      <c r="G16" t="s">
        <v>197</v>
      </c>
      <c r="H16" t="s">
        <v>197</v>
      </c>
      <c r="I16" t="s">
        <v>291</v>
      </c>
      <c r="J16" t="s">
        <v>199</v>
      </c>
      <c r="K16" t="s">
        <v>200</v>
      </c>
    </row>
    <row r="17" spans="1:24">
      <c r="B17" t="s">
        <v>197</v>
      </c>
      <c r="C17" t="s">
        <v>197</v>
      </c>
      <c r="D17" t="s">
        <v>197</v>
      </c>
      <c r="E17" t="s">
        <v>197</v>
      </c>
      <c r="F17" t="s">
        <v>197</v>
      </c>
      <c r="G17" t="s">
        <v>197</v>
      </c>
      <c r="H17" t="s">
        <v>197</v>
      </c>
      <c r="I17" t="s">
        <v>197</v>
      </c>
      <c r="J17" t="s">
        <v>197</v>
      </c>
      <c r="K17" t="s">
        <v>301</v>
      </c>
    </row>
    <row r="18" spans="1:24">
      <c r="B18" t="s">
        <v>197</v>
      </c>
      <c r="C18" t="s">
        <v>197</v>
      </c>
      <c r="D18" t="s">
        <v>197</v>
      </c>
      <c r="E18" t="s">
        <v>197</v>
      </c>
      <c r="F18" t="s">
        <v>197</v>
      </c>
      <c r="G18" t="s">
        <v>197</v>
      </c>
      <c r="H18" t="s">
        <v>197</v>
      </c>
      <c r="I18" t="s">
        <v>197</v>
      </c>
      <c r="J18" t="s">
        <v>197</v>
      </c>
      <c r="K18" t="s">
        <v>314</v>
      </c>
    </row>
    <row r="19" spans="1:24">
      <c r="B19" t="s">
        <v>197</v>
      </c>
      <c r="C19" t="s">
        <v>197</v>
      </c>
      <c r="D19" t="s">
        <v>197</v>
      </c>
      <c r="E19" t="s">
        <v>197</v>
      </c>
      <c r="F19" t="s">
        <v>197</v>
      </c>
      <c r="G19" t="s">
        <v>197</v>
      </c>
      <c r="H19" t="s">
        <v>197</v>
      </c>
      <c r="I19" t="s">
        <v>197</v>
      </c>
      <c r="J19" t="s">
        <v>197</v>
      </c>
      <c r="K19" t="s">
        <v>324</v>
      </c>
    </row>
    <row r="20" spans="1:24">
      <c r="B20" t="s">
        <v>197</v>
      </c>
      <c r="C20" t="s">
        <v>197</v>
      </c>
      <c r="D20" t="s">
        <v>197</v>
      </c>
      <c r="E20" t="s">
        <v>197</v>
      </c>
      <c r="F20" t="s">
        <v>197</v>
      </c>
      <c r="G20" t="s">
        <v>197</v>
      </c>
      <c r="H20" t="s">
        <v>197</v>
      </c>
      <c r="I20" t="s">
        <v>197</v>
      </c>
      <c r="J20" t="s">
        <v>197</v>
      </c>
      <c r="K20" t="s">
        <v>335</v>
      </c>
    </row>
    <row r="21" spans="1:24">
      <c r="B21" t="s">
        <v>197</v>
      </c>
      <c r="C21" t="s">
        <v>197</v>
      </c>
      <c r="D21" t="s">
        <v>197</v>
      </c>
      <c r="E21" t="s">
        <v>197</v>
      </c>
      <c r="F21" t="s">
        <v>197</v>
      </c>
      <c r="G21" t="s">
        <v>197</v>
      </c>
      <c r="H21" t="s">
        <v>197</v>
      </c>
      <c r="I21" t="s">
        <v>197</v>
      </c>
      <c r="J21" t="s">
        <v>197</v>
      </c>
      <c r="K21" t="s">
        <v>350</v>
      </c>
    </row>
    <row r="22" spans="1:24">
      <c r="B22" t="s">
        <v>197</v>
      </c>
      <c r="C22" t="s">
        <v>197</v>
      </c>
      <c r="D22" t="s">
        <v>197</v>
      </c>
      <c r="E22" t="s">
        <v>197</v>
      </c>
      <c r="F22" t="s">
        <v>197</v>
      </c>
      <c r="G22" t="s">
        <v>197</v>
      </c>
      <c r="H22" t="s">
        <v>197</v>
      </c>
      <c r="I22" t="s">
        <v>197</v>
      </c>
      <c r="J22" t="s">
        <v>197</v>
      </c>
      <c r="K22" t="s">
        <v>360</v>
      </c>
    </row>
    <row r="23" spans="1:24">
      <c r="B23" t="s">
        <v>197</v>
      </c>
      <c r="C23" t="s">
        <v>197</v>
      </c>
      <c r="D23" t="s">
        <v>197</v>
      </c>
      <c r="E23" t="s">
        <v>197</v>
      </c>
      <c r="F23" t="s">
        <v>197</v>
      </c>
      <c r="G23" t="s">
        <v>197</v>
      </c>
      <c r="H23" t="s">
        <v>197</v>
      </c>
      <c r="I23" t="s">
        <v>197</v>
      </c>
      <c r="J23" t="s">
        <v>197</v>
      </c>
      <c r="K23" t="s">
        <v>367</v>
      </c>
    </row>
    <row r="24" spans="1:24">
      <c r="B24" t="s">
        <v>197</v>
      </c>
      <c r="C24" t="s">
        <v>197</v>
      </c>
      <c r="D24" t="s">
        <v>197</v>
      </c>
      <c r="E24" t="s">
        <v>197</v>
      </c>
      <c r="F24" t="s">
        <v>197</v>
      </c>
      <c r="G24" t="s">
        <v>197</v>
      </c>
      <c r="H24" t="s">
        <v>197</v>
      </c>
      <c r="I24" t="s">
        <v>197</v>
      </c>
      <c r="J24" t="s">
        <v>197</v>
      </c>
      <c r="K24" t="s">
        <v>373</v>
      </c>
    </row>
    <row r="25" spans="1:24">
      <c r="A25" t="s">
        <v>417</v>
      </c>
      <c r="K25" t="s">
        <v>418</v>
      </c>
      <c r="W25" t="s">
        <v>171</v>
      </c>
      <c r="X25" t="str">
        <f>A25</f>
        <v>info_sdt_dml_batch2_pk_irp2</v>
      </c>
    </row>
    <row r="26" spans="1:24">
      <c r="B26" t="s">
        <v>196</v>
      </c>
      <c r="C26" t="s">
        <v>197</v>
      </c>
      <c r="D26" t="s">
        <v>197</v>
      </c>
      <c r="E26" t="s">
        <v>197</v>
      </c>
      <c r="F26" t="s">
        <v>197</v>
      </c>
      <c r="G26" t="s">
        <v>197</v>
      </c>
      <c r="H26" t="s">
        <v>197</v>
      </c>
      <c r="I26" t="s">
        <v>420</v>
      </c>
      <c r="J26" t="s">
        <v>199</v>
      </c>
      <c r="K26" t="s">
        <v>200</v>
      </c>
    </row>
    <row r="27" spans="1:24">
      <c r="B27" t="s">
        <v>197</v>
      </c>
      <c r="C27" t="s">
        <v>197</v>
      </c>
      <c r="D27" t="s">
        <v>197</v>
      </c>
      <c r="E27" t="s">
        <v>197</v>
      </c>
      <c r="F27" t="s">
        <v>197</v>
      </c>
      <c r="G27" t="s">
        <v>197</v>
      </c>
      <c r="H27" t="s">
        <v>197</v>
      </c>
      <c r="I27" t="s">
        <v>197</v>
      </c>
      <c r="J27" t="s">
        <v>197</v>
      </c>
      <c r="K27" t="s">
        <v>422</v>
      </c>
    </row>
    <row r="28" spans="1:24">
      <c r="A28" t="s">
        <v>423</v>
      </c>
      <c r="K28" t="s">
        <v>424</v>
      </c>
      <c r="W28" t="s">
        <v>171</v>
      </c>
      <c r="X28" t="str">
        <f>A28</f>
        <v>info_varchar_dml_batch1_pk_drp1</v>
      </c>
    </row>
    <row r="29" spans="1:24">
      <c r="B29" t="s">
        <v>196</v>
      </c>
      <c r="C29" t="s">
        <v>197</v>
      </c>
      <c r="D29" t="s">
        <v>197</v>
      </c>
      <c r="E29" t="s">
        <v>197</v>
      </c>
      <c r="F29" t="s">
        <v>197</v>
      </c>
      <c r="G29" t="s">
        <v>197</v>
      </c>
      <c r="H29" t="s">
        <v>197</v>
      </c>
      <c r="I29" t="s">
        <v>427</v>
      </c>
      <c r="J29" t="s">
        <v>199</v>
      </c>
      <c r="K29" t="s">
        <v>200</v>
      </c>
    </row>
    <row r="30" spans="1:24">
      <c r="B30" t="s">
        <v>197</v>
      </c>
      <c r="C30" t="s">
        <v>197</v>
      </c>
      <c r="D30" t="s">
        <v>197</v>
      </c>
      <c r="E30" t="s">
        <v>197</v>
      </c>
      <c r="F30" t="s">
        <v>197</v>
      </c>
      <c r="G30" t="s">
        <v>197</v>
      </c>
      <c r="H30" t="s">
        <v>197</v>
      </c>
      <c r="I30" t="s">
        <v>197</v>
      </c>
      <c r="J30" t="s">
        <v>197</v>
      </c>
      <c r="K30" t="s">
        <v>431</v>
      </c>
    </row>
    <row r="31" spans="1:24">
      <c r="B31" t="s">
        <v>197</v>
      </c>
      <c r="C31" t="s">
        <v>197</v>
      </c>
      <c r="D31" t="s">
        <v>197</v>
      </c>
      <c r="E31" t="s">
        <v>197</v>
      </c>
      <c r="F31" t="s">
        <v>197</v>
      </c>
      <c r="G31" t="s">
        <v>197</v>
      </c>
      <c r="H31" t="s">
        <v>197</v>
      </c>
      <c r="I31" t="s">
        <v>197</v>
      </c>
      <c r="J31" t="s">
        <v>197</v>
      </c>
      <c r="K31" t="s">
        <v>434</v>
      </c>
    </row>
    <row r="32" spans="1:24">
      <c r="B32" t="s">
        <v>197</v>
      </c>
      <c r="C32" t="s">
        <v>197</v>
      </c>
      <c r="D32" t="s">
        <v>197</v>
      </c>
      <c r="E32" t="s">
        <v>197</v>
      </c>
      <c r="F32" t="s">
        <v>197</v>
      </c>
      <c r="G32" t="s">
        <v>197</v>
      </c>
      <c r="H32" t="s">
        <v>197</v>
      </c>
      <c r="I32" t="s">
        <v>197</v>
      </c>
      <c r="J32" t="s">
        <v>197</v>
      </c>
      <c r="K32" t="s">
        <v>439</v>
      </c>
    </row>
    <row r="33" spans="1:24">
      <c r="K33" t="s">
        <v>443</v>
      </c>
    </row>
    <row r="34" spans="1:24">
      <c r="A34" t="s">
        <v>448</v>
      </c>
      <c r="K34" t="s">
        <v>449</v>
      </c>
      <c r="W34" t="s">
        <v>171</v>
      </c>
      <c r="X34" t="str">
        <f>A34</f>
        <v>info_sdt_dml_batch1_pk_urp1</v>
      </c>
    </row>
    <row r="35" spans="1:24">
      <c r="B35" t="s">
        <v>196</v>
      </c>
      <c r="C35" t="s">
        <v>197</v>
      </c>
      <c r="D35" t="s">
        <v>197</v>
      </c>
      <c r="E35" t="s">
        <v>197</v>
      </c>
      <c r="F35" t="s">
        <v>197</v>
      </c>
      <c r="G35" t="s">
        <v>197</v>
      </c>
      <c r="H35" t="s">
        <v>197</v>
      </c>
      <c r="I35" t="s">
        <v>454</v>
      </c>
      <c r="J35" t="s">
        <v>199</v>
      </c>
      <c r="K35" t="s">
        <v>200</v>
      </c>
    </row>
    <row r="36" spans="1:24">
      <c r="B36" t="s">
        <v>197</v>
      </c>
      <c r="C36" t="s">
        <v>197</v>
      </c>
      <c r="D36" t="s">
        <v>197</v>
      </c>
      <c r="E36" t="s">
        <v>197</v>
      </c>
      <c r="F36" t="s">
        <v>197</v>
      </c>
      <c r="G36" t="s">
        <v>197</v>
      </c>
      <c r="H36" t="s">
        <v>197</v>
      </c>
      <c r="I36" t="s">
        <v>197</v>
      </c>
      <c r="J36" t="s">
        <v>197</v>
      </c>
      <c r="K36" t="s">
        <v>422</v>
      </c>
    </row>
    <row r="37" spans="1:24">
      <c r="A37" t="s">
        <v>462</v>
      </c>
      <c r="K37" t="s">
        <v>463</v>
      </c>
      <c r="W37" t="s">
        <v>171</v>
      </c>
      <c r="X37" t="str">
        <f>A37</f>
        <v>info_xml_dml_single_pk_irp</v>
      </c>
    </row>
    <row r="38" spans="1:24">
      <c r="B38" t="s">
        <v>196</v>
      </c>
      <c r="C38" t="s">
        <v>197</v>
      </c>
      <c r="D38" t="s">
        <v>197</v>
      </c>
      <c r="E38" t="s">
        <v>197</v>
      </c>
      <c r="F38" t="s">
        <v>197</v>
      </c>
      <c r="G38" t="s">
        <v>197</v>
      </c>
      <c r="H38" t="s">
        <v>197</v>
      </c>
      <c r="I38" t="s">
        <v>467</v>
      </c>
      <c r="J38" t="s">
        <v>199</v>
      </c>
      <c r="K38" t="s">
        <v>200</v>
      </c>
    </row>
    <row r="39" spans="1:24">
      <c r="B39" t="s">
        <v>197</v>
      </c>
      <c r="C39" t="s">
        <v>197</v>
      </c>
      <c r="D39" t="s">
        <v>197</v>
      </c>
      <c r="E39" t="s">
        <v>197</v>
      </c>
      <c r="F39" t="s">
        <v>197</v>
      </c>
      <c r="G39" t="s">
        <v>197</v>
      </c>
      <c r="H39" t="s">
        <v>197</v>
      </c>
      <c r="I39" t="s">
        <v>197</v>
      </c>
      <c r="J39" t="s">
        <v>197</v>
      </c>
      <c r="K39" t="s">
        <v>472</v>
      </c>
    </row>
    <row r="40" spans="1:24">
      <c r="A40" t="s">
        <v>476</v>
      </c>
      <c r="K40" t="s">
        <v>477</v>
      </c>
      <c r="W40" t="s">
        <v>171</v>
      </c>
      <c r="X40" t="str">
        <f>A40</f>
        <v>info_sdt_dml_batch1_pk_urp2</v>
      </c>
    </row>
    <row r="41" spans="1:24">
      <c r="B41" t="s">
        <v>196</v>
      </c>
      <c r="C41" t="s">
        <v>197</v>
      </c>
      <c r="D41" t="s">
        <v>197</v>
      </c>
      <c r="E41" t="s">
        <v>197</v>
      </c>
      <c r="F41" t="s">
        <v>197</v>
      </c>
      <c r="G41" t="s">
        <v>197</v>
      </c>
      <c r="H41" t="s">
        <v>197</v>
      </c>
      <c r="I41" t="s">
        <v>481</v>
      </c>
      <c r="J41" t="s">
        <v>199</v>
      </c>
      <c r="K41" t="s">
        <v>200</v>
      </c>
    </row>
    <row r="42" spans="1:24">
      <c r="B42" t="s">
        <v>197</v>
      </c>
      <c r="C42" t="s">
        <v>197</v>
      </c>
      <c r="D42" t="s">
        <v>197</v>
      </c>
      <c r="E42" t="s">
        <v>197</v>
      </c>
      <c r="F42" t="s">
        <v>197</v>
      </c>
      <c r="G42" t="s">
        <v>197</v>
      </c>
      <c r="H42" t="s">
        <v>197</v>
      </c>
      <c r="I42" t="s">
        <v>197</v>
      </c>
      <c r="J42" t="s">
        <v>197</v>
      </c>
      <c r="K42" t="s">
        <v>422</v>
      </c>
    </row>
    <row r="43" spans="1:24">
      <c r="A43" t="s">
        <v>486</v>
      </c>
      <c r="K43" t="s">
        <v>487</v>
      </c>
      <c r="W43" t="s">
        <v>171</v>
      </c>
      <c r="X43" t="str">
        <f>A43</f>
        <v>info_varbinary_dml_batch1_pk_urp1</v>
      </c>
    </row>
    <row r="44" spans="1:24">
      <c r="B44" t="s">
        <v>196</v>
      </c>
      <c r="C44" t="s">
        <v>197</v>
      </c>
      <c r="D44" t="s">
        <v>197</v>
      </c>
      <c r="E44" t="s">
        <v>197</v>
      </c>
      <c r="F44" t="s">
        <v>197</v>
      </c>
      <c r="G44" t="s">
        <v>197</v>
      </c>
      <c r="H44" t="s">
        <v>197</v>
      </c>
      <c r="I44" t="s">
        <v>491</v>
      </c>
      <c r="J44" t="s">
        <v>199</v>
      </c>
      <c r="K44" t="s">
        <v>200</v>
      </c>
    </row>
    <row r="45" spans="1:24">
      <c r="B45" t="s">
        <v>197</v>
      </c>
      <c r="C45" t="s">
        <v>197</v>
      </c>
      <c r="D45" t="s">
        <v>197</v>
      </c>
      <c r="E45" t="s">
        <v>197</v>
      </c>
      <c r="F45" t="s">
        <v>197</v>
      </c>
      <c r="G45" t="s">
        <v>197</v>
      </c>
      <c r="H45" t="s">
        <v>197</v>
      </c>
      <c r="I45" t="s">
        <v>197</v>
      </c>
      <c r="J45" t="s">
        <v>197</v>
      </c>
      <c r="K45" t="s">
        <v>495</v>
      </c>
    </row>
    <row r="46" spans="1:24">
      <c r="B46" t="s">
        <v>197</v>
      </c>
      <c r="C46" t="s">
        <v>197</v>
      </c>
      <c r="D46" t="s">
        <v>197</v>
      </c>
      <c r="E46" t="s">
        <v>197</v>
      </c>
      <c r="F46" t="s">
        <v>197</v>
      </c>
      <c r="G46" t="s">
        <v>197</v>
      </c>
      <c r="H46" t="s">
        <v>197</v>
      </c>
      <c r="I46" t="s">
        <v>197</v>
      </c>
      <c r="J46" t="s">
        <v>197</v>
      </c>
      <c r="K46" t="s">
        <v>499</v>
      </c>
    </row>
    <row r="47" spans="1:24">
      <c r="B47" t="s">
        <v>197</v>
      </c>
      <c r="C47" t="s">
        <v>197</v>
      </c>
      <c r="D47" t="s">
        <v>197</v>
      </c>
      <c r="E47" t="s">
        <v>197</v>
      </c>
      <c r="F47" t="s">
        <v>197</v>
      </c>
      <c r="G47" t="s">
        <v>197</v>
      </c>
      <c r="H47" t="s">
        <v>197</v>
      </c>
      <c r="I47" t="s">
        <v>197</v>
      </c>
      <c r="J47" t="s">
        <v>197</v>
      </c>
      <c r="K47" t="s">
        <v>503</v>
      </c>
    </row>
    <row r="48" spans="1:24">
      <c r="A48" t="s">
        <v>504</v>
      </c>
      <c r="K48" t="s">
        <v>505</v>
      </c>
      <c r="W48" t="s">
        <v>171</v>
      </c>
      <c r="X48" t="str">
        <f>A48</f>
        <v>info_sdt_dml_batch1_pk_drp1</v>
      </c>
    </row>
    <row r="49" spans="1:24">
      <c r="B49" t="s">
        <v>196</v>
      </c>
      <c r="C49" t="s">
        <v>197</v>
      </c>
      <c r="D49" t="s">
        <v>197</v>
      </c>
      <c r="E49" t="s">
        <v>197</v>
      </c>
      <c r="F49" t="s">
        <v>197</v>
      </c>
      <c r="G49" t="s">
        <v>197</v>
      </c>
      <c r="H49" t="s">
        <v>197</v>
      </c>
      <c r="I49" t="s">
        <v>507</v>
      </c>
      <c r="J49" t="s">
        <v>199</v>
      </c>
      <c r="K49" t="s">
        <v>200</v>
      </c>
    </row>
    <row r="50" spans="1:24">
      <c r="B50" t="s">
        <v>197</v>
      </c>
      <c r="C50" t="s">
        <v>197</v>
      </c>
      <c r="D50" t="s">
        <v>197</v>
      </c>
      <c r="E50" t="s">
        <v>197</v>
      </c>
      <c r="F50" t="s">
        <v>197</v>
      </c>
      <c r="G50" t="s">
        <v>197</v>
      </c>
      <c r="H50" t="s">
        <v>197</v>
      </c>
      <c r="I50" t="s">
        <v>197</v>
      </c>
      <c r="J50" t="s">
        <v>197</v>
      </c>
      <c r="K50" t="s">
        <v>422</v>
      </c>
    </row>
    <row r="51" spans="1:24">
      <c r="K51" t="s">
        <v>443</v>
      </c>
    </row>
    <row r="52" spans="1:24">
      <c r="A52" t="s">
        <v>519</v>
      </c>
      <c r="K52" t="s">
        <v>520</v>
      </c>
      <c r="W52" t="s">
        <v>171</v>
      </c>
      <c r="X52" t="str">
        <f>A52</f>
        <v>info_datetimeoffset_dml_single_pk_drp</v>
      </c>
    </row>
    <row r="53" spans="1:24">
      <c r="B53" t="s">
        <v>196</v>
      </c>
      <c r="C53" t="s">
        <v>197</v>
      </c>
      <c r="D53" t="s">
        <v>197</v>
      </c>
      <c r="E53" t="s">
        <v>197</v>
      </c>
      <c r="F53" t="s">
        <v>197</v>
      </c>
      <c r="G53" t="s">
        <v>197</v>
      </c>
      <c r="H53" t="s">
        <v>197</v>
      </c>
      <c r="I53" t="s">
        <v>522</v>
      </c>
      <c r="J53" t="s">
        <v>199</v>
      </c>
      <c r="K53" t="s">
        <v>200</v>
      </c>
    </row>
    <row r="54" spans="1:24">
      <c r="B54" t="s">
        <v>197</v>
      </c>
      <c r="C54" t="s">
        <v>197</v>
      </c>
      <c r="D54" t="s">
        <v>197</v>
      </c>
      <c r="E54" t="s">
        <v>197</v>
      </c>
      <c r="F54" t="s">
        <v>197</v>
      </c>
      <c r="G54" t="s">
        <v>197</v>
      </c>
      <c r="H54" t="s">
        <v>197</v>
      </c>
      <c r="I54" t="s">
        <v>197</v>
      </c>
      <c r="J54" t="s">
        <v>197</v>
      </c>
      <c r="K54" t="s">
        <v>301</v>
      </c>
    </row>
    <row r="55" spans="1:24">
      <c r="B55" t="s">
        <v>197</v>
      </c>
      <c r="C55" t="s">
        <v>197</v>
      </c>
      <c r="D55" t="s">
        <v>197</v>
      </c>
      <c r="E55" t="s">
        <v>197</v>
      </c>
      <c r="F55" t="s">
        <v>197</v>
      </c>
      <c r="G55" t="s">
        <v>197</v>
      </c>
      <c r="H55" t="s">
        <v>197</v>
      </c>
      <c r="I55" t="s">
        <v>197</v>
      </c>
      <c r="J55" t="s">
        <v>197</v>
      </c>
      <c r="K55" t="s">
        <v>314</v>
      </c>
    </row>
    <row r="56" spans="1:24">
      <c r="B56" t="s">
        <v>197</v>
      </c>
      <c r="C56" t="s">
        <v>197</v>
      </c>
      <c r="D56" t="s">
        <v>197</v>
      </c>
      <c r="E56" t="s">
        <v>197</v>
      </c>
      <c r="F56" t="s">
        <v>197</v>
      </c>
      <c r="G56" t="s">
        <v>197</v>
      </c>
      <c r="H56" t="s">
        <v>197</v>
      </c>
      <c r="I56" t="s">
        <v>197</v>
      </c>
      <c r="J56" t="s">
        <v>197</v>
      </c>
      <c r="K56" t="s">
        <v>324</v>
      </c>
    </row>
    <row r="57" spans="1:24">
      <c r="B57" t="s">
        <v>197</v>
      </c>
      <c r="C57" t="s">
        <v>197</v>
      </c>
      <c r="D57" t="s">
        <v>197</v>
      </c>
      <c r="E57" t="s">
        <v>197</v>
      </c>
      <c r="F57" t="s">
        <v>197</v>
      </c>
      <c r="G57" t="s">
        <v>197</v>
      </c>
      <c r="H57" t="s">
        <v>197</v>
      </c>
      <c r="I57" t="s">
        <v>197</v>
      </c>
      <c r="J57" t="s">
        <v>197</v>
      </c>
      <c r="K57" t="s">
        <v>335</v>
      </c>
    </row>
    <row r="58" spans="1:24">
      <c r="B58" t="s">
        <v>197</v>
      </c>
      <c r="C58" t="s">
        <v>197</v>
      </c>
      <c r="D58" t="s">
        <v>197</v>
      </c>
      <c r="E58" t="s">
        <v>197</v>
      </c>
      <c r="F58" t="s">
        <v>197</v>
      </c>
      <c r="G58" t="s">
        <v>197</v>
      </c>
      <c r="H58" t="s">
        <v>197</v>
      </c>
      <c r="I58" t="s">
        <v>197</v>
      </c>
      <c r="J58" t="s">
        <v>197</v>
      </c>
      <c r="K58" t="s">
        <v>350</v>
      </c>
    </row>
    <row r="59" spans="1:24">
      <c r="B59" t="s">
        <v>197</v>
      </c>
      <c r="C59" t="s">
        <v>197</v>
      </c>
      <c r="D59" t="s">
        <v>197</v>
      </c>
      <c r="E59" t="s">
        <v>197</v>
      </c>
      <c r="F59" t="s">
        <v>197</v>
      </c>
      <c r="G59" t="s">
        <v>197</v>
      </c>
      <c r="H59" t="s">
        <v>197</v>
      </c>
      <c r="I59" t="s">
        <v>197</v>
      </c>
      <c r="J59" t="s">
        <v>197</v>
      </c>
      <c r="K59" t="s">
        <v>360</v>
      </c>
    </row>
    <row r="60" spans="1:24">
      <c r="B60" t="s">
        <v>197</v>
      </c>
      <c r="C60" t="s">
        <v>197</v>
      </c>
      <c r="D60" t="s">
        <v>197</v>
      </c>
      <c r="E60" t="s">
        <v>197</v>
      </c>
      <c r="F60" t="s">
        <v>197</v>
      </c>
      <c r="G60" t="s">
        <v>197</v>
      </c>
      <c r="H60" t="s">
        <v>197</v>
      </c>
      <c r="I60" t="s">
        <v>197</v>
      </c>
      <c r="J60" t="s">
        <v>197</v>
      </c>
      <c r="K60" t="s">
        <v>367</v>
      </c>
    </row>
    <row r="61" spans="1:24">
      <c r="B61" t="s">
        <v>197</v>
      </c>
      <c r="C61" t="s">
        <v>197</v>
      </c>
      <c r="D61" t="s">
        <v>197</v>
      </c>
      <c r="E61" t="s">
        <v>197</v>
      </c>
      <c r="F61" t="s">
        <v>197</v>
      </c>
      <c r="G61" t="s">
        <v>197</v>
      </c>
      <c r="H61" t="s">
        <v>197</v>
      </c>
      <c r="I61" t="s">
        <v>197</v>
      </c>
      <c r="J61" t="s">
        <v>197</v>
      </c>
      <c r="K61" t="s">
        <v>373</v>
      </c>
    </row>
    <row r="62" spans="1:24">
      <c r="A62" t="s">
        <v>531</v>
      </c>
      <c r="K62" t="s">
        <v>532</v>
      </c>
      <c r="W62" t="s">
        <v>171</v>
      </c>
      <c r="X62" t="str">
        <f>A62</f>
        <v>info_geometry_dml_single_pk_urp</v>
      </c>
    </row>
    <row r="63" spans="1:24">
      <c r="B63" t="s">
        <v>196</v>
      </c>
      <c r="C63" t="s">
        <v>197</v>
      </c>
      <c r="D63" t="s">
        <v>197</v>
      </c>
      <c r="E63" t="s">
        <v>197</v>
      </c>
      <c r="F63" t="s">
        <v>197</v>
      </c>
      <c r="G63" t="s">
        <v>197</v>
      </c>
      <c r="H63" t="s">
        <v>197</v>
      </c>
      <c r="I63" t="s">
        <v>533</v>
      </c>
      <c r="J63" t="s">
        <v>199</v>
      </c>
      <c r="K63" t="s">
        <v>200</v>
      </c>
    </row>
    <row r="64" spans="1:24">
      <c r="B64" t="s">
        <v>197</v>
      </c>
      <c r="C64" t="s">
        <v>197</v>
      </c>
      <c r="D64" t="s">
        <v>197</v>
      </c>
      <c r="E64" t="s">
        <v>197</v>
      </c>
      <c r="F64" t="s">
        <v>197</v>
      </c>
      <c r="G64" t="s">
        <v>197</v>
      </c>
      <c r="H64" t="s">
        <v>197</v>
      </c>
      <c r="I64" t="s">
        <v>197</v>
      </c>
      <c r="J64" t="s">
        <v>197</v>
      </c>
      <c r="K64" t="s">
        <v>393</v>
      </c>
    </row>
    <row r="65" spans="1:24">
      <c r="A65" t="s">
        <v>534</v>
      </c>
      <c r="K65" t="s">
        <v>535</v>
      </c>
      <c r="W65" t="s">
        <v>171</v>
      </c>
      <c r="X65" t="str">
        <f>A65</f>
        <v>info_sdt_dml_batch1_pk_drp2</v>
      </c>
    </row>
    <row r="66" spans="1:24">
      <c r="B66" t="s">
        <v>196</v>
      </c>
      <c r="C66" t="s">
        <v>197</v>
      </c>
      <c r="D66" t="s">
        <v>197</v>
      </c>
      <c r="E66" t="s">
        <v>197</v>
      </c>
      <c r="F66" t="s">
        <v>197</v>
      </c>
      <c r="G66" t="s">
        <v>197</v>
      </c>
      <c r="H66" t="s">
        <v>197</v>
      </c>
      <c r="I66" t="s">
        <v>536</v>
      </c>
      <c r="J66" t="s">
        <v>199</v>
      </c>
      <c r="K66" t="s">
        <v>200</v>
      </c>
    </row>
    <row r="67" spans="1:24">
      <c r="B67" t="s">
        <v>197</v>
      </c>
      <c r="C67" t="s">
        <v>197</v>
      </c>
      <c r="D67" t="s">
        <v>197</v>
      </c>
      <c r="E67" t="s">
        <v>197</v>
      </c>
      <c r="F67" t="s">
        <v>197</v>
      </c>
      <c r="G67" t="s">
        <v>197</v>
      </c>
      <c r="H67" t="s">
        <v>197</v>
      </c>
      <c r="I67" t="s">
        <v>197</v>
      </c>
      <c r="J67" t="s">
        <v>197</v>
      </c>
      <c r="K67" t="s">
        <v>422</v>
      </c>
    </row>
    <row r="68" spans="1:24">
      <c r="A68" t="s">
        <v>528</v>
      </c>
      <c r="K68" t="s">
        <v>529</v>
      </c>
      <c r="W68" t="s">
        <v>171</v>
      </c>
      <c r="X68" t="str">
        <f>A68</f>
        <v>info_text_dml_single_pk_urp</v>
      </c>
    </row>
    <row r="69" spans="1:24">
      <c r="B69" t="s">
        <v>196</v>
      </c>
      <c r="C69" t="s">
        <v>197</v>
      </c>
      <c r="D69" t="s">
        <v>197</v>
      </c>
      <c r="E69" t="s">
        <v>197</v>
      </c>
      <c r="F69" t="s">
        <v>197</v>
      </c>
      <c r="G69" t="s">
        <v>197</v>
      </c>
      <c r="H69" t="s">
        <v>197</v>
      </c>
      <c r="I69" t="s">
        <v>530</v>
      </c>
      <c r="J69" t="s">
        <v>199</v>
      </c>
      <c r="K69" t="s">
        <v>200</v>
      </c>
    </row>
    <row r="70" spans="1:24">
      <c r="B70" t="s">
        <v>197</v>
      </c>
      <c r="C70" t="s">
        <v>197</v>
      </c>
      <c r="D70" t="s">
        <v>197</v>
      </c>
      <c r="E70" t="s">
        <v>197</v>
      </c>
      <c r="F70" t="s">
        <v>197</v>
      </c>
      <c r="G70" t="s">
        <v>197</v>
      </c>
      <c r="H70" t="s">
        <v>197</v>
      </c>
      <c r="I70" t="s">
        <v>197</v>
      </c>
      <c r="J70" t="s">
        <v>197</v>
      </c>
      <c r="K70" t="s">
        <v>229</v>
      </c>
    </row>
    <row r="71" spans="1:24">
      <c r="B71" t="s">
        <v>197</v>
      </c>
      <c r="C71" t="s">
        <v>197</v>
      </c>
      <c r="D71" t="s">
        <v>197</v>
      </c>
      <c r="E71" t="s">
        <v>197</v>
      </c>
      <c r="F71" t="s">
        <v>197</v>
      </c>
      <c r="G71" t="s">
        <v>197</v>
      </c>
      <c r="H71" t="s">
        <v>197</v>
      </c>
      <c r="I71" t="s">
        <v>197</v>
      </c>
      <c r="J71" t="s">
        <v>197</v>
      </c>
      <c r="K71" t="s">
        <v>251</v>
      </c>
    </row>
    <row r="72" spans="1:24">
      <c r="A72" t="s">
        <v>540</v>
      </c>
      <c r="K72" t="s">
        <v>541</v>
      </c>
      <c r="W72" t="s">
        <v>171</v>
      </c>
      <c r="X72" t="str">
        <f>A72</f>
        <v>info_varchar_dml_batch1_pk_drp2</v>
      </c>
    </row>
    <row r="73" spans="1:24">
      <c r="B73" t="s">
        <v>196</v>
      </c>
      <c r="C73" t="s">
        <v>197</v>
      </c>
      <c r="D73" t="s">
        <v>197</v>
      </c>
      <c r="E73" t="s">
        <v>197</v>
      </c>
      <c r="F73" t="s">
        <v>197</v>
      </c>
      <c r="G73" t="s">
        <v>197</v>
      </c>
      <c r="H73" t="s">
        <v>197</v>
      </c>
      <c r="I73" t="s">
        <v>542</v>
      </c>
      <c r="J73" t="s">
        <v>199</v>
      </c>
      <c r="K73" t="s">
        <v>200</v>
      </c>
    </row>
    <row r="74" spans="1:24">
      <c r="B74" t="s">
        <v>197</v>
      </c>
      <c r="C74" t="s">
        <v>197</v>
      </c>
      <c r="D74" t="s">
        <v>197</v>
      </c>
      <c r="E74" t="s">
        <v>197</v>
      </c>
      <c r="F74" t="s">
        <v>197</v>
      </c>
      <c r="G74" t="s">
        <v>197</v>
      </c>
      <c r="H74" t="s">
        <v>197</v>
      </c>
      <c r="I74" t="s">
        <v>197</v>
      </c>
      <c r="J74" t="s">
        <v>197</v>
      </c>
      <c r="K74" t="s">
        <v>431</v>
      </c>
    </row>
    <row r="75" spans="1:24">
      <c r="B75" t="s">
        <v>197</v>
      </c>
      <c r="C75" t="s">
        <v>197</v>
      </c>
      <c r="D75" t="s">
        <v>197</v>
      </c>
      <c r="E75" t="s">
        <v>197</v>
      </c>
      <c r="F75" t="s">
        <v>197</v>
      </c>
      <c r="G75" t="s">
        <v>197</v>
      </c>
      <c r="H75" t="s">
        <v>197</v>
      </c>
      <c r="I75" t="s">
        <v>197</v>
      </c>
      <c r="J75" t="s">
        <v>197</v>
      </c>
      <c r="K75" t="s">
        <v>434</v>
      </c>
    </row>
    <row r="76" spans="1:24">
      <c r="B76" t="s">
        <v>197</v>
      </c>
      <c r="C76" t="s">
        <v>197</v>
      </c>
      <c r="D76" t="s">
        <v>197</v>
      </c>
      <c r="E76" t="s">
        <v>197</v>
      </c>
      <c r="F76" t="s">
        <v>197</v>
      </c>
      <c r="G76" t="s">
        <v>197</v>
      </c>
      <c r="H76" t="s">
        <v>197</v>
      </c>
      <c r="I76" t="s">
        <v>197</v>
      </c>
      <c r="J76" t="s">
        <v>197</v>
      </c>
      <c r="K76" t="s">
        <v>439</v>
      </c>
    </row>
    <row r="77" spans="1:24">
      <c r="A77" t="s">
        <v>543</v>
      </c>
      <c r="K77" t="s">
        <v>544</v>
      </c>
      <c r="W77" t="s">
        <v>171</v>
      </c>
      <c r="X77" t="str">
        <f>A77</f>
        <v>info_sdt_dml_batch1_pk</v>
      </c>
    </row>
    <row r="78" spans="1:24">
      <c r="B78" t="s">
        <v>196</v>
      </c>
      <c r="C78" t="s">
        <v>197</v>
      </c>
      <c r="D78" t="s">
        <v>197</v>
      </c>
      <c r="E78" t="s">
        <v>197</v>
      </c>
      <c r="F78" t="s">
        <v>197</v>
      </c>
      <c r="G78" t="s">
        <v>197</v>
      </c>
      <c r="H78" t="s">
        <v>197</v>
      </c>
      <c r="I78" t="s">
        <v>545</v>
      </c>
      <c r="J78" t="s">
        <v>199</v>
      </c>
      <c r="K78" t="s">
        <v>200</v>
      </c>
    </row>
    <row r="79" spans="1:24">
      <c r="B79" t="s">
        <v>197</v>
      </c>
      <c r="C79" t="s">
        <v>197</v>
      </c>
      <c r="D79" t="s">
        <v>197</v>
      </c>
      <c r="E79" t="s">
        <v>197</v>
      </c>
      <c r="F79" t="s">
        <v>197</v>
      </c>
      <c r="G79" t="s">
        <v>197</v>
      </c>
      <c r="H79" t="s">
        <v>197</v>
      </c>
      <c r="I79" t="s">
        <v>197</v>
      </c>
      <c r="J79" t="s">
        <v>197</v>
      </c>
      <c r="K79" t="s">
        <v>422</v>
      </c>
    </row>
    <row r="80" spans="1:24">
      <c r="A80" t="s">
        <v>537</v>
      </c>
      <c r="K80" t="s">
        <v>538</v>
      </c>
      <c r="W80" t="s">
        <v>171</v>
      </c>
      <c r="X80" t="str">
        <f>A80</f>
        <v>info_nvarchar_dml_batch2_pk_urp2</v>
      </c>
    </row>
    <row r="81" spans="1:24">
      <c r="B81" t="s">
        <v>196</v>
      </c>
      <c r="C81" t="s">
        <v>197</v>
      </c>
      <c r="D81" t="s">
        <v>197</v>
      </c>
      <c r="E81" t="s">
        <v>197</v>
      </c>
      <c r="F81" t="s">
        <v>197</v>
      </c>
      <c r="G81" t="s">
        <v>197</v>
      </c>
      <c r="H81" t="s">
        <v>197</v>
      </c>
      <c r="I81" t="s">
        <v>539</v>
      </c>
      <c r="J81" t="s">
        <v>199</v>
      </c>
      <c r="K81" t="s">
        <v>200</v>
      </c>
    </row>
    <row r="82" spans="1:24">
      <c r="B82" t="s">
        <v>197</v>
      </c>
      <c r="C82" t="s">
        <v>197</v>
      </c>
      <c r="D82" t="s">
        <v>197</v>
      </c>
      <c r="E82" t="s">
        <v>197</v>
      </c>
      <c r="F82" t="s">
        <v>197</v>
      </c>
      <c r="G82" t="s">
        <v>197</v>
      </c>
      <c r="H82" t="s">
        <v>197</v>
      </c>
      <c r="I82" t="s">
        <v>197</v>
      </c>
      <c r="J82" t="s">
        <v>197</v>
      </c>
      <c r="K82" t="s">
        <v>408</v>
      </c>
    </row>
    <row r="83" spans="1:24">
      <c r="B83" t="s">
        <v>197</v>
      </c>
      <c r="C83" t="s">
        <v>197</v>
      </c>
      <c r="D83" t="s">
        <v>197</v>
      </c>
      <c r="E83" t="s">
        <v>197</v>
      </c>
      <c r="F83" t="s">
        <v>197</v>
      </c>
      <c r="G83" t="s">
        <v>197</v>
      </c>
      <c r="H83" t="s">
        <v>197</v>
      </c>
      <c r="I83" t="s">
        <v>197</v>
      </c>
      <c r="J83" t="s">
        <v>197</v>
      </c>
      <c r="K83" t="s">
        <v>412</v>
      </c>
    </row>
    <row r="84" spans="1:24">
      <c r="B84" t="s">
        <v>197</v>
      </c>
      <c r="C84" t="s">
        <v>197</v>
      </c>
      <c r="D84" t="s">
        <v>197</v>
      </c>
      <c r="E84" t="s">
        <v>197</v>
      </c>
      <c r="F84" t="s">
        <v>197</v>
      </c>
      <c r="G84" t="s">
        <v>197</v>
      </c>
      <c r="H84" t="s">
        <v>197</v>
      </c>
      <c r="I84" t="s">
        <v>197</v>
      </c>
      <c r="J84" t="s">
        <v>197</v>
      </c>
      <c r="K84" t="s">
        <v>416</v>
      </c>
    </row>
    <row r="85" spans="1:24">
      <c r="A85" t="s">
        <v>510</v>
      </c>
      <c r="K85" t="s">
        <v>511</v>
      </c>
      <c r="W85" t="s">
        <v>171</v>
      </c>
      <c r="X85" t="str">
        <f>A85</f>
        <v>info_nchar_dml_single_pk_irp</v>
      </c>
    </row>
    <row r="86" spans="1:24">
      <c r="B86" t="s">
        <v>196</v>
      </c>
      <c r="C86" t="s">
        <v>197</v>
      </c>
      <c r="D86" t="s">
        <v>197</v>
      </c>
      <c r="E86" t="s">
        <v>197</v>
      </c>
      <c r="F86" t="s">
        <v>197</v>
      </c>
      <c r="G86" t="s">
        <v>197</v>
      </c>
      <c r="H86" t="s">
        <v>197</v>
      </c>
      <c r="I86" t="s">
        <v>512</v>
      </c>
      <c r="J86" t="s">
        <v>199</v>
      </c>
      <c r="K86" t="s">
        <v>200</v>
      </c>
    </row>
    <row r="87" spans="1:24">
      <c r="B87" t="s">
        <v>197</v>
      </c>
      <c r="C87" t="s">
        <v>197</v>
      </c>
      <c r="D87" t="s">
        <v>197</v>
      </c>
      <c r="E87" t="s">
        <v>197</v>
      </c>
      <c r="F87" t="s">
        <v>197</v>
      </c>
      <c r="G87" t="s">
        <v>197</v>
      </c>
      <c r="H87" t="s">
        <v>197</v>
      </c>
      <c r="I87" t="s">
        <v>197</v>
      </c>
      <c r="J87" t="s">
        <v>197</v>
      </c>
      <c r="K87" t="s">
        <v>514</v>
      </c>
    </row>
    <row r="88" spans="1:24">
      <c r="B88" t="s">
        <v>197</v>
      </c>
      <c r="C88" t="s">
        <v>197</v>
      </c>
      <c r="D88" t="s">
        <v>197</v>
      </c>
      <c r="E88" t="s">
        <v>197</v>
      </c>
      <c r="F88" t="s">
        <v>197</v>
      </c>
      <c r="G88" t="s">
        <v>197</v>
      </c>
      <c r="H88" t="s">
        <v>197</v>
      </c>
      <c r="I88" t="s">
        <v>197</v>
      </c>
      <c r="J88" t="s">
        <v>197</v>
      </c>
      <c r="K88" t="s">
        <v>516</v>
      </c>
    </row>
    <row r="89" spans="1:24">
      <c r="B89" t="s">
        <v>197</v>
      </c>
      <c r="C89" t="s">
        <v>197</v>
      </c>
      <c r="D89" t="s">
        <v>197</v>
      </c>
      <c r="E89" t="s">
        <v>197</v>
      </c>
      <c r="F89" t="s">
        <v>197</v>
      </c>
      <c r="G89" t="s">
        <v>197</v>
      </c>
      <c r="H89" t="s">
        <v>197</v>
      </c>
      <c r="I89" t="s">
        <v>197</v>
      </c>
      <c r="J89" t="s">
        <v>197</v>
      </c>
      <c r="K89" t="s">
        <v>517</v>
      </c>
    </row>
    <row r="90" spans="1:24">
      <c r="A90" t="s">
        <v>546</v>
      </c>
      <c r="K90" t="s">
        <v>547</v>
      </c>
      <c r="W90" t="s">
        <v>171</v>
      </c>
      <c r="X90" t="str">
        <f>A90</f>
        <v>info_int_dml_batch1_pk_urp1</v>
      </c>
    </row>
    <row r="91" spans="1:24">
      <c r="B91" t="s">
        <v>196</v>
      </c>
      <c r="C91" t="s">
        <v>197</v>
      </c>
      <c r="D91" t="s">
        <v>197</v>
      </c>
      <c r="E91" t="s">
        <v>197</v>
      </c>
      <c r="F91" t="s">
        <v>197</v>
      </c>
      <c r="G91" t="s">
        <v>197</v>
      </c>
      <c r="H91" t="s">
        <v>197</v>
      </c>
      <c r="I91" t="s">
        <v>548</v>
      </c>
      <c r="J91" t="s">
        <v>199</v>
      </c>
      <c r="K91" t="s">
        <v>200</v>
      </c>
    </row>
    <row r="92" spans="1:24">
      <c r="B92" t="s">
        <v>197</v>
      </c>
      <c r="C92" t="s">
        <v>197</v>
      </c>
      <c r="D92" t="s">
        <v>197</v>
      </c>
      <c r="E92" t="s">
        <v>197</v>
      </c>
      <c r="F92" t="s">
        <v>197</v>
      </c>
      <c r="G92" t="s">
        <v>197</v>
      </c>
      <c r="H92" t="s">
        <v>197</v>
      </c>
      <c r="I92" t="s">
        <v>197</v>
      </c>
      <c r="J92" t="s">
        <v>197</v>
      </c>
      <c r="K92" t="s">
        <v>549</v>
      </c>
    </row>
    <row r="93" spans="1:24">
      <c r="B93" t="s">
        <v>197</v>
      </c>
      <c r="C93" t="s">
        <v>197</v>
      </c>
      <c r="D93" t="s">
        <v>197</v>
      </c>
      <c r="E93" t="s">
        <v>197</v>
      </c>
      <c r="F93" t="s">
        <v>197</v>
      </c>
      <c r="G93" t="s">
        <v>197</v>
      </c>
      <c r="H93" t="s">
        <v>197</v>
      </c>
      <c r="I93" t="s">
        <v>197</v>
      </c>
      <c r="J93" t="s">
        <v>197</v>
      </c>
      <c r="K93" t="s">
        <v>550</v>
      </c>
    </row>
    <row r="94" spans="1:24">
      <c r="B94" t="s">
        <v>197</v>
      </c>
      <c r="C94" t="s">
        <v>197</v>
      </c>
      <c r="D94" t="s">
        <v>197</v>
      </c>
      <c r="E94" t="s">
        <v>197</v>
      </c>
      <c r="F94" t="s">
        <v>197</v>
      </c>
      <c r="G94" t="s">
        <v>197</v>
      </c>
      <c r="H94" t="s">
        <v>197</v>
      </c>
      <c r="I94" t="s">
        <v>197</v>
      </c>
      <c r="J94" t="s">
        <v>197</v>
      </c>
      <c r="K94" t="s">
        <v>551</v>
      </c>
    </row>
    <row r="95" spans="1:24">
      <c r="B95" t="s">
        <v>197</v>
      </c>
      <c r="C95" t="s">
        <v>197</v>
      </c>
      <c r="D95" t="s">
        <v>197</v>
      </c>
      <c r="E95" t="s">
        <v>197</v>
      </c>
      <c r="F95" t="s">
        <v>197</v>
      </c>
      <c r="G95" t="s">
        <v>197</v>
      </c>
      <c r="H95" t="s">
        <v>197</v>
      </c>
      <c r="I95" t="s">
        <v>197</v>
      </c>
      <c r="J95" t="s">
        <v>197</v>
      </c>
      <c r="K95" t="s">
        <v>552</v>
      </c>
    </row>
    <row r="96" spans="1:24">
      <c r="B96" t="s">
        <v>197</v>
      </c>
      <c r="C96" t="s">
        <v>197</v>
      </c>
      <c r="D96" t="s">
        <v>197</v>
      </c>
      <c r="E96" t="s">
        <v>197</v>
      </c>
      <c r="F96" t="s">
        <v>197</v>
      </c>
      <c r="G96" t="s">
        <v>197</v>
      </c>
      <c r="H96" t="s">
        <v>197</v>
      </c>
      <c r="I96" t="s">
        <v>197</v>
      </c>
      <c r="J96" t="s">
        <v>197</v>
      </c>
      <c r="K96" t="s">
        <v>553</v>
      </c>
    </row>
    <row r="97" spans="1:24">
      <c r="B97" t="s">
        <v>197</v>
      </c>
      <c r="C97" t="s">
        <v>197</v>
      </c>
      <c r="D97" t="s">
        <v>197</v>
      </c>
      <c r="E97" t="s">
        <v>197</v>
      </c>
      <c r="F97" t="s">
        <v>197</v>
      </c>
      <c r="G97" t="s">
        <v>197</v>
      </c>
      <c r="H97" t="s">
        <v>197</v>
      </c>
      <c r="I97" t="s">
        <v>197</v>
      </c>
      <c r="J97" t="s">
        <v>197</v>
      </c>
      <c r="K97" t="s">
        <v>554</v>
      </c>
    </row>
    <row r="98" spans="1:24">
      <c r="B98" t="s">
        <v>197</v>
      </c>
      <c r="C98" t="s">
        <v>197</v>
      </c>
      <c r="D98" t="s">
        <v>197</v>
      </c>
      <c r="E98" t="s">
        <v>197</v>
      </c>
      <c r="F98" t="s">
        <v>197</v>
      </c>
      <c r="G98" t="s">
        <v>197</v>
      </c>
      <c r="H98" t="s">
        <v>197</v>
      </c>
      <c r="I98" t="s">
        <v>197</v>
      </c>
      <c r="J98" t="s">
        <v>197</v>
      </c>
      <c r="K98" t="s">
        <v>555</v>
      </c>
    </row>
    <row r="99" spans="1:24">
      <c r="B99" t="s">
        <v>197</v>
      </c>
      <c r="C99" t="s">
        <v>197</v>
      </c>
      <c r="D99" t="s">
        <v>197</v>
      </c>
      <c r="E99" t="s">
        <v>197</v>
      </c>
      <c r="F99" t="s">
        <v>197</v>
      </c>
      <c r="G99" t="s">
        <v>197</v>
      </c>
      <c r="H99" t="s">
        <v>197</v>
      </c>
      <c r="I99" t="s">
        <v>197</v>
      </c>
      <c r="J99" t="s">
        <v>197</v>
      </c>
      <c r="K99" t="s">
        <v>556</v>
      </c>
    </row>
    <row r="100" spans="1:24">
      <c r="B100" t="s">
        <v>197</v>
      </c>
      <c r="C100" t="s">
        <v>197</v>
      </c>
      <c r="D100" t="s">
        <v>197</v>
      </c>
      <c r="E100" t="s">
        <v>197</v>
      </c>
      <c r="F100" t="s">
        <v>197</v>
      </c>
      <c r="G100" t="s">
        <v>197</v>
      </c>
      <c r="H100" t="s">
        <v>197</v>
      </c>
      <c r="I100" t="s">
        <v>197</v>
      </c>
      <c r="J100" t="s">
        <v>197</v>
      </c>
      <c r="K100" t="s">
        <v>557</v>
      </c>
    </row>
    <row r="101" spans="1:24">
      <c r="B101" t="s">
        <v>197</v>
      </c>
      <c r="C101" t="s">
        <v>197</v>
      </c>
      <c r="D101" t="s">
        <v>197</v>
      </c>
      <c r="E101" t="s">
        <v>197</v>
      </c>
      <c r="F101" t="s">
        <v>197</v>
      </c>
      <c r="G101" t="s">
        <v>197</v>
      </c>
      <c r="H101" t="s">
        <v>197</v>
      </c>
      <c r="I101" t="s">
        <v>197</v>
      </c>
      <c r="J101" t="s">
        <v>197</v>
      </c>
      <c r="K101" t="s">
        <v>558</v>
      </c>
    </row>
    <row r="102" spans="1:24">
      <c r="B102" t="s">
        <v>197</v>
      </c>
      <c r="C102" t="s">
        <v>197</v>
      </c>
      <c r="D102" t="s">
        <v>197</v>
      </c>
      <c r="E102" t="s">
        <v>197</v>
      </c>
      <c r="F102" t="s">
        <v>197</v>
      </c>
      <c r="G102" t="s">
        <v>197</v>
      </c>
      <c r="H102" t="s">
        <v>197</v>
      </c>
      <c r="I102" t="s">
        <v>197</v>
      </c>
      <c r="J102" t="s">
        <v>197</v>
      </c>
      <c r="K102" t="s">
        <v>559</v>
      </c>
    </row>
    <row r="103" spans="1:24">
      <c r="B103" t="s">
        <v>197</v>
      </c>
      <c r="C103" t="s">
        <v>197</v>
      </c>
      <c r="D103" t="s">
        <v>197</v>
      </c>
      <c r="E103" t="s">
        <v>197</v>
      </c>
      <c r="F103" t="s">
        <v>197</v>
      </c>
      <c r="G103" t="s">
        <v>197</v>
      </c>
      <c r="H103" t="s">
        <v>197</v>
      </c>
      <c r="I103" t="s">
        <v>197</v>
      </c>
      <c r="J103" t="s">
        <v>197</v>
      </c>
      <c r="K103" t="s">
        <v>560</v>
      </c>
    </row>
    <row r="104" spans="1:24">
      <c r="B104" t="s">
        <v>197</v>
      </c>
      <c r="C104" t="s">
        <v>197</v>
      </c>
      <c r="D104" t="s">
        <v>197</v>
      </c>
      <c r="E104" t="s">
        <v>197</v>
      </c>
      <c r="F104" t="s">
        <v>197</v>
      </c>
      <c r="G104" t="s">
        <v>197</v>
      </c>
      <c r="H104" t="s">
        <v>197</v>
      </c>
      <c r="I104" t="s">
        <v>197</v>
      </c>
      <c r="J104" t="s">
        <v>197</v>
      </c>
      <c r="K104" t="s">
        <v>561</v>
      </c>
    </row>
    <row r="105" spans="1:24">
      <c r="B105" t="s">
        <v>197</v>
      </c>
      <c r="C105" t="s">
        <v>197</v>
      </c>
      <c r="D105" t="s">
        <v>197</v>
      </c>
      <c r="E105" t="s">
        <v>197</v>
      </c>
      <c r="F105" t="s">
        <v>197</v>
      </c>
      <c r="G105" t="s">
        <v>197</v>
      </c>
      <c r="H105" t="s">
        <v>197</v>
      </c>
      <c r="I105" t="s">
        <v>197</v>
      </c>
      <c r="J105" t="s">
        <v>197</v>
      </c>
      <c r="K105" t="s">
        <v>562</v>
      </c>
    </row>
    <row r="106" spans="1:24">
      <c r="B106" t="s">
        <v>197</v>
      </c>
      <c r="C106" t="s">
        <v>197</v>
      </c>
      <c r="D106" t="s">
        <v>197</v>
      </c>
      <c r="E106" t="s">
        <v>197</v>
      </c>
      <c r="F106" t="s">
        <v>197</v>
      </c>
      <c r="G106" t="s">
        <v>197</v>
      </c>
      <c r="H106" t="s">
        <v>197</v>
      </c>
      <c r="I106" t="s">
        <v>197</v>
      </c>
      <c r="J106" t="s">
        <v>197</v>
      </c>
      <c r="K106" t="s">
        <v>563</v>
      </c>
    </row>
    <row r="107" spans="1:24">
      <c r="B107" t="s">
        <v>197</v>
      </c>
      <c r="C107" t="s">
        <v>197</v>
      </c>
      <c r="D107" t="s">
        <v>197</v>
      </c>
      <c r="E107" t="s">
        <v>197</v>
      </c>
      <c r="F107" t="s">
        <v>197</v>
      </c>
      <c r="G107" t="s">
        <v>197</v>
      </c>
      <c r="H107" t="s">
        <v>197</v>
      </c>
      <c r="I107" t="s">
        <v>197</v>
      </c>
      <c r="J107" t="s">
        <v>197</v>
      </c>
      <c r="K107" t="s">
        <v>564</v>
      </c>
    </row>
    <row r="108" spans="1:24">
      <c r="B108" t="s">
        <v>197</v>
      </c>
      <c r="C108" t="s">
        <v>197</v>
      </c>
      <c r="D108" t="s">
        <v>197</v>
      </c>
      <c r="E108" t="s">
        <v>197</v>
      </c>
      <c r="F108" t="s">
        <v>197</v>
      </c>
      <c r="G108" t="s">
        <v>197</v>
      </c>
      <c r="H108" t="s">
        <v>197</v>
      </c>
      <c r="I108" t="s">
        <v>197</v>
      </c>
      <c r="J108" t="s">
        <v>197</v>
      </c>
      <c r="K108" t="s">
        <v>565</v>
      </c>
    </row>
    <row r="109" spans="1:24">
      <c r="B109" t="s">
        <v>197</v>
      </c>
      <c r="C109" t="s">
        <v>197</v>
      </c>
      <c r="D109" t="s">
        <v>197</v>
      </c>
      <c r="E109" t="s">
        <v>197</v>
      </c>
      <c r="F109" t="s">
        <v>197</v>
      </c>
      <c r="G109" t="s">
        <v>197</v>
      </c>
      <c r="H109" t="s">
        <v>197</v>
      </c>
      <c r="I109" t="s">
        <v>197</v>
      </c>
      <c r="J109" t="s">
        <v>197</v>
      </c>
      <c r="K109" t="s">
        <v>566</v>
      </c>
    </row>
    <row r="110" spans="1:24">
      <c r="B110" t="s">
        <v>197</v>
      </c>
      <c r="C110" t="s">
        <v>197</v>
      </c>
      <c r="D110" t="s">
        <v>197</v>
      </c>
      <c r="E110" t="s">
        <v>197</v>
      </c>
      <c r="F110" t="s">
        <v>197</v>
      </c>
      <c r="G110" t="s">
        <v>197</v>
      </c>
      <c r="H110" t="s">
        <v>197</v>
      </c>
      <c r="I110" t="s">
        <v>197</v>
      </c>
      <c r="J110" t="s">
        <v>197</v>
      </c>
      <c r="K110" t="s">
        <v>567</v>
      </c>
    </row>
    <row r="111" spans="1:24">
      <c r="A111" t="s">
        <v>568</v>
      </c>
      <c r="K111" t="s">
        <v>569</v>
      </c>
      <c r="W111" t="s">
        <v>171</v>
      </c>
      <c r="X111" t="str">
        <f>A111</f>
        <v>info_xml_dml_single_pk_urp</v>
      </c>
    </row>
    <row r="112" spans="1:24">
      <c r="B112" t="s">
        <v>196</v>
      </c>
      <c r="C112" t="s">
        <v>197</v>
      </c>
      <c r="D112" t="s">
        <v>197</v>
      </c>
      <c r="E112" t="s">
        <v>197</v>
      </c>
      <c r="F112" t="s">
        <v>197</v>
      </c>
      <c r="G112" t="s">
        <v>197</v>
      </c>
      <c r="H112" t="s">
        <v>197</v>
      </c>
      <c r="I112" t="s">
        <v>570</v>
      </c>
      <c r="J112" t="s">
        <v>199</v>
      </c>
      <c r="K112" t="s">
        <v>200</v>
      </c>
    </row>
    <row r="113" spans="1:24">
      <c r="B113" t="s">
        <v>197</v>
      </c>
      <c r="C113" t="s">
        <v>197</v>
      </c>
      <c r="D113" t="s">
        <v>197</v>
      </c>
      <c r="E113" t="s">
        <v>197</v>
      </c>
      <c r="F113" t="s">
        <v>197</v>
      </c>
      <c r="G113" t="s">
        <v>197</v>
      </c>
      <c r="H113" t="s">
        <v>197</v>
      </c>
      <c r="I113" t="s">
        <v>197</v>
      </c>
      <c r="J113" t="s">
        <v>197</v>
      </c>
      <c r="K113" t="s">
        <v>472</v>
      </c>
    </row>
    <row r="114" spans="1:24">
      <c r="A114" t="s">
        <v>571</v>
      </c>
      <c r="K114" t="s">
        <v>572</v>
      </c>
      <c r="W114" t="s">
        <v>171</v>
      </c>
      <c r="X114" t="str">
        <f>A114</f>
        <v>info_datetime_dml_batch1_pk_irp1</v>
      </c>
    </row>
    <row r="115" spans="1:24">
      <c r="B115" t="s">
        <v>196</v>
      </c>
      <c r="C115" t="s">
        <v>197</v>
      </c>
      <c r="D115" t="s">
        <v>197</v>
      </c>
      <c r="E115" t="s">
        <v>197</v>
      </c>
      <c r="F115" t="s">
        <v>197</v>
      </c>
      <c r="G115" t="s">
        <v>197</v>
      </c>
      <c r="H115" t="s">
        <v>197</v>
      </c>
      <c r="I115" t="s">
        <v>573</v>
      </c>
      <c r="J115" t="s">
        <v>199</v>
      </c>
      <c r="K115" t="s">
        <v>200</v>
      </c>
    </row>
    <row r="116" spans="1:24">
      <c r="B116" t="s">
        <v>197</v>
      </c>
      <c r="C116" t="s">
        <v>197</v>
      </c>
      <c r="D116" t="s">
        <v>197</v>
      </c>
      <c r="E116" t="s">
        <v>197</v>
      </c>
      <c r="F116" t="s">
        <v>197</v>
      </c>
      <c r="G116" t="s">
        <v>197</v>
      </c>
      <c r="H116" t="s">
        <v>197</v>
      </c>
      <c r="I116" t="s">
        <v>197</v>
      </c>
      <c r="J116" t="s">
        <v>197</v>
      </c>
      <c r="K116" t="s">
        <v>574</v>
      </c>
    </row>
    <row r="117" spans="1:24">
      <c r="A117" t="s">
        <v>575</v>
      </c>
      <c r="K117" t="s">
        <v>576</v>
      </c>
      <c r="W117" t="s">
        <v>171</v>
      </c>
      <c r="X117" t="str">
        <f>A117</f>
        <v>info_varbinary_dml_batch1_pk_urp2</v>
      </c>
    </row>
    <row r="118" spans="1:24">
      <c r="B118" t="s">
        <v>196</v>
      </c>
      <c r="C118" t="s">
        <v>197</v>
      </c>
      <c r="D118" t="s">
        <v>197</v>
      </c>
      <c r="E118" t="s">
        <v>197</v>
      </c>
      <c r="F118" t="s">
        <v>197</v>
      </c>
      <c r="G118" t="s">
        <v>197</v>
      </c>
      <c r="H118" t="s">
        <v>197</v>
      </c>
      <c r="I118" t="s">
        <v>577</v>
      </c>
      <c r="J118" t="s">
        <v>199</v>
      </c>
      <c r="K118" t="s">
        <v>200</v>
      </c>
    </row>
    <row r="119" spans="1:24">
      <c r="B119" t="s">
        <v>197</v>
      </c>
      <c r="C119" t="s">
        <v>197</v>
      </c>
      <c r="D119" t="s">
        <v>197</v>
      </c>
      <c r="E119" t="s">
        <v>197</v>
      </c>
      <c r="F119" t="s">
        <v>197</v>
      </c>
      <c r="G119" t="s">
        <v>197</v>
      </c>
      <c r="H119" t="s">
        <v>197</v>
      </c>
      <c r="I119" t="s">
        <v>197</v>
      </c>
      <c r="J119" t="s">
        <v>197</v>
      </c>
      <c r="K119" t="s">
        <v>495</v>
      </c>
    </row>
    <row r="120" spans="1:24">
      <c r="B120" t="s">
        <v>197</v>
      </c>
      <c r="C120" t="s">
        <v>197</v>
      </c>
      <c r="D120" t="s">
        <v>197</v>
      </c>
      <c r="E120" t="s">
        <v>197</v>
      </c>
      <c r="F120" t="s">
        <v>197</v>
      </c>
      <c r="G120" t="s">
        <v>197</v>
      </c>
      <c r="H120" t="s">
        <v>197</v>
      </c>
      <c r="I120" t="s">
        <v>197</v>
      </c>
      <c r="J120" t="s">
        <v>197</v>
      </c>
      <c r="K120" t="s">
        <v>499</v>
      </c>
    </row>
    <row r="121" spans="1:24">
      <c r="B121" t="s">
        <v>197</v>
      </c>
      <c r="C121" t="s">
        <v>197</v>
      </c>
      <c r="D121" t="s">
        <v>197</v>
      </c>
      <c r="E121" t="s">
        <v>197</v>
      </c>
      <c r="F121" t="s">
        <v>197</v>
      </c>
      <c r="G121" t="s">
        <v>197</v>
      </c>
      <c r="H121" t="s">
        <v>197</v>
      </c>
      <c r="I121" t="s">
        <v>197</v>
      </c>
      <c r="J121" t="s">
        <v>197</v>
      </c>
      <c r="K121" t="s">
        <v>503</v>
      </c>
    </row>
    <row r="122" spans="1:24">
      <c r="A122" t="s">
        <v>578</v>
      </c>
      <c r="K122" t="s">
        <v>579</v>
      </c>
      <c r="W122" t="s">
        <v>171</v>
      </c>
      <c r="X122" t="str">
        <f>A122</f>
        <v>info_datetime_dml_batch1_pk_irp2</v>
      </c>
    </row>
    <row r="123" spans="1:24">
      <c r="B123" t="s">
        <v>196</v>
      </c>
      <c r="C123" t="s">
        <v>197</v>
      </c>
      <c r="D123" t="s">
        <v>197</v>
      </c>
      <c r="E123" t="s">
        <v>197</v>
      </c>
      <c r="F123" t="s">
        <v>197</v>
      </c>
      <c r="G123" t="s">
        <v>197</v>
      </c>
      <c r="H123" t="s">
        <v>197</v>
      </c>
      <c r="I123" t="s">
        <v>580</v>
      </c>
      <c r="J123" t="s">
        <v>199</v>
      </c>
      <c r="K123" t="s">
        <v>200</v>
      </c>
    </row>
    <row r="124" spans="1:24">
      <c r="B124" t="s">
        <v>197</v>
      </c>
      <c r="C124" t="s">
        <v>197</v>
      </c>
      <c r="D124" t="s">
        <v>197</v>
      </c>
      <c r="E124" t="s">
        <v>197</v>
      </c>
      <c r="F124" t="s">
        <v>197</v>
      </c>
      <c r="G124" t="s">
        <v>197</v>
      </c>
      <c r="H124" t="s">
        <v>197</v>
      </c>
      <c r="I124" t="s">
        <v>197</v>
      </c>
      <c r="J124" t="s">
        <v>197</v>
      </c>
      <c r="K124" t="s">
        <v>574</v>
      </c>
    </row>
    <row r="125" spans="1:24">
      <c r="A125" t="s">
        <v>581</v>
      </c>
      <c r="K125" t="s">
        <v>582</v>
      </c>
      <c r="W125" t="s">
        <v>171</v>
      </c>
      <c r="X125" t="str">
        <f>A125</f>
        <v>info_datetimeoffset_dml_single_pk</v>
      </c>
    </row>
    <row r="126" spans="1:24">
      <c r="B126" t="s">
        <v>196</v>
      </c>
      <c r="C126" t="s">
        <v>197</v>
      </c>
      <c r="D126" t="s">
        <v>197</v>
      </c>
      <c r="E126" t="s">
        <v>197</v>
      </c>
      <c r="F126" t="s">
        <v>197</v>
      </c>
      <c r="G126" t="s">
        <v>197</v>
      </c>
      <c r="H126" t="s">
        <v>197</v>
      </c>
      <c r="I126" t="s">
        <v>583</v>
      </c>
      <c r="J126" t="s">
        <v>199</v>
      </c>
      <c r="K126" t="s">
        <v>200</v>
      </c>
    </row>
    <row r="127" spans="1:24">
      <c r="B127" t="s">
        <v>197</v>
      </c>
      <c r="C127" t="s">
        <v>197</v>
      </c>
      <c r="D127" t="s">
        <v>197</v>
      </c>
      <c r="E127" t="s">
        <v>197</v>
      </c>
      <c r="F127" t="s">
        <v>197</v>
      </c>
      <c r="G127" t="s">
        <v>197</v>
      </c>
      <c r="H127" t="s">
        <v>197</v>
      </c>
      <c r="I127" t="s">
        <v>197</v>
      </c>
      <c r="J127" t="s">
        <v>197</v>
      </c>
      <c r="K127" t="s">
        <v>301</v>
      </c>
    </row>
    <row r="128" spans="1:24">
      <c r="B128" t="s">
        <v>197</v>
      </c>
      <c r="C128" t="s">
        <v>197</v>
      </c>
      <c r="D128" t="s">
        <v>197</v>
      </c>
      <c r="E128" t="s">
        <v>197</v>
      </c>
      <c r="F128" t="s">
        <v>197</v>
      </c>
      <c r="G128" t="s">
        <v>197</v>
      </c>
      <c r="H128" t="s">
        <v>197</v>
      </c>
      <c r="I128" t="s">
        <v>197</v>
      </c>
      <c r="J128" t="s">
        <v>197</v>
      </c>
      <c r="K128" t="s">
        <v>314</v>
      </c>
    </row>
    <row r="129" spans="1:24">
      <c r="B129" t="s">
        <v>197</v>
      </c>
      <c r="C129" t="s">
        <v>197</v>
      </c>
      <c r="D129" t="s">
        <v>197</v>
      </c>
      <c r="E129" t="s">
        <v>197</v>
      </c>
      <c r="F129" t="s">
        <v>197</v>
      </c>
      <c r="G129" t="s">
        <v>197</v>
      </c>
      <c r="H129" t="s">
        <v>197</v>
      </c>
      <c r="I129" t="s">
        <v>197</v>
      </c>
      <c r="J129" t="s">
        <v>197</v>
      </c>
      <c r="K129" t="s">
        <v>324</v>
      </c>
    </row>
    <row r="130" spans="1:24">
      <c r="B130" t="s">
        <v>197</v>
      </c>
      <c r="C130" t="s">
        <v>197</v>
      </c>
      <c r="D130" t="s">
        <v>197</v>
      </c>
      <c r="E130" t="s">
        <v>197</v>
      </c>
      <c r="F130" t="s">
        <v>197</v>
      </c>
      <c r="G130" t="s">
        <v>197</v>
      </c>
      <c r="H130" t="s">
        <v>197</v>
      </c>
      <c r="I130" t="s">
        <v>197</v>
      </c>
      <c r="J130" t="s">
        <v>197</v>
      </c>
      <c r="K130" t="s">
        <v>335</v>
      </c>
    </row>
    <row r="131" spans="1:24">
      <c r="B131" t="s">
        <v>197</v>
      </c>
      <c r="C131" t="s">
        <v>197</v>
      </c>
      <c r="D131" t="s">
        <v>197</v>
      </c>
      <c r="E131" t="s">
        <v>197</v>
      </c>
      <c r="F131" t="s">
        <v>197</v>
      </c>
      <c r="G131" t="s">
        <v>197</v>
      </c>
      <c r="H131" t="s">
        <v>197</v>
      </c>
      <c r="I131" t="s">
        <v>197</v>
      </c>
      <c r="J131" t="s">
        <v>197</v>
      </c>
      <c r="K131" t="s">
        <v>350</v>
      </c>
    </row>
    <row r="132" spans="1:24">
      <c r="B132" t="s">
        <v>197</v>
      </c>
      <c r="C132" t="s">
        <v>197</v>
      </c>
      <c r="D132" t="s">
        <v>197</v>
      </c>
      <c r="E132" t="s">
        <v>197</v>
      </c>
      <c r="F132" t="s">
        <v>197</v>
      </c>
      <c r="G132" t="s">
        <v>197</v>
      </c>
      <c r="H132" t="s">
        <v>197</v>
      </c>
      <c r="I132" t="s">
        <v>197</v>
      </c>
      <c r="J132" t="s">
        <v>197</v>
      </c>
      <c r="K132" t="s">
        <v>360</v>
      </c>
    </row>
    <row r="133" spans="1:24">
      <c r="B133" t="s">
        <v>197</v>
      </c>
      <c r="C133" t="s">
        <v>197</v>
      </c>
      <c r="D133" t="s">
        <v>197</v>
      </c>
      <c r="E133" t="s">
        <v>197</v>
      </c>
      <c r="F133" t="s">
        <v>197</v>
      </c>
      <c r="G133" t="s">
        <v>197</v>
      </c>
      <c r="H133" t="s">
        <v>197</v>
      </c>
      <c r="I133" t="s">
        <v>197</v>
      </c>
      <c r="J133" t="s">
        <v>197</v>
      </c>
      <c r="K133" t="s">
        <v>367</v>
      </c>
    </row>
    <row r="134" spans="1:24">
      <c r="B134" t="s">
        <v>197</v>
      </c>
      <c r="C134" t="s">
        <v>197</v>
      </c>
      <c r="D134" t="s">
        <v>197</v>
      </c>
      <c r="E134" t="s">
        <v>197</v>
      </c>
      <c r="F134" t="s">
        <v>197</v>
      </c>
      <c r="G134" t="s">
        <v>197</v>
      </c>
      <c r="H134" t="s">
        <v>197</v>
      </c>
      <c r="I134" t="s">
        <v>197</v>
      </c>
      <c r="J134" t="s">
        <v>197</v>
      </c>
      <c r="K134" t="s">
        <v>373</v>
      </c>
    </row>
    <row r="135" spans="1:24">
      <c r="A135" t="s">
        <v>587</v>
      </c>
      <c r="K135" t="s">
        <v>588</v>
      </c>
      <c r="W135" t="s">
        <v>171</v>
      </c>
      <c r="X135" t="str">
        <f>A135</f>
        <v>info_datetime_dml_batch2_pk_irp1</v>
      </c>
    </row>
    <row r="136" spans="1:24">
      <c r="B136" t="s">
        <v>196</v>
      </c>
      <c r="C136" t="s">
        <v>197</v>
      </c>
      <c r="D136" t="s">
        <v>197</v>
      </c>
      <c r="E136" t="s">
        <v>197</v>
      </c>
      <c r="F136" t="s">
        <v>197</v>
      </c>
      <c r="G136" t="s">
        <v>197</v>
      </c>
      <c r="H136" t="s">
        <v>197</v>
      </c>
      <c r="I136" t="s">
        <v>589</v>
      </c>
      <c r="J136" t="s">
        <v>199</v>
      </c>
      <c r="K136" t="s">
        <v>200</v>
      </c>
    </row>
    <row r="137" spans="1:24">
      <c r="B137" t="s">
        <v>197</v>
      </c>
      <c r="C137" t="s">
        <v>197</v>
      </c>
      <c r="D137" t="s">
        <v>197</v>
      </c>
      <c r="E137" t="s">
        <v>197</v>
      </c>
      <c r="F137" t="s">
        <v>197</v>
      </c>
      <c r="G137" t="s">
        <v>197</v>
      </c>
      <c r="H137" t="s">
        <v>197</v>
      </c>
      <c r="I137" t="s">
        <v>197</v>
      </c>
      <c r="J137" t="s">
        <v>197</v>
      </c>
      <c r="K137" t="s">
        <v>574</v>
      </c>
    </row>
    <row r="138" spans="1:24">
      <c r="A138" t="s">
        <v>584</v>
      </c>
      <c r="K138" t="s">
        <v>585</v>
      </c>
      <c r="W138" t="s">
        <v>171</v>
      </c>
      <c r="X138" t="str">
        <f>A138</f>
        <v>info_text_dml_single_pk_drp</v>
      </c>
    </row>
    <row r="139" spans="1:24">
      <c r="B139" t="s">
        <v>196</v>
      </c>
      <c r="C139" t="s">
        <v>197</v>
      </c>
      <c r="D139" t="s">
        <v>197</v>
      </c>
      <c r="E139" t="s">
        <v>197</v>
      </c>
      <c r="F139" t="s">
        <v>197</v>
      </c>
      <c r="G139" t="s">
        <v>197</v>
      </c>
      <c r="H139" t="s">
        <v>197</v>
      </c>
      <c r="I139" t="s">
        <v>586</v>
      </c>
      <c r="J139" t="s">
        <v>199</v>
      </c>
      <c r="K139" t="s">
        <v>200</v>
      </c>
    </row>
    <row r="140" spans="1:24">
      <c r="B140" t="s">
        <v>197</v>
      </c>
      <c r="C140" t="s">
        <v>197</v>
      </c>
      <c r="D140" t="s">
        <v>197</v>
      </c>
      <c r="E140" t="s">
        <v>197</v>
      </c>
      <c r="F140" t="s">
        <v>197</v>
      </c>
      <c r="G140" t="s">
        <v>197</v>
      </c>
      <c r="H140" t="s">
        <v>197</v>
      </c>
      <c r="I140" t="s">
        <v>197</v>
      </c>
      <c r="J140" t="s">
        <v>197</v>
      </c>
      <c r="K140" t="s">
        <v>229</v>
      </c>
    </row>
    <row r="141" spans="1:24">
      <c r="B141" t="s">
        <v>197</v>
      </c>
      <c r="C141" t="s">
        <v>197</v>
      </c>
      <c r="D141" t="s">
        <v>197</v>
      </c>
      <c r="E141" t="s">
        <v>197</v>
      </c>
      <c r="F141" t="s">
        <v>197</v>
      </c>
      <c r="G141" t="s">
        <v>197</v>
      </c>
      <c r="H141" t="s">
        <v>197</v>
      </c>
      <c r="I141" t="s">
        <v>197</v>
      </c>
      <c r="J141" t="s">
        <v>197</v>
      </c>
      <c r="K141" t="s">
        <v>251</v>
      </c>
    </row>
    <row r="142" spans="1:24">
      <c r="A142" t="s">
        <v>590</v>
      </c>
      <c r="K142" t="s">
        <v>591</v>
      </c>
      <c r="W142" t="s">
        <v>171</v>
      </c>
      <c r="X142" t="str">
        <f>A142</f>
        <v>info_nvarchar_dml_batch1_pk_drp1</v>
      </c>
    </row>
    <row r="143" spans="1:24">
      <c r="B143" t="s">
        <v>196</v>
      </c>
      <c r="C143" t="s">
        <v>197</v>
      </c>
      <c r="D143" t="s">
        <v>197</v>
      </c>
      <c r="E143" t="s">
        <v>197</v>
      </c>
      <c r="F143" t="s">
        <v>197</v>
      </c>
      <c r="G143" t="s">
        <v>197</v>
      </c>
      <c r="H143" t="s">
        <v>197</v>
      </c>
      <c r="I143" t="s">
        <v>592</v>
      </c>
      <c r="J143" t="s">
        <v>199</v>
      </c>
      <c r="K143" t="s">
        <v>200</v>
      </c>
    </row>
    <row r="144" spans="1:24">
      <c r="B144" t="s">
        <v>197</v>
      </c>
      <c r="C144" t="s">
        <v>197</v>
      </c>
      <c r="D144" t="s">
        <v>197</v>
      </c>
      <c r="E144" t="s">
        <v>197</v>
      </c>
      <c r="F144" t="s">
        <v>197</v>
      </c>
      <c r="G144" t="s">
        <v>197</v>
      </c>
      <c r="H144" t="s">
        <v>197</v>
      </c>
      <c r="I144" t="s">
        <v>197</v>
      </c>
      <c r="J144" t="s">
        <v>197</v>
      </c>
      <c r="K144" t="s">
        <v>408</v>
      </c>
    </row>
    <row r="145" spans="1:24">
      <c r="B145" t="s">
        <v>197</v>
      </c>
      <c r="C145" t="s">
        <v>197</v>
      </c>
      <c r="D145" t="s">
        <v>197</v>
      </c>
      <c r="E145" t="s">
        <v>197</v>
      </c>
      <c r="F145" t="s">
        <v>197</v>
      </c>
      <c r="G145" t="s">
        <v>197</v>
      </c>
      <c r="H145" t="s">
        <v>197</v>
      </c>
      <c r="I145" t="s">
        <v>197</v>
      </c>
      <c r="J145" t="s">
        <v>197</v>
      </c>
      <c r="K145" t="s">
        <v>412</v>
      </c>
    </row>
    <row r="146" spans="1:24">
      <c r="B146" t="s">
        <v>197</v>
      </c>
      <c r="C146" t="s">
        <v>197</v>
      </c>
      <c r="D146" t="s">
        <v>197</v>
      </c>
      <c r="E146" t="s">
        <v>197</v>
      </c>
      <c r="F146" t="s">
        <v>197</v>
      </c>
      <c r="G146" t="s">
        <v>197</v>
      </c>
      <c r="H146" t="s">
        <v>197</v>
      </c>
      <c r="I146" t="s">
        <v>197</v>
      </c>
      <c r="J146" t="s">
        <v>197</v>
      </c>
      <c r="K146" t="s">
        <v>416</v>
      </c>
    </row>
    <row r="147" spans="1:24">
      <c r="K147" t="s">
        <v>443</v>
      </c>
    </row>
    <row r="148" spans="1:24">
      <c r="A148" t="s">
        <v>596</v>
      </c>
      <c r="K148" t="s">
        <v>597</v>
      </c>
      <c r="W148" t="s">
        <v>171</v>
      </c>
      <c r="X148" t="str">
        <f>A148</f>
        <v>info_text_dml_single_pk</v>
      </c>
    </row>
    <row r="149" spans="1:24">
      <c r="B149" t="s">
        <v>196</v>
      </c>
      <c r="C149" t="s">
        <v>197</v>
      </c>
      <c r="D149" t="s">
        <v>197</v>
      </c>
      <c r="E149" t="s">
        <v>197</v>
      </c>
      <c r="F149" t="s">
        <v>197</v>
      </c>
      <c r="G149" t="s">
        <v>197</v>
      </c>
      <c r="H149" t="s">
        <v>197</v>
      </c>
      <c r="I149" t="s">
        <v>598</v>
      </c>
      <c r="J149" t="s">
        <v>199</v>
      </c>
      <c r="K149" t="s">
        <v>200</v>
      </c>
    </row>
    <row r="150" spans="1:24">
      <c r="B150" t="s">
        <v>197</v>
      </c>
      <c r="C150" t="s">
        <v>197</v>
      </c>
      <c r="D150" t="s">
        <v>197</v>
      </c>
      <c r="E150" t="s">
        <v>197</v>
      </c>
      <c r="F150" t="s">
        <v>197</v>
      </c>
      <c r="G150" t="s">
        <v>197</v>
      </c>
      <c r="H150" t="s">
        <v>197</v>
      </c>
      <c r="I150" t="s">
        <v>197</v>
      </c>
      <c r="J150" t="s">
        <v>197</v>
      </c>
      <c r="K150" t="s">
        <v>229</v>
      </c>
    </row>
    <row r="151" spans="1:24">
      <c r="B151" t="s">
        <v>197</v>
      </c>
      <c r="C151" t="s">
        <v>197</v>
      </c>
      <c r="D151" t="s">
        <v>197</v>
      </c>
      <c r="E151" t="s">
        <v>197</v>
      </c>
      <c r="F151" t="s">
        <v>197</v>
      </c>
      <c r="G151" t="s">
        <v>197</v>
      </c>
      <c r="H151" t="s">
        <v>197</v>
      </c>
      <c r="I151" t="s">
        <v>197</v>
      </c>
      <c r="J151" t="s">
        <v>197</v>
      </c>
      <c r="K151" t="s">
        <v>251</v>
      </c>
    </row>
    <row r="152" spans="1:24">
      <c r="K152" t="s">
        <v>443</v>
      </c>
    </row>
    <row r="153" spans="1:24">
      <c r="A153" t="s">
        <v>593</v>
      </c>
      <c r="K153" t="s">
        <v>594</v>
      </c>
      <c r="W153" t="s">
        <v>171</v>
      </c>
      <c r="X153" t="str">
        <f>A153</f>
        <v>info_int_dml_batch1_pk_urp2</v>
      </c>
    </row>
    <row r="154" spans="1:24">
      <c r="B154" t="s">
        <v>196</v>
      </c>
      <c r="C154" t="s">
        <v>197</v>
      </c>
      <c r="D154" t="s">
        <v>197</v>
      </c>
      <c r="E154" t="s">
        <v>197</v>
      </c>
      <c r="F154" t="s">
        <v>197</v>
      </c>
      <c r="G154" t="s">
        <v>197</v>
      </c>
      <c r="H154" t="s">
        <v>197</v>
      </c>
      <c r="I154" t="s">
        <v>595</v>
      </c>
      <c r="J154" t="s">
        <v>199</v>
      </c>
      <c r="K154" t="s">
        <v>200</v>
      </c>
    </row>
    <row r="155" spans="1:24">
      <c r="B155" t="s">
        <v>197</v>
      </c>
      <c r="C155" t="s">
        <v>197</v>
      </c>
      <c r="D155" t="s">
        <v>197</v>
      </c>
      <c r="E155" t="s">
        <v>197</v>
      </c>
      <c r="F155" t="s">
        <v>197</v>
      </c>
      <c r="G155" t="s">
        <v>197</v>
      </c>
      <c r="H155" t="s">
        <v>197</v>
      </c>
      <c r="I155" t="s">
        <v>197</v>
      </c>
      <c r="J155" t="s">
        <v>197</v>
      </c>
      <c r="K155" t="s">
        <v>549</v>
      </c>
    </row>
    <row r="156" spans="1:24">
      <c r="B156" t="s">
        <v>197</v>
      </c>
      <c r="C156" t="s">
        <v>197</v>
      </c>
      <c r="D156" t="s">
        <v>197</v>
      </c>
      <c r="E156" t="s">
        <v>197</v>
      </c>
      <c r="F156" t="s">
        <v>197</v>
      </c>
      <c r="G156" t="s">
        <v>197</v>
      </c>
      <c r="H156" t="s">
        <v>197</v>
      </c>
      <c r="I156" t="s">
        <v>197</v>
      </c>
      <c r="J156" t="s">
        <v>197</v>
      </c>
      <c r="K156" t="s">
        <v>550</v>
      </c>
    </row>
    <row r="157" spans="1:24">
      <c r="B157" t="s">
        <v>197</v>
      </c>
      <c r="C157" t="s">
        <v>197</v>
      </c>
      <c r="D157" t="s">
        <v>197</v>
      </c>
      <c r="E157" t="s">
        <v>197</v>
      </c>
      <c r="F157" t="s">
        <v>197</v>
      </c>
      <c r="G157" t="s">
        <v>197</v>
      </c>
      <c r="H157" t="s">
        <v>197</v>
      </c>
      <c r="I157" t="s">
        <v>197</v>
      </c>
      <c r="J157" t="s">
        <v>197</v>
      </c>
      <c r="K157" t="s">
        <v>551</v>
      </c>
    </row>
    <row r="158" spans="1:24">
      <c r="B158" t="s">
        <v>197</v>
      </c>
      <c r="C158" t="s">
        <v>197</v>
      </c>
      <c r="D158" t="s">
        <v>197</v>
      </c>
      <c r="E158" t="s">
        <v>197</v>
      </c>
      <c r="F158" t="s">
        <v>197</v>
      </c>
      <c r="G158" t="s">
        <v>197</v>
      </c>
      <c r="H158" t="s">
        <v>197</v>
      </c>
      <c r="I158" t="s">
        <v>197</v>
      </c>
      <c r="J158" t="s">
        <v>197</v>
      </c>
      <c r="K158" t="s">
        <v>552</v>
      </c>
    </row>
    <row r="159" spans="1:24">
      <c r="B159" t="s">
        <v>197</v>
      </c>
      <c r="C159" t="s">
        <v>197</v>
      </c>
      <c r="D159" t="s">
        <v>197</v>
      </c>
      <c r="E159" t="s">
        <v>197</v>
      </c>
      <c r="F159" t="s">
        <v>197</v>
      </c>
      <c r="G159" t="s">
        <v>197</v>
      </c>
      <c r="H159" t="s">
        <v>197</v>
      </c>
      <c r="I159" t="s">
        <v>197</v>
      </c>
      <c r="J159" t="s">
        <v>197</v>
      </c>
      <c r="K159" t="s">
        <v>553</v>
      </c>
    </row>
    <row r="160" spans="1:24">
      <c r="B160" t="s">
        <v>197</v>
      </c>
      <c r="C160" t="s">
        <v>197</v>
      </c>
      <c r="D160" t="s">
        <v>197</v>
      </c>
      <c r="E160" t="s">
        <v>197</v>
      </c>
      <c r="F160" t="s">
        <v>197</v>
      </c>
      <c r="G160" t="s">
        <v>197</v>
      </c>
      <c r="H160" t="s">
        <v>197</v>
      </c>
      <c r="I160" t="s">
        <v>197</v>
      </c>
      <c r="J160" t="s">
        <v>197</v>
      </c>
      <c r="K160" t="s">
        <v>554</v>
      </c>
    </row>
    <row r="161" spans="1:24">
      <c r="B161" t="s">
        <v>197</v>
      </c>
      <c r="C161" t="s">
        <v>197</v>
      </c>
      <c r="D161" t="s">
        <v>197</v>
      </c>
      <c r="E161" t="s">
        <v>197</v>
      </c>
      <c r="F161" t="s">
        <v>197</v>
      </c>
      <c r="G161" t="s">
        <v>197</v>
      </c>
      <c r="H161" t="s">
        <v>197</v>
      </c>
      <c r="I161" t="s">
        <v>197</v>
      </c>
      <c r="J161" t="s">
        <v>197</v>
      </c>
      <c r="K161" t="s">
        <v>555</v>
      </c>
    </row>
    <row r="162" spans="1:24">
      <c r="B162" t="s">
        <v>197</v>
      </c>
      <c r="C162" t="s">
        <v>197</v>
      </c>
      <c r="D162" t="s">
        <v>197</v>
      </c>
      <c r="E162" t="s">
        <v>197</v>
      </c>
      <c r="F162" t="s">
        <v>197</v>
      </c>
      <c r="G162" t="s">
        <v>197</v>
      </c>
      <c r="H162" t="s">
        <v>197</v>
      </c>
      <c r="I162" t="s">
        <v>197</v>
      </c>
      <c r="J162" t="s">
        <v>197</v>
      </c>
      <c r="K162" t="s">
        <v>556</v>
      </c>
    </row>
    <row r="163" spans="1:24">
      <c r="B163" t="s">
        <v>197</v>
      </c>
      <c r="C163" t="s">
        <v>197</v>
      </c>
      <c r="D163" t="s">
        <v>197</v>
      </c>
      <c r="E163" t="s">
        <v>197</v>
      </c>
      <c r="F163" t="s">
        <v>197</v>
      </c>
      <c r="G163" t="s">
        <v>197</v>
      </c>
      <c r="H163" t="s">
        <v>197</v>
      </c>
      <c r="I163" t="s">
        <v>197</v>
      </c>
      <c r="J163" t="s">
        <v>197</v>
      </c>
      <c r="K163" t="s">
        <v>557</v>
      </c>
    </row>
    <row r="164" spans="1:24">
      <c r="B164" t="s">
        <v>197</v>
      </c>
      <c r="C164" t="s">
        <v>197</v>
      </c>
      <c r="D164" t="s">
        <v>197</v>
      </c>
      <c r="E164" t="s">
        <v>197</v>
      </c>
      <c r="F164" t="s">
        <v>197</v>
      </c>
      <c r="G164" t="s">
        <v>197</v>
      </c>
      <c r="H164" t="s">
        <v>197</v>
      </c>
      <c r="I164" t="s">
        <v>197</v>
      </c>
      <c r="J164" t="s">
        <v>197</v>
      </c>
      <c r="K164" t="s">
        <v>558</v>
      </c>
    </row>
    <row r="165" spans="1:24">
      <c r="B165" t="s">
        <v>197</v>
      </c>
      <c r="C165" t="s">
        <v>197</v>
      </c>
      <c r="D165" t="s">
        <v>197</v>
      </c>
      <c r="E165" t="s">
        <v>197</v>
      </c>
      <c r="F165" t="s">
        <v>197</v>
      </c>
      <c r="G165" t="s">
        <v>197</v>
      </c>
      <c r="H165" t="s">
        <v>197</v>
      </c>
      <c r="I165" t="s">
        <v>197</v>
      </c>
      <c r="J165" t="s">
        <v>197</v>
      </c>
      <c r="K165" t="s">
        <v>559</v>
      </c>
    </row>
    <row r="166" spans="1:24">
      <c r="B166" t="s">
        <v>197</v>
      </c>
      <c r="C166" t="s">
        <v>197</v>
      </c>
      <c r="D166" t="s">
        <v>197</v>
      </c>
      <c r="E166" t="s">
        <v>197</v>
      </c>
      <c r="F166" t="s">
        <v>197</v>
      </c>
      <c r="G166" t="s">
        <v>197</v>
      </c>
      <c r="H166" t="s">
        <v>197</v>
      </c>
      <c r="I166" t="s">
        <v>197</v>
      </c>
      <c r="J166" t="s">
        <v>197</v>
      </c>
      <c r="K166" t="s">
        <v>560</v>
      </c>
    </row>
    <row r="167" spans="1:24">
      <c r="B167" t="s">
        <v>197</v>
      </c>
      <c r="C167" t="s">
        <v>197</v>
      </c>
      <c r="D167" t="s">
        <v>197</v>
      </c>
      <c r="E167" t="s">
        <v>197</v>
      </c>
      <c r="F167" t="s">
        <v>197</v>
      </c>
      <c r="G167" t="s">
        <v>197</v>
      </c>
      <c r="H167" t="s">
        <v>197</v>
      </c>
      <c r="I167" t="s">
        <v>197</v>
      </c>
      <c r="J167" t="s">
        <v>197</v>
      </c>
      <c r="K167" t="s">
        <v>561</v>
      </c>
    </row>
    <row r="168" spans="1:24">
      <c r="B168" t="s">
        <v>197</v>
      </c>
      <c r="C168" t="s">
        <v>197</v>
      </c>
      <c r="D168" t="s">
        <v>197</v>
      </c>
      <c r="E168" t="s">
        <v>197</v>
      </c>
      <c r="F168" t="s">
        <v>197</v>
      </c>
      <c r="G168" t="s">
        <v>197</v>
      </c>
      <c r="H168" t="s">
        <v>197</v>
      </c>
      <c r="I168" t="s">
        <v>197</v>
      </c>
      <c r="J168" t="s">
        <v>197</v>
      </c>
      <c r="K168" t="s">
        <v>562</v>
      </c>
    </row>
    <row r="169" spans="1:24">
      <c r="B169" t="s">
        <v>197</v>
      </c>
      <c r="C169" t="s">
        <v>197</v>
      </c>
      <c r="D169" t="s">
        <v>197</v>
      </c>
      <c r="E169" t="s">
        <v>197</v>
      </c>
      <c r="F169" t="s">
        <v>197</v>
      </c>
      <c r="G169" t="s">
        <v>197</v>
      </c>
      <c r="H169" t="s">
        <v>197</v>
      </c>
      <c r="I169" t="s">
        <v>197</v>
      </c>
      <c r="J169" t="s">
        <v>197</v>
      </c>
      <c r="K169" t="s">
        <v>563</v>
      </c>
    </row>
    <row r="170" spans="1:24">
      <c r="B170" t="s">
        <v>197</v>
      </c>
      <c r="C170" t="s">
        <v>197</v>
      </c>
      <c r="D170" t="s">
        <v>197</v>
      </c>
      <c r="E170" t="s">
        <v>197</v>
      </c>
      <c r="F170" t="s">
        <v>197</v>
      </c>
      <c r="G170" t="s">
        <v>197</v>
      </c>
      <c r="H170" t="s">
        <v>197</v>
      </c>
      <c r="I170" t="s">
        <v>197</v>
      </c>
      <c r="J170" t="s">
        <v>197</v>
      </c>
      <c r="K170" t="s">
        <v>564</v>
      </c>
    </row>
    <row r="171" spans="1:24">
      <c r="B171" t="s">
        <v>197</v>
      </c>
      <c r="C171" t="s">
        <v>197</v>
      </c>
      <c r="D171" t="s">
        <v>197</v>
      </c>
      <c r="E171" t="s">
        <v>197</v>
      </c>
      <c r="F171" t="s">
        <v>197</v>
      </c>
      <c r="G171" t="s">
        <v>197</v>
      </c>
      <c r="H171" t="s">
        <v>197</v>
      </c>
      <c r="I171" t="s">
        <v>197</v>
      </c>
      <c r="J171" t="s">
        <v>197</v>
      </c>
      <c r="K171" t="s">
        <v>565</v>
      </c>
    </row>
    <row r="172" spans="1:24">
      <c r="B172" t="s">
        <v>197</v>
      </c>
      <c r="C172" t="s">
        <v>197</v>
      </c>
      <c r="D172" t="s">
        <v>197</v>
      </c>
      <c r="E172" t="s">
        <v>197</v>
      </c>
      <c r="F172" t="s">
        <v>197</v>
      </c>
      <c r="G172" t="s">
        <v>197</v>
      </c>
      <c r="H172" t="s">
        <v>197</v>
      </c>
      <c r="I172" t="s">
        <v>197</v>
      </c>
      <c r="J172" t="s">
        <v>197</v>
      </c>
      <c r="K172" t="s">
        <v>566</v>
      </c>
    </row>
    <row r="173" spans="1:24">
      <c r="B173" t="s">
        <v>197</v>
      </c>
      <c r="C173" t="s">
        <v>197</v>
      </c>
      <c r="D173" t="s">
        <v>197</v>
      </c>
      <c r="E173" t="s">
        <v>197</v>
      </c>
      <c r="F173" t="s">
        <v>197</v>
      </c>
      <c r="G173" t="s">
        <v>197</v>
      </c>
      <c r="H173" t="s">
        <v>197</v>
      </c>
      <c r="I173" t="s">
        <v>197</v>
      </c>
      <c r="J173" t="s">
        <v>197</v>
      </c>
      <c r="K173" t="s">
        <v>567</v>
      </c>
    </row>
    <row r="174" spans="1:24">
      <c r="A174" t="s">
        <v>599</v>
      </c>
      <c r="K174" t="s">
        <v>600</v>
      </c>
      <c r="W174" t="s">
        <v>171</v>
      </c>
      <c r="X174" t="str">
        <f>A174</f>
        <v>info_datetime_dml_batch2_pk_irp2</v>
      </c>
    </row>
    <row r="175" spans="1:24">
      <c r="B175" t="s">
        <v>196</v>
      </c>
      <c r="C175" t="s">
        <v>197</v>
      </c>
      <c r="D175" t="s">
        <v>197</v>
      </c>
      <c r="E175" t="s">
        <v>197</v>
      </c>
      <c r="F175" t="s">
        <v>197</v>
      </c>
      <c r="G175" t="s">
        <v>197</v>
      </c>
      <c r="H175" t="s">
        <v>197</v>
      </c>
      <c r="I175" t="s">
        <v>601</v>
      </c>
      <c r="J175" t="s">
        <v>199</v>
      </c>
      <c r="K175" t="s">
        <v>200</v>
      </c>
    </row>
    <row r="176" spans="1:24">
      <c r="B176" t="s">
        <v>197</v>
      </c>
      <c r="C176" t="s">
        <v>197</v>
      </c>
      <c r="D176" t="s">
        <v>197</v>
      </c>
      <c r="E176" t="s">
        <v>197</v>
      </c>
      <c r="F176" t="s">
        <v>197</v>
      </c>
      <c r="G176" t="s">
        <v>197</v>
      </c>
      <c r="H176" t="s">
        <v>197</v>
      </c>
      <c r="I176" t="s">
        <v>197</v>
      </c>
      <c r="J176" t="s">
        <v>197</v>
      </c>
      <c r="K176" t="s">
        <v>574</v>
      </c>
    </row>
    <row r="177" spans="1:24">
      <c r="A177" t="s">
        <v>602</v>
      </c>
      <c r="K177" t="s">
        <v>603</v>
      </c>
      <c r="W177" t="s">
        <v>171</v>
      </c>
      <c r="X177" t="str">
        <f>A177</f>
        <v>info_nvarchar_dml_batch1_pk_drp2</v>
      </c>
    </row>
    <row r="178" spans="1:24">
      <c r="B178" t="s">
        <v>196</v>
      </c>
      <c r="C178" t="s">
        <v>197</v>
      </c>
      <c r="D178" t="s">
        <v>197</v>
      </c>
      <c r="E178" t="s">
        <v>197</v>
      </c>
      <c r="F178" t="s">
        <v>197</v>
      </c>
      <c r="G178" t="s">
        <v>197</v>
      </c>
      <c r="H178" t="s">
        <v>197</v>
      </c>
      <c r="I178" t="s">
        <v>604</v>
      </c>
      <c r="J178" t="s">
        <v>199</v>
      </c>
      <c r="K178" t="s">
        <v>200</v>
      </c>
    </row>
    <row r="179" spans="1:24">
      <c r="B179" t="s">
        <v>197</v>
      </c>
      <c r="C179" t="s">
        <v>197</v>
      </c>
      <c r="D179" t="s">
        <v>197</v>
      </c>
      <c r="E179" t="s">
        <v>197</v>
      </c>
      <c r="F179" t="s">
        <v>197</v>
      </c>
      <c r="G179" t="s">
        <v>197</v>
      </c>
      <c r="H179" t="s">
        <v>197</v>
      </c>
      <c r="I179" t="s">
        <v>197</v>
      </c>
      <c r="J179" t="s">
        <v>197</v>
      </c>
      <c r="K179" t="s">
        <v>408</v>
      </c>
    </row>
    <row r="180" spans="1:24">
      <c r="B180" t="s">
        <v>197</v>
      </c>
      <c r="C180" t="s">
        <v>197</v>
      </c>
      <c r="D180" t="s">
        <v>197</v>
      </c>
      <c r="E180" t="s">
        <v>197</v>
      </c>
      <c r="F180" t="s">
        <v>197</v>
      </c>
      <c r="G180" t="s">
        <v>197</v>
      </c>
      <c r="H180" t="s">
        <v>197</v>
      </c>
      <c r="I180" t="s">
        <v>197</v>
      </c>
      <c r="J180" t="s">
        <v>197</v>
      </c>
      <c r="K180" t="s">
        <v>412</v>
      </c>
    </row>
    <row r="181" spans="1:24">
      <c r="B181" t="s">
        <v>197</v>
      </c>
      <c r="C181" t="s">
        <v>197</v>
      </c>
      <c r="D181" t="s">
        <v>197</v>
      </c>
      <c r="E181" t="s">
        <v>197</v>
      </c>
      <c r="F181" t="s">
        <v>197</v>
      </c>
      <c r="G181" t="s">
        <v>197</v>
      </c>
      <c r="H181" t="s">
        <v>197</v>
      </c>
      <c r="I181" t="s">
        <v>197</v>
      </c>
      <c r="J181" t="s">
        <v>197</v>
      </c>
      <c r="K181" t="s">
        <v>605</v>
      </c>
    </row>
    <row r="182" spans="1:24">
      <c r="A182" t="s">
        <v>609</v>
      </c>
      <c r="K182" t="s">
        <v>610</v>
      </c>
      <c r="W182" t="s">
        <v>171</v>
      </c>
      <c r="X182" t="str">
        <f>A182</f>
        <v>info_nchar_dml_single_pk_urp</v>
      </c>
    </row>
    <row r="183" spans="1:24">
      <c r="B183" t="s">
        <v>196</v>
      </c>
      <c r="C183" t="s">
        <v>197</v>
      </c>
      <c r="D183" t="s">
        <v>197</v>
      </c>
      <c r="E183" t="s">
        <v>197</v>
      </c>
      <c r="F183" t="s">
        <v>197</v>
      </c>
      <c r="G183" t="s">
        <v>197</v>
      </c>
      <c r="H183" t="s">
        <v>197</v>
      </c>
      <c r="I183" t="s">
        <v>611</v>
      </c>
      <c r="J183" t="s">
        <v>199</v>
      </c>
      <c r="K183" t="s">
        <v>200</v>
      </c>
    </row>
    <row r="184" spans="1:24">
      <c r="B184" t="s">
        <v>197</v>
      </c>
      <c r="C184" t="s">
        <v>197</v>
      </c>
      <c r="D184" t="s">
        <v>197</v>
      </c>
      <c r="E184" t="s">
        <v>197</v>
      </c>
      <c r="F184" t="s">
        <v>197</v>
      </c>
      <c r="G184" t="s">
        <v>197</v>
      </c>
      <c r="H184" t="s">
        <v>197</v>
      </c>
      <c r="I184" t="s">
        <v>197</v>
      </c>
      <c r="J184" t="s">
        <v>197</v>
      </c>
      <c r="K184" t="s">
        <v>514</v>
      </c>
    </row>
    <row r="185" spans="1:24">
      <c r="B185" t="s">
        <v>197</v>
      </c>
      <c r="C185" t="s">
        <v>197</v>
      </c>
      <c r="D185" t="s">
        <v>197</v>
      </c>
      <c r="E185" t="s">
        <v>197</v>
      </c>
      <c r="F185" t="s">
        <v>197</v>
      </c>
      <c r="G185" t="s">
        <v>197</v>
      </c>
      <c r="H185" t="s">
        <v>197</v>
      </c>
      <c r="I185" t="s">
        <v>197</v>
      </c>
      <c r="J185" t="s">
        <v>197</v>
      </c>
      <c r="K185" t="s">
        <v>516</v>
      </c>
    </row>
    <row r="186" spans="1:24">
      <c r="B186" t="s">
        <v>197</v>
      </c>
      <c r="C186" t="s">
        <v>197</v>
      </c>
      <c r="D186" t="s">
        <v>197</v>
      </c>
      <c r="E186" t="s">
        <v>197</v>
      </c>
      <c r="F186" t="s">
        <v>197</v>
      </c>
      <c r="G186" t="s">
        <v>197</v>
      </c>
      <c r="H186" t="s">
        <v>197</v>
      </c>
      <c r="I186" t="s">
        <v>197</v>
      </c>
      <c r="J186" t="s">
        <v>197</v>
      </c>
      <c r="K186" t="s">
        <v>612</v>
      </c>
    </row>
    <row r="187" spans="1:24">
      <c r="A187" t="s">
        <v>606</v>
      </c>
      <c r="K187" t="s">
        <v>607</v>
      </c>
      <c r="W187" t="s">
        <v>171</v>
      </c>
      <c r="X187" t="str">
        <f>A187</f>
        <v>info_xml_dml_single_pk_drp</v>
      </c>
    </row>
    <row r="188" spans="1:24">
      <c r="B188" t="s">
        <v>196</v>
      </c>
      <c r="C188" t="s">
        <v>197</v>
      </c>
      <c r="D188" t="s">
        <v>197</v>
      </c>
      <c r="E188" t="s">
        <v>197</v>
      </c>
      <c r="F188" t="s">
        <v>197</v>
      </c>
      <c r="G188" t="s">
        <v>197</v>
      </c>
      <c r="H188" t="s">
        <v>197</v>
      </c>
      <c r="I188" t="s">
        <v>608</v>
      </c>
      <c r="J188" t="s">
        <v>199</v>
      </c>
      <c r="K188" t="s">
        <v>200</v>
      </c>
    </row>
    <row r="189" spans="1:24">
      <c r="B189" t="s">
        <v>197</v>
      </c>
      <c r="C189" t="s">
        <v>197</v>
      </c>
      <c r="D189" t="s">
        <v>197</v>
      </c>
      <c r="E189" t="s">
        <v>197</v>
      </c>
      <c r="F189" t="s">
        <v>197</v>
      </c>
      <c r="G189" t="s">
        <v>197</v>
      </c>
      <c r="H189" t="s">
        <v>197</v>
      </c>
      <c r="I189" t="s">
        <v>197</v>
      </c>
      <c r="J189" t="s">
        <v>197</v>
      </c>
      <c r="K189" t="s">
        <v>472</v>
      </c>
    </row>
    <row r="190" spans="1:24">
      <c r="A190" t="s">
        <v>613</v>
      </c>
      <c r="K190" t="s">
        <v>614</v>
      </c>
      <c r="W190" t="s">
        <v>171</v>
      </c>
      <c r="X190" t="str">
        <f>A190</f>
        <v>info_datetime_dml_batch1_pk_urp1</v>
      </c>
    </row>
    <row r="191" spans="1:24">
      <c r="B191" t="s">
        <v>196</v>
      </c>
      <c r="C191" t="s">
        <v>197</v>
      </c>
      <c r="D191" t="s">
        <v>197</v>
      </c>
      <c r="E191" t="s">
        <v>197</v>
      </c>
      <c r="F191" t="s">
        <v>197</v>
      </c>
      <c r="G191" t="s">
        <v>197</v>
      </c>
      <c r="H191" t="s">
        <v>197</v>
      </c>
      <c r="I191" t="s">
        <v>615</v>
      </c>
      <c r="J191" t="s">
        <v>199</v>
      </c>
      <c r="K191" t="s">
        <v>200</v>
      </c>
    </row>
    <row r="192" spans="1:24">
      <c r="B192" t="s">
        <v>197</v>
      </c>
      <c r="C192" t="s">
        <v>197</v>
      </c>
      <c r="D192" t="s">
        <v>197</v>
      </c>
      <c r="E192" t="s">
        <v>197</v>
      </c>
      <c r="F192" t="s">
        <v>197</v>
      </c>
      <c r="G192" t="s">
        <v>197</v>
      </c>
      <c r="H192" t="s">
        <v>197</v>
      </c>
      <c r="I192" t="s">
        <v>197</v>
      </c>
      <c r="J192" t="s">
        <v>197</v>
      </c>
      <c r="K192" t="s">
        <v>574</v>
      </c>
    </row>
    <row r="193" spans="1:24">
      <c r="A193" t="s">
        <v>616</v>
      </c>
      <c r="K193" t="s">
        <v>617</v>
      </c>
      <c r="W193" t="s">
        <v>171</v>
      </c>
      <c r="X193" t="str">
        <f>A193</f>
        <v>info_int_dml_batch1_pk_drp1</v>
      </c>
    </row>
    <row r="194" spans="1:24">
      <c r="B194" t="s">
        <v>196</v>
      </c>
      <c r="C194" t="s">
        <v>197</v>
      </c>
      <c r="D194" t="s">
        <v>197</v>
      </c>
      <c r="E194" t="s">
        <v>197</v>
      </c>
      <c r="F194" t="s">
        <v>197</v>
      </c>
      <c r="G194" t="s">
        <v>197</v>
      </c>
      <c r="H194" t="s">
        <v>197</v>
      </c>
      <c r="I194" t="s">
        <v>618</v>
      </c>
      <c r="J194" t="s">
        <v>199</v>
      </c>
      <c r="K194" t="s">
        <v>200</v>
      </c>
    </row>
    <row r="195" spans="1:24">
      <c r="B195" t="s">
        <v>197</v>
      </c>
      <c r="C195" t="s">
        <v>197</v>
      </c>
      <c r="D195" t="s">
        <v>197</v>
      </c>
      <c r="E195" t="s">
        <v>197</v>
      </c>
      <c r="F195" t="s">
        <v>197</v>
      </c>
      <c r="G195" t="s">
        <v>197</v>
      </c>
      <c r="H195" t="s">
        <v>197</v>
      </c>
      <c r="I195" t="s">
        <v>197</v>
      </c>
      <c r="J195" t="s">
        <v>197</v>
      </c>
      <c r="K195" t="s">
        <v>549</v>
      </c>
    </row>
    <row r="196" spans="1:24">
      <c r="B196" t="s">
        <v>197</v>
      </c>
      <c r="C196" t="s">
        <v>197</v>
      </c>
      <c r="D196" t="s">
        <v>197</v>
      </c>
      <c r="E196" t="s">
        <v>197</v>
      </c>
      <c r="F196" t="s">
        <v>197</v>
      </c>
      <c r="G196" t="s">
        <v>197</v>
      </c>
      <c r="H196" t="s">
        <v>197</v>
      </c>
      <c r="I196" t="s">
        <v>197</v>
      </c>
      <c r="J196" t="s">
        <v>197</v>
      </c>
      <c r="K196" t="s">
        <v>550</v>
      </c>
    </row>
    <row r="197" spans="1:24">
      <c r="B197" t="s">
        <v>197</v>
      </c>
      <c r="C197" t="s">
        <v>197</v>
      </c>
      <c r="D197" t="s">
        <v>197</v>
      </c>
      <c r="E197" t="s">
        <v>197</v>
      </c>
      <c r="F197" t="s">
        <v>197</v>
      </c>
      <c r="G197" t="s">
        <v>197</v>
      </c>
      <c r="H197" t="s">
        <v>197</v>
      </c>
      <c r="I197" t="s">
        <v>197</v>
      </c>
      <c r="J197" t="s">
        <v>197</v>
      </c>
      <c r="K197" t="s">
        <v>551</v>
      </c>
    </row>
    <row r="198" spans="1:24">
      <c r="B198" t="s">
        <v>197</v>
      </c>
      <c r="C198" t="s">
        <v>197</v>
      </c>
      <c r="D198" t="s">
        <v>197</v>
      </c>
      <c r="E198" t="s">
        <v>197</v>
      </c>
      <c r="F198" t="s">
        <v>197</v>
      </c>
      <c r="G198" t="s">
        <v>197</v>
      </c>
      <c r="H198" t="s">
        <v>197</v>
      </c>
      <c r="I198" t="s">
        <v>197</v>
      </c>
      <c r="J198" t="s">
        <v>197</v>
      </c>
      <c r="K198" t="s">
        <v>552</v>
      </c>
    </row>
    <row r="199" spans="1:24">
      <c r="B199" t="s">
        <v>197</v>
      </c>
      <c r="C199" t="s">
        <v>197</v>
      </c>
      <c r="D199" t="s">
        <v>197</v>
      </c>
      <c r="E199" t="s">
        <v>197</v>
      </c>
      <c r="F199" t="s">
        <v>197</v>
      </c>
      <c r="G199" t="s">
        <v>197</v>
      </c>
      <c r="H199" t="s">
        <v>197</v>
      </c>
      <c r="I199" t="s">
        <v>197</v>
      </c>
      <c r="J199" t="s">
        <v>197</v>
      </c>
      <c r="K199" t="s">
        <v>553</v>
      </c>
    </row>
    <row r="200" spans="1:24">
      <c r="B200" t="s">
        <v>197</v>
      </c>
      <c r="C200" t="s">
        <v>197</v>
      </c>
      <c r="D200" t="s">
        <v>197</v>
      </c>
      <c r="E200" t="s">
        <v>197</v>
      </c>
      <c r="F200" t="s">
        <v>197</v>
      </c>
      <c r="G200" t="s">
        <v>197</v>
      </c>
      <c r="H200" t="s">
        <v>197</v>
      </c>
      <c r="I200" t="s">
        <v>197</v>
      </c>
      <c r="J200" t="s">
        <v>197</v>
      </c>
      <c r="K200" t="s">
        <v>554</v>
      </c>
    </row>
    <row r="201" spans="1:24">
      <c r="B201" t="s">
        <v>197</v>
      </c>
      <c r="C201" t="s">
        <v>197</v>
      </c>
      <c r="D201" t="s">
        <v>197</v>
      </c>
      <c r="E201" t="s">
        <v>197</v>
      </c>
      <c r="F201" t="s">
        <v>197</v>
      </c>
      <c r="G201" t="s">
        <v>197</v>
      </c>
      <c r="H201" t="s">
        <v>197</v>
      </c>
      <c r="I201" t="s">
        <v>197</v>
      </c>
      <c r="J201" t="s">
        <v>197</v>
      </c>
      <c r="K201" t="s">
        <v>555</v>
      </c>
    </row>
    <row r="202" spans="1:24">
      <c r="B202" t="s">
        <v>197</v>
      </c>
      <c r="C202" t="s">
        <v>197</v>
      </c>
      <c r="D202" t="s">
        <v>197</v>
      </c>
      <c r="E202" t="s">
        <v>197</v>
      </c>
      <c r="F202" t="s">
        <v>197</v>
      </c>
      <c r="G202" t="s">
        <v>197</v>
      </c>
      <c r="H202" t="s">
        <v>197</v>
      </c>
      <c r="I202" t="s">
        <v>197</v>
      </c>
      <c r="J202" t="s">
        <v>197</v>
      </c>
      <c r="K202" t="s">
        <v>556</v>
      </c>
    </row>
    <row r="203" spans="1:24">
      <c r="B203" t="s">
        <v>197</v>
      </c>
      <c r="C203" t="s">
        <v>197</v>
      </c>
      <c r="D203" t="s">
        <v>197</v>
      </c>
      <c r="E203" t="s">
        <v>197</v>
      </c>
      <c r="F203" t="s">
        <v>197</v>
      </c>
      <c r="G203" t="s">
        <v>197</v>
      </c>
      <c r="H203" t="s">
        <v>197</v>
      </c>
      <c r="I203" t="s">
        <v>197</v>
      </c>
      <c r="J203" t="s">
        <v>197</v>
      </c>
      <c r="K203" t="s">
        <v>557</v>
      </c>
    </row>
    <row r="204" spans="1:24">
      <c r="B204" t="s">
        <v>197</v>
      </c>
      <c r="C204" t="s">
        <v>197</v>
      </c>
      <c r="D204" t="s">
        <v>197</v>
      </c>
      <c r="E204" t="s">
        <v>197</v>
      </c>
      <c r="F204" t="s">
        <v>197</v>
      </c>
      <c r="G204" t="s">
        <v>197</v>
      </c>
      <c r="H204" t="s">
        <v>197</v>
      </c>
      <c r="I204" t="s">
        <v>197</v>
      </c>
      <c r="J204" t="s">
        <v>197</v>
      </c>
      <c r="K204" t="s">
        <v>558</v>
      </c>
    </row>
    <row r="205" spans="1:24">
      <c r="B205" t="s">
        <v>197</v>
      </c>
      <c r="C205" t="s">
        <v>197</v>
      </c>
      <c r="D205" t="s">
        <v>197</v>
      </c>
      <c r="E205" t="s">
        <v>197</v>
      </c>
      <c r="F205" t="s">
        <v>197</v>
      </c>
      <c r="G205" t="s">
        <v>197</v>
      </c>
      <c r="H205" t="s">
        <v>197</v>
      </c>
      <c r="I205" t="s">
        <v>197</v>
      </c>
      <c r="J205" t="s">
        <v>197</v>
      </c>
      <c r="K205" t="s">
        <v>559</v>
      </c>
    </row>
    <row r="206" spans="1:24">
      <c r="B206" t="s">
        <v>197</v>
      </c>
      <c r="C206" t="s">
        <v>197</v>
      </c>
      <c r="D206" t="s">
        <v>197</v>
      </c>
      <c r="E206" t="s">
        <v>197</v>
      </c>
      <c r="F206" t="s">
        <v>197</v>
      </c>
      <c r="G206" t="s">
        <v>197</v>
      </c>
      <c r="H206" t="s">
        <v>197</v>
      </c>
      <c r="I206" t="s">
        <v>197</v>
      </c>
      <c r="J206" t="s">
        <v>197</v>
      </c>
      <c r="K206" t="s">
        <v>560</v>
      </c>
    </row>
    <row r="207" spans="1:24">
      <c r="B207" t="s">
        <v>197</v>
      </c>
      <c r="C207" t="s">
        <v>197</v>
      </c>
      <c r="D207" t="s">
        <v>197</v>
      </c>
      <c r="E207" t="s">
        <v>197</v>
      </c>
      <c r="F207" t="s">
        <v>197</v>
      </c>
      <c r="G207" t="s">
        <v>197</v>
      </c>
      <c r="H207" t="s">
        <v>197</v>
      </c>
      <c r="I207" t="s">
        <v>197</v>
      </c>
      <c r="J207" t="s">
        <v>197</v>
      </c>
      <c r="K207" t="s">
        <v>561</v>
      </c>
    </row>
    <row r="208" spans="1:24">
      <c r="B208" t="s">
        <v>197</v>
      </c>
      <c r="C208" t="s">
        <v>197</v>
      </c>
      <c r="D208" t="s">
        <v>197</v>
      </c>
      <c r="E208" t="s">
        <v>197</v>
      </c>
      <c r="F208" t="s">
        <v>197</v>
      </c>
      <c r="G208" t="s">
        <v>197</v>
      </c>
      <c r="H208" t="s">
        <v>197</v>
      </c>
      <c r="I208" t="s">
        <v>197</v>
      </c>
      <c r="J208" t="s">
        <v>197</v>
      </c>
      <c r="K208" t="s">
        <v>562</v>
      </c>
    </row>
    <row r="209" spans="1:24">
      <c r="B209" t="s">
        <v>197</v>
      </c>
      <c r="C209" t="s">
        <v>197</v>
      </c>
      <c r="D209" t="s">
        <v>197</v>
      </c>
      <c r="E209" t="s">
        <v>197</v>
      </c>
      <c r="F209" t="s">
        <v>197</v>
      </c>
      <c r="G209" t="s">
        <v>197</v>
      </c>
      <c r="H209" t="s">
        <v>197</v>
      </c>
      <c r="I209" t="s">
        <v>197</v>
      </c>
      <c r="J209" t="s">
        <v>197</v>
      </c>
      <c r="K209" t="s">
        <v>563</v>
      </c>
    </row>
    <row r="210" spans="1:24">
      <c r="B210" t="s">
        <v>197</v>
      </c>
      <c r="C210" t="s">
        <v>197</v>
      </c>
      <c r="D210" t="s">
        <v>197</v>
      </c>
      <c r="E210" t="s">
        <v>197</v>
      </c>
      <c r="F210" t="s">
        <v>197</v>
      </c>
      <c r="G210" t="s">
        <v>197</v>
      </c>
      <c r="H210" t="s">
        <v>197</v>
      </c>
      <c r="I210" t="s">
        <v>197</v>
      </c>
      <c r="J210" t="s">
        <v>197</v>
      </c>
      <c r="K210" t="s">
        <v>564</v>
      </c>
    </row>
    <row r="211" spans="1:24">
      <c r="B211" t="s">
        <v>197</v>
      </c>
      <c r="C211" t="s">
        <v>197</v>
      </c>
      <c r="D211" t="s">
        <v>197</v>
      </c>
      <c r="E211" t="s">
        <v>197</v>
      </c>
      <c r="F211" t="s">
        <v>197</v>
      </c>
      <c r="G211" t="s">
        <v>197</v>
      </c>
      <c r="H211" t="s">
        <v>197</v>
      </c>
      <c r="I211" t="s">
        <v>197</v>
      </c>
      <c r="J211" t="s">
        <v>197</v>
      </c>
      <c r="K211" t="s">
        <v>565</v>
      </c>
    </row>
    <row r="212" spans="1:24">
      <c r="B212" t="s">
        <v>197</v>
      </c>
      <c r="C212" t="s">
        <v>197</v>
      </c>
      <c r="D212" t="s">
        <v>197</v>
      </c>
      <c r="E212" t="s">
        <v>197</v>
      </c>
      <c r="F212" t="s">
        <v>197</v>
      </c>
      <c r="G212" t="s">
        <v>197</v>
      </c>
      <c r="H212" t="s">
        <v>197</v>
      </c>
      <c r="I212" t="s">
        <v>197</v>
      </c>
      <c r="J212" t="s">
        <v>197</v>
      </c>
      <c r="K212" t="s">
        <v>566</v>
      </c>
    </row>
    <row r="213" spans="1:24">
      <c r="B213" t="s">
        <v>197</v>
      </c>
      <c r="C213" t="s">
        <v>197</v>
      </c>
      <c r="D213" t="s">
        <v>197</v>
      </c>
      <c r="E213" t="s">
        <v>197</v>
      </c>
      <c r="F213" t="s">
        <v>197</v>
      </c>
      <c r="G213" t="s">
        <v>197</v>
      </c>
      <c r="H213" t="s">
        <v>197</v>
      </c>
      <c r="I213" t="s">
        <v>197</v>
      </c>
      <c r="J213" t="s">
        <v>197</v>
      </c>
      <c r="K213" t="s">
        <v>567</v>
      </c>
    </row>
    <row r="214" spans="1:24">
      <c r="K214" t="s">
        <v>443</v>
      </c>
    </row>
    <row r="215" spans="1:24">
      <c r="A215" t="s">
        <v>619</v>
      </c>
      <c r="K215" t="s">
        <v>620</v>
      </c>
      <c r="W215" t="s">
        <v>171</v>
      </c>
      <c r="X215" t="str">
        <f>A215</f>
        <v>info_char_dml_batch1_pk_irp1</v>
      </c>
    </row>
    <row r="216" spans="1:24">
      <c r="B216" t="s">
        <v>196</v>
      </c>
      <c r="C216" t="s">
        <v>197</v>
      </c>
      <c r="D216" t="s">
        <v>197</v>
      </c>
      <c r="E216" t="s">
        <v>197</v>
      </c>
      <c r="F216" t="s">
        <v>197</v>
      </c>
      <c r="G216" t="s">
        <v>197</v>
      </c>
      <c r="H216" t="s">
        <v>197</v>
      </c>
      <c r="I216" t="s">
        <v>621</v>
      </c>
      <c r="J216" t="s">
        <v>199</v>
      </c>
      <c r="K216" t="s">
        <v>200</v>
      </c>
    </row>
    <row r="217" spans="1:24">
      <c r="B217" t="s">
        <v>197</v>
      </c>
      <c r="C217" t="s">
        <v>197</v>
      </c>
      <c r="D217" t="s">
        <v>197</v>
      </c>
      <c r="E217" t="s">
        <v>197</v>
      </c>
      <c r="F217" t="s">
        <v>197</v>
      </c>
      <c r="G217" t="s">
        <v>197</v>
      </c>
      <c r="H217" t="s">
        <v>197</v>
      </c>
      <c r="I217" t="s">
        <v>197</v>
      </c>
      <c r="J217" t="s">
        <v>197</v>
      </c>
      <c r="K217" t="s">
        <v>622</v>
      </c>
    </row>
    <row r="218" spans="1:24">
      <c r="B218" t="s">
        <v>197</v>
      </c>
      <c r="C218" t="s">
        <v>197</v>
      </c>
      <c r="D218" t="s">
        <v>197</v>
      </c>
      <c r="E218" t="s">
        <v>197</v>
      </c>
      <c r="F218" t="s">
        <v>197</v>
      </c>
      <c r="G218" t="s">
        <v>197</v>
      </c>
      <c r="H218" t="s">
        <v>197</v>
      </c>
      <c r="I218" t="s">
        <v>197</v>
      </c>
      <c r="J218" t="s">
        <v>197</v>
      </c>
      <c r="K218" t="s">
        <v>623</v>
      </c>
    </row>
    <row r="219" spans="1:24">
      <c r="B219" t="s">
        <v>197</v>
      </c>
      <c r="C219" t="s">
        <v>197</v>
      </c>
      <c r="D219" t="s">
        <v>197</v>
      </c>
      <c r="E219" t="s">
        <v>197</v>
      </c>
      <c r="F219" t="s">
        <v>197</v>
      </c>
      <c r="G219" t="s">
        <v>197</v>
      </c>
      <c r="H219" t="s">
        <v>197</v>
      </c>
      <c r="I219" t="s">
        <v>197</v>
      </c>
      <c r="J219" t="s">
        <v>197</v>
      </c>
      <c r="K219" t="s">
        <v>624</v>
      </c>
    </row>
    <row r="220" spans="1:24">
      <c r="K220" t="s">
        <v>443</v>
      </c>
    </row>
    <row r="221" spans="1:24">
      <c r="A221" t="s">
        <v>625</v>
      </c>
      <c r="K221" t="s">
        <v>626</v>
      </c>
      <c r="W221" t="s">
        <v>171</v>
      </c>
      <c r="X221" t="str">
        <f>A221</f>
        <v>info_xml_dml_single_pk</v>
      </c>
    </row>
    <row r="222" spans="1:24">
      <c r="B222" t="s">
        <v>196</v>
      </c>
      <c r="C222" t="s">
        <v>197</v>
      </c>
      <c r="D222" t="s">
        <v>197</v>
      </c>
      <c r="E222" t="s">
        <v>197</v>
      </c>
      <c r="F222" t="s">
        <v>197</v>
      </c>
      <c r="G222" t="s">
        <v>197</v>
      </c>
      <c r="H222" t="s">
        <v>197</v>
      </c>
      <c r="I222" t="s">
        <v>627</v>
      </c>
      <c r="J222" t="s">
        <v>199</v>
      </c>
      <c r="K222" t="s">
        <v>200</v>
      </c>
    </row>
    <row r="223" spans="1:24">
      <c r="B223" t="s">
        <v>197</v>
      </c>
      <c r="C223" t="s">
        <v>197</v>
      </c>
      <c r="D223" t="s">
        <v>197</v>
      </c>
      <c r="E223" t="s">
        <v>197</v>
      </c>
      <c r="F223" t="s">
        <v>197</v>
      </c>
      <c r="G223" t="s">
        <v>197</v>
      </c>
      <c r="H223" t="s">
        <v>197</v>
      </c>
      <c r="I223" t="s">
        <v>197</v>
      </c>
      <c r="J223" t="s">
        <v>197</v>
      </c>
      <c r="K223" t="s">
        <v>472</v>
      </c>
    </row>
    <row r="224" spans="1:24">
      <c r="A224" t="s">
        <v>628</v>
      </c>
      <c r="K224" t="s">
        <v>629</v>
      </c>
      <c r="W224" t="s">
        <v>171</v>
      </c>
      <c r="X224" t="str">
        <f>A224</f>
        <v>info_geometry_dml_single_pk_drp</v>
      </c>
    </row>
    <row r="225" spans="1:24">
      <c r="B225" t="s">
        <v>196</v>
      </c>
      <c r="C225" t="s">
        <v>197</v>
      </c>
      <c r="D225" t="s">
        <v>197</v>
      </c>
      <c r="E225" t="s">
        <v>197</v>
      </c>
      <c r="F225" t="s">
        <v>197</v>
      </c>
      <c r="G225" t="s">
        <v>197</v>
      </c>
      <c r="H225" t="s">
        <v>197</v>
      </c>
      <c r="I225" t="s">
        <v>630</v>
      </c>
      <c r="J225" t="s">
        <v>199</v>
      </c>
      <c r="K225" t="s">
        <v>200</v>
      </c>
    </row>
    <row r="226" spans="1:24">
      <c r="B226" t="s">
        <v>197</v>
      </c>
      <c r="C226" t="s">
        <v>197</v>
      </c>
      <c r="D226" t="s">
        <v>197</v>
      </c>
      <c r="E226" t="s">
        <v>197</v>
      </c>
      <c r="F226" t="s">
        <v>197</v>
      </c>
      <c r="G226" t="s">
        <v>197</v>
      </c>
      <c r="H226" t="s">
        <v>197</v>
      </c>
      <c r="I226" t="s">
        <v>197</v>
      </c>
      <c r="J226" t="s">
        <v>197</v>
      </c>
      <c r="K226" t="s">
        <v>393</v>
      </c>
    </row>
    <row r="227" spans="1:24">
      <c r="A227" t="s">
        <v>631</v>
      </c>
      <c r="K227" t="s">
        <v>632</v>
      </c>
      <c r="W227" t="s">
        <v>171</v>
      </c>
      <c r="X227" t="str">
        <f>A227</f>
        <v>info_nchar_dml_single_pk_drp</v>
      </c>
    </row>
    <row r="228" spans="1:24">
      <c r="B228" t="s">
        <v>196</v>
      </c>
      <c r="C228" t="s">
        <v>197</v>
      </c>
      <c r="D228" t="s">
        <v>197</v>
      </c>
      <c r="E228" t="s">
        <v>197</v>
      </c>
      <c r="F228" t="s">
        <v>197</v>
      </c>
      <c r="G228" t="s">
        <v>197</v>
      </c>
      <c r="H228" t="s">
        <v>197</v>
      </c>
      <c r="I228" t="s">
        <v>633</v>
      </c>
      <c r="J228" t="s">
        <v>199</v>
      </c>
      <c r="K228" t="s">
        <v>200</v>
      </c>
    </row>
    <row r="229" spans="1:24">
      <c r="B229" t="s">
        <v>197</v>
      </c>
      <c r="C229" t="s">
        <v>197</v>
      </c>
      <c r="D229" t="s">
        <v>197</v>
      </c>
      <c r="E229" t="s">
        <v>197</v>
      </c>
      <c r="F229" t="s">
        <v>197</v>
      </c>
      <c r="G229" t="s">
        <v>197</v>
      </c>
      <c r="H229" t="s">
        <v>197</v>
      </c>
      <c r="I229" t="s">
        <v>197</v>
      </c>
      <c r="J229" t="s">
        <v>197</v>
      </c>
      <c r="K229" t="s">
        <v>514</v>
      </c>
    </row>
    <row r="230" spans="1:24">
      <c r="B230" t="s">
        <v>197</v>
      </c>
      <c r="C230" t="s">
        <v>197</v>
      </c>
      <c r="D230" t="s">
        <v>197</v>
      </c>
      <c r="E230" t="s">
        <v>197</v>
      </c>
      <c r="F230" t="s">
        <v>197</v>
      </c>
      <c r="G230" t="s">
        <v>197</v>
      </c>
      <c r="H230" t="s">
        <v>197</v>
      </c>
      <c r="I230" t="s">
        <v>197</v>
      </c>
      <c r="J230" t="s">
        <v>197</v>
      </c>
      <c r="K230" t="s">
        <v>516</v>
      </c>
    </row>
    <row r="231" spans="1:24">
      <c r="B231" t="s">
        <v>197</v>
      </c>
      <c r="C231" t="s">
        <v>197</v>
      </c>
      <c r="D231" t="s">
        <v>197</v>
      </c>
      <c r="E231" t="s">
        <v>197</v>
      </c>
      <c r="F231" t="s">
        <v>197</v>
      </c>
      <c r="G231" t="s">
        <v>197</v>
      </c>
      <c r="H231" t="s">
        <v>197</v>
      </c>
      <c r="I231" t="s">
        <v>197</v>
      </c>
      <c r="J231" t="s">
        <v>197</v>
      </c>
      <c r="K231" t="s">
        <v>612</v>
      </c>
    </row>
    <row r="232" spans="1:24">
      <c r="A232" t="s">
        <v>634</v>
      </c>
      <c r="K232" t="s">
        <v>635</v>
      </c>
      <c r="W232" t="s">
        <v>171</v>
      </c>
      <c r="X232" t="str">
        <f>A232</f>
        <v>info_datetime_dml_batch1_pk_urp2</v>
      </c>
    </row>
    <row r="233" spans="1:24">
      <c r="B233" t="s">
        <v>196</v>
      </c>
      <c r="C233" t="s">
        <v>197</v>
      </c>
      <c r="D233" t="s">
        <v>197</v>
      </c>
      <c r="E233" t="s">
        <v>197</v>
      </c>
      <c r="F233" t="s">
        <v>197</v>
      </c>
      <c r="G233" t="s">
        <v>197</v>
      </c>
      <c r="H233" t="s">
        <v>197</v>
      </c>
      <c r="I233" t="s">
        <v>636</v>
      </c>
      <c r="J233" t="s">
        <v>199</v>
      </c>
      <c r="K233" t="s">
        <v>200</v>
      </c>
    </row>
    <row r="234" spans="1:24">
      <c r="B234" t="s">
        <v>197</v>
      </c>
      <c r="C234" t="s">
        <v>197</v>
      </c>
      <c r="D234" t="s">
        <v>197</v>
      </c>
      <c r="E234" t="s">
        <v>197</v>
      </c>
      <c r="F234" t="s">
        <v>197</v>
      </c>
      <c r="G234" t="s">
        <v>197</v>
      </c>
      <c r="H234" t="s">
        <v>197</v>
      </c>
      <c r="I234" t="s">
        <v>197</v>
      </c>
      <c r="J234" t="s">
        <v>197</v>
      </c>
      <c r="K234" t="s">
        <v>574</v>
      </c>
    </row>
    <row r="235" spans="1:24">
      <c r="A235" t="s">
        <v>640</v>
      </c>
      <c r="K235" t="s">
        <v>641</v>
      </c>
      <c r="W235" t="s">
        <v>171</v>
      </c>
      <c r="X235" t="str">
        <f>A235</f>
        <v>info_geometry_dml_single_pk</v>
      </c>
    </row>
    <row r="236" spans="1:24">
      <c r="B236" t="s">
        <v>196</v>
      </c>
      <c r="C236" t="s">
        <v>197</v>
      </c>
      <c r="D236" t="s">
        <v>197</v>
      </c>
      <c r="E236" t="s">
        <v>197</v>
      </c>
      <c r="F236" t="s">
        <v>197</v>
      </c>
      <c r="G236" t="s">
        <v>197</v>
      </c>
      <c r="H236" t="s">
        <v>197</v>
      </c>
      <c r="I236" t="s">
        <v>642</v>
      </c>
      <c r="J236" t="s">
        <v>199</v>
      </c>
      <c r="K236" t="s">
        <v>200</v>
      </c>
    </row>
    <row r="237" spans="1:24">
      <c r="B237" t="s">
        <v>197</v>
      </c>
      <c r="C237" t="s">
        <v>197</v>
      </c>
      <c r="D237" t="s">
        <v>197</v>
      </c>
      <c r="E237" t="s">
        <v>197</v>
      </c>
      <c r="F237" t="s">
        <v>197</v>
      </c>
      <c r="G237" t="s">
        <v>197</v>
      </c>
      <c r="H237" t="s">
        <v>197</v>
      </c>
      <c r="I237" t="s">
        <v>197</v>
      </c>
      <c r="J237" t="s">
        <v>197</v>
      </c>
      <c r="K237" t="s">
        <v>393</v>
      </c>
    </row>
    <row r="238" spans="1:24">
      <c r="A238" t="s">
        <v>643</v>
      </c>
      <c r="K238" t="s">
        <v>644</v>
      </c>
      <c r="W238" t="s">
        <v>171</v>
      </c>
      <c r="X238" t="str">
        <f>A238</f>
        <v>info_datetime_dml_batch1_pk_drp1</v>
      </c>
    </row>
    <row r="239" spans="1:24">
      <c r="B239" t="s">
        <v>196</v>
      </c>
      <c r="C239" t="s">
        <v>197</v>
      </c>
      <c r="D239" t="s">
        <v>197</v>
      </c>
      <c r="E239" t="s">
        <v>197</v>
      </c>
      <c r="F239" t="s">
        <v>197</v>
      </c>
      <c r="G239" t="s">
        <v>197</v>
      </c>
      <c r="H239" t="s">
        <v>197</v>
      </c>
      <c r="I239" t="s">
        <v>645</v>
      </c>
      <c r="J239" t="s">
        <v>199</v>
      </c>
      <c r="K239" t="s">
        <v>200</v>
      </c>
    </row>
    <row r="240" spans="1:24">
      <c r="B240" t="s">
        <v>197</v>
      </c>
      <c r="C240" t="s">
        <v>197</v>
      </c>
      <c r="D240" t="s">
        <v>197</v>
      </c>
      <c r="E240" t="s">
        <v>197</v>
      </c>
      <c r="F240" t="s">
        <v>197</v>
      </c>
      <c r="G240" t="s">
        <v>197</v>
      </c>
      <c r="H240" t="s">
        <v>197</v>
      </c>
      <c r="I240" t="s">
        <v>197</v>
      </c>
      <c r="J240" t="s">
        <v>197</v>
      </c>
      <c r="K240" t="s">
        <v>574</v>
      </c>
    </row>
    <row r="241" spans="1:24">
      <c r="K241" t="s">
        <v>443</v>
      </c>
    </row>
    <row r="242" spans="1:24">
      <c r="A242" t="s">
        <v>637</v>
      </c>
      <c r="K242" t="s">
        <v>638</v>
      </c>
      <c r="W242" t="s">
        <v>171</v>
      </c>
      <c r="X242" t="str">
        <f>A242</f>
        <v>info_varchar_dml_batch1_pk</v>
      </c>
    </row>
    <row r="243" spans="1:24">
      <c r="B243" t="s">
        <v>196</v>
      </c>
      <c r="C243" t="s">
        <v>197</v>
      </c>
      <c r="D243" t="s">
        <v>197</v>
      </c>
      <c r="E243" t="s">
        <v>197</v>
      </c>
      <c r="F243" t="s">
        <v>197</v>
      </c>
      <c r="G243" t="s">
        <v>197</v>
      </c>
      <c r="H243" t="s">
        <v>197</v>
      </c>
      <c r="I243" t="s">
        <v>639</v>
      </c>
      <c r="J243" t="s">
        <v>199</v>
      </c>
      <c r="K243" t="s">
        <v>200</v>
      </c>
    </row>
    <row r="244" spans="1:24">
      <c r="B244" t="s">
        <v>197</v>
      </c>
      <c r="C244" t="s">
        <v>197</v>
      </c>
      <c r="D244" t="s">
        <v>197</v>
      </c>
      <c r="E244" t="s">
        <v>197</v>
      </c>
      <c r="F244" t="s">
        <v>197</v>
      </c>
      <c r="G244" t="s">
        <v>197</v>
      </c>
      <c r="H244" t="s">
        <v>197</v>
      </c>
      <c r="I244" t="s">
        <v>197</v>
      </c>
      <c r="J244" t="s">
        <v>197</v>
      </c>
      <c r="K244" t="s">
        <v>431</v>
      </c>
    </row>
    <row r="245" spans="1:24">
      <c r="B245" t="s">
        <v>197</v>
      </c>
      <c r="C245" t="s">
        <v>197</v>
      </c>
      <c r="D245" t="s">
        <v>197</v>
      </c>
      <c r="E245" t="s">
        <v>197</v>
      </c>
      <c r="F245" t="s">
        <v>197</v>
      </c>
      <c r="G245" t="s">
        <v>197</v>
      </c>
      <c r="H245" t="s">
        <v>197</v>
      </c>
      <c r="I245" t="s">
        <v>197</v>
      </c>
      <c r="J245" t="s">
        <v>197</v>
      </c>
      <c r="K245" t="s">
        <v>434</v>
      </c>
    </row>
    <row r="246" spans="1:24">
      <c r="B246" t="s">
        <v>197</v>
      </c>
      <c r="C246" t="s">
        <v>197</v>
      </c>
      <c r="D246" t="s">
        <v>197</v>
      </c>
      <c r="E246" t="s">
        <v>197</v>
      </c>
      <c r="F246" t="s">
        <v>197</v>
      </c>
      <c r="G246" t="s">
        <v>197</v>
      </c>
      <c r="H246" t="s">
        <v>197</v>
      </c>
      <c r="I246" t="s">
        <v>197</v>
      </c>
      <c r="J246" t="s">
        <v>197</v>
      </c>
      <c r="K246" t="s">
        <v>439</v>
      </c>
    </row>
    <row r="247" spans="1:24">
      <c r="A247" t="s">
        <v>649</v>
      </c>
      <c r="K247" t="s">
        <v>650</v>
      </c>
      <c r="W247" t="s">
        <v>171</v>
      </c>
      <c r="X247" t="str">
        <f>A247</f>
        <v>info_datetime_dml_batch1_pk_drp2</v>
      </c>
    </row>
    <row r="248" spans="1:24">
      <c r="B248" t="s">
        <v>196</v>
      </c>
      <c r="C248" t="s">
        <v>197</v>
      </c>
      <c r="D248" t="s">
        <v>197</v>
      </c>
      <c r="E248" t="s">
        <v>197</v>
      </c>
      <c r="F248" t="s">
        <v>197</v>
      </c>
      <c r="G248" t="s">
        <v>197</v>
      </c>
      <c r="H248" t="s">
        <v>197</v>
      </c>
      <c r="I248" t="s">
        <v>651</v>
      </c>
      <c r="J248" t="s">
        <v>199</v>
      </c>
      <c r="K248" t="s">
        <v>200</v>
      </c>
    </row>
    <row r="249" spans="1:24">
      <c r="B249" t="s">
        <v>197</v>
      </c>
      <c r="C249" t="s">
        <v>197</v>
      </c>
      <c r="D249" t="s">
        <v>197</v>
      </c>
      <c r="E249" t="s">
        <v>197</v>
      </c>
      <c r="F249" t="s">
        <v>197</v>
      </c>
      <c r="G249" t="s">
        <v>197</v>
      </c>
      <c r="H249" t="s">
        <v>197</v>
      </c>
      <c r="I249" t="s">
        <v>197</v>
      </c>
      <c r="J249" t="s">
        <v>197</v>
      </c>
      <c r="K249" t="s">
        <v>574</v>
      </c>
    </row>
    <row r="250" spans="1:24">
      <c r="A250" t="s">
        <v>652</v>
      </c>
      <c r="K250" t="s">
        <v>653</v>
      </c>
      <c r="W250" t="s">
        <v>171</v>
      </c>
      <c r="X250" t="str">
        <f>A250</f>
        <v>info_nvarchar_dml_batch1_pk</v>
      </c>
    </row>
    <row r="251" spans="1:24">
      <c r="B251" t="s">
        <v>196</v>
      </c>
      <c r="C251" t="s">
        <v>197</v>
      </c>
      <c r="D251" t="s">
        <v>197</v>
      </c>
      <c r="E251" t="s">
        <v>197</v>
      </c>
      <c r="F251" t="s">
        <v>197</v>
      </c>
      <c r="G251" t="s">
        <v>197</v>
      </c>
      <c r="H251" t="s">
        <v>197</v>
      </c>
      <c r="I251" t="s">
        <v>654</v>
      </c>
      <c r="J251" t="s">
        <v>199</v>
      </c>
      <c r="K251" t="s">
        <v>200</v>
      </c>
    </row>
    <row r="252" spans="1:24">
      <c r="B252" t="s">
        <v>197</v>
      </c>
      <c r="C252" t="s">
        <v>197</v>
      </c>
      <c r="D252" t="s">
        <v>197</v>
      </c>
      <c r="E252" t="s">
        <v>197</v>
      </c>
      <c r="F252" t="s">
        <v>197</v>
      </c>
      <c r="G252" t="s">
        <v>197</v>
      </c>
      <c r="H252" t="s">
        <v>197</v>
      </c>
      <c r="I252" t="s">
        <v>197</v>
      </c>
      <c r="J252" t="s">
        <v>197</v>
      </c>
      <c r="K252" t="s">
        <v>408</v>
      </c>
    </row>
    <row r="253" spans="1:24">
      <c r="B253" t="s">
        <v>197</v>
      </c>
      <c r="C253" t="s">
        <v>197</v>
      </c>
      <c r="D253" t="s">
        <v>197</v>
      </c>
      <c r="E253" t="s">
        <v>197</v>
      </c>
      <c r="F253" t="s">
        <v>197</v>
      </c>
      <c r="G253" t="s">
        <v>197</v>
      </c>
      <c r="H253" t="s">
        <v>197</v>
      </c>
      <c r="I253" t="s">
        <v>197</v>
      </c>
      <c r="J253" t="s">
        <v>197</v>
      </c>
      <c r="K253" t="s">
        <v>412</v>
      </c>
    </row>
    <row r="254" spans="1:24">
      <c r="B254" t="s">
        <v>197</v>
      </c>
      <c r="C254" t="s">
        <v>197</v>
      </c>
      <c r="D254" t="s">
        <v>197</v>
      </c>
      <c r="E254" t="s">
        <v>197</v>
      </c>
      <c r="F254" t="s">
        <v>197</v>
      </c>
      <c r="G254" t="s">
        <v>197</v>
      </c>
      <c r="H254" t="s">
        <v>197</v>
      </c>
      <c r="I254" t="s">
        <v>197</v>
      </c>
      <c r="J254" t="s">
        <v>197</v>
      </c>
      <c r="K254" t="s">
        <v>605</v>
      </c>
    </row>
    <row r="255" spans="1:24">
      <c r="A255" t="s">
        <v>655</v>
      </c>
      <c r="K255" t="s">
        <v>656</v>
      </c>
      <c r="W255" t="s">
        <v>171</v>
      </c>
      <c r="X255" t="str">
        <f>A255</f>
        <v>info_datetime_dml_batch1_pk</v>
      </c>
    </row>
    <row r="256" spans="1:24">
      <c r="B256" t="s">
        <v>196</v>
      </c>
      <c r="C256" t="s">
        <v>197</v>
      </c>
      <c r="D256" t="s">
        <v>197</v>
      </c>
      <c r="E256" t="s">
        <v>197</v>
      </c>
      <c r="F256" t="s">
        <v>197</v>
      </c>
      <c r="G256" t="s">
        <v>197</v>
      </c>
      <c r="H256" t="s">
        <v>197</v>
      </c>
      <c r="I256" t="s">
        <v>657</v>
      </c>
      <c r="J256" t="s">
        <v>199</v>
      </c>
      <c r="K256" t="s">
        <v>200</v>
      </c>
    </row>
    <row r="257" spans="1:24">
      <c r="B257" t="s">
        <v>197</v>
      </c>
      <c r="C257" t="s">
        <v>197</v>
      </c>
      <c r="D257" t="s">
        <v>197</v>
      </c>
      <c r="E257" t="s">
        <v>197</v>
      </c>
      <c r="F257" t="s">
        <v>197</v>
      </c>
      <c r="G257" t="s">
        <v>197</v>
      </c>
      <c r="H257" t="s">
        <v>197</v>
      </c>
      <c r="I257" t="s">
        <v>197</v>
      </c>
      <c r="J257" t="s">
        <v>197</v>
      </c>
      <c r="K257" t="s">
        <v>574</v>
      </c>
    </row>
    <row r="258" spans="1:24">
      <c r="A258" t="s">
        <v>658</v>
      </c>
      <c r="K258" t="s">
        <v>659</v>
      </c>
      <c r="W258" t="s">
        <v>171</v>
      </c>
      <c r="X258" t="str">
        <f>A258</f>
        <v>info_char_dml_batch1_pk_irp2</v>
      </c>
    </row>
    <row r="259" spans="1:24">
      <c r="B259" t="s">
        <v>196</v>
      </c>
      <c r="C259" t="s">
        <v>197</v>
      </c>
      <c r="D259" t="s">
        <v>197</v>
      </c>
      <c r="E259" t="s">
        <v>197</v>
      </c>
      <c r="F259" t="s">
        <v>197</v>
      </c>
      <c r="G259" t="s">
        <v>197</v>
      </c>
      <c r="H259" t="s">
        <v>197</v>
      </c>
      <c r="I259" t="s">
        <v>660</v>
      </c>
      <c r="J259" t="s">
        <v>199</v>
      </c>
      <c r="K259" t="s">
        <v>200</v>
      </c>
    </row>
    <row r="260" spans="1:24">
      <c r="B260" t="s">
        <v>197</v>
      </c>
      <c r="C260" t="s">
        <v>197</v>
      </c>
      <c r="D260" t="s">
        <v>197</v>
      </c>
      <c r="E260" t="s">
        <v>197</v>
      </c>
      <c r="F260" t="s">
        <v>197</v>
      </c>
      <c r="G260" t="s">
        <v>197</v>
      </c>
      <c r="H260" t="s">
        <v>197</v>
      </c>
      <c r="I260" t="s">
        <v>197</v>
      </c>
      <c r="J260" t="s">
        <v>197</v>
      </c>
      <c r="K260" t="s">
        <v>622</v>
      </c>
    </row>
    <row r="261" spans="1:24">
      <c r="B261" t="s">
        <v>197</v>
      </c>
      <c r="C261" t="s">
        <v>197</v>
      </c>
      <c r="D261" t="s">
        <v>197</v>
      </c>
      <c r="E261" t="s">
        <v>197</v>
      </c>
      <c r="F261" t="s">
        <v>197</v>
      </c>
      <c r="G261" t="s">
        <v>197</v>
      </c>
      <c r="H261" t="s">
        <v>197</v>
      </c>
      <c r="I261" t="s">
        <v>197</v>
      </c>
      <c r="J261" t="s">
        <v>197</v>
      </c>
      <c r="K261" t="s">
        <v>623</v>
      </c>
    </row>
    <row r="262" spans="1:24">
      <c r="B262" t="s">
        <v>197</v>
      </c>
      <c r="C262" t="s">
        <v>197</v>
      </c>
      <c r="D262" t="s">
        <v>197</v>
      </c>
      <c r="E262" t="s">
        <v>197</v>
      </c>
      <c r="F262" t="s">
        <v>197</v>
      </c>
      <c r="G262" t="s">
        <v>197</v>
      </c>
      <c r="H262" t="s">
        <v>197</v>
      </c>
      <c r="I262" t="s">
        <v>197</v>
      </c>
      <c r="J262" t="s">
        <v>197</v>
      </c>
      <c r="K262" t="s">
        <v>624</v>
      </c>
    </row>
    <row r="263" spans="1:24">
      <c r="K263" t="s">
        <v>443</v>
      </c>
    </row>
    <row r="264" spans="1:24">
      <c r="A264" t="s">
        <v>661</v>
      </c>
      <c r="K264" t="s">
        <v>662</v>
      </c>
      <c r="W264" t="s">
        <v>171</v>
      </c>
      <c r="X264" t="str">
        <f>A264</f>
        <v>info_nchar_dml_single_pk</v>
      </c>
    </row>
    <row r="265" spans="1:24">
      <c r="B265" t="s">
        <v>196</v>
      </c>
      <c r="C265" t="s">
        <v>197</v>
      </c>
      <c r="D265" t="s">
        <v>197</v>
      </c>
      <c r="E265" t="s">
        <v>197</v>
      </c>
      <c r="F265" t="s">
        <v>197</v>
      </c>
      <c r="G265" t="s">
        <v>197</v>
      </c>
      <c r="H265" t="s">
        <v>197</v>
      </c>
      <c r="I265" t="s">
        <v>663</v>
      </c>
      <c r="J265" t="s">
        <v>199</v>
      </c>
      <c r="K265" t="s">
        <v>200</v>
      </c>
    </row>
    <row r="266" spans="1:24">
      <c r="B266" t="s">
        <v>197</v>
      </c>
      <c r="C266" t="s">
        <v>197</v>
      </c>
      <c r="D266" t="s">
        <v>197</v>
      </c>
      <c r="E266" t="s">
        <v>197</v>
      </c>
      <c r="F266" t="s">
        <v>197</v>
      </c>
      <c r="G266" t="s">
        <v>197</v>
      </c>
      <c r="H266" t="s">
        <v>197</v>
      </c>
      <c r="I266" t="s">
        <v>197</v>
      </c>
      <c r="J266" t="s">
        <v>197</v>
      </c>
      <c r="K266" t="s">
        <v>514</v>
      </c>
    </row>
    <row r="267" spans="1:24">
      <c r="B267" t="s">
        <v>197</v>
      </c>
      <c r="C267" t="s">
        <v>197</v>
      </c>
      <c r="D267" t="s">
        <v>197</v>
      </c>
      <c r="E267" t="s">
        <v>197</v>
      </c>
      <c r="F267" t="s">
        <v>197</v>
      </c>
      <c r="G267" t="s">
        <v>197</v>
      </c>
      <c r="H267" t="s">
        <v>197</v>
      </c>
      <c r="I267" t="s">
        <v>197</v>
      </c>
      <c r="J267" t="s">
        <v>197</v>
      </c>
      <c r="K267" t="s">
        <v>516</v>
      </c>
    </row>
    <row r="268" spans="1:24">
      <c r="B268" t="s">
        <v>197</v>
      </c>
      <c r="C268" t="s">
        <v>197</v>
      </c>
      <c r="D268" t="s">
        <v>197</v>
      </c>
      <c r="E268" t="s">
        <v>197</v>
      </c>
      <c r="F268" t="s">
        <v>197</v>
      </c>
      <c r="G268" t="s">
        <v>197</v>
      </c>
      <c r="H268" t="s">
        <v>197</v>
      </c>
      <c r="I268" t="s">
        <v>197</v>
      </c>
      <c r="J268" t="s">
        <v>197</v>
      </c>
      <c r="K268" t="s">
        <v>612</v>
      </c>
    </row>
    <row r="269" spans="1:24">
      <c r="A269" t="s">
        <v>664</v>
      </c>
      <c r="K269" t="s">
        <v>665</v>
      </c>
      <c r="W269" t="s">
        <v>171</v>
      </c>
      <c r="X269" t="str">
        <f>A269</f>
        <v>info_datetime2_dml_batch1_pk_irp1</v>
      </c>
    </row>
    <row r="270" spans="1:24">
      <c r="B270" t="s">
        <v>196</v>
      </c>
      <c r="C270" t="s">
        <v>197</v>
      </c>
      <c r="D270" t="s">
        <v>197</v>
      </c>
      <c r="E270" t="s">
        <v>197</v>
      </c>
      <c r="F270" t="s">
        <v>197</v>
      </c>
      <c r="G270" t="s">
        <v>197</v>
      </c>
      <c r="H270" t="s">
        <v>197</v>
      </c>
      <c r="I270" t="s">
        <v>666</v>
      </c>
      <c r="J270" t="s">
        <v>199</v>
      </c>
      <c r="K270" t="s">
        <v>200</v>
      </c>
    </row>
    <row r="271" spans="1:24">
      <c r="B271" t="s">
        <v>197</v>
      </c>
      <c r="C271" t="s">
        <v>197</v>
      </c>
      <c r="D271" t="s">
        <v>197</v>
      </c>
      <c r="E271" t="s">
        <v>197</v>
      </c>
      <c r="F271" t="s">
        <v>197</v>
      </c>
      <c r="G271" t="s">
        <v>197</v>
      </c>
      <c r="H271" t="s">
        <v>197</v>
      </c>
      <c r="I271" t="s">
        <v>197</v>
      </c>
      <c r="J271" t="s">
        <v>197</v>
      </c>
      <c r="K271" t="s">
        <v>667</v>
      </c>
    </row>
    <row r="272" spans="1:24">
      <c r="B272" t="s">
        <v>197</v>
      </c>
      <c r="C272" t="s">
        <v>197</v>
      </c>
      <c r="D272" t="s">
        <v>197</v>
      </c>
      <c r="E272" t="s">
        <v>197</v>
      </c>
      <c r="F272" t="s">
        <v>197</v>
      </c>
      <c r="G272" t="s">
        <v>197</v>
      </c>
      <c r="H272" t="s">
        <v>197</v>
      </c>
      <c r="I272" t="s">
        <v>197</v>
      </c>
      <c r="J272" t="s">
        <v>197</v>
      </c>
      <c r="K272" t="s">
        <v>668</v>
      </c>
    </row>
    <row r="273" spans="1:24">
      <c r="B273" t="s">
        <v>197</v>
      </c>
      <c r="C273" t="s">
        <v>197</v>
      </c>
      <c r="D273" t="s">
        <v>197</v>
      </c>
      <c r="E273" t="s">
        <v>197</v>
      </c>
      <c r="F273" t="s">
        <v>197</v>
      </c>
      <c r="G273" t="s">
        <v>197</v>
      </c>
      <c r="H273" t="s">
        <v>197</v>
      </c>
      <c r="I273" t="s">
        <v>197</v>
      </c>
      <c r="J273" t="s">
        <v>197</v>
      </c>
      <c r="K273" t="s">
        <v>669</v>
      </c>
    </row>
    <row r="274" spans="1:24">
      <c r="B274" t="s">
        <v>197</v>
      </c>
      <c r="C274" t="s">
        <v>197</v>
      </c>
      <c r="D274" t="s">
        <v>197</v>
      </c>
      <c r="E274" t="s">
        <v>197</v>
      </c>
      <c r="F274" t="s">
        <v>197</v>
      </c>
      <c r="G274" t="s">
        <v>197</v>
      </c>
      <c r="H274" t="s">
        <v>197</v>
      </c>
      <c r="I274" t="s">
        <v>197</v>
      </c>
      <c r="J274" t="s">
        <v>197</v>
      </c>
      <c r="K274" t="s">
        <v>670</v>
      </c>
    </row>
    <row r="275" spans="1:24">
      <c r="B275" t="s">
        <v>197</v>
      </c>
      <c r="C275" t="s">
        <v>197</v>
      </c>
      <c r="D275" t="s">
        <v>197</v>
      </c>
      <c r="E275" t="s">
        <v>197</v>
      </c>
      <c r="F275" t="s">
        <v>197</v>
      </c>
      <c r="G275" t="s">
        <v>197</v>
      </c>
      <c r="H275" t="s">
        <v>197</v>
      </c>
      <c r="I275" t="s">
        <v>197</v>
      </c>
      <c r="J275" t="s">
        <v>197</v>
      </c>
      <c r="K275" t="s">
        <v>671</v>
      </c>
    </row>
    <row r="276" spans="1:24">
      <c r="B276" t="s">
        <v>197</v>
      </c>
      <c r="C276" t="s">
        <v>197</v>
      </c>
      <c r="D276" t="s">
        <v>197</v>
      </c>
      <c r="E276" t="s">
        <v>197</v>
      </c>
      <c r="F276" t="s">
        <v>197</v>
      </c>
      <c r="G276" t="s">
        <v>197</v>
      </c>
      <c r="H276" t="s">
        <v>197</v>
      </c>
      <c r="I276" t="s">
        <v>197</v>
      </c>
      <c r="J276" t="s">
        <v>197</v>
      </c>
      <c r="K276" t="s">
        <v>672</v>
      </c>
    </row>
    <row r="277" spans="1:24">
      <c r="B277" t="s">
        <v>197</v>
      </c>
      <c r="C277" t="s">
        <v>197</v>
      </c>
      <c r="D277" t="s">
        <v>197</v>
      </c>
      <c r="E277" t="s">
        <v>197</v>
      </c>
      <c r="F277" t="s">
        <v>197</v>
      </c>
      <c r="G277" t="s">
        <v>197</v>
      </c>
      <c r="H277" t="s">
        <v>197</v>
      </c>
      <c r="I277" t="s">
        <v>197</v>
      </c>
      <c r="J277" t="s">
        <v>197</v>
      </c>
      <c r="K277" t="s">
        <v>673</v>
      </c>
    </row>
    <row r="278" spans="1:24">
      <c r="B278" t="s">
        <v>197</v>
      </c>
      <c r="C278" t="s">
        <v>197</v>
      </c>
      <c r="D278" t="s">
        <v>197</v>
      </c>
      <c r="E278" t="s">
        <v>197</v>
      </c>
      <c r="F278" t="s">
        <v>197</v>
      </c>
      <c r="G278" t="s">
        <v>197</v>
      </c>
      <c r="H278" t="s">
        <v>197</v>
      </c>
      <c r="I278" t="s">
        <v>197</v>
      </c>
      <c r="J278" t="s">
        <v>197</v>
      </c>
      <c r="K278" t="s">
        <v>674</v>
      </c>
    </row>
    <row r="279" spans="1:24">
      <c r="A279" t="s">
        <v>675</v>
      </c>
      <c r="K279" t="s">
        <v>676</v>
      </c>
      <c r="W279" t="s">
        <v>171</v>
      </c>
      <c r="X279" t="str">
        <f>A279</f>
        <v>info_date_dml_single_pk_irp</v>
      </c>
    </row>
    <row r="280" spans="1:24">
      <c r="B280" t="s">
        <v>196</v>
      </c>
      <c r="C280" t="s">
        <v>197</v>
      </c>
      <c r="D280" t="s">
        <v>197</v>
      </c>
      <c r="E280" t="s">
        <v>197</v>
      </c>
      <c r="F280" t="s">
        <v>197</v>
      </c>
      <c r="G280" t="s">
        <v>197</v>
      </c>
      <c r="H280" t="s">
        <v>197</v>
      </c>
      <c r="I280" t="s">
        <v>677</v>
      </c>
      <c r="J280" t="s">
        <v>199</v>
      </c>
      <c r="K280" t="s">
        <v>200</v>
      </c>
    </row>
    <row r="281" spans="1:24">
      <c r="B281" t="s">
        <v>197</v>
      </c>
      <c r="C281" t="s">
        <v>197</v>
      </c>
      <c r="D281" t="s">
        <v>197</v>
      </c>
      <c r="E281" t="s">
        <v>197</v>
      </c>
      <c r="F281" t="s">
        <v>197</v>
      </c>
      <c r="G281" t="s">
        <v>197</v>
      </c>
      <c r="H281" t="s">
        <v>197</v>
      </c>
      <c r="I281" t="s">
        <v>197</v>
      </c>
      <c r="J281" t="s">
        <v>197</v>
      </c>
      <c r="K281" t="s">
        <v>678</v>
      </c>
    </row>
    <row r="282" spans="1:24">
      <c r="A282" t="s">
        <v>646</v>
      </c>
      <c r="K282" t="s">
        <v>647</v>
      </c>
      <c r="W282" t="s">
        <v>171</v>
      </c>
      <c r="X282" t="str">
        <f>A282</f>
        <v>info_nchar_dml_batch1_pk_irp1</v>
      </c>
    </row>
    <row r="283" spans="1:24">
      <c r="B283" t="s">
        <v>196</v>
      </c>
      <c r="C283" t="s">
        <v>197</v>
      </c>
      <c r="D283" t="s">
        <v>197</v>
      </c>
      <c r="E283" t="s">
        <v>197</v>
      </c>
      <c r="F283" t="s">
        <v>197</v>
      </c>
      <c r="G283" t="s">
        <v>197</v>
      </c>
      <c r="H283" t="s">
        <v>197</v>
      </c>
      <c r="I283" t="s">
        <v>648</v>
      </c>
      <c r="J283" t="s">
        <v>199</v>
      </c>
      <c r="K283" t="s">
        <v>200</v>
      </c>
    </row>
    <row r="284" spans="1:24">
      <c r="B284" t="s">
        <v>197</v>
      </c>
      <c r="C284" t="s">
        <v>197</v>
      </c>
      <c r="D284" t="s">
        <v>197</v>
      </c>
      <c r="E284" t="s">
        <v>197</v>
      </c>
      <c r="F284" t="s">
        <v>197</v>
      </c>
      <c r="G284" t="s">
        <v>197</v>
      </c>
      <c r="H284" t="s">
        <v>197</v>
      </c>
      <c r="I284" t="s">
        <v>197</v>
      </c>
      <c r="J284" t="s">
        <v>197</v>
      </c>
      <c r="K284" t="s">
        <v>514</v>
      </c>
    </row>
    <row r="285" spans="1:24">
      <c r="B285" t="s">
        <v>197</v>
      </c>
      <c r="C285" t="s">
        <v>197</v>
      </c>
      <c r="D285" t="s">
        <v>197</v>
      </c>
      <c r="E285" t="s">
        <v>197</v>
      </c>
      <c r="F285" t="s">
        <v>197</v>
      </c>
      <c r="G285" t="s">
        <v>197</v>
      </c>
      <c r="H285" t="s">
        <v>197</v>
      </c>
      <c r="I285" t="s">
        <v>197</v>
      </c>
      <c r="J285" t="s">
        <v>197</v>
      </c>
      <c r="K285" t="s">
        <v>516</v>
      </c>
    </row>
    <row r="286" spans="1:24">
      <c r="B286" t="s">
        <v>197</v>
      </c>
      <c r="C286" t="s">
        <v>197</v>
      </c>
      <c r="D286" t="s">
        <v>197</v>
      </c>
      <c r="E286" t="s">
        <v>197</v>
      </c>
      <c r="F286" t="s">
        <v>197</v>
      </c>
      <c r="G286" t="s">
        <v>197</v>
      </c>
      <c r="H286" t="s">
        <v>197</v>
      </c>
      <c r="I286" t="s">
        <v>197</v>
      </c>
      <c r="J286" t="s">
        <v>197</v>
      </c>
      <c r="K286" t="s">
        <v>517</v>
      </c>
    </row>
    <row r="287" spans="1:24">
      <c r="A287" t="s">
        <v>679</v>
      </c>
      <c r="K287" t="s">
        <v>680</v>
      </c>
      <c r="W287" t="s">
        <v>171</v>
      </c>
      <c r="X287" t="str">
        <f>A287</f>
        <v>info_datetime2_dml_batch1_pk_irp2</v>
      </c>
    </row>
    <row r="288" spans="1:24">
      <c r="B288" t="s">
        <v>196</v>
      </c>
      <c r="C288" t="s">
        <v>197</v>
      </c>
      <c r="D288" t="s">
        <v>197</v>
      </c>
      <c r="E288" t="s">
        <v>197</v>
      </c>
      <c r="F288" t="s">
        <v>197</v>
      </c>
      <c r="G288" t="s">
        <v>197</v>
      </c>
      <c r="H288" t="s">
        <v>197</v>
      </c>
      <c r="I288" t="s">
        <v>681</v>
      </c>
      <c r="J288" t="s">
        <v>199</v>
      </c>
      <c r="K288" t="s">
        <v>200</v>
      </c>
    </row>
    <row r="289" spans="1:24">
      <c r="B289" t="s">
        <v>197</v>
      </c>
      <c r="C289" t="s">
        <v>197</v>
      </c>
      <c r="D289" t="s">
        <v>197</v>
      </c>
      <c r="E289" t="s">
        <v>197</v>
      </c>
      <c r="F289" t="s">
        <v>197</v>
      </c>
      <c r="G289" t="s">
        <v>197</v>
      </c>
      <c r="H289" t="s">
        <v>197</v>
      </c>
      <c r="I289" t="s">
        <v>197</v>
      </c>
      <c r="J289" t="s">
        <v>197</v>
      </c>
      <c r="K289" t="s">
        <v>667</v>
      </c>
    </row>
    <row r="290" spans="1:24">
      <c r="B290" t="s">
        <v>197</v>
      </c>
      <c r="C290" t="s">
        <v>197</v>
      </c>
      <c r="D290" t="s">
        <v>197</v>
      </c>
      <c r="E290" t="s">
        <v>197</v>
      </c>
      <c r="F290" t="s">
        <v>197</v>
      </c>
      <c r="G290" t="s">
        <v>197</v>
      </c>
      <c r="H290" t="s">
        <v>197</v>
      </c>
      <c r="I290" t="s">
        <v>197</v>
      </c>
      <c r="J290" t="s">
        <v>197</v>
      </c>
      <c r="K290" t="s">
        <v>668</v>
      </c>
    </row>
    <row r="291" spans="1:24">
      <c r="B291" t="s">
        <v>197</v>
      </c>
      <c r="C291" t="s">
        <v>197</v>
      </c>
      <c r="D291" t="s">
        <v>197</v>
      </c>
      <c r="E291" t="s">
        <v>197</v>
      </c>
      <c r="F291" t="s">
        <v>197</v>
      </c>
      <c r="G291" t="s">
        <v>197</v>
      </c>
      <c r="H291" t="s">
        <v>197</v>
      </c>
      <c r="I291" t="s">
        <v>197</v>
      </c>
      <c r="J291" t="s">
        <v>197</v>
      </c>
      <c r="K291" t="s">
        <v>669</v>
      </c>
    </row>
    <row r="292" spans="1:24">
      <c r="B292" t="s">
        <v>197</v>
      </c>
      <c r="C292" t="s">
        <v>197</v>
      </c>
      <c r="D292" t="s">
        <v>197</v>
      </c>
      <c r="E292" t="s">
        <v>197</v>
      </c>
      <c r="F292" t="s">
        <v>197</v>
      </c>
      <c r="G292" t="s">
        <v>197</v>
      </c>
      <c r="H292" t="s">
        <v>197</v>
      </c>
      <c r="I292" t="s">
        <v>197</v>
      </c>
      <c r="J292" t="s">
        <v>197</v>
      </c>
      <c r="K292" t="s">
        <v>670</v>
      </c>
    </row>
    <row r="293" spans="1:24">
      <c r="B293" t="s">
        <v>197</v>
      </c>
      <c r="C293" t="s">
        <v>197</v>
      </c>
      <c r="D293" t="s">
        <v>197</v>
      </c>
      <c r="E293" t="s">
        <v>197</v>
      </c>
      <c r="F293" t="s">
        <v>197</v>
      </c>
      <c r="G293" t="s">
        <v>197</v>
      </c>
      <c r="H293" t="s">
        <v>197</v>
      </c>
      <c r="I293" t="s">
        <v>197</v>
      </c>
      <c r="J293" t="s">
        <v>197</v>
      </c>
      <c r="K293" t="s">
        <v>671</v>
      </c>
    </row>
    <row r="294" spans="1:24">
      <c r="B294" t="s">
        <v>197</v>
      </c>
      <c r="C294" t="s">
        <v>197</v>
      </c>
      <c r="D294" t="s">
        <v>197</v>
      </c>
      <c r="E294" t="s">
        <v>197</v>
      </c>
      <c r="F294" t="s">
        <v>197</v>
      </c>
      <c r="G294" t="s">
        <v>197</v>
      </c>
      <c r="H294" t="s">
        <v>197</v>
      </c>
      <c r="I294" t="s">
        <v>197</v>
      </c>
      <c r="J294" t="s">
        <v>197</v>
      </c>
      <c r="K294" t="s">
        <v>672</v>
      </c>
    </row>
    <row r="295" spans="1:24">
      <c r="B295" t="s">
        <v>197</v>
      </c>
      <c r="C295" t="s">
        <v>197</v>
      </c>
      <c r="D295" t="s">
        <v>197</v>
      </c>
      <c r="E295" t="s">
        <v>197</v>
      </c>
      <c r="F295" t="s">
        <v>197</v>
      </c>
      <c r="G295" t="s">
        <v>197</v>
      </c>
      <c r="H295" t="s">
        <v>197</v>
      </c>
      <c r="I295" t="s">
        <v>197</v>
      </c>
      <c r="J295" t="s">
        <v>197</v>
      </c>
      <c r="K295" t="s">
        <v>673</v>
      </c>
    </row>
    <row r="296" spans="1:24">
      <c r="B296" t="s">
        <v>197</v>
      </c>
      <c r="C296" t="s">
        <v>197</v>
      </c>
      <c r="D296" t="s">
        <v>197</v>
      </c>
      <c r="E296" t="s">
        <v>197</v>
      </c>
      <c r="F296" t="s">
        <v>197</v>
      </c>
      <c r="G296" t="s">
        <v>197</v>
      </c>
      <c r="H296" t="s">
        <v>197</v>
      </c>
      <c r="I296" t="s">
        <v>197</v>
      </c>
      <c r="J296" t="s">
        <v>197</v>
      </c>
      <c r="K296" t="s">
        <v>674</v>
      </c>
    </row>
    <row r="297" spans="1:24">
      <c r="A297" t="s">
        <v>682</v>
      </c>
      <c r="K297" t="s">
        <v>683</v>
      </c>
      <c r="W297" t="s">
        <v>171</v>
      </c>
      <c r="X297" t="str">
        <f>A297</f>
        <v>info_datetime2_dml_batch2_pk_irp1</v>
      </c>
    </row>
    <row r="298" spans="1:24">
      <c r="B298" t="s">
        <v>196</v>
      </c>
      <c r="C298" t="s">
        <v>197</v>
      </c>
      <c r="D298" t="s">
        <v>197</v>
      </c>
      <c r="E298" t="s">
        <v>197</v>
      </c>
      <c r="F298" t="s">
        <v>197</v>
      </c>
      <c r="G298" t="s">
        <v>197</v>
      </c>
      <c r="H298" t="s">
        <v>197</v>
      </c>
      <c r="I298" t="s">
        <v>684</v>
      </c>
      <c r="J298" t="s">
        <v>199</v>
      </c>
      <c r="K298" t="s">
        <v>200</v>
      </c>
    </row>
    <row r="299" spans="1:24">
      <c r="B299" t="s">
        <v>197</v>
      </c>
      <c r="C299" t="s">
        <v>197</v>
      </c>
      <c r="D299" t="s">
        <v>197</v>
      </c>
      <c r="E299" t="s">
        <v>197</v>
      </c>
      <c r="F299" t="s">
        <v>197</v>
      </c>
      <c r="G299" t="s">
        <v>197</v>
      </c>
      <c r="H299" t="s">
        <v>197</v>
      </c>
      <c r="I299" t="s">
        <v>197</v>
      </c>
      <c r="J299" t="s">
        <v>197</v>
      </c>
      <c r="K299" t="s">
        <v>667</v>
      </c>
    </row>
    <row r="300" spans="1:24">
      <c r="B300" t="s">
        <v>197</v>
      </c>
      <c r="C300" t="s">
        <v>197</v>
      </c>
      <c r="D300" t="s">
        <v>197</v>
      </c>
      <c r="E300" t="s">
        <v>197</v>
      </c>
      <c r="F300" t="s">
        <v>197</v>
      </c>
      <c r="G300" t="s">
        <v>197</v>
      </c>
      <c r="H300" t="s">
        <v>197</v>
      </c>
      <c r="I300" t="s">
        <v>197</v>
      </c>
      <c r="J300" t="s">
        <v>197</v>
      </c>
      <c r="K300" t="s">
        <v>668</v>
      </c>
    </row>
    <row r="301" spans="1:24">
      <c r="B301" t="s">
        <v>197</v>
      </c>
      <c r="C301" t="s">
        <v>197</v>
      </c>
      <c r="D301" t="s">
        <v>197</v>
      </c>
      <c r="E301" t="s">
        <v>197</v>
      </c>
      <c r="F301" t="s">
        <v>197</v>
      </c>
      <c r="G301" t="s">
        <v>197</v>
      </c>
      <c r="H301" t="s">
        <v>197</v>
      </c>
      <c r="I301" t="s">
        <v>197</v>
      </c>
      <c r="J301" t="s">
        <v>197</v>
      </c>
      <c r="K301" t="s">
        <v>669</v>
      </c>
    </row>
    <row r="302" spans="1:24">
      <c r="B302" t="s">
        <v>197</v>
      </c>
      <c r="C302" t="s">
        <v>197</v>
      </c>
      <c r="D302" t="s">
        <v>197</v>
      </c>
      <c r="E302" t="s">
        <v>197</v>
      </c>
      <c r="F302" t="s">
        <v>197</v>
      </c>
      <c r="G302" t="s">
        <v>197</v>
      </c>
      <c r="H302" t="s">
        <v>197</v>
      </c>
      <c r="I302" t="s">
        <v>197</v>
      </c>
      <c r="J302" t="s">
        <v>197</v>
      </c>
      <c r="K302" t="s">
        <v>670</v>
      </c>
    </row>
    <row r="303" spans="1:24">
      <c r="B303" t="s">
        <v>197</v>
      </c>
      <c r="C303" t="s">
        <v>197</v>
      </c>
      <c r="D303" t="s">
        <v>197</v>
      </c>
      <c r="E303" t="s">
        <v>197</v>
      </c>
      <c r="F303" t="s">
        <v>197</v>
      </c>
      <c r="G303" t="s">
        <v>197</v>
      </c>
      <c r="H303" t="s">
        <v>197</v>
      </c>
      <c r="I303" t="s">
        <v>197</v>
      </c>
      <c r="J303" t="s">
        <v>197</v>
      </c>
      <c r="K303" t="s">
        <v>671</v>
      </c>
    </row>
    <row r="304" spans="1:24">
      <c r="B304" t="s">
        <v>197</v>
      </c>
      <c r="C304" t="s">
        <v>197</v>
      </c>
      <c r="D304" t="s">
        <v>197</v>
      </c>
      <c r="E304" t="s">
        <v>197</v>
      </c>
      <c r="F304" t="s">
        <v>197</v>
      </c>
      <c r="G304" t="s">
        <v>197</v>
      </c>
      <c r="H304" t="s">
        <v>197</v>
      </c>
      <c r="I304" t="s">
        <v>197</v>
      </c>
      <c r="J304" t="s">
        <v>197</v>
      </c>
      <c r="K304" t="s">
        <v>672</v>
      </c>
    </row>
    <row r="305" spans="1:24">
      <c r="B305" t="s">
        <v>197</v>
      </c>
      <c r="C305" t="s">
        <v>197</v>
      </c>
      <c r="D305" t="s">
        <v>197</v>
      </c>
      <c r="E305" t="s">
        <v>197</v>
      </c>
      <c r="F305" t="s">
        <v>197</v>
      </c>
      <c r="G305" t="s">
        <v>197</v>
      </c>
      <c r="H305" t="s">
        <v>197</v>
      </c>
      <c r="I305" t="s">
        <v>197</v>
      </c>
      <c r="J305" t="s">
        <v>197</v>
      </c>
      <c r="K305" t="s">
        <v>673</v>
      </c>
    </row>
    <row r="306" spans="1:24">
      <c r="B306" t="s">
        <v>197</v>
      </c>
      <c r="C306" t="s">
        <v>197</v>
      </c>
      <c r="D306" t="s">
        <v>197</v>
      </c>
      <c r="E306" t="s">
        <v>197</v>
      </c>
      <c r="F306" t="s">
        <v>197</v>
      </c>
      <c r="G306" t="s">
        <v>197</v>
      </c>
      <c r="H306" t="s">
        <v>197</v>
      </c>
      <c r="I306" t="s">
        <v>197</v>
      </c>
      <c r="J306" t="s">
        <v>197</v>
      </c>
      <c r="K306" t="s">
        <v>674</v>
      </c>
    </row>
    <row r="307" spans="1:24">
      <c r="A307" t="s">
        <v>685</v>
      </c>
      <c r="K307" t="s">
        <v>686</v>
      </c>
      <c r="W307" t="s">
        <v>171</v>
      </c>
      <c r="X307" t="str">
        <f>A307</f>
        <v>info_int_dml_batch1_pk_drp2</v>
      </c>
    </row>
    <row r="308" spans="1:24">
      <c r="B308" t="s">
        <v>196</v>
      </c>
      <c r="C308" t="s">
        <v>197</v>
      </c>
      <c r="D308" t="s">
        <v>197</v>
      </c>
      <c r="E308" t="s">
        <v>197</v>
      </c>
      <c r="F308" t="s">
        <v>197</v>
      </c>
      <c r="G308" t="s">
        <v>197</v>
      </c>
      <c r="H308" t="s">
        <v>197</v>
      </c>
      <c r="I308" t="s">
        <v>687</v>
      </c>
      <c r="J308" t="s">
        <v>199</v>
      </c>
      <c r="K308" t="s">
        <v>200</v>
      </c>
    </row>
    <row r="309" spans="1:24">
      <c r="B309" t="s">
        <v>197</v>
      </c>
      <c r="C309" t="s">
        <v>197</v>
      </c>
      <c r="D309" t="s">
        <v>197</v>
      </c>
      <c r="E309" t="s">
        <v>197</v>
      </c>
      <c r="F309" t="s">
        <v>197</v>
      </c>
      <c r="G309" t="s">
        <v>197</v>
      </c>
      <c r="H309" t="s">
        <v>197</v>
      </c>
      <c r="I309" t="s">
        <v>197</v>
      </c>
      <c r="J309" t="s">
        <v>197</v>
      </c>
      <c r="K309" t="s">
        <v>549</v>
      </c>
    </row>
    <row r="310" spans="1:24">
      <c r="B310" t="s">
        <v>197</v>
      </c>
      <c r="C310" t="s">
        <v>197</v>
      </c>
      <c r="D310" t="s">
        <v>197</v>
      </c>
      <c r="E310" t="s">
        <v>197</v>
      </c>
      <c r="F310" t="s">
        <v>197</v>
      </c>
      <c r="G310" t="s">
        <v>197</v>
      </c>
      <c r="H310" t="s">
        <v>197</v>
      </c>
      <c r="I310" t="s">
        <v>197</v>
      </c>
      <c r="J310" t="s">
        <v>197</v>
      </c>
      <c r="K310" t="s">
        <v>550</v>
      </c>
    </row>
    <row r="311" spans="1:24">
      <c r="B311" t="s">
        <v>197</v>
      </c>
      <c r="C311" t="s">
        <v>197</v>
      </c>
      <c r="D311" t="s">
        <v>197</v>
      </c>
      <c r="E311" t="s">
        <v>197</v>
      </c>
      <c r="F311" t="s">
        <v>197</v>
      </c>
      <c r="G311" t="s">
        <v>197</v>
      </c>
      <c r="H311" t="s">
        <v>197</v>
      </c>
      <c r="I311" t="s">
        <v>197</v>
      </c>
      <c r="J311" t="s">
        <v>197</v>
      </c>
      <c r="K311" t="s">
        <v>551</v>
      </c>
    </row>
    <row r="312" spans="1:24">
      <c r="B312" t="s">
        <v>197</v>
      </c>
      <c r="C312" t="s">
        <v>197</v>
      </c>
      <c r="D312" t="s">
        <v>197</v>
      </c>
      <c r="E312" t="s">
        <v>197</v>
      </c>
      <c r="F312" t="s">
        <v>197</v>
      </c>
      <c r="G312" t="s">
        <v>197</v>
      </c>
      <c r="H312" t="s">
        <v>197</v>
      </c>
      <c r="I312" t="s">
        <v>197</v>
      </c>
      <c r="J312" t="s">
        <v>197</v>
      </c>
      <c r="K312" t="s">
        <v>552</v>
      </c>
    </row>
    <row r="313" spans="1:24">
      <c r="B313" t="s">
        <v>197</v>
      </c>
      <c r="C313" t="s">
        <v>197</v>
      </c>
      <c r="D313" t="s">
        <v>197</v>
      </c>
      <c r="E313" t="s">
        <v>197</v>
      </c>
      <c r="F313" t="s">
        <v>197</v>
      </c>
      <c r="G313" t="s">
        <v>197</v>
      </c>
      <c r="H313" t="s">
        <v>197</v>
      </c>
      <c r="I313" t="s">
        <v>197</v>
      </c>
      <c r="J313" t="s">
        <v>197</v>
      </c>
      <c r="K313" t="s">
        <v>553</v>
      </c>
    </row>
    <row r="314" spans="1:24">
      <c r="B314" t="s">
        <v>197</v>
      </c>
      <c r="C314" t="s">
        <v>197</v>
      </c>
      <c r="D314" t="s">
        <v>197</v>
      </c>
      <c r="E314" t="s">
        <v>197</v>
      </c>
      <c r="F314" t="s">
        <v>197</v>
      </c>
      <c r="G314" t="s">
        <v>197</v>
      </c>
      <c r="H314" t="s">
        <v>197</v>
      </c>
      <c r="I314" t="s">
        <v>197</v>
      </c>
      <c r="J314" t="s">
        <v>197</v>
      </c>
      <c r="K314" t="s">
        <v>554</v>
      </c>
    </row>
    <row r="315" spans="1:24">
      <c r="B315" t="s">
        <v>197</v>
      </c>
      <c r="C315" t="s">
        <v>197</v>
      </c>
      <c r="D315" t="s">
        <v>197</v>
      </c>
      <c r="E315" t="s">
        <v>197</v>
      </c>
      <c r="F315" t="s">
        <v>197</v>
      </c>
      <c r="G315" t="s">
        <v>197</v>
      </c>
      <c r="H315" t="s">
        <v>197</v>
      </c>
      <c r="I315" t="s">
        <v>197</v>
      </c>
      <c r="J315" t="s">
        <v>197</v>
      </c>
      <c r="K315" t="s">
        <v>555</v>
      </c>
    </row>
    <row r="316" spans="1:24">
      <c r="B316" t="s">
        <v>197</v>
      </c>
      <c r="C316" t="s">
        <v>197</v>
      </c>
      <c r="D316" t="s">
        <v>197</v>
      </c>
      <c r="E316" t="s">
        <v>197</v>
      </c>
      <c r="F316" t="s">
        <v>197</v>
      </c>
      <c r="G316" t="s">
        <v>197</v>
      </c>
      <c r="H316" t="s">
        <v>197</v>
      </c>
      <c r="I316" t="s">
        <v>197</v>
      </c>
      <c r="J316" t="s">
        <v>197</v>
      </c>
      <c r="K316" t="s">
        <v>556</v>
      </c>
    </row>
    <row r="317" spans="1:24">
      <c r="B317" t="s">
        <v>197</v>
      </c>
      <c r="C317" t="s">
        <v>197</v>
      </c>
      <c r="D317" t="s">
        <v>197</v>
      </c>
      <c r="E317" t="s">
        <v>197</v>
      </c>
      <c r="F317" t="s">
        <v>197</v>
      </c>
      <c r="G317" t="s">
        <v>197</v>
      </c>
      <c r="H317" t="s">
        <v>197</v>
      </c>
      <c r="I317" t="s">
        <v>197</v>
      </c>
      <c r="J317" t="s">
        <v>197</v>
      </c>
      <c r="K317" t="s">
        <v>557</v>
      </c>
    </row>
    <row r="318" spans="1:24">
      <c r="B318" t="s">
        <v>197</v>
      </c>
      <c r="C318" t="s">
        <v>197</v>
      </c>
      <c r="D318" t="s">
        <v>197</v>
      </c>
      <c r="E318" t="s">
        <v>197</v>
      </c>
      <c r="F318" t="s">
        <v>197</v>
      </c>
      <c r="G318" t="s">
        <v>197</v>
      </c>
      <c r="H318" t="s">
        <v>197</v>
      </c>
      <c r="I318" t="s">
        <v>197</v>
      </c>
      <c r="J318" t="s">
        <v>197</v>
      </c>
      <c r="K318" t="s">
        <v>558</v>
      </c>
    </row>
    <row r="319" spans="1:24">
      <c r="B319" t="s">
        <v>197</v>
      </c>
      <c r="C319" t="s">
        <v>197</v>
      </c>
      <c r="D319" t="s">
        <v>197</v>
      </c>
      <c r="E319" t="s">
        <v>197</v>
      </c>
      <c r="F319" t="s">
        <v>197</v>
      </c>
      <c r="G319" t="s">
        <v>197</v>
      </c>
      <c r="H319" t="s">
        <v>197</v>
      </c>
      <c r="I319" t="s">
        <v>197</v>
      </c>
      <c r="J319" t="s">
        <v>197</v>
      </c>
      <c r="K319" t="s">
        <v>559</v>
      </c>
    </row>
    <row r="320" spans="1:24">
      <c r="B320" t="s">
        <v>197</v>
      </c>
      <c r="C320" t="s">
        <v>197</v>
      </c>
      <c r="D320" t="s">
        <v>197</v>
      </c>
      <c r="E320" t="s">
        <v>197</v>
      </c>
      <c r="F320" t="s">
        <v>197</v>
      </c>
      <c r="G320" t="s">
        <v>197</v>
      </c>
      <c r="H320" t="s">
        <v>197</v>
      </c>
      <c r="I320" t="s">
        <v>197</v>
      </c>
      <c r="J320" t="s">
        <v>197</v>
      </c>
      <c r="K320" t="s">
        <v>560</v>
      </c>
    </row>
    <row r="321" spans="1:24">
      <c r="B321" t="s">
        <v>197</v>
      </c>
      <c r="C321" t="s">
        <v>197</v>
      </c>
      <c r="D321" t="s">
        <v>197</v>
      </c>
      <c r="E321" t="s">
        <v>197</v>
      </c>
      <c r="F321" t="s">
        <v>197</v>
      </c>
      <c r="G321" t="s">
        <v>197</v>
      </c>
      <c r="H321" t="s">
        <v>197</v>
      </c>
      <c r="I321" t="s">
        <v>197</v>
      </c>
      <c r="J321" t="s">
        <v>197</v>
      </c>
      <c r="K321" t="s">
        <v>561</v>
      </c>
    </row>
    <row r="322" spans="1:24">
      <c r="B322" t="s">
        <v>197</v>
      </c>
      <c r="C322" t="s">
        <v>197</v>
      </c>
      <c r="D322" t="s">
        <v>197</v>
      </c>
      <c r="E322" t="s">
        <v>197</v>
      </c>
      <c r="F322" t="s">
        <v>197</v>
      </c>
      <c r="G322" t="s">
        <v>197</v>
      </c>
      <c r="H322" t="s">
        <v>197</v>
      </c>
      <c r="I322" t="s">
        <v>197</v>
      </c>
      <c r="J322" t="s">
        <v>197</v>
      </c>
      <c r="K322" t="s">
        <v>562</v>
      </c>
    </row>
    <row r="323" spans="1:24">
      <c r="B323" t="s">
        <v>197</v>
      </c>
      <c r="C323" t="s">
        <v>197</v>
      </c>
      <c r="D323" t="s">
        <v>197</v>
      </c>
      <c r="E323" t="s">
        <v>197</v>
      </c>
      <c r="F323" t="s">
        <v>197</v>
      </c>
      <c r="G323" t="s">
        <v>197</v>
      </c>
      <c r="H323" t="s">
        <v>197</v>
      </c>
      <c r="I323" t="s">
        <v>197</v>
      </c>
      <c r="J323" t="s">
        <v>197</v>
      </c>
      <c r="K323" t="s">
        <v>563</v>
      </c>
    </row>
    <row r="324" spans="1:24">
      <c r="B324" t="s">
        <v>197</v>
      </c>
      <c r="C324" t="s">
        <v>197</v>
      </c>
      <c r="D324" t="s">
        <v>197</v>
      </c>
      <c r="E324" t="s">
        <v>197</v>
      </c>
      <c r="F324" t="s">
        <v>197</v>
      </c>
      <c r="G324" t="s">
        <v>197</v>
      </c>
      <c r="H324" t="s">
        <v>197</v>
      </c>
      <c r="I324" t="s">
        <v>197</v>
      </c>
      <c r="J324" t="s">
        <v>197</v>
      </c>
      <c r="K324" t="s">
        <v>564</v>
      </c>
    </row>
    <row r="325" spans="1:24">
      <c r="B325" t="s">
        <v>197</v>
      </c>
      <c r="C325" t="s">
        <v>197</v>
      </c>
      <c r="D325" t="s">
        <v>197</v>
      </c>
      <c r="E325" t="s">
        <v>197</v>
      </c>
      <c r="F325" t="s">
        <v>197</v>
      </c>
      <c r="G325" t="s">
        <v>197</v>
      </c>
      <c r="H325" t="s">
        <v>197</v>
      </c>
      <c r="I325" t="s">
        <v>197</v>
      </c>
      <c r="J325" t="s">
        <v>197</v>
      </c>
      <c r="K325" t="s">
        <v>565</v>
      </c>
    </row>
    <row r="326" spans="1:24">
      <c r="B326" t="s">
        <v>197</v>
      </c>
      <c r="C326" t="s">
        <v>197</v>
      </c>
      <c r="D326" t="s">
        <v>197</v>
      </c>
      <c r="E326" t="s">
        <v>197</v>
      </c>
      <c r="F326" t="s">
        <v>197</v>
      </c>
      <c r="G326" t="s">
        <v>197</v>
      </c>
      <c r="H326" t="s">
        <v>197</v>
      </c>
      <c r="I326" t="s">
        <v>197</v>
      </c>
      <c r="J326" t="s">
        <v>197</v>
      </c>
      <c r="K326" t="s">
        <v>566</v>
      </c>
    </row>
    <row r="327" spans="1:24">
      <c r="B327" t="s">
        <v>197</v>
      </c>
      <c r="C327" t="s">
        <v>197</v>
      </c>
      <c r="D327" t="s">
        <v>197</v>
      </c>
      <c r="E327" t="s">
        <v>197</v>
      </c>
      <c r="F327" t="s">
        <v>197</v>
      </c>
      <c r="G327" t="s">
        <v>197</v>
      </c>
      <c r="H327" t="s">
        <v>197</v>
      </c>
      <c r="I327" t="s">
        <v>197</v>
      </c>
      <c r="J327" t="s">
        <v>197</v>
      </c>
      <c r="K327" t="s">
        <v>567</v>
      </c>
    </row>
    <row r="328" spans="1:24">
      <c r="A328" t="s">
        <v>688</v>
      </c>
      <c r="K328" t="s">
        <v>689</v>
      </c>
      <c r="W328" t="s">
        <v>171</v>
      </c>
      <c r="X328" t="str">
        <f>A328</f>
        <v>info_binary_dml_batch1_pk_irp1</v>
      </c>
    </row>
    <row r="329" spans="1:24">
      <c r="B329" t="s">
        <v>196</v>
      </c>
      <c r="C329" t="s">
        <v>197</v>
      </c>
      <c r="D329" t="s">
        <v>197</v>
      </c>
      <c r="E329" t="s">
        <v>197</v>
      </c>
      <c r="F329" t="s">
        <v>197</v>
      </c>
      <c r="G329" t="s">
        <v>197</v>
      </c>
      <c r="H329" t="s">
        <v>197</v>
      </c>
      <c r="I329" t="s">
        <v>690</v>
      </c>
      <c r="J329" t="s">
        <v>199</v>
      </c>
      <c r="K329" t="s">
        <v>200</v>
      </c>
    </row>
    <row r="330" spans="1:24">
      <c r="B330" t="s">
        <v>197</v>
      </c>
      <c r="C330" t="s">
        <v>197</v>
      </c>
      <c r="D330" t="s">
        <v>197</v>
      </c>
      <c r="E330" t="s">
        <v>197</v>
      </c>
      <c r="F330" t="s">
        <v>197</v>
      </c>
      <c r="G330" t="s">
        <v>197</v>
      </c>
      <c r="H330" t="s">
        <v>197</v>
      </c>
      <c r="I330" t="s">
        <v>197</v>
      </c>
      <c r="J330" t="s">
        <v>197</v>
      </c>
      <c r="K330" t="s">
        <v>691</v>
      </c>
    </row>
    <row r="331" spans="1:24">
      <c r="B331" t="s">
        <v>197</v>
      </c>
      <c r="C331" t="s">
        <v>197</v>
      </c>
      <c r="D331" t="s">
        <v>197</v>
      </c>
      <c r="E331" t="s">
        <v>197</v>
      </c>
      <c r="F331" t="s">
        <v>197</v>
      </c>
      <c r="G331" t="s">
        <v>197</v>
      </c>
      <c r="H331" t="s">
        <v>197</v>
      </c>
      <c r="I331" t="s">
        <v>197</v>
      </c>
      <c r="J331" t="s">
        <v>197</v>
      </c>
      <c r="K331" t="s">
        <v>692</v>
      </c>
    </row>
    <row r="332" spans="1:24">
      <c r="B332" t="s">
        <v>197</v>
      </c>
      <c r="C332" t="s">
        <v>197</v>
      </c>
      <c r="D332" t="s">
        <v>197</v>
      </c>
      <c r="E332" t="s">
        <v>197</v>
      </c>
      <c r="F332" t="s">
        <v>197</v>
      </c>
      <c r="G332" t="s">
        <v>197</v>
      </c>
      <c r="H332" t="s">
        <v>197</v>
      </c>
      <c r="I332" t="s">
        <v>197</v>
      </c>
      <c r="J332" t="s">
        <v>197</v>
      </c>
      <c r="K332" t="s">
        <v>693</v>
      </c>
    </row>
    <row r="333" spans="1:24">
      <c r="A333" t="s">
        <v>694</v>
      </c>
      <c r="K333" t="s">
        <v>695</v>
      </c>
      <c r="W333" t="s">
        <v>171</v>
      </c>
      <c r="X333" t="str">
        <f>A333</f>
        <v>info_datetime2_dml_batch2_pk_irp2</v>
      </c>
    </row>
    <row r="334" spans="1:24">
      <c r="B334" t="s">
        <v>196</v>
      </c>
      <c r="C334" t="s">
        <v>197</v>
      </c>
      <c r="D334" t="s">
        <v>197</v>
      </c>
      <c r="E334" t="s">
        <v>197</v>
      </c>
      <c r="F334" t="s">
        <v>197</v>
      </c>
      <c r="G334" t="s">
        <v>197</v>
      </c>
      <c r="H334" t="s">
        <v>197</v>
      </c>
      <c r="I334" t="s">
        <v>696</v>
      </c>
      <c r="J334" t="s">
        <v>199</v>
      </c>
      <c r="K334" t="s">
        <v>200</v>
      </c>
    </row>
    <row r="335" spans="1:24">
      <c r="B335" t="s">
        <v>197</v>
      </c>
      <c r="C335" t="s">
        <v>197</v>
      </c>
      <c r="D335" t="s">
        <v>197</v>
      </c>
      <c r="E335" t="s">
        <v>197</v>
      </c>
      <c r="F335" t="s">
        <v>197</v>
      </c>
      <c r="G335" t="s">
        <v>197</v>
      </c>
      <c r="H335" t="s">
        <v>197</v>
      </c>
      <c r="I335" t="s">
        <v>197</v>
      </c>
      <c r="J335" t="s">
        <v>197</v>
      </c>
      <c r="K335" t="s">
        <v>667</v>
      </c>
    </row>
    <row r="336" spans="1:24">
      <c r="B336" t="s">
        <v>197</v>
      </c>
      <c r="C336" t="s">
        <v>197</v>
      </c>
      <c r="D336" t="s">
        <v>197</v>
      </c>
      <c r="E336" t="s">
        <v>197</v>
      </c>
      <c r="F336" t="s">
        <v>197</v>
      </c>
      <c r="G336" t="s">
        <v>197</v>
      </c>
      <c r="H336" t="s">
        <v>197</v>
      </c>
      <c r="I336" t="s">
        <v>197</v>
      </c>
      <c r="J336" t="s">
        <v>197</v>
      </c>
      <c r="K336" t="s">
        <v>668</v>
      </c>
    </row>
    <row r="337" spans="1:24">
      <c r="B337" t="s">
        <v>197</v>
      </c>
      <c r="C337" t="s">
        <v>197</v>
      </c>
      <c r="D337" t="s">
        <v>197</v>
      </c>
      <c r="E337" t="s">
        <v>197</v>
      </c>
      <c r="F337" t="s">
        <v>197</v>
      </c>
      <c r="G337" t="s">
        <v>197</v>
      </c>
      <c r="H337" t="s">
        <v>197</v>
      </c>
      <c r="I337" t="s">
        <v>197</v>
      </c>
      <c r="J337" t="s">
        <v>197</v>
      </c>
      <c r="K337" t="s">
        <v>669</v>
      </c>
    </row>
    <row r="338" spans="1:24">
      <c r="B338" t="s">
        <v>197</v>
      </c>
      <c r="C338" t="s">
        <v>197</v>
      </c>
      <c r="D338" t="s">
        <v>197</v>
      </c>
      <c r="E338" t="s">
        <v>197</v>
      </c>
      <c r="F338" t="s">
        <v>197</v>
      </c>
      <c r="G338" t="s">
        <v>197</v>
      </c>
      <c r="H338" t="s">
        <v>197</v>
      </c>
      <c r="I338" t="s">
        <v>197</v>
      </c>
      <c r="J338" t="s">
        <v>197</v>
      </c>
      <c r="K338" t="s">
        <v>670</v>
      </c>
    </row>
    <row r="339" spans="1:24">
      <c r="B339" t="s">
        <v>197</v>
      </c>
      <c r="C339" t="s">
        <v>197</v>
      </c>
      <c r="D339" t="s">
        <v>197</v>
      </c>
      <c r="E339" t="s">
        <v>197</v>
      </c>
      <c r="F339" t="s">
        <v>197</v>
      </c>
      <c r="G339" t="s">
        <v>197</v>
      </c>
      <c r="H339" t="s">
        <v>197</v>
      </c>
      <c r="I339" t="s">
        <v>197</v>
      </c>
      <c r="J339" t="s">
        <v>197</v>
      </c>
      <c r="K339" t="s">
        <v>671</v>
      </c>
    </row>
    <row r="340" spans="1:24">
      <c r="B340" t="s">
        <v>197</v>
      </c>
      <c r="C340" t="s">
        <v>197</v>
      </c>
      <c r="D340" t="s">
        <v>197</v>
      </c>
      <c r="E340" t="s">
        <v>197</v>
      </c>
      <c r="F340" t="s">
        <v>197</v>
      </c>
      <c r="G340" t="s">
        <v>197</v>
      </c>
      <c r="H340" t="s">
        <v>197</v>
      </c>
      <c r="I340" t="s">
        <v>197</v>
      </c>
      <c r="J340" t="s">
        <v>197</v>
      </c>
      <c r="K340" t="s">
        <v>672</v>
      </c>
    </row>
    <row r="341" spans="1:24">
      <c r="B341" t="s">
        <v>197</v>
      </c>
      <c r="C341" t="s">
        <v>197</v>
      </c>
      <c r="D341" t="s">
        <v>197</v>
      </c>
      <c r="E341" t="s">
        <v>197</v>
      </c>
      <c r="F341" t="s">
        <v>197</v>
      </c>
      <c r="G341" t="s">
        <v>197</v>
      </c>
      <c r="H341" t="s">
        <v>197</v>
      </c>
      <c r="I341" t="s">
        <v>197</v>
      </c>
      <c r="J341" t="s">
        <v>197</v>
      </c>
      <c r="K341" t="s">
        <v>673</v>
      </c>
    </row>
    <row r="342" spans="1:24">
      <c r="B342" t="s">
        <v>197</v>
      </c>
      <c r="C342" t="s">
        <v>197</v>
      </c>
      <c r="D342" t="s">
        <v>197</v>
      </c>
      <c r="E342" t="s">
        <v>197</v>
      </c>
      <c r="F342" t="s">
        <v>197</v>
      </c>
      <c r="G342" t="s">
        <v>197</v>
      </c>
      <c r="H342" t="s">
        <v>197</v>
      </c>
      <c r="I342" t="s">
        <v>197</v>
      </c>
      <c r="J342" t="s">
        <v>197</v>
      </c>
      <c r="K342" t="s">
        <v>674</v>
      </c>
    </row>
    <row r="343" spans="1:24">
      <c r="A343" t="s">
        <v>700</v>
      </c>
      <c r="K343" t="s">
        <v>701</v>
      </c>
      <c r="W343" t="s">
        <v>171</v>
      </c>
      <c r="X343" t="str">
        <f>A343</f>
        <v>info_char_dml_batch2_pk_irp1</v>
      </c>
    </row>
    <row r="344" spans="1:24">
      <c r="B344" t="s">
        <v>196</v>
      </c>
      <c r="C344" t="s">
        <v>197</v>
      </c>
      <c r="D344" t="s">
        <v>197</v>
      </c>
      <c r="E344" t="s">
        <v>197</v>
      </c>
      <c r="F344" t="s">
        <v>197</v>
      </c>
      <c r="G344" t="s">
        <v>197</v>
      </c>
      <c r="H344" t="s">
        <v>197</v>
      </c>
      <c r="I344" t="s">
        <v>702</v>
      </c>
      <c r="J344" t="s">
        <v>199</v>
      </c>
      <c r="K344" t="s">
        <v>200</v>
      </c>
    </row>
    <row r="345" spans="1:24">
      <c r="B345" t="s">
        <v>197</v>
      </c>
      <c r="C345" t="s">
        <v>197</v>
      </c>
      <c r="D345" t="s">
        <v>197</v>
      </c>
      <c r="E345" t="s">
        <v>197</v>
      </c>
      <c r="F345" t="s">
        <v>197</v>
      </c>
      <c r="G345" t="s">
        <v>197</v>
      </c>
      <c r="H345" t="s">
        <v>197</v>
      </c>
      <c r="I345" t="s">
        <v>197</v>
      </c>
      <c r="J345" t="s">
        <v>197</v>
      </c>
      <c r="K345" t="s">
        <v>622</v>
      </c>
    </row>
    <row r="346" spans="1:24">
      <c r="B346" t="s">
        <v>197</v>
      </c>
      <c r="C346" t="s">
        <v>197</v>
      </c>
      <c r="D346" t="s">
        <v>197</v>
      </c>
      <c r="E346" t="s">
        <v>197</v>
      </c>
      <c r="F346" t="s">
        <v>197</v>
      </c>
      <c r="G346" t="s">
        <v>197</v>
      </c>
      <c r="H346" t="s">
        <v>197</v>
      </c>
      <c r="I346" t="s">
        <v>197</v>
      </c>
      <c r="J346" t="s">
        <v>197</v>
      </c>
      <c r="K346" t="s">
        <v>623</v>
      </c>
    </row>
    <row r="347" spans="1:24">
      <c r="B347" t="s">
        <v>197</v>
      </c>
      <c r="C347" t="s">
        <v>197</v>
      </c>
      <c r="D347" t="s">
        <v>197</v>
      </c>
      <c r="E347" t="s">
        <v>197</v>
      </c>
      <c r="F347" t="s">
        <v>197</v>
      </c>
      <c r="G347" t="s">
        <v>197</v>
      </c>
      <c r="H347" t="s">
        <v>197</v>
      </c>
      <c r="I347" t="s">
        <v>197</v>
      </c>
      <c r="J347" t="s">
        <v>197</v>
      </c>
      <c r="K347" t="s">
        <v>624</v>
      </c>
    </row>
    <row r="348" spans="1:24">
      <c r="K348" t="s">
        <v>443</v>
      </c>
    </row>
    <row r="349" spans="1:24">
      <c r="A349" t="s">
        <v>703</v>
      </c>
      <c r="K349" t="s">
        <v>704</v>
      </c>
      <c r="W349" s="1" t="str">
        <f>HYPERLINK("#2026042017hbase1!Y2","NO 源备存在差异，共4个")</f>
        <v>NO 源备存在差异，共4个</v>
      </c>
      <c r="X349" t="str">
        <f>A349</f>
        <v>info_hierarchyid_dml_single_pk_irp</v>
      </c>
    </row>
    <row r="350" spans="1:24">
      <c r="B350" t="s">
        <v>196</v>
      </c>
      <c r="C350" t="s">
        <v>197</v>
      </c>
      <c r="D350" t="s">
        <v>197</v>
      </c>
      <c r="E350" t="s">
        <v>197</v>
      </c>
      <c r="F350" t="s">
        <v>197</v>
      </c>
      <c r="G350" t="s">
        <v>197</v>
      </c>
      <c r="H350" t="s">
        <v>197</v>
      </c>
      <c r="I350" t="s">
        <v>705</v>
      </c>
      <c r="J350" t="s">
        <v>199</v>
      </c>
      <c r="K350" t="s">
        <v>200</v>
      </c>
    </row>
    <row r="351" spans="1:24">
      <c r="B351" t="s">
        <v>197</v>
      </c>
      <c r="C351" t="s">
        <v>197</v>
      </c>
      <c r="D351" t="s">
        <v>197</v>
      </c>
      <c r="E351" t="s">
        <v>197</v>
      </c>
      <c r="F351" t="s">
        <v>197</v>
      </c>
      <c r="G351" t="s">
        <v>197</v>
      </c>
      <c r="H351" t="s">
        <v>197</v>
      </c>
      <c r="I351" t="s">
        <v>197</v>
      </c>
      <c r="J351" t="s">
        <v>197</v>
      </c>
      <c r="K351" t="s">
        <v>706</v>
      </c>
    </row>
    <row r="352" spans="1:24">
      <c r="A352" t="s">
        <v>707</v>
      </c>
      <c r="K352" t="s">
        <v>708</v>
      </c>
      <c r="W352" t="s">
        <v>171</v>
      </c>
      <c r="X352" t="str">
        <f>A352</f>
        <v>info_datetime2_dml_batch1_pk_urp1</v>
      </c>
    </row>
    <row r="353" spans="1:24">
      <c r="B353" t="s">
        <v>196</v>
      </c>
      <c r="C353" t="s">
        <v>197</v>
      </c>
      <c r="D353" t="s">
        <v>197</v>
      </c>
      <c r="E353" t="s">
        <v>197</v>
      </c>
      <c r="F353" t="s">
        <v>197</v>
      </c>
      <c r="G353" t="s">
        <v>197</v>
      </c>
      <c r="H353" t="s">
        <v>197</v>
      </c>
      <c r="I353" t="s">
        <v>709</v>
      </c>
      <c r="J353" t="s">
        <v>199</v>
      </c>
      <c r="K353" t="s">
        <v>200</v>
      </c>
    </row>
    <row r="354" spans="1:24">
      <c r="B354" t="s">
        <v>197</v>
      </c>
      <c r="C354" t="s">
        <v>197</v>
      </c>
      <c r="D354" t="s">
        <v>197</v>
      </c>
      <c r="E354" t="s">
        <v>197</v>
      </c>
      <c r="F354" t="s">
        <v>197</v>
      </c>
      <c r="G354" t="s">
        <v>197</v>
      </c>
      <c r="H354" t="s">
        <v>197</v>
      </c>
      <c r="I354" t="s">
        <v>197</v>
      </c>
      <c r="J354" t="s">
        <v>197</v>
      </c>
      <c r="K354" t="s">
        <v>667</v>
      </c>
    </row>
    <row r="355" spans="1:24">
      <c r="B355" t="s">
        <v>197</v>
      </c>
      <c r="C355" t="s">
        <v>197</v>
      </c>
      <c r="D355" t="s">
        <v>197</v>
      </c>
      <c r="E355" t="s">
        <v>197</v>
      </c>
      <c r="F355" t="s">
        <v>197</v>
      </c>
      <c r="G355" t="s">
        <v>197</v>
      </c>
      <c r="H355" t="s">
        <v>197</v>
      </c>
      <c r="I355" t="s">
        <v>197</v>
      </c>
      <c r="J355" t="s">
        <v>197</v>
      </c>
      <c r="K355" t="s">
        <v>668</v>
      </c>
    </row>
    <row r="356" spans="1:24">
      <c r="B356" t="s">
        <v>197</v>
      </c>
      <c r="C356" t="s">
        <v>197</v>
      </c>
      <c r="D356" t="s">
        <v>197</v>
      </c>
      <c r="E356" t="s">
        <v>197</v>
      </c>
      <c r="F356" t="s">
        <v>197</v>
      </c>
      <c r="G356" t="s">
        <v>197</v>
      </c>
      <c r="H356" t="s">
        <v>197</v>
      </c>
      <c r="I356" t="s">
        <v>197</v>
      </c>
      <c r="J356" t="s">
        <v>197</v>
      </c>
      <c r="K356" t="s">
        <v>669</v>
      </c>
    </row>
    <row r="357" spans="1:24">
      <c r="B357" t="s">
        <v>197</v>
      </c>
      <c r="C357" t="s">
        <v>197</v>
      </c>
      <c r="D357" t="s">
        <v>197</v>
      </c>
      <c r="E357" t="s">
        <v>197</v>
      </c>
      <c r="F357" t="s">
        <v>197</v>
      </c>
      <c r="G357" t="s">
        <v>197</v>
      </c>
      <c r="H357" t="s">
        <v>197</v>
      </c>
      <c r="I357" t="s">
        <v>197</v>
      </c>
      <c r="J357" t="s">
        <v>197</v>
      </c>
      <c r="K357" t="s">
        <v>670</v>
      </c>
    </row>
    <row r="358" spans="1:24">
      <c r="B358" t="s">
        <v>197</v>
      </c>
      <c r="C358" t="s">
        <v>197</v>
      </c>
      <c r="D358" t="s">
        <v>197</v>
      </c>
      <c r="E358" t="s">
        <v>197</v>
      </c>
      <c r="F358" t="s">
        <v>197</v>
      </c>
      <c r="G358" t="s">
        <v>197</v>
      </c>
      <c r="H358" t="s">
        <v>197</v>
      </c>
      <c r="I358" t="s">
        <v>197</v>
      </c>
      <c r="J358" t="s">
        <v>197</v>
      </c>
      <c r="K358" t="s">
        <v>671</v>
      </c>
    </row>
    <row r="359" spans="1:24">
      <c r="B359" t="s">
        <v>197</v>
      </c>
      <c r="C359" t="s">
        <v>197</v>
      </c>
      <c r="D359" t="s">
        <v>197</v>
      </c>
      <c r="E359" t="s">
        <v>197</v>
      </c>
      <c r="F359" t="s">
        <v>197</v>
      </c>
      <c r="G359" t="s">
        <v>197</v>
      </c>
      <c r="H359" t="s">
        <v>197</v>
      </c>
      <c r="I359" t="s">
        <v>197</v>
      </c>
      <c r="J359" t="s">
        <v>197</v>
      </c>
      <c r="K359" t="s">
        <v>672</v>
      </c>
    </row>
    <row r="360" spans="1:24">
      <c r="B360" t="s">
        <v>197</v>
      </c>
      <c r="C360" t="s">
        <v>197</v>
      </c>
      <c r="D360" t="s">
        <v>197</v>
      </c>
      <c r="E360" t="s">
        <v>197</v>
      </c>
      <c r="F360" t="s">
        <v>197</v>
      </c>
      <c r="G360" t="s">
        <v>197</v>
      </c>
      <c r="H360" t="s">
        <v>197</v>
      </c>
      <c r="I360" t="s">
        <v>197</v>
      </c>
      <c r="J360" t="s">
        <v>197</v>
      </c>
      <c r="K360" t="s">
        <v>673</v>
      </c>
    </row>
    <row r="361" spans="1:24">
      <c r="B361" t="s">
        <v>197</v>
      </c>
      <c r="C361" t="s">
        <v>197</v>
      </c>
      <c r="D361" t="s">
        <v>197</v>
      </c>
      <c r="E361" t="s">
        <v>197</v>
      </c>
      <c r="F361" t="s">
        <v>197</v>
      </c>
      <c r="G361" t="s">
        <v>197</v>
      </c>
      <c r="H361" t="s">
        <v>197</v>
      </c>
      <c r="I361" t="s">
        <v>197</v>
      </c>
      <c r="J361" t="s">
        <v>197</v>
      </c>
      <c r="K361" t="s">
        <v>674</v>
      </c>
    </row>
    <row r="362" spans="1:24">
      <c r="A362" t="s">
        <v>716</v>
      </c>
      <c r="K362" t="s">
        <v>717</v>
      </c>
      <c r="W362" t="s">
        <v>171</v>
      </c>
      <c r="X362" t="str">
        <f>A362</f>
        <v>info_date_dml_single_pk_urp</v>
      </c>
    </row>
    <row r="363" spans="1:24">
      <c r="B363" t="s">
        <v>196</v>
      </c>
      <c r="C363" t="s">
        <v>197</v>
      </c>
      <c r="D363" t="s">
        <v>197</v>
      </c>
      <c r="E363" t="s">
        <v>197</v>
      </c>
      <c r="F363" t="s">
        <v>197</v>
      </c>
      <c r="G363" t="s">
        <v>197</v>
      </c>
      <c r="H363" t="s">
        <v>197</v>
      </c>
      <c r="I363" t="s">
        <v>718</v>
      </c>
      <c r="J363" t="s">
        <v>199</v>
      </c>
      <c r="K363" t="s">
        <v>200</v>
      </c>
    </row>
    <row r="364" spans="1:24">
      <c r="B364" t="s">
        <v>197</v>
      </c>
      <c r="C364" t="s">
        <v>197</v>
      </c>
      <c r="D364" t="s">
        <v>197</v>
      </c>
      <c r="E364" t="s">
        <v>197</v>
      </c>
      <c r="F364" t="s">
        <v>197</v>
      </c>
      <c r="G364" t="s">
        <v>197</v>
      </c>
      <c r="H364" t="s">
        <v>197</v>
      </c>
      <c r="I364" t="s">
        <v>197</v>
      </c>
      <c r="J364" t="s">
        <v>197</v>
      </c>
      <c r="K364" t="s">
        <v>678</v>
      </c>
    </row>
    <row r="365" spans="1:24">
      <c r="A365" t="s">
        <v>719</v>
      </c>
      <c r="K365" t="s">
        <v>720</v>
      </c>
      <c r="W365" t="s">
        <v>171</v>
      </c>
      <c r="X365" t="str">
        <f>A365</f>
        <v>info_datetime2_dml_batch1_pk_urp2</v>
      </c>
    </row>
    <row r="366" spans="1:24">
      <c r="B366" t="s">
        <v>196</v>
      </c>
      <c r="C366" t="s">
        <v>197</v>
      </c>
      <c r="D366" t="s">
        <v>197</v>
      </c>
      <c r="E366" t="s">
        <v>197</v>
      </c>
      <c r="F366" t="s">
        <v>197</v>
      </c>
      <c r="G366" t="s">
        <v>197</v>
      </c>
      <c r="H366" t="s">
        <v>197</v>
      </c>
      <c r="I366" t="s">
        <v>721</v>
      </c>
      <c r="J366" t="s">
        <v>199</v>
      </c>
      <c r="K366" t="s">
        <v>200</v>
      </c>
    </row>
    <row r="367" spans="1:24">
      <c r="B367" t="s">
        <v>197</v>
      </c>
      <c r="C367" t="s">
        <v>197</v>
      </c>
      <c r="D367" t="s">
        <v>197</v>
      </c>
      <c r="E367" t="s">
        <v>197</v>
      </c>
      <c r="F367" t="s">
        <v>197</v>
      </c>
      <c r="G367" t="s">
        <v>197</v>
      </c>
      <c r="H367" t="s">
        <v>197</v>
      </c>
      <c r="I367" t="s">
        <v>197</v>
      </c>
      <c r="J367" t="s">
        <v>197</v>
      </c>
      <c r="K367" t="s">
        <v>667</v>
      </c>
    </row>
    <row r="368" spans="1:24">
      <c r="B368" t="s">
        <v>197</v>
      </c>
      <c r="C368" t="s">
        <v>197</v>
      </c>
      <c r="D368" t="s">
        <v>197</v>
      </c>
      <c r="E368" t="s">
        <v>197</v>
      </c>
      <c r="F368" t="s">
        <v>197</v>
      </c>
      <c r="G368" t="s">
        <v>197</v>
      </c>
      <c r="H368" t="s">
        <v>197</v>
      </c>
      <c r="I368" t="s">
        <v>197</v>
      </c>
      <c r="J368" t="s">
        <v>197</v>
      </c>
      <c r="K368" t="s">
        <v>668</v>
      </c>
    </row>
    <row r="369" spans="1:24">
      <c r="B369" t="s">
        <v>197</v>
      </c>
      <c r="C369" t="s">
        <v>197</v>
      </c>
      <c r="D369" t="s">
        <v>197</v>
      </c>
      <c r="E369" t="s">
        <v>197</v>
      </c>
      <c r="F369" t="s">
        <v>197</v>
      </c>
      <c r="G369" t="s">
        <v>197</v>
      </c>
      <c r="H369" t="s">
        <v>197</v>
      </c>
      <c r="I369" t="s">
        <v>197</v>
      </c>
      <c r="J369" t="s">
        <v>197</v>
      </c>
      <c r="K369" t="s">
        <v>669</v>
      </c>
    </row>
    <row r="370" spans="1:24">
      <c r="B370" t="s">
        <v>197</v>
      </c>
      <c r="C370" t="s">
        <v>197</v>
      </c>
      <c r="D370" t="s">
        <v>197</v>
      </c>
      <c r="E370" t="s">
        <v>197</v>
      </c>
      <c r="F370" t="s">
        <v>197</v>
      </c>
      <c r="G370" t="s">
        <v>197</v>
      </c>
      <c r="H370" t="s">
        <v>197</v>
      </c>
      <c r="I370" t="s">
        <v>197</v>
      </c>
      <c r="J370" t="s">
        <v>197</v>
      </c>
      <c r="K370" t="s">
        <v>670</v>
      </c>
    </row>
    <row r="371" spans="1:24">
      <c r="B371" t="s">
        <v>197</v>
      </c>
      <c r="C371" t="s">
        <v>197</v>
      </c>
      <c r="D371" t="s">
        <v>197</v>
      </c>
      <c r="E371" t="s">
        <v>197</v>
      </c>
      <c r="F371" t="s">
        <v>197</v>
      </c>
      <c r="G371" t="s">
        <v>197</v>
      </c>
      <c r="H371" t="s">
        <v>197</v>
      </c>
      <c r="I371" t="s">
        <v>197</v>
      </c>
      <c r="J371" t="s">
        <v>197</v>
      </c>
      <c r="K371" t="s">
        <v>671</v>
      </c>
    </row>
    <row r="372" spans="1:24">
      <c r="B372" t="s">
        <v>197</v>
      </c>
      <c r="C372" t="s">
        <v>197</v>
      </c>
      <c r="D372" t="s">
        <v>197</v>
      </c>
      <c r="E372" t="s">
        <v>197</v>
      </c>
      <c r="F372" t="s">
        <v>197</v>
      </c>
      <c r="G372" t="s">
        <v>197</v>
      </c>
      <c r="H372" t="s">
        <v>197</v>
      </c>
      <c r="I372" t="s">
        <v>197</v>
      </c>
      <c r="J372" t="s">
        <v>197</v>
      </c>
      <c r="K372" t="s">
        <v>672</v>
      </c>
    </row>
    <row r="373" spans="1:24">
      <c r="B373" t="s">
        <v>197</v>
      </c>
      <c r="C373" t="s">
        <v>197</v>
      </c>
      <c r="D373" t="s">
        <v>197</v>
      </c>
      <c r="E373" t="s">
        <v>197</v>
      </c>
      <c r="F373" t="s">
        <v>197</v>
      </c>
      <c r="G373" t="s">
        <v>197</v>
      </c>
      <c r="H373" t="s">
        <v>197</v>
      </c>
      <c r="I373" t="s">
        <v>197</v>
      </c>
      <c r="J373" t="s">
        <v>197</v>
      </c>
      <c r="K373" t="s">
        <v>673</v>
      </c>
    </row>
    <row r="374" spans="1:24">
      <c r="B374" t="s">
        <v>197</v>
      </c>
      <c r="C374" t="s">
        <v>197</v>
      </c>
      <c r="D374" t="s">
        <v>197</v>
      </c>
      <c r="E374" t="s">
        <v>197</v>
      </c>
      <c r="F374" t="s">
        <v>197</v>
      </c>
      <c r="G374" t="s">
        <v>197</v>
      </c>
      <c r="H374" t="s">
        <v>197</v>
      </c>
      <c r="I374" t="s">
        <v>197</v>
      </c>
      <c r="J374" t="s">
        <v>197</v>
      </c>
      <c r="K374" t="s">
        <v>674</v>
      </c>
    </row>
    <row r="375" spans="1:24">
      <c r="A375" t="s">
        <v>722</v>
      </c>
      <c r="K375" t="s">
        <v>723</v>
      </c>
      <c r="W375" t="s">
        <v>171</v>
      </c>
      <c r="X375" t="str">
        <f>A375</f>
        <v>info_varcharmax_dml_batch1_pk_irp1</v>
      </c>
    </row>
    <row r="376" spans="1:24">
      <c r="B376" t="s">
        <v>196</v>
      </c>
      <c r="C376" t="s">
        <v>197</v>
      </c>
      <c r="D376" t="s">
        <v>197</v>
      </c>
      <c r="E376" t="s">
        <v>197</v>
      </c>
      <c r="F376" t="s">
        <v>197</v>
      </c>
      <c r="G376" t="s">
        <v>197</v>
      </c>
      <c r="H376" t="s">
        <v>197</v>
      </c>
      <c r="I376" t="s">
        <v>724</v>
      </c>
      <c r="J376" t="s">
        <v>199</v>
      </c>
      <c r="K376" t="s">
        <v>200</v>
      </c>
    </row>
    <row r="377" spans="1:24">
      <c r="B377" t="s">
        <v>197</v>
      </c>
      <c r="C377" t="s">
        <v>197</v>
      </c>
      <c r="D377" t="s">
        <v>197</v>
      </c>
      <c r="E377" t="s">
        <v>197</v>
      </c>
      <c r="F377" t="s">
        <v>197</v>
      </c>
      <c r="G377" t="s">
        <v>197</v>
      </c>
      <c r="H377" t="s">
        <v>197</v>
      </c>
      <c r="I377" t="s">
        <v>197</v>
      </c>
      <c r="J377" t="s">
        <v>197</v>
      </c>
      <c r="K377" t="s">
        <v>725</v>
      </c>
    </row>
    <row r="378" spans="1:24">
      <c r="B378" t="s">
        <v>197</v>
      </c>
      <c r="C378" t="s">
        <v>197</v>
      </c>
      <c r="D378" t="s">
        <v>197</v>
      </c>
      <c r="E378" t="s">
        <v>197</v>
      </c>
      <c r="F378" t="s">
        <v>197</v>
      </c>
      <c r="G378" t="s">
        <v>197</v>
      </c>
      <c r="H378" t="s">
        <v>197</v>
      </c>
      <c r="I378" t="s">
        <v>197</v>
      </c>
      <c r="J378" t="s">
        <v>197</v>
      </c>
      <c r="K378" t="s">
        <v>726</v>
      </c>
    </row>
    <row r="379" spans="1:24">
      <c r="K379" t="s">
        <v>443</v>
      </c>
    </row>
    <row r="380" spans="1:24">
      <c r="A380" t="s">
        <v>710</v>
      </c>
      <c r="K380" t="s">
        <v>711</v>
      </c>
      <c r="W380" t="s">
        <v>171</v>
      </c>
      <c r="X380" t="str">
        <f>A380</f>
        <v>info_char_dml_batch2_pk_irp2</v>
      </c>
    </row>
    <row r="381" spans="1:24">
      <c r="B381" t="s">
        <v>196</v>
      </c>
      <c r="C381" t="s">
        <v>197</v>
      </c>
      <c r="D381" t="s">
        <v>197</v>
      </c>
      <c r="E381" t="s">
        <v>197</v>
      </c>
      <c r="F381" t="s">
        <v>197</v>
      </c>
      <c r="G381" t="s">
        <v>197</v>
      </c>
      <c r="H381" t="s">
        <v>197</v>
      </c>
      <c r="I381" t="s">
        <v>712</v>
      </c>
      <c r="J381" t="s">
        <v>199</v>
      </c>
      <c r="K381" t="s">
        <v>200</v>
      </c>
    </row>
    <row r="382" spans="1:24">
      <c r="B382" t="s">
        <v>197</v>
      </c>
      <c r="C382" t="s">
        <v>197</v>
      </c>
      <c r="D382" t="s">
        <v>197</v>
      </c>
      <c r="E382" t="s">
        <v>197</v>
      </c>
      <c r="F382" t="s">
        <v>197</v>
      </c>
      <c r="G382" t="s">
        <v>197</v>
      </c>
      <c r="H382" t="s">
        <v>197</v>
      </c>
      <c r="I382" t="s">
        <v>197</v>
      </c>
      <c r="J382" t="s">
        <v>197</v>
      </c>
      <c r="K382" t="s">
        <v>622</v>
      </c>
    </row>
    <row r="383" spans="1:24">
      <c r="B383" t="s">
        <v>197</v>
      </c>
      <c r="C383" t="s">
        <v>197</v>
      </c>
      <c r="D383" t="s">
        <v>197</v>
      </c>
      <c r="E383" t="s">
        <v>197</v>
      </c>
      <c r="F383" t="s">
        <v>197</v>
      </c>
      <c r="G383" t="s">
        <v>197</v>
      </c>
      <c r="H383" t="s">
        <v>197</v>
      </c>
      <c r="I383" t="s">
        <v>197</v>
      </c>
      <c r="J383" t="s">
        <v>197</v>
      </c>
      <c r="K383" t="s">
        <v>623</v>
      </c>
    </row>
    <row r="384" spans="1:24">
      <c r="B384" t="s">
        <v>197</v>
      </c>
      <c r="C384" t="s">
        <v>197</v>
      </c>
      <c r="D384" t="s">
        <v>197</v>
      </c>
      <c r="E384" t="s">
        <v>197</v>
      </c>
      <c r="F384" t="s">
        <v>197</v>
      </c>
      <c r="G384" t="s">
        <v>197</v>
      </c>
      <c r="H384" t="s">
        <v>197</v>
      </c>
      <c r="I384" t="s">
        <v>197</v>
      </c>
      <c r="J384" t="s">
        <v>197</v>
      </c>
      <c r="K384" t="s">
        <v>624</v>
      </c>
    </row>
    <row r="385" spans="1:24">
      <c r="K385" t="s">
        <v>443</v>
      </c>
    </row>
    <row r="386" spans="1:24">
      <c r="A386" t="s">
        <v>731</v>
      </c>
      <c r="K386" t="s">
        <v>732</v>
      </c>
      <c r="W386" t="s">
        <v>171</v>
      </c>
      <c r="X386" t="str">
        <f>A386</f>
        <v>info_datetime2_dml_batch1_pk_drp1</v>
      </c>
    </row>
    <row r="387" spans="1:24">
      <c r="B387" t="s">
        <v>196</v>
      </c>
      <c r="C387" t="s">
        <v>197</v>
      </c>
      <c r="D387" t="s">
        <v>197</v>
      </c>
      <c r="E387" t="s">
        <v>197</v>
      </c>
      <c r="F387" t="s">
        <v>197</v>
      </c>
      <c r="G387" t="s">
        <v>197</v>
      </c>
      <c r="H387" t="s">
        <v>197</v>
      </c>
      <c r="I387" t="s">
        <v>733</v>
      </c>
      <c r="J387" t="s">
        <v>199</v>
      </c>
      <c r="K387" t="s">
        <v>200</v>
      </c>
    </row>
    <row r="388" spans="1:24">
      <c r="B388" t="s">
        <v>197</v>
      </c>
      <c r="C388" t="s">
        <v>197</v>
      </c>
      <c r="D388" t="s">
        <v>197</v>
      </c>
      <c r="E388" t="s">
        <v>197</v>
      </c>
      <c r="F388" t="s">
        <v>197</v>
      </c>
      <c r="G388" t="s">
        <v>197</v>
      </c>
      <c r="H388" t="s">
        <v>197</v>
      </c>
      <c r="I388" t="s">
        <v>197</v>
      </c>
      <c r="J388" t="s">
        <v>197</v>
      </c>
      <c r="K388" t="s">
        <v>667</v>
      </c>
    </row>
    <row r="389" spans="1:24">
      <c r="B389" t="s">
        <v>197</v>
      </c>
      <c r="C389" t="s">
        <v>197</v>
      </c>
      <c r="D389" t="s">
        <v>197</v>
      </c>
      <c r="E389" t="s">
        <v>197</v>
      </c>
      <c r="F389" t="s">
        <v>197</v>
      </c>
      <c r="G389" t="s">
        <v>197</v>
      </c>
      <c r="H389" t="s">
        <v>197</v>
      </c>
      <c r="I389" t="s">
        <v>197</v>
      </c>
      <c r="J389" t="s">
        <v>197</v>
      </c>
      <c r="K389" t="s">
        <v>668</v>
      </c>
    </row>
    <row r="390" spans="1:24">
      <c r="B390" t="s">
        <v>197</v>
      </c>
      <c r="C390" t="s">
        <v>197</v>
      </c>
      <c r="D390" t="s">
        <v>197</v>
      </c>
      <c r="E390" t="s">
        <v>197</v>
      </c>
      <c r="F390" t="s">
        <v>197</v>
      </c>
      <c r="G390" t="s">
        <v>197</v>
      </c>
      <c r="H390" t="s">
        <v>197</v>
      </c>
      <c r="I390" t="s">
        <v>197</v>
      </c>
      <c r="J390" t="s">
        <v>197</v>
      </c>
      <c r="K390" t="s">
        <v>669</v>
      </c>
    </row>
    <row r="391" spans="1:24">
      <c r="B391" t="s">
        <v>197</v>
      </c>
      <c r="C391" t="s">
        <v>197</v>
      </c>
      <c r="D391" t="s">
        <v>197</v>
      </c>
      <c r="E391" t="s">
        <v>197</v>
      </c>
      <c r="F391" t="s">
        <v>197</v>
      </c>
      <c r="G391" t="s">
        <v>197</v>
      </c>
      <c r="H391" t="s">
        <v>197</v>
      </c>
      <c r="I391" t="s">
        <v>197</v>
      </c>
      <c r="J391" t="s">
        <v>197</v>
      </c>
      <c r="K391" t="s">
        <v>670</v>
      </c>
    </row>
    <row r="392" spans="1:24">
      <c r="B392" t="s">
        <v>197</v>
      </c>
      <c r="C392" t="s">
        <v>197</v>
      </c>
      <c r="D392" t="s">
        <v>197</v>
      </c>
      <c r="E392" t="s">
        <v>197</v>
      </c>
      <c r="F392" t="s">
        <v>197</v>
      </c>
      <c r="G392" t="s">
        <v>197</v>
      </c>
      <c r="H392" t="s">
        <v>197</v>
      </c>
      <c r="I392" t="s">
        <v>197</v>
      </c>
      <c r="J392" t="s">
        <v>197</v>
      </c>
      <c r="K392" t="s">
        <v>671</v>
      </c>
    </row>
    <row r="393" spans="1:24">
      <c r="B393" t="s">
        <v>197</v>
      </c>
      <c r="C393" t="s">
        <v>197</v>
      </c>
      <c r="D393" t="s">
        <v>197</v>
      </c>
      <c r="E393" t="s">
        <v>197</v>
      </c>
      <c r="F393" t="s">
        <v>197</v>
      </c>
      <c r="G393" t="s">
        <v>197</v>
      </c>
      <c r="H393" t="s">
        <v>197</v>
      </c>
      <c r="I393" t="s">
        <v>197</v>
      </c>
      <c r="J393" t="s">
        <v>197</v>
      </c>
      <c r="K393" t="s">
        <v>672</v>
      </c>
    </row>
    <row r="394" spans="1:24">
      <c r="B394" t="s">
        <v>197</v>
      </c>
      <c r="C394" t="s">
        <v>197</v>
      </c>
      <c r="D394" t="s">
        <v>197</v>
      </c>
      <c r="E394" t="s">
        <v>197</v>
      </c>
      <c r="F394" t="s">
        <v>197</v>
      </c>
      <c r="G394" t="s">
        <v>197</v>
      </c>
      <c r="H394" t="s">
        <v>197</v>
      </c>
      <c r="I394" t="s">
        <v>197</v>
      </c>
      <c r="J394" t="s">
        <v>197</v>
      </c>
      <c r="K394" t="s">
        <v>673</v>
      </c>
    </row>
    <row r="395" spans="1:24">
      <c r="B395" t="s">
        <v>197</v>
      </c>
      <c r="C395" t="s">
        <v>197</v>
      </c>
      <c r="D395" t="s">
        <v>197</v>
      </c>
      <c r="E395" t="s">
        <v>197</v>
      </c>
      <c r="F395" t="s">
        <v>197</v>
      </c>
      <c r="G395" t="s">
        <v>197</v>
      </c>
      <c r="H395" t="s">
        <v>197</v>
      </c>
      <c r="I395" t="s">
        <v>197</v>
      </c>
      <c r="J395" t="s">
        <v>197</v>
      </c>
      <c r="K395" t="s">
        <v>674</v>
      </c>
    </row>
    <row r="396" spans="1:24">
      <c r="K396" t="s">
        <v>443</v>
      </c>
    </row>
    <row r="397" spans="1:24">
      <c r="A397" t="s">
        <v>727</v>
      </c>
      <c r="K397" t="s">
        <v>728</v>
      </c>
      <c r="W397" t="s">
        <v>171</v>
      </c>
      <c r="X397" t="str">
        <f>A397</f>
        <v>info_nvarchar_dml_single_pk_irp</v>
      </c>
    </row>
    <row r="398" spans="1:24">
      <c r="B398" t="s">
        <v>196</v>
      </c>
      <c r="C398" t="s">
        <v>197</v>
      </c>
      <c r="D398" t="s">
        <v>197</v>
      </c>
      <c r="E398" t="s">
        <v>197</v>
      </c>
      <c r="F398" t="s">
        <v>197</v>
      </c>
      <c r="G398" t="s">
        <v>197</v>
      </c>
      <c r="H398" t="s">
        <v>197</v>
      </c>
      <c r="I398" t="s">
        <v>729</v>
      </c>
      <c r="J398" t="s">
        <v>199</v>
      </c>
      <c r="K398" t="s">
        <v>200</v>
      </c>
    </row>
    <row r="399" spans="1:24">
      <c r="B399" t="s">
        <v>197</v>
      </c>
      <c r="C399" t="s">
        <v>197</v>
      </c>
      <c r="D399" t="s">
        <v>197</v>
      </c>
      <c r="E399" t="s">
        <v>197</v>
      </c>
      <c r="F399" t="s">
        <v>197</v>
      </c>
      <c r="G399" t="s">
        <v>197</v>
      </c>
      <c r="H399" t="s">
        <v>197</v>
      </c>
      <c r="I399" t="s">
        <v>197</v>
      </c>
      <c r="J399" t="s">
        <v>197</v>
      </c>
      <c r="K399" t="s">
        <v>408</v>
      </c>
    </row>
    <row r="400" spans="1:24">
      <c r="B400" t="s">
        <v>197</v>
      </c>
      <c r="C400" t="s">
        <v>197</v>
      </c>
      <c r="D400" t="s">
        <v>197</v>
      </c>
      <c r="E400" t="s">
        <v>197</v>
      </c>
      <c r="F400" t="s">
        <v>197</v>
      </c>
      <c r="G400" t="s">
        <v>197</v>
      </c>
      <c r="H400" t="s">
        <v>197</v>
      </c>
      <c r="I400" t="s">
        <v>197</v>
      </c>
      <c r="J400" t="s">
        <v>197</v>
      </c>
      <c r="K400" t="s">
        <v>412</v>
      </c>
    </row>
    <row r="401" spans="1:24">
      <c r="B401" t="s">
        <v>197</v>
      </c>
      <c r="C401" t="s">
        <v>197</v>
      </c>
      <c r="D401" t="s">
        <v>197</v>
      </c>
      <c r="E401" t="s">
        <v>197</v>
      </c>
      <c r="F401" t="s">
        <v>197</v>
      </c>
      <c r="G401" t="s">
        <v>197</v>
      </c>
      <c r="H401" t="s">
        <v>197</v>
      </c>
      <c r="I401" t="s">
        <v>197</v>
      </c>
      <c r="J401" t="s">
        <v>197</v>
      </c>
      <c r="K401" t="s">
        <v>730</v>
      </c>
    </row>
    <row r="402" spans="1:24">
      <c r="A402" t="s">
        <v>734</v>
      </c>
      <c r="K402" t="s">
        <v>735</v>
      </c>
      <c r="W402" t="s">
        <v>171</v>
      </c>
      <c r="X402" t="str">
        <f>A402</f>
        <v>info_varcharmax_dml_batch1_pk_irp2</v>
      </c>
    </row>
    <row r="403" spans="1:24">
      <c r="B403" t="s">
        <v>196</v>
      </c>
      <c r="C403" t="s">
        <v>197</v>
      </c>
      <c r="D403" t="s">
        <v>197</v>
      </c>
      <c r="E403" t="s">
        <v>197</v>
      </c>
      <c r="F403" t="s">
        <v>197</v>
      </c>
      <c r="G403" t="s">
        <v>197</v>
      </c>
      <c r="H403" t="s">
        <v>197</v>
      </c>
      <c r="I403" t="s">
        <v>736</v>
      </c>
      <c r="J403" t="s">
        <v>199</v>
      </c>
      <c r="K403" t="s">
        <v>200</v>
      </c>
    </row>
    <row r="404" spans="1:24">
      <c r="B404" t="s">
        <v>197</v>
      </c>
      <c r="C404" t="s">
        <v>197</v>
      </c>
      <c r="D404" t="s">
        <v>197</v>
      </c>
      <c r="E404" t="s">
        <v>197</v>
      </c>
      <c r="F404" t="s">
        <v>197</v>
      </c>
      <c r="G404" t="s">
        <v>197</v>
      </c>
      <c r="H404" t="s">
        <v>197</v>
      </c>
      <c r="I404" t="s">
        <v>197</v>
      </c>
      <c r="J404" t="s">
        <v>197</v>
      </c>
      <c r="K404" t="s">
        <v>725</v>
      </c>
    </row>
    <row r="405" spans="1:24">
      <c r="B405" t="s">
        <v>197</v>
      </c>
      <c r="C405" t="s">
        <v>197</v>
      </c>
      <c r="D405" t="s">
        <v>197</v>
      </c>
      <c r="E405" t="s">
        <v>197</v>
      </c>
      <c r="F405" t="s">
        <v>197</v>
      </c>
      <c r="G405" t="s">
        <v>197</v>
      </c>
      <c r="H405" t="s">
        <v>197</v>
      </c>
      <c r="I405" t="s">
        <v>197</v>
      </c>
      <c r="J405" t="s">
        <v>197</v>
      </c>
      <c r="K405" t="s">
        <v>726</v>
      </c>
    </row>
    <row r="406" spans="1:24">
      <c r="K406" t="s">
        <v>443</v>
      </c>
    </row>
    <row r="407" spans="1:24">
      <c r="A407" t="s">
        <v>713</v>
      </c>
      <c r="K407" t="s">
        <v>714</v>
      </c>
      <c r="W407" t="s">
        <v>171</v>
      </c>
      <c r="X407" t="str">
        <f>A407</f>
        <v>info_nchar_dml_batch1_pk_irp2</v>
      </c>
    </row>
    <row r="408" spans="1:24">
      <c r="B408" t="s">
        <v>196</v>
      </c>
      <c r="C408" t="s">
        <v>197</v>
      </c>
      <c r="D408" t="s">
        <v>197</v>
      </c>
      <c r="E408" t="s">
        <v>197</v>
      </c>
      <c r="F408" t="s">
        <v>197</v>
      </c>
      <c r="G408" t="s">
        <v>197</v>
      </c>
      <c r="H408" t="s">
        <v>197</v>
      </c>
      <c r="I408" t="s">
        <v>715</v>
      </c>
      <c r="J408" t="s">
        <v>199</v>
      </c>
      <c r="K408" t="s">
        <v>200</v>
      </c>
    </row>
    <row r="409" spans="1:24">
      <c r="B409" t="s">
        <v>197</v>
      </c>
      <c r="C409" t="s">
        <v>197</v>
      </c>
      <c r="D409" t="s">
        <v>197</v>
      </c>
      <c r="E409" t="s">
        <v>197</v>
      </c>
      <c r="F409" t="s">
        <v>197</v>
      </c>
      <c r="G409" t="s">
        <v>197</v>
      </c>
      <c r="H409" t="s">
        <v>197</v>
      </c>
      <c r="I409" t="s">
        <v>197</v>
      </c>
      <c r="J409" t="s">
        <v>197</v>
      </c>
      <c r="K409" t="s">
        <v>514</v>
      </c>
    </row>
    <row r="410" spans="1:24">
      <c r="B410" t="s">
        <v>197</v>
      </c>
      <c r="C410" t="s">
        <v>197</v>
      </c>
      <c r="D410" t="s">
        <v>197</v>
      </c>
      <c r="E410" t="s">
        <v>197</v>
      </c>
      <c r="F410" t="s">
        <v>197</v>
      </c>
      <c r="G410" t="s">
        <v>197</v>
      </c>
      <c r="H410" t="s">
        <v>197</v>
      </c>
      <c r="I410" t="s">
        <v>197</v>
      </c>
      <c r="J410" t="s">
        <v>197</v>
      </c>
      <c r="K410" t="s">
        <v>516</v>
      </c>
    </row>
    <row r="411" spans="1:24">
      <c r="B411" t="s">
        <v>197</v>
      </c>
      <c r="C411" t="s">
        <v>197</v>
      </c>
      <c r="D411" t="s">
        <v>197</v>
      </c>
      <c r="E411" t="s">
        <v>197</v>
      </c>
      <c r="F411" t="s">
        <v>197</v>
      </c>
      <c r="G411" t="s">
        <v>197</v>
      </c>
      <c r="H411" t="s">
        <v>197</v>
      </c>
      <c r="I411" t="s">
        <v>197</v>
      </c>
      <c r="J411" t="s">
        <v>197</v>
      </c>
      <c r="K411" t="s">
        <v>612</v>
      </c>
    </row>
    <row r="412" spans="1:24">
      <c r="A412" t="s">
        <v>740</v>
      </c>
      <c r="K412" t="s">
        <v>741</v>
      </c>
      <c r="W412" t="s">
        <v>171</v>
      </c>
      <c r="X412" t="str">
        <f>A412</f>
        <v>info_datetime2_dml_batch1_pk_drp2</v>
      </c>
    </row>
    <row r="413" spans="1:24">
      <c r="B413" t="s">
        <v>196</v>
      </c>
      <c r="C413" t="s">
        <v>197</v>
      </c>
      <c r="D413" t="s">
        <v>197</v>
      </c>
      <c r="E413" t="s">
        <v>197</v>
      </c>
      <c r="F413" t="s">
        <v>197</v>
      </c>
      <c r="G413" t="s">
        <v>197</v>
      </c>
      <c r="H413" t="s">
        <v>197</v>
      </c>
      <c r="I413" t="s">
        <v>742</v>
      </c>
      <c r="J413" t="s">
        <v>199</v>
      </c>
      <c r="K413" t="s">
        <v>200</v>
      </c>
    </row>
    <row r="414" spans="1:24">
      <c r="B414" t="s">
        <v>197</v>
      </c>
      <c r="C414" t="s">
        <v>197</v>
      </c>
      <c r="D414" t="s">
        <v>197</v>
      </c>
      <c r="E414" t="s">
        <v>197</v>
      </c>
      <c r="F414" t="s">
        <v>197</v>
      </c>
      <c r="G414" t="s">
        <v>197</v>
      </c>
      <c r="H414" t="s">
        <v>197</v>
      </c>
      <c r="I414" t="s">
        <v>197</v>
      </c>
      <c r="J414" t="s">
        <v>197</v>
      </c>
      <c r="K414" t="s">
        <v>667</v>
      </c>
    </row>
    <row r="415" spans="1:24">
      <c r="B415" t="s">
        <v>197</v>
      </c>
      <c r="C415" t="s">
        <v>197</v>
      </c>
      <c r="D415" t="s">
        <v>197</v>
      </c>
      <c r="E415" t="s">
        <v>197</v>
      </c>
      <c r="F415" t="s">
        <v>197</v>
      </c>
      <c r="G415" t="s">
        <v>197</v>
      </c>
      <c r="H415" t="s">
        <v>197</v>
      </c>
      <c r="I415" t="s">
        <v>197</v>
      </c>
      <c r="J415" t="s">
        <v>197</v>
      </c>
      <c r="K415" t="s">
        <v>668</v>
      </c>
    </row>
    <row r="416" spans="1:24">
      <c r="B416" t="s">
        <v>197</v>
      </c>
      <c r="C416" t="s">
        <v>197</v>
      </c>
      <c r="D416" t="s">
        <v>197</v>
      </c>
      <c r="E416" t="s">
        <v>197</v>
      </c>
      <c r="F416" t="s">
        <v>197</v>
      </c>
      <c r="G416" t="s">
        <v>197</v>
      </c>
      <c r="H416" t="s">
        <v>197</v>
      </c>
      <c r="I416" t="s">
        <v>197</v>
      </c>
      <c r="J416" t="s">
        <v>197</v>
      </c>
      <c r="K416" t="s">
        <v>669</v>
      </c>
    </row>
    <row r="417" spans="1:24">
      <c r="B417" t="s">
        <v>197</v>
      </c>
      <c r="C417" t="s">
        <v>197</v>
      </c>
      <c r="D417" t="s">
        <v>197</v>
      </c>
      <c r="E417" t="s">
        <v>197</v>
      </c>
      <c r="F417" t="s">
        <v>197</v>
      </c>
      <c r="G417" t="s">
        <v>197</v>
      </c>
      <c r="H417" t="s">
        <v>197</v>
      </c>
      <c r="I417" t="s">
        <v>197</v>
      </c>
      <c r="J417" t="s">
        <v>197</v>
      </c>
      <c r="K417" t="s">
        <v>670</v>
      </c>
    </row>
    <row r="418" spans="1:24">
      <c r="B418" t="s">
        <v>197</v>
      </c>
      <c r="C418" t="s">
        <v>197</v>
      </c>
      <c r="D418" t="s">
        <v>197</v>
      </c>
      <c r="E418" t="s">
        <v>197</v>
      </c>
      <c r="F418" t="s">
        <v>197</v>
      </c>
      <c r="G418" t="s">
        <v>197</v>
      </c>
      <c r="H418" t="s">
        <v>197</v>
      </c>
      <c r="I418" t="s">
        <v>197</v>
      </c>
      <c r="J418" t="s">
        <v>197</v>
      </c>
      <c r="K418" t="s">
        <v>671</v>
      </c>
    </row>
    <row r="419" spans="1:24">
      <c r="B419" t="s">
        <v>197</v>
      </c>
      <c r="C419" t="s">
        <v>197</v>
      </c>
      <c r="D419" t="s">
        <v>197</v>
      </c>
      <c r="E419" t="s">
        <v>197</v>
      </c>
      <c r="F419" t="s">
        <v>197</v>
      </c>
      <c r="G419" t="s">
        <v>197</v>
      </c>
      <c r="H419" t="s">
        <v>197</v>
      </c>
      <c r="I419" t="s">
        <v>197</v>
      </c>
      <c r="J419" t="s">
        <v>197</v>
      </c>
      <c r="K419" t="s">
        <v>672</v>
      </c>
    </row>
    <row r="420" spans="1:24">
      <c r="B420" t="s">
        <v>197</v>
      </c>
      <c r="C420" t="s">
        <v>197</v>
      </c>
      <c r="D420" t="s">
        <v>197</v>
      </c>
      <c r="E420" t="s">
        <v>197</v>
      </c>
      <c r="F420" t="s">
        <v>197</v>
      </c>
      <c r="G420" t="s">
        <v>197</v>
      </c>
      <c r="H420" t="s">
        <v>197</v>
      </c>
      <c r="I420" t="s">
        <v>197</v>
      </c>
      <c r="J420" t="s">
        <v>197</v>
      </c>
      <c r="K420" t="s">
        <v>673</v>
      </c>
    </row>
    <row r="421" spans="1:24">
      <c r="B421" t="s">
        <v>197</v>
      </c>
      <c r="C421" t="s">
        <v>197</v>
      </c>
      <c r="D421" t="s">
        <v>197</v>
      </c>
      <c r="E421" t="s">
        <v>197</v>
      </c>
      <c r="F421" t="s">
        <v>197</v>
      </c>
      <c r="G421" t="s">
        <v>197</v>
      </c>
      <c r="H421" t="s">
        <v>197</v>
      </c>
      <c r="I421" t="s">
        <v>197</v>
      </c>
      <c r="J421" t="s">
        <v>197</v>
      </c>
      <c r="K421" t="s">
        <v>674</v>
      </c>
    </row>
    <row r="422" spans="1:24">
      <c r="A422" t="s">
        <v>737</v>
      </c>
      <c r="K422" t="s">
        <v>738</v>
      </c>
      <c r="W422" t="s">
        <v>171</v>
      </c>
      <c r="X422" t="str">
        <f>A422</f>
        <v>info_binary_dml_batch1_pk_irp2</v>
      </c>
    </row>
    <row r="423" spans="1:24">
      <c r="B423" t="s">
        <v>196</v>
      </c>
      <c r="C423" t="s">
        <v>197</v>
      </c>
      <c r="D423" t="s">
        <v>197</v>
      </c>
      <c r="E423" t="s">
        <v>197</v>
      </c>
      <c r="F423" t="s">
        <v>197</v>
      </c>
      <c r="G423" t="s">
        <v>197</v>
      </c>
      <c r="H423" t="s">
        <v>197</v>
      </c>
      <c r="I423" t="s">
        <v>739</v>
      </c>
      <c r="J423" t="s">
        <v>199</v>
      </c>
      <c r="K423" t="s">
        <v>200</v>
      </c>
    </row>
    <row r="424" spans="1:24">
      <c r="B424" t="s">
        <v>197</v>
      </c>
      <c r="C424" t="s">
        <v>197</v>
      </c>
      <c r="D424" t="s">
        <v>197</v>
      </c>
      <c r="E424" t="s">
        <v>197</v>
      </c>
      <c r="F424" t="s">
        <v>197</v>
      </c>
      <c r="G424" t="s">
        <v>197</v>
      </c>
      <c r="H424" t="s">
        <v>197</v>
      </c>
      <c r="I424" t="s">
        <v>197</v>
      </c>
      <c r="J424" t="s">
        <v>197</v>
      </c>
      <c r="K424" t="s">
        <v>691</v>
      </c>
    </row>
    <row r="425" spans="1:24">
      <c r="B425" t="s">
        <v>197</v>
      </c>
      <c r="C425" t="s">
        <v>197</v>
      </c>
      <c r="D425" t="s">
        <v>197</v>
      </c>
      <c r="E425" t="s">
        <v>197</v>
      </c>
      <c r="F425" t="s">
        <v>197</v>
      </c>
      <c r="G425" t="s">
        <v>197</v>
      </c>
      <c r="H425" t="s">
        <v>197</v>
      </c>
      <c r="I425" t="s">
        <v>197</v>
      </c>
      <c r="J425" t="s">
        <v>197</v>
      </c>
      <c r="K425" t="s">
        <v>692</v>
      </c>
    </row>
    <row r="426" spans="1:24">
      <c r="B426" t="s">
        <v>197</v>
      </c>
      <c r="C426" t="s">
        <v>197</v>
      </c>
      <c r="D426" t="s">
        <v>197</v>
      </c>
      <c r="E426" t="s">
        <v>197</v>
      </c>
      <c r="F426" t="s">
        <v>197</v>
      </c>
      <c r="G426" t="s">
        <v>197</v>
      </c>
      <c r="H426" t="s">
        <v>197</v>
      </c>
      <c r="I426" t="s">
        <v>197</v>
      </c>
      <c r="J426" t="s">
        <v>197</v>
      </c>
      <c r="K426" t="s">
        <v>693</v>
      </c>
    </row>
    <row r="427" spans="1:24">
      <c r="A427" t="s">
        <v>743</v>
      </c>
      <c r="K427" t="s">
        <v>744</v>
      </c>
      <c r="W427" t="s">
        <v>171</v>
      </c>
      <c r="X427" t="str">
        <f>A427</f>
        <v>info_hierarchyid_dml_single_pk_urp</v>
      </c>
    </row>
    <row r="428" spans="1:24">
      <c r="B428" t="s">
        <v>196</v>
      </c>
      <c r="C428" t="s">
        <v>197</v>
      </c>
      <c r="D428" t="s">
        <v>197</v>
      </c>
      <c r="E428" t="s">
        <v>197</v>
      </c>
      <c r="F428" t="s">
        <v>197</v>
      </c>
      <c r="G428" t="s">
        <v>197</v>
      </c>
      <c r="H428" t="s">
        <v>197</v>
      </c>
      <c r="I428" t="s">
        <v>745</v>
      </c>
      <c r="J428" t="s">
        <v>199</v>
      </c>
      <c r="K428" t="s">
        <v>200</v>
      </c>
    </row>
    <row r="429" spans="1:24">
      <c r="B429" t="s">
        <v>197</v>
      </c>
      <c r="C429" t="s">
        <v>197</v>
      </c>
      <c r="D429" t="s">
        <v>197</v>
      </c>
      <c r="E429" t="s">
        <v>197</v>
      </c>
      <c r="F429" t="s">
        <v>197</v>
      </c>
      <c r="G429" t="s">
        <v>197</v>
      </c>
      <c r="H429" t="s">
        <v>197</v>
      </c>
      <c r="I429" t="s">
        <v>197</v>
      </c>
      <c r="J429" t="s">
        <v>197</v>
      </c>
      <c r="K429" t="s">
        <v>706</v>
      </c>
    </row>
    <row r="430" spans="1:24">
      <c r="A430" t="s">
        <v>746</v>
      </c>
      <c r="K430" t="s">
        <v>747</v>
      </c>
      <c r="W430" t="s">
        <v>171</v>
      </c>
      <c r="X430" t="str">
        <f>A430</f>
        <v>info_nvarchar_dml_single_pk_urp</v>
      </c>
    </row>
    <row r="431" spans="1:24">
      <c r="B431" t="s">
        <v>196</v>
      </c>
      <c r="C431" t="s">
        <v>197</v>
      </c>
      <c r="D431" t="s">
        <v>197</v>
      </c>
      <c r="E431" t="s">
        <v>197</v>
      </c>
      <c r="F431" t="s">
        <v>197</v>
      </c>
      <c r="G431" t="s">
        <v>197</v>
      </c>
      <c r="H431" t="s">
        <v>197</v>
      </c>
      <c r="I431" t="s">
        <v>748</v>
      </c>
      <c r="J431" t="s">
        <v>199</v>
      </c>
      <c r="K431" t="s">
        <v>200</v>
      </c>
    </row>
    <row r="432" spans="1:24">
      <c r="B432" t="s">
        <v>197</v>
      </c>
      <c r="C432" t="s">
        <v>197</v>
      </c>
      <c r="D432" t="s">
        <v>197</v>
      </c>
      <c r="E432" t="s">
        <v>197</v>
      </c>
      <c r="F432" t="s">
        <v>197</v>
      </c>
      <c r="G432" t="s">
        <v>197</v>
      </c>
      <c r="H432" t="s">
        <v>197</v>
      </c>
      <c r="I432" t="s">
        <v>197</v>
      </c>
      <c r="J432" t="s">
        <v>197</v>
      </c>
      <c r="K432" t="s">
        <v>408</v>
      </c>
    </row>
    <row r="433" spans="1:24">
      <c r="B433" t="s">
        <v>197</v>
      </c>
      <c r="C433" t="s">
        <v>197</v>
      </c>
      <c r="D433" t="s">
        <v>197</v>
      </c>
      <c r="E433" t="s">
        <v>197</v>
      </c>
      <c r="F433" t="s">
        <v>197</v>
      </c>
      <c r="G433" t="s">
        <v>197</v>
      </c>
      <c r="H433" t="s">
        <v>197</v>
      </c>
      <c r="I433" t="s">
        <v>197</v>
      </c>
      <c r="J433" t="s">
        <v>197</v>
      </c>
      <c r="K433" t="s">
        <v>412</v>
      </c>
    </row>
    <row r="434" spans="1:24">
      <c r="B434" t="s">
        <v>197</v>
      </c>
      <c r="C434" t="s">
        <v>197</v>
      </c>
      <c r="D434" t="s">
        <v>197</v>
      </c>
      <c r="E434" t="s">
        <v>197</v>
      </c>
      <c r="F434" t="s">
        <v>197</v>
      </c>
      <c r="G434" t="s">
        <v>197</v>
      </c>
      <c r="H434" t="s">
        <v>197</v>
      </c>
      <c r="I434" t="s">
        <v>197</v>
      </c>
      <c r="J434" t="s">
        <v>197</v>
      </c>
      <c r="K434" t="s">
        <v>730</v>
      </c>
    </row>
    <row r="435" spans="1:24">
      <c r="A435" t="s">
        <v>749</v>
      </c>
      <c r="K435" t="s">
        <v>750</v>
      </c>
      <c r="W435" t="s">
        <v>171</v>
      </c>
      <c r="X435" t="str">
        <f>A435</f>
        <v>info_datetime2_dml_batch1_pk</v>
      </c>
    </row>
    <row r="436" spans="1:24">
      <c r="B436" t="s">
        <v>196</v>
      </c>
      <c r="C436" t="s">
        <v>197</v>
      </c>
      <c r="D436" t="s">
        <v>197</v>
      </c>
      <c r="E436" t="s">
        <v>197</v>
      </c>
      <c r="F436" t="s">
        <v>197</v>
      </c>
      <c r="G436" t="s">
        <v>197</v>
      </c>
      <c r="H436" t="s">
        <v>197</v>
      </c>
      <c r="I436" t="s">
        <v>751</v>
      </c>
      <c r="J436" t="s">
        <v>199</v>
      </c>
      <c r="K436" t="s">
        <v>200</v>
      </c>
    </row>
    <row r="437" spans="1:24">
      <c r="B437" t="s">
        <v>197</v>
      </c>
      <c r="C437" t="s">
        <v>197</v>
      </c>
      <c r="D437" t="s">
        <v>197</v>
      </c>
      <c r="E437" t="s">
        <v>197</v>
      </c>
      <c r="F437" t="s">
        <v>197</v>
      </c>
      <c r="G437" t="s">
        <v>197</v>
      </c>
      <c r="H437" t="s">
        <v>197</v>
      </c>
      <c r="I437" t="s">
        <v>197</v>
      </c>
      <c r="J437" t="s">
        <v>197</v>
      </c>
      <c r="K437" t="s">
        <v>667</v>
      </c>
    </row>
    <row r="438" spans="1:24">
      <c r="B438" t="s">
        <v>197</v>
      </c>
      <c r="C438" t="s">
        <v>197</v>
      </c>
      <c r="D438" t="s">
        <v>197</v>
      </c>
      <c r="E438" t="s">
        <v>197</v>
      </c>
      <c r="F438" t="s">
        <v>197</v>
      </c>
      <c r="G438" t="s">
        <v>197</v>
      </c>
      <c r="H438" t="s">
        <v>197</v>
      </c>
      <c r="I438" t="s">
        <v>197</v>
      </c>
      <c r="J438" t="s">
        <v>197</v>
      </c>
      <c r="K438" t="s">
        <v>668</v>
      </c>
    </row>
    <row r="439" spans="1:24">
      <c r="B439" t="s">
        <v>197</v>
      </c>
      <c r="C439" t="s">
        <v>197</v>
      </c>
      <c r="D439" t="s">
        <v>197</v>
      </c>
      <c r="E439" t="s">
        <v>197</v>
      </c>
      <c r="F439" t="s">
        <v>197</v>
      </c>
      <c r="G439" t="s">
        <v>197</v>
      </c>
      <c r="H439" t="s">
        <v>197</v>
      </c>
      <c r="I439" t="s">
        <v>197</v>
      </c>
      <c r="J439" t="s">
        <v>197</v>
      </c>
      <c r="K439" t="s">
        <v>669</v>
      </c>
    </row>
    <row r="440" spans="1:24">
      <c r="B440" t="s">
        <v>197</v>
      </c>
      <c r="C440" t="s">
        <v>197</v>
      </c>
      <c r="D440" t="s">
        <v>197</v>
      </c>
      <c r="E440" t="s">
        <v>197</v>
      </c>
      <c r="F440" t="s">
        <v>197</v>
      </c>
      <c r="G440" t="s">
        <v>197</v>
      </c>
      <c r="H440" t="s">
        <v>197</v>
      </c>
      <c r="I440" t="s">
        <v>197</v>
      </c>
      <c r="J440" t="s">
        <v>197</v>
      </c>
      <c r="K440" t="s">
        <v>670</v>
      </c>
    </row>
    <row r="441" spans="1:24">
      <c r="B441" t="s">
        <v>197</v>
      </c>
      <c r="C441" t="s">
        <v>197</v>
      </c>
      <c r="D441" t="s">
        <v>197</v>
      </c>
      <c r="E441" t="s">
        <v>197</v>
      </c>
      <c r="F441" t="s">
        <v>197</v>
      </c>
      <c r="G441" t="s">
        <v>197</v>
      </c>
      <c r="H441" t="s">
        <v>197</v>
      </c>
      <c r="I441" t="s">
        <v>197</v>
      </c>
      <c r="J441" t="s">
        <v>197</v>
      </c>
      <c r="K441" t="s">
        <v>671</v>
      </c>
    </row>
    <row r="442" spans="1:24">
      <c r="B442" t="s">
        <v>197</v>
      </c>
      <c r="C442" t="s">
        <v>197</v>
      </c>
      <c r="D442" t="s">
        <v>197</v>
      </c>
      <c r="E442" t="s">
        <v>197</v>
      </c>
      <c r="F442" t="s">
        <v>197</v>
      </c>
      <c r="G442" t="s">
        <v>197</v>
      </c>
      <c r="H442" t="s">
        <v>197</v>
      </c>
      <c r="I442" t="s">
        <v>197</v>
      </c>
      <c r="J442" t="s">
        <v>197</v>
      </c>
      <c r="K442" t="s">
        <v>672</v>
      </c>
    </row>
    <row r="443" spans="1:24">
      <c r="B443" t="s">
        <v>197</v>
      </c>
      <c r="C443" t="s">
        <v>197</v>
      </c>
      <c r="D443" t="s">
        <v>197</v>
      </c>
      <c r="E443" t="s">
        <v>197</v>
      </c>
      <c r="F443" t="s">
        <v>197</v>
      </c>
      <c r="G443" t="s">
        <v>197</v>
      </c>
      <c r="H443" t="s">
        <v>197</v>
      </c>
      <c r="I443" t="s">
        <v>197</v>
      </c>
      <c r="J443" t="s">
        <v>197</v>
      </c>
      <c r="K443" t="s">
        <v>673</v>
      </c>
    </row>
    <row r="444" spans="1:24">
      <c r="B444" t="s">
        <v>197</v>
      </c>
      <c r="C444" t="s">
        <v>197</v>
      </c>
      <c r="D444" t="s">
        <v>197</v>
      </c>
      <c r="E444" t="s">
        <v>197</v>
      </c>
      <c r="F444" t="s">
        <v>197</v>
      </c>
      <c r="G444" t="s">
        <v>197</v>
      </c>
      <c r="H444" t="s">
        <v>197</v>
      </c>
      <c r="I444" t="s">
        <v>197</v>
      </c>
      <c r="J444" t="s">
        <v>197</v>
      </c>
      <c r="K444" t="s">
        <v>674</v>
      </c>
    </row>
    <row r="445" spans="1:24">
      <c r="A445" t="s">
        <v>752</v>
      </c>
      <c r="K445" t="s">
        <v>753</v>
      </c>
      <c r="W445" t="s">
        <v>171</v>
      </c>
      <c r="X445" t="str">
        <f>A445</f>
        <v>info_nchar_dml_batch2_pk_irp1</v>
      </c>
    </row>
    <row r="446" spans="1:24">
      <c r="B446" t="s">
        <v>196</v>
      </c>
      <c r="C446" t="s">
        <v>197</v>
      </c>
      <c r="D446" t="s">
        <v>197</v>
      </c>
      <c r="E446" t="s">
        <v>197</v>
      </c>
      <c r="F446" t="s">
        <v>197</v>
      </c>
      <c r="G446" t="s">
        <v>197</v>
      </c>
      <c r="H446" t="s">
        <v>197</v>
      </c>
      <c r="I446" t="s">
        <v>754</v>
      </c>
      <c r="J446" t="s">
        <v>199</v>
      </c>
      <c r="K446" t="s">
        <v>200</v>
      </c>
    </row>
    <row r="447" spans="1:24">
      <c r="B447" t="s">
        <v>197</v>
      </c>
      <c r="C447" t="s">
        <v>197</v>
      </c>
      <c r="D447" t="s">
        <v>197</v>
      </c>
      <c r="E447" t="s">
        <v>197</v>
      </c>
      <c r="F447" t="s">
        <v>197</v>
      </c>
      <c r="G447" t="s">
        <v>197</v>
      </c>
      <c r="H447" t="s">
        <v>197</v>
      </c>
      <c r="I447" t="s">
        <v>197</v>
      </c>
      <c r="J447" t="s">
        <v>197</v>
      </c>
      <c r="K447" t="s">
        <v>514</v>
      </c>
    </row>
    <row r="448" spans="1:24">
      <c r="B448" t="s">
        <v>197</v>
      </c>
      <c r="C448" t="s">
        <v>197</v>
      </c>
      <c r="D448" t="s">
        <v>197</v>
      </c>
      <c r="E448" t="s">
        <v>197</v>
      </c>
      <c r="F448" t="s">
        <v>197</v>
      </c>
      <c r="G448" t="s">
        <v>197</v>
      </c>
      <c r="H448" t="s">
        <v>197</v>
      </c>
      <c r="I448" t="s">
        <v>197</v>
      </c>
      <c r="J448" t="s">
        <v>197</v>
      </c>
      <c r="K448" t="s">
        <v>516</v>
      </c>
    </row>
    <row r="449" spans="1:24">
      <c r="B449" t="s">
        <v>197</v>
      </c>
      <c r="C449" t="s">
        <v>197</v>
      </c>
      <c r="D449" t="s">
        <v>197</v>
      </c>
      <c r="E449" t="s">
        <v>197</v>
      </c>
      <c r="F449" t="s">
        <v>197</v>
      </c>
      <c r="G449" t="s">
        <v>197</v>
      </c>
      <c r="H449" t="s">
        <v>197</v>
      </c>
      <c r="I449" t="s">
        <v>197</v>
      </c>
      <c r="J449" t="s">
        <v>197</v>
      </c>
      <c r="K449" t="s">
        <v>612</v>
      </c>
    </row>
    <row r="450" spans="1:24">
      <c r="A450" t="s">
        <v>755</v>
      </c>
      <c r="K450" t="s">
        <v>756</v>
      </c>
      <c r="W450" t="s">
        <v>171</v>
      </c>
      <c r="X450" t="str">
        <f>A450</f>
        <v>info_binary_dml_batch2_pk_irp1</v>
      </c>
    </row>
    <row r="451" spans="1:24">
      <c r="B451" t="s">
        <v>196</v>
      </c>
      <c r="C451" t="s">
        <v>197</v>
      </c>
      <c r="D451" t="s">
        <v>197</v>
      </c>
      <c r="E451" t="s">
        <v>197</v>
      </c>
      <c r="F451" t="s">
        <v>197</v>
      </c>
      <c r="G451" t="s">
        <v>197</v>
      </c>
      <c r="H451" t="s">
        <v>197</v>
      </c>
      <c r="I451" t="s">
        <v>757</v>
      </c>
      <c r="J451" t="s">
        <v>199</v>
      </c>
      <c r="K451" t="s">
        <v>200</v>
      </c>
    </row>
    <row r="452" spans="1:24">
      <c r="B452" t="s">
        <v>197</v>
      </c>
      <c r="C452" t="s">
        <v>197</v>
      </c>
      <c r="D452" t="s">
        <v>197</v>
      </c>
      <c r="E452" t="s">
        <v>197</v>
      </c>
      <c r="F452" t="s">
        <v>197</v>
      </c>
      <c r="G452" t="s">
        <v>197</v>
      </c>
      <c r="H452" t="s">
        <v>197</v>
      </c>
      <c r="I452" t="s">
        <v>197</v>
      </c>
      <c r="J452" t="s">
        <v>197</v>
      </c>
      <c r="K452" t="s">
        <v>691</v>
      </c>
    </row>
    <row r="453" spans="1:24">
      <c r="B453" t="s">
        <v>197</v>
      </c>
      <c r="C453" t="s">
        <v>197</v>
      </c>
      <c r="D453" t="s">
        <v>197</v>
      </c>
      <c r="E453" t="s">
        <v>197</v>
      </c>
      <c r="F453" t="s">
        <v>197</v>
      </c>
      <c r="G453" t="s">
        <v>197</v>
      </c>
      <c r="H453" t="s">
        <v>197</v>
      </c>
      <c r="I453" t="s">
        <v>197</v>
      </c>
      <c r="J453" t="s">
        <v>197</v>
      </c>
      <c r="K453" t="s">
        <v>692</v>
      </c>
    </row>
    <row r="454" spans="1:24">
      <c r="B454" t="s">
        <v>197</v>
      </c>
      <c r="C454" t="s">
        <v>197</v>
      </c>
      <c r="D454" t="s">
        <v>197</v>
      </c>
      <c r="E454" t="s">
        <v>197</v>
      </c>
      <c r="F454" t="s">
        <v>197</v>
      </c>
      <c r="G454" t="s">
        <v>197</v>
      </c>
      <c r="H454" t="s">
        <v>197</v>
      </c>
      <c r="I454" t="s">
        <v>197</v>
      </c>
      <c r="J454" t="s">
        <v>197</v>
      </c>
      <c r="K454" t="s">
        <v>693</v>
      </c>
    </row>
    <row r="455" spans="1:24">
      <c r="A455" t="s">
        <v>758</v>
      </c>
      <c r="K455" t="s">
        <v>759</v>
      </c>
      <c r="W455" t="s">
        <v>171</v>
      </c>
      <c r="X455" t="str">
        <f>A455</f>
        <v>info_date_dml_single_pk_drp</v>
      </c>
    </row>
    <row r="456" spans="1:24">
      <c r="B456" t="s">
        <v>196</v>
      </c>
      <c r="C456" t="s">
        <v>197</v>
      </c>
      <c r="D456" t="s">
        <v>197</v>
      </c>
      <c r="E456" t="s">
        <v>197</v>
      </c>
      <c r="F456" t="s">
        <v>197</v>
      </c>
      <c r="G456" t="s">
        <v>197</v>
      </c>
      <c r="H456" t="s">
        <v>197</v>
      </c>
      <c r="I456" t="s">
        <v>760</v>
      </c>
      <c r="J456" t="s">
        <v>199</v>
      </c>
      <c r="K456" t="s">
        <v>200</v>
      </c>
    </row>
    <row r="457" spans="1:24">
      <c r="B457" t="s">
        <v>197</v>
      </c>
      <c r="C457" t="s">
        <v>197</v>
      </c>
      <c r="D457" t="s">
        <v>197</v>
      </c>
      <c r="E457" t="s">
        <v>197</v>
      </c>
      <c r="F457" t="s">
        <v>197</v>
      </c>
      <c r="G457" t="s">
        <v>197</v>
      </c>
      <c r="H457" t="s">
        <v>197</v>
      </c>
      <c r="I457" t="s">
        <v>197</v>
      </c>
      <c r="J457" t="s">
        <v>197</v>
      </c>
      <c r="K457" t="s">
        <v>678</v>
      </c>
    </row>
    <row r="458" spans="1:24">
      <c r="A458" t="s">
        <v>761</v>
      </c>
      <c r="K458" t="s">
        <v>762</v>
      </c>
      <c r="W458" t="s">
        <v>171</v>
      </c>
      <c r="X458" t="str">
        <f>A458</f>
        <v>info_hierarchyid_dml_single_pk_drp</v>
      </c>
    </row>
    <row r="459" spans="1:24">
      <c r="B459" t="s">
        <v>196</v>
      </c>
      <c r="C459" t="s">
        <v>197</v>
      </c>
      <c r="D459" t="s">
        <v>197</v>
      </c>
      <c r="E459" t="s">
        <v>197</v>
      </c>
      <c r="F459" t="s">
        <v>197</v>
      </c>
      <c r="G459" t="s">
        <v>197</v>
      </c>
      <c r="H459" t="s">
        <v>197</v>
      </c>
      <c r="I459" t="s">
        <v>763</v>
      </c>
      <c r="J459" t="s">
        <v>199</v>
      </c>
      <c r="K459" t="s">
        <v>200</v>
      </c>
    </row>
    <row r="460" spans="1:24">
      <c r="B460" t="s">
        <v>197</v>
      </c>
      <c r="C460" t="s">
        <v>197</v>
      </c>
      <c r="D460" t="s">
        <v>197</v>
      </c>
      <c r="E460" t="s">
        <v>197</v>
      </c>
      <c r="F460" t="s">
        <v>197</v>
      </c>
      <c r="G460" t="s">
        <v>197</v>
      </c>
      <c r="H460" t="s">
        <v>197</v>
      </c>
      <c r="I460" t="s">
        <v>197</v>
      </c>
      <c r="J460" t="s">
        <v>197</v>
      </c>
      <c r="K460" t="s">
        <v>706</v>
      </c>
    </row>
    <row r="461" spans="1:24">
      <c r="A461" t="s">
        <v>764</v>
      </c>
      <c r="K461" t="s">
        <v>765</v>
      </c>
      <c r="W461" t="s">
        <v>171</v>
      </c>
      <c r="X461" t="str">
        <f>A461</f>
        <v>info_datetimeoffset_dml_batch1_pk_irp1</v>
      </c>
    </row>
    <row r="462" spans="1:24">
      <c r="B462" t="s">
        <v>196</v>
      </c>
      <c r="C462" t="s">
        <v>197</v>
      </c>
      <c r="D462" t="s">
        <v>197</v>
      </c>
      <c r="E462" t="s">
        <v>197</v>
      </c>
      <c r="F462" t="s">
        <v>197</v>
      </c>
      <c r="G462" t="s">
        <v>197</v>
      </c>
      <c r="H462" t="s">
        <v>197</v>
      </c>
      <c r="I462" t="s">
        <v>766</v>
      </c>
      <c r="J462" t="s">
        <v>199</v>
      </c>
      <c r="K462" t="s">
        <v>200</v>
      </c>
    </row>
    <row r="463" spans="1:24">
      <c r="B463" t="s">
        <v>197</v>
      </c>
      <c r="C463" t="s">
        <v>197</v>
      </c>
      <c r="D463" t="s">
        <v>197</v>
      </c>
      <c r="E463" t="s">
        <v>197</v>
      </c>
      <c r="F463" t="s">
        <v>197</v>
      </c>
      <c r="G463" t="s">
        <v>197</v>
      </c>
      <c r="H463" t="s">
        <v>197</v>
      </c>
      <c r="I463" t="s">
        <v>197</v>
      </c>
      <c r="J463" t="s">
        <v>197</v>
      </c>
      <c r="K463" t="s">
        <v>301</v>
      </c>
    </row>
    <row r="464" spans="1:24">
      <c r="B464" t="s">
        <v>197</v>
      </c>
      <c r="C464" t="s">
        <v>197</v>
      </c>
      <c r="D464" t="s">
        <v>197</v>
      </c>
      <c r="E464" t="s">
        <v>197</v>
      </c>
      <c r="F464" t="s">
        <v>197</v>
      </c>
      <c r="G464" t="s">
        <v>197</v>
      </c>
      <c r="H464" t="s">
        <v>197</v>
      </c>
      <c r="I464" t="s">
        <v>197</v>
      </c>
      <c r="J464" t="s">
        <v>197</v>
      </c>
      <c r="K464" t="s">
        <v>314</v>
      </c>
    </row>
    <row r="465" spans="1:24">
      <c r="B465" t="s">
        <v>197</v>
      </c>
      <c r="C465" t="s">
        <v>197</v>
      </c>
      <c r="D465" t="s">
        <v>197</v>
      </c>
      <c r="E465" t="s">
        <v>197</v>
      </c>
      <c r="F465" t="s">
        <v>197</v>
      </c>
      <c r="G465" t="s">
        <v>197</v>
      </c>
      <c r="H465" t="s">
        <v>197</v>
      </c>
      <c r="I465" t="s">
        <v>197</v>
      </c>
      <c r="J465" t="s">
        <v>197</v>
      </c>
      <c r="K465" t="s">
        <v>324</v>
      </c>
    </row>
    <row r="466" spans="1:24">
      <c r="B466" t="s">
        <v>197</v>
      </c>
      <c r="C466" t="s">
        <v>197</v>
      </c>
      <c r="D466" t="s">
        <v>197</v>
      </c>
      <c r="E466" t="s">
        <v>197</v>
      </c>
      <c r="F466" t="s">
        <v>197</v>
      </c>
      <c r="G466" t="s">
        <v>197</v>
      </c>
      <c r="H466" t="s">
        <v>197</v>
      </c>
      <c r="I466" t="s">
        <v>197</v>
      </c>
      <c r="J466" t="s">
        <v>197</v>
      </c>
      <c r="K466" t="s">
        <v>335</v>
      </c>
    </row>
    <row r="467" spans="1:24">
      <c r="B467" t="s">
        <v>197</v>
      </c>
      <c r="C467" t="s">
        <v>197</v>
      </c>
      <c r="D467" t="s">
        <v>197</v>
      </c>
      <c r="E467" t="s">
        <v>197</v>
      </c>
      <c r="F467" t="s">
        <v>197</v>
      </c>
      <c r="G467" t="s">
        <v>197</v>
      </c>
      <c r="H467" t="s">
        <v>197</v>
      </c>
      <c r="I467" t="s">
        <v>197</v>
      </c>
      <c r="J467" t="s">
        <v>197</v>
      </c>
      <c r="K467" t="s">
        <v>350</v>
      </c>
    </row>
    <row r="468" spans="1:24">
      <c r="B468" t="s">
        <v>197</v>
      </c>
      <c r="C468" t="s">
        <v>197</v>
      </c>
      <c r="D468" t="s">
        <v>197</v>
      </c>
      <c r="E468" t="s">
        <v>197</v>
      </c>
      <c r="F468" t="s">
        <v>197</v>
      </c>
      <c r="G468" t="s">
        <v>197</v>
      </c>
      <c r="H468" t="s">
        <v>197</v>
      </c>
      <c r="I468" t="s">
        <v>197</v>
      </c>
      <c r="J468" t="s">
        <v>197</v>
      </c>
      <c r="K468" t="s">
        <v>360</v>
      </c>
    </row>
    <row r="469" spans="1:24">
      <c r="B469" t="s">
        <v>197</v>
      </c>
      <c r="C469" t="s">
        <v>197</v>
      </c>
      <c r="D469" t="s">
        <v>197</v>
      </c>
      <c r="E469" t="s">
        <v>197</v>
      </c>
      <c r="F469" t="s">
        <v>197</v>
      </c>
      <c r="G469" t="s">
        <v>197</v>
      </c>
      <c r="H469" t="s">
        <v>197</v>
      </c>
      <c r="I469" t="s">
        <v>197</v>
      </c>
      <c r="J469" t="s">
        <v>197</v>
      </c>
      <c r="K469" t="s">
        <v>367</v>
      </c>
    </row>
    <row r="470" spans="1:24">
      <c r="B470" t="s">
        <v>197</v>
      </c>
      <c r="C470" t="s">
        <v>197</v>
      </c>
      <c r="D470" t="s">
        <v>197</v>
      </c>
      <c r="E470" t="s">
        <v>197</v>
      </c>
      <c r="F470" t="s">
        <v>197</v>
      </c>
      <c r="G470" t="s">
        <v>197</v>
      </c>
      <c r="H470" t="s">
        <v>197</v>
      </c>
      <c r="I470" t="s">
        <v>197</v>
      </c>
      <c r="J470" t="s">
        <v>197</v>
      </c>
      <c r="K470" t="s">
        <v>373</v>
      </c>
    </row>
    <row r="471" spans="1:24">
      <c r="A471" t="s">
        <v>770</v>
      </c>
      <c r="K471" t="s">
        <v>771</v>
      </c>
      <c r="W471" t="s">
        <v>171</v>
      </c>
      <c r="X471" t="str">
        <f>A471</f>
        <v>info_date_dml_single_pk</v>
      </c>
    </row>
    <row r="472" spans="1:24">
      <c r="B472" t="s">
        <v>196</v>
      </c>
      <c r="C472" t="s">
        <v>197</v>
      </c>
      <c r="D472" t="s">
        <v>197</v>
      </c>
      <c r="E472" t="s">
        <v>197</v>
      </c>
      <c r="F472" t="s">
        <v>197</v>
      </c>
      <c r="G472" t="s">
        <v>197</v>
      </c>
      <c r="H472" t="s">
        <v>197</v>
      </c>
      <c r="I472" t="s">
        <v>772</v>
      </c>
      <c r="J472" t="s">
        <v>199</v>
      </c>
      <c r="K472" t="s">
        <v>200</v>
      </c>
    </row>
    <row r="473" spans="1:24">
      <c r="B473" t="s">
        <v>197</v>
      </c>
      <c r="C473" t="s">
        <v>197</v>
      </c>
      <c r="D473" t="s">
        <v>197</v>
      </c>
      <c r="E473" t="s">
        <v>197</v>
      </c>
      <c r="F473" t="s">
        <v>197</v>
      </c>
      <c r="G473" t="s">
        <v>197</v>
      </c>
      <c r="H473" t="s">
        <v>197</v>
      </c>
      <c r="I473" t="s">
        <v>197</v>
      </c>
      <c r="J473" t="s">
        <v>197</v>
      </c>
      <c r="K473" t="s">
        <v>678</v>
      </c>
    </row>
    <row r="474" spans="1:24">
      <c r="A474" t="s">
        <v>767</v>
      </c>
      <c r="K474" t="s">
        <v>768</v>
      </c>
      <c r="W474" t="s">
        <v>171</v>
      </c>
      <c r="X474" t="str">
        <f>A474</f>
        <v>info_nchar_dml_batch2_pk_irp2</v>
      </c>
    </row>
    <row r="475" spans="1:24">
      <c r="B475" t="s">
        <v>196</v>
      </c>
      <c r="C475" t="s">
        <v>197</v>
      </c>
      <c r="D475" t="s">
        <v>197</v>
      </c>
      <c r="E475" t="s">
        <v>197</v>
      </c>
      <c r="F475" t="s">
        <v>197</v>
      </c>
      <c r="G475" t="s">
        <v>197</v>
      </c>
      <c r="H475" t="s">
        <v>197</v>
      </c>
      <c r="I475" t="s">
        <v>769</v>
      </c>
      <c r="J475" t="s">
        <v>199</v>
      </c>
      <c r="K475" t="s">
        <v>200</v>
      </c>
    </row>
    <row r="476" spans="1:24">
      <c r="B476" t="s">
        <v>197</v>
      </c>
      <c r="C476" t="s">
        <v>197</v>
      </c>
      <c r="D476" t="s">
        <v>197</v>
      </c>
      <c r="E476" t="s">
        <v>197</v>
      </c>
      <c r="F476" t="s">
        <v>197</v>
      </c>
      <c r="G476" t="s">
        <v>197</v>
      </c>
      <c r="H476" t="s">
        <v>197</v>
      </c>
      <c r="I476" t="s">
        <v>197</v>
      </c>
      <c r="J476" t="s">
        <v>197</v>
      </c>
      <c r="K476" t="s">
        <v>514</v>
      </c>
    </row>
    <row r="477" spans="1:24">
      <c r="B477" t="s">
        <v>197</v>
      </c>
      <c r="C477" t="s">
        <v>197</v>
      </c>
      <c r="D477" t="s">
        <v>197</v>
      </c>
      <c r="E477" t="s">
        <v>197</v>
      </c>
      <c r="F477" t="s">
        <v>197</v>
      </c>
      <c r="G477" t="s">
        <v>197</v>
      </c>
      <c r="H477" t="s">
        <v>197</v>
      </c>
      <c r="I477" t="s">
        <v>197</v>
      </c>
      <c r="J477" t="s">
        <v>197</v>
      </c>
      <c r="K477" t="s">
        <v>516</v>
      </c>
    </row>
    <row r="478" spans="1:24">
      <c r="B478" t="s">
        <v>197</v>
      </c>
      <c r="C478" t="s">
        <v>197</v>
      </c>
      <c r="D478" t="s">
        <v>197</v>
      </c>
      <c r="E478" t="s">
        <v>197</v>
      </c>
      <c r="F478" t="s">
        <v>197</v>
      </c>
      <c r="G478" t="s">
        <v>197</v>
      </c>
      <c r="H478" t="s">
        <v>197</v>
      </c>
      <c r="I478" t="s">
        <v>197</v>
      </c>
      <c r="J478" t="s">
        <v>197</v>
      </c>
      <c r="K478" t="s">
        <v>612</v>
      </c>
    </row>
    <row r="479" spans="1:24">
      <c r="A479" t="s">
        <v>773</v>
      </c>
      <c r="K479" t="s">
        <v>774</v>
      </c>
      <c r="W479" t="s">
        <v>171</v>
      </c>
      <c r="X479" t="str">
        <f>A479</f>
        <v>info_date_dml_batch1_pk_irp1</v>
      </c>
    </row>
    <row r="480" spans="1:24">
      <c r="B480" t="s">
        <v>196</v>
      </c>
      <c r="C480" t="s">
        <v>197</v>
      </c>
      <c r="D480" t="s">
        <v>197</v>
      </c>
      <c r="E480" t="s">
        <v>197</v>
      </c>
      <c r="F480" t="s">
        <v>197</v>
      </c>
      <c r="G480" t="s">
        <v>197</v>
      </c>
      <c r="H480" t="s">
        <v>197</v>
      </c>
      <c r="I480" t="s">
        <v>775</v>
      </c>
      <c r="J480" t="s">
        <v>199</v>
      </c>
      <c r="K480" t="s">
        <v>200</v>
      </c>
    </row>
    <row r="481" spans="1:24">
      <c r="B481" t="s">
        <v>197</v>
      </c>
      <c r="C481" t="s">
        <v>197</v>
      </c>
      <c r="D481" t="s">
        <v>197</v>
      </c>
      <c r="E481" t="s">
        <v>197</v>
      </c>
      <c r="F481" t="s">
        <v>197</v>
      </c>
      <c r="G481" t="s">
        <v>197</v>
      </c>
      <c r="H481" t="s">
        <v>197</v>
      </c>
      <c r="I481" t="s">
        <v>197</v>
      </c>
      <c r="J481" t="s">
        <v>197</v>
      </c>
      <c r="K481" t="s">
        <v>678</v>
      </c>
    </row>
    <row r="482" spans="1:24">
      <c r="K482" t="s">
        <v>443</v>
      </c>
    </row>
    <row r="483" spans="1:24">
      <c r="A483" t="s">
        <v>776</v>
      </c>
      <c r="K483" t="s">
        <v>777</v>
      </c>
      <c r="W483" t="s">
        <v>171</v>
      </c>
      <c r="X483" t="str">
        <f>A483</f>
        <v>info_datetimeoffset_dml_batch1_pk_irp2</v>
      </c>
    </row>
    <row r="484" spans="1:24">
      <c r="B484" t="s">
        <v>196</v>
      </c>
      <c r="C484" t="s">
        <v>197</v>
      </c>
      <c r="D484" t="s">
        <v>197</v>
      </c>
      <c r="E484" t="s">
        <v>197</v>
      </c>
      <c r="F484" t="s">
        <v>197</v>
      </c>
      <c r="G484" t="s">
        <v>197</v>
      </c>
      <c r="H484" t="s">
        <v>197</v>
      </c>
      <c r="I484" t="s">
        <v>778</v>
      </c>
      <c r="J484" t="s">
        <v>199</v>
      </c>
      <c r="K484" t="s">
        <v>200</v>
      </c>
    </row>
    <row r="485" spans="1:24">
      <c r="B485" t="s">
        <v>197</v>
      </c>
      <c r="C485" t="s">
        <v>197</v>
      </c>
      <c r="D485" t="s">
        <v>197</v>
      </c>
      <c r="E485" t="s">
        <v>197</v>
      </c>
      <c r="F485" t="s">
        <v>197</v>
      </c>
      <c r="G485" t="s">
        <v>197</v>
      </c>
      <c r="H485" t="s">
        <v>197</v>
      </c>
      <c r="I485" t="s">
        <v>197</v>
      </c>
      <c r="J485" t="s">
        <v>197</v>
      </c>
      <c r="K485" t="s">
        <v>301</v>
      </c>
    </row>
    <row r="486" spans="1:24">
      <c r="B486" t="s">
        <v>197</v>
      </c>
      <c r="C486" t="s">
        <v>197</v>
      </c>
      <c r="D486" t="s">
        <v>197</v>
      </c>
      <c r="E486" t="s">
        <v>197</v>
      </c>
      <c r="F486" t="s">
        <v>197</v>
      </c>
      <c r="G486" t="s">
        <v>197</v>
      </c>
      <c r="H486" t="s">
        <v>197</v>
      </c>
      <c r="I486" t="s">
        <v>197</v>
      </c>
      <c r="J486" t="s">
        <v>197</v>
      </c>
      <c r="K486" t="s">
        <v>314</v>
      </c>
    </row>
    <row r="487" spans="1:24">
      <c r="B487" t="s">
        <v>197</v>
      </c>
      <c r="C487" t="s">
        <v>197</v>
      </c>
      <c r="D487" t="s">
        <v>197</v>
      </c>
      <c r="E487" t="s">
        <v>197</v>
      </c>
      <c r="F487" t="s">
        <v>197</v>
      </c>
      <c r="G487" t="s">
        <v>197</v>
      </c>
      <c r="H487" t="s">
        <v>197</v>
      </c>
      <c r="I487" t="s">
        <v>197</v>
      </c>
      <c r="J487" t="s">
        <v>197</v>
      </c>
      <c r="K487" t="s">
        <v>324</v>
      </c>
    </row>
    <row r="488" spans="1:24">
      <c r="B488" t="s">
        <v>197</v>
      </c>
      <c r="C488" t="s">
        <v>197</v>
      </c>
      <c r="D488" t="s">
        <v>197</v>
      </c>
      <c r="E488" t="s">
        <v>197</v>
      </c>
      <c r="F488" t="s">
        <v>197</v>
      </c>
      <c r="G488" t="s">
        <v>197</v>
      </c>
      <c r="H488" t="s">
        <v>197</v>
      </c>
      <c r="I488" t="s">
        <v>197</v>
      </c>
      <c r="J488" t="s">
        <v>197</v>
      </c>
      <c r="K488" t="s">
        <v>335</v>
      </c>
    </row>
    <row r="489" spans="1:24">
      <c r="B489" t="s">
        <v>197</v>
      </c>
      <c r="C489" t="s">
        <v>197</v>
      </c>
      <c r="D489" t="s">
        <v>197</v>
      </c>
      <c r="E489" t="s">
        <v>197</v>
      </c>
      <c r="F489" t="s">
        <v>197</v>
      </c>
      <c r="G489" t="s">
        <v>197</v>
      </c>
      <c r="H489" t="s">
        <v>197</v>
      </c>
      <c r="I489" t="s">
        <v>197</v>
      </c>
      <c r="J489" t="s">
        <v>197</v>
      </c>
      <c r="K489" t="s">
        <v>350</v>
      </c>
    </row>
    <row r="490" spans="1:24">
      <c r="B490" t="s">
        <v>197</v>
      </c>
      <c r="C490" t="s">
        <v>197</v>
      </c>
      <c r="D490" t="s">
        <v>197</v>
      </c>
      <c r="E490" t="s">
        <v>197</v>
      </c>
      <c r="F490" t="s">
        <v>197</v>
      </c>
      <c r="G490" t="s">
        <v>197</v>
      </c>
      <c r="H490" t="s">
        <v>197</v>
      </c>
      <c r="I490" t="s">
        <v>197</v>
      </c>
      <c r="J490" t="s">
        <v>197</v>
      </c>
      <c r="K490" t="s">
        <v>360</v>
      </c>
    </row>
    <row r="491" spans="1:24">
      <c r="B491" t="s">
        <v>197</v>
      </c>
      <c r="C491" t="s">
        <v>197</v>
      </c>
      <c r="D491" t="s">
        <v>197</v>
      </c>
      <c r="E491" t="s">
        <v>197</v>
      </c>
      <c r="F491" t="s">
        <v>197</v>
      </c>
      <c r="G491" t="s">
        <v>197</v>
      </c>
      <c r="H491" t="s">
        <v>197</v>
      </c>
      <c r="I491" t="s">
        <v>197</v>
      </c>
      <c r="J491" t="s">
        <v>197</v>
      </c>
      <c r="K491" t="s">
        <v>367</v>
      </c>
    </row>
    <row r="492" spans="1:24">
      <c r="B492" t="s">
        <v>197</v>
      </c>
      <c r="C492" t="s">
        <v>197</v>
      </c>
      <c r="D492" t="s">
        <v>197</v>
      </c>
      <c r="E492" t="s">
        <v>197</v>
      </c>
      <c r="F492" t="s">
        <v>197</v>
      </c>
      <c r="G492" t="s">
        <v>197</v>
      </c>
      <c r="H492" t="s">
        <v>197</v>
      </c>
      <c r="I492" t="s">
        <v>197</v>
      </c>
      <c r="J492" t="s">
        <v>197</v>
      </c>
      <c r="K492" t="s">
        <v>373</v>
      </c>
    </row>
    <row r="493" spans="1:24">
      <c r="A493" t="s">
        <v>779</v>
      </c>
      <c r="K493" t="s">
        <v>780</v>
      </c>
      <c r="W493" t="s">
        <v>171</v>
      </c>
      <c r="X493" t="str">
        <f>A493</f>
        <v>info_binary_dml_batch2_pk_irp2</v>
      </c>
    </row>
    <row r="494" spans="1:24">
      <c r="B494" t="s">
        <v>196</v>
      </c>
      <c r="C494" t="s">
        <v>197</v>
      </c>
      <c r="D494" t="s">
        <v>197</v>
      </c>
      <c r="E494" t="s">
        <v>197</v>
      </c>
      <c r="F494" t="s">
        <v>197</v>
      </c>
      <c r="G494" t="s">
        <v>197</v>
      </c>
      <c r="H494" t="s">
        <v>197</v>
      </c>
      <c r="I494" t="s">
        <v>781</v>
      </c>
      <c r="J494" t="s">
        <v>199</v>
      </c>
      <c r="K494" t="s">
        <v>200</v>
      </c>
    </row>
    <row r="495" spans="1:24">
      <c r="B495" t="s">
        <v>197</v>
      </c>
      <c r="C495" t="s">
        <v>197</v>
      </c>
      <c r="D495" t="s">
        <v>197</v>
      </c>
      <c r="E495" t="s">
        <v>197</v>
      </c>
      <c r="F495" t="s">
        <v>197</v>
      </c>
      <c r="G495" t="s">
        <v>197</v>
      </c>
      <c r="H495" t="s">
        <v>197</v>
      </c>
      <c r="I495" t="s">
        <v>197</v>
      </c>
      <c r="J495" t="s">
        <v>197</v>
      </c>
      <c r="K495" t="s">
        <v>691</v>
      </c>
    </row>
    <row r="496" spans="1:24">
      <c r="B496" t="s">
        <v>197</v>
      </c>
      <c r="C496" t="s">
        <v>197</v>
      </c>
      <c r="D496" t="s">
        <v>197</v>
      </c>
      <c r="E496" t="s">
        <v>197</v>
      </c>
      <c r="F496" t="s">
        <v>197</v>
      </c>
      <c r="G496" t="s">
        <v>197</v>
      </c>
      <c r="H496" t="s">
        <v>197</v>
      </c>
      <c r="I496" t="s">
        <v>197</v>
      </c>
      <c r="J496" t="s">
        <v>197</v>
      </c>
      <c r="K496" t="s">
        <v>692</v>
      </c>
    </row>
    <row r="497" spans="1:24">
      <c r="B497" t="s">
        <v>197</v>
      </c>
      <c r="C497" t="s">
        <v>197</v>
      </c>
      <c r="D497" t="s">
        <v>197</v>
      </c>
      <c r="E497" t="s">
        <v>197</v>
      </c>
      <c r="F497" t="s">
        <v>197</v>
      </c>
      <c r="G497" t="s">
        <v>197</v>
      </c>
      <c r="H497" t="s">
        <v>197</v>
      </c>
      <c r="I497" t="s">
        <v>197</v>
      </c>
      <c r="J497" t="s">
        <v>197</v>
      </c>
      <c r="K497" t="s">
        <v>693</v>
      </c>
    </row>
    <row r="498" spans="1:24">
      <c r="A498" t="s">
        <v>782</v>
      </c>
      <c r="K498" t="s">
        <v>783</v>
      </c>
      <c r="W498" t="s">
        <v>171</v>
      </c>
      <c r="X498" t="str">
        <f>A498</f>
        <v>info_datetimeoffset_dml_batch2_pk_irp1</v>
      </c>
    </row>
    <row r="499" spans="1:24">
      <c r="B499" t="s">
        <v>196</v>
      </c>
      <c r="C499" t="s">
        <v>197</v>
      </c>
      <c r="D499" t="s">
        <v>197</v>
      </c>
      <c r="E499" t="s">
        <v>197</v>
      </c>
      <c r="F499" t="s">
        <v>197</v>
      </c>
      <c r="G499" t="s">
        <v>197</v>
      </c>
      <c r="H499" t="s">
        <v>197</v>
      </c>
      <c r="I499" t="s">
        <v>784</v>
      </c>
      <c r="J499" t="s">
        <v>199</v>
      </c>
      <c r="K499" t="s">
        <v>200</v>
      </c>
    </row>
    <row r="500" spans="1:24">
      <c r="B500" t="s">
        <v>197</v>
      </c>
      <c r="C500" t="s">
        <v>197</v>
      </c>
      <c r="D500" t="s">
        <v>197</v>
      </c>
      <c r="E500" t="s">
        <v>197</v>
      </c>
      <c r="F500" t="s">
        <v>197</v>
      </c>
      <c r="G500" t="s">
        <v>197</v>
      </c>
      <c r="H500" t="s">
        <v>197</v>
      </c>
      <c r="I500" t="s">
        <v>197</v>
      </c>
      <c r="J500" t="s">
        <v>197</v>
      </c>
      <c r="K500" t="s">
        <v>301</v>
      </c>
    </row>
    <row r="501" spans="1:24">
      <c r="B501" t="s">
        <v>197</v>
      </c>
      <c r="C501" t="s">
        <v>197</v>
      </c>
      <c r="D501" t="s">
        <v>197</v>
      </c>
      <c r="E501" t="s">
        <v>197</v>
      </c>
      <c r="F501" t="s">
        <v>197</v>
      </c>
      <c r="G501" t="s">
        <v>197</v>
      </c>
      <c r="H501" t="s">
        <v>197</v>
      </c>
      <c r="I501" t="s">
        <v>197</v>
      </c>
      <c r="J501" t="s">
        <v>197</v>
      </c>
      <c r="K501" t="s">
        <v>314</v>
      </c>
    </row>
    <row r="502" spans="1:24">
      <c r="B502" t="s">
        <v>197</v>
      </c>
      <c r="C502" t="s">
        <v>197</v>
      </c>
      <c r="D502" t="s">
        <v>197</v>
      </c>
      <c r="E502" t="s">
        <v>197</v>
      </c>
      <c r="F502" t="s">
        <v>197</v>
      </c>
      <c r="G502" t="s">
        <v>197</v>
      </c>
      <c r="H502" t="s">
        <v>197</v>
      </c>
      <c r="I502" t="s">
        <v>197</v>
      </c>
      <c r="J502" t="s">
        <v>197</v>
      </c>
      <c r="K502" t="s">
        <v>324</v>
      </c>
    </row>
    <row r="503" spans="1:24">
      <c r="B503" t="s">
        <v>197</v>
      </c>
      <c r="C503" t="s">
        <v>197</v>
      </c>
      <c r="D503" t="s">
        <v>197</v>
      </c>
      <c r="E503" t="s">
        <v>197</v>
      </c>
      <c r="F503" t="s">
        <v>197</v>
      </c>
      <c r="G503" t="s">
        <v>197</v>
      </c>
      <c r="H503" t="s">
        <v>197</v>
      </c>
      <c r="I503" t="s">
        <v>197</v>
      </c>
      <c r="J503" t="s">
        <v>197</v>
      </c>
      <c r="K503" t="s">
        <v>335</v>
      </c>
    </row>
    <row r="504" spans="1:24">
      <c r="B504" t="s">
        <v>197</v>
      </c>
      <c r="C504" t="s">
        <v>197</v>
      </c>
      <c r="D504" t="s">
        <v>197</v>
      </c>
      <c r="E504" t="s">
        <v>197</v>
      </c>
      <c r="F504" t="s">
        <v>197</v>
      </c>
      <c r="G504" t="s">
        <v>197</v>
      </c>
      <c r="H504" t="s">
        <v>197</v>
      </c>
      <c r="I504" t="s">
        <v>197</v>
      </c>
      <c r="J504" t="s">
        <v>197</v>
      </c>
      <c r="K504" t="s">
        <v>350</v>
      </c>
    </row>
    <row r="505" spans="1:24">
      <c r="B505" t="s">
        <v>197</v>
      </c>
      <c r="C505" t="s">
        <v>197</v>
      </c>
      <c r="D505" t="s">
        <v>197</v>
      </c>
      <c r="E505" t="s">
        <v>197</v>
      </c>
      <c r="F505" t="s">
        <v>197</v>
      </c>
      <c r="G505" t="s">
        <v>197</v>
      </c>
      <c r="H505" t="s">
        <v>197</v>
      </c>
      <c r="I505" t="s">
        <v>197</v>
      </c>
      <c r="J505" t="s">
        <v>197</v>
      </c>
      <c r="K505" t="s">
        <v>360</v>
      </c>
    </row>
    <row r="506" spans="1:24">
      <c r="B506" t="s">
        <v>197</v>
      </c>
      <c r="C506" t="s">
        <v>197</v>
      </c>
      <c r="D506" t="s">
        <v>197</v>
      </c>
      <c r="E506" t="s">
        <v>197</v>
      </c>
      <c r="F506" t="s">
        <v>197</v>
      </c>
      <c r="G506" t="s">
        <v>197</v>
      </c>
      <c r="H506" t="s">
        <v>197</v>
      </c>
      <c r="I506" t="s">
        <v>197</v>
      </c>
      <c r="J506" t="s">
        <v>197</v>
      </c>
      <c r="K506" t="s">
        <v>367</v>
      </c>
    </row>
    <row r="507" spans="1:24">
      <c r="B507" t="s">
        <v>197</v>
      </c>
      <c r="C507" t="s">
        <v>197</v>
      </c>
      <c r="D507" t="s">
        <v>197</v>
      </c>
      <c r="E507" t="s">
        <v>197</v>
      </c>
      <c r="F507" t="s">
        <v>197</v>
      </c>
      <c r="G507" t="s">
        <v>197</v>
      </c>
      <c r="H507" t="s">
        <v>197</v>
      </c>
      <c r="I507" t="s">
        <v>197</v>
      </c>
      <c r="J507" t="s">
        <v>197</v>
      </c>
      <c r="K507" t="s">
        <v>373</v>
      </c>
    </row>
    <row r="508" spans="1:24">
      <c r="A508" t="s">
        <v>785</v>
      </c>
      <c r="K508" t="s">
        <v>786</v>
      </c>
      <c r="W508" t="s">
        <v>171</v>
      </c>
      <c r="X508" t="str">
        <f>A508</f>
        <v>info_nvarchar_dml_single_pk_drp</v>
      </c>
    </row>
    <row r="509" spans="1:24">
      <c r="B509" t="s">
        <v>196</v>
      </c>
      <c r="C509" t="s">
        <v>197</v>
      </c>
      <c r="D509" t="s">
        <v>197</v>
      </c>
      <c r="E509" t="s">
        <v>197</v>
      </c>
      <c r="F509" t="s">
        <v>197</v>
      </c>
      <c r="G509" t="s">
        <v>197</v>
      </c>
      <c r="H509" t="s">
        <v>197</v>
      </c>
      <c r="I509" t="s">
        <v>787</v>
      </c>
      <c r="J509" t="s">
        <v>199</v>
      </c>
      <c r="K509" t="s">
        <v>200</v>
      </c>
    </row>
    <row r="510" spans="1:24">
      <c r="B510" t="s">
        <v>197</v>
      </c>
      <c r="C510" t="s">
        <v>197</v>
      </c>
      <c r="D510" t="s">
        <v>197</v>
      </c>
      <c r="E510" t="s">
        <v>197</v>
      </c>
      <c r="F510" t="s">
        <v>197</v>
      </c>
      <c r="G510" t="s">
        <v>197</v>
      </c>
      <c r="H510" t="s">
        <v>197</v>
      </c>
      <c r="I510" t="s">
        <v>197</v>
      </c>
      <c r="J510" t="s">
        <v>197</v>
      </c>
      <c r="K510" t="s">
        <v>408</v>
      </c>
    </row>
    <row r="511" spans="1:24">
      <c r="B511" t="s">
        <v>197</v>
      </c>
      <c r="C511" t="s">
        <v>197</v>
      </c>
      <c r="D511" t="s">
        <v>197</v>
      </c>
      <c r="E511" t="s">
        <v>197</v>
      </c>
      <c r="F511" t="s">
        <v>197</v>
      </c>
      <c r="G511" t="s">
        <v>197</v>
      </c>
      <c r="H511" t="s">
        <v>197</v>
      </c>
      <c r="I511" t="s">
        <v>197</v>
      </c>
      <c r="J511" t="s">
        <v>197</v>
      </c>
      <c r="K511" t="s">
        <v>412</v>
      </c>
    </row>
    <row r="512" spans="1:24">
      <c r="B512" t="s">
        <v>197</v>
      </c>
      <c r="C512" t="s">
        <v>197</v>
      </c>
      <c r="D512" t="s">
        <v>197</v>
      </c>
      <c r="E512" t="s">
        <v>197</v>
      </c>
      <c r="F512" t="s">
        <v>197</v>
      </c>
      <c r="G512" t="s">
        <v>197</v>
      </c>
      <c r="H512" t="s">
        <v>197</v>
      </c>
      <c r="I512" t="s">
        <v>197</v>
      </c>
      <c r="J512" t="s">
        <v>197</v>
      </c>
      <c r="K512" t="s">
        <v>730</v>
      </c>
    </row>
    <row r="513" spans="1:24">
      <c r="A513" t="s">
        <v>791</v>
      </c>
      <c r="K513" t="s">
        <v>792</v>
      </c>
      <c r="W513" t="s">
        <v>171</v>
      </c>
      <c r="X513" t="str">
        <f>A513</f>
        <v>info_varcharmax_dml_batch2_pk_irp1</v>
      </c>
    </row>
    <row r="514" spans="1:24">
      <c r="B514" t="s">
        <v>196</v>
      </c>
      <c r="C514" t="s">
        <v>197</v>
      </c>
      <c r="D514" t="s">
        <v>197</v>
      </c>
      <c r="E514" t="s">
        <v>197</v>
      </c>
      <c r="F514" t="s">
        <v>197</v>
      </c>
      <c r="G514" t="s">
        <v>197</v>
      </c>
      <c r="H514" t="s">
        <v>197</v>
      </c>
      <c r="I514" t="s">
        <v>793</v>
      </c>
      <c r="J514" t="s">
        <v>199</v>
      </c>
      <c r="K514" t="s">
        <v>200</v>
      </c>
    </row>
    <row r="515" spans="1:24">
      <c r="B515" t="s">
        <v>197</v>
      </c>
      <c r="C515" t="s">
        <v>197</v>
      </c>
      <c r="D515" t="s">
        <v>197</v>
      </c>
      <c r="E515" t="s">
        <v>197</v>
      </c>
      <c r="F515" t="s">
        <v>197</v>
      </c>
      <c r="G515" t="s">
        <v>197</v>
      </c>
      <c r="H515" t="s">
        <v>197</v>
      </c>
      <c r="I515" t="s">
        <v>197</v>
      </c>
      <c r="J515" t="s">
        <v>197</v>
      </c>
      <c r="K515" t="s">
        <v>725</v>
      </c>
    </row>
    <row r="516" spans="1:24">
      <c r="B516" t="s">
        <v>197</v>
      </c>
      <c r="C516" t="s">
        <v>197</v>
      </c>
      <c r="D516" t="s">
        <v>197</v>
      </c>
      <c r="E516" t="s">
        <v>197</v>
      </c>
      <c r="F516" t="s">
        <v>197</v>
      </c>
      <c r="G516" t="s">
        <v>197</v>
      </c>
      <c r="H516" t="s">
        <v>197</v>
      </c>
      <c r="I516" t="s">
        <v>197</v>
      </c>
      <c r="J516" t="s">
        <v>197</v>
      </c>
      <c r="K516" t="s">
        <v>726</v>
      </c>
    </row>
    <row r="517" spans="1:24">
      <c r="K517" t="s">
        <v>443</v>
      </c>
    </row>
    <row r="518" spans="1:24">
      <c r="A518" t="s">
        <v>788</v>
      </c>
      <c r="K518" t="s">
        <v>789</v>
      </c>
      <c r="W518" t="s">
        <v>171</v>
      </c>
      <c r="X518" t="str">
        <f>A518</f>
        <v>info_datetimeoffset_dml_batch2_pk_irp2</v>
      </c>
    </row>
    <row r="519" spans="1:24">
      <c r="B519" t="s">
        <v>196</v>
      </c>
      <c r="C519" t="s">
        <v>197</v>
      </c>
      <c r="D519" t="s">
        <v>197</v>
      </c>
      <c r="E519" t="s">
        <v>197</v>
      </c>
      <c r="F519" t="s">
        <v>197</v>
      </c>
      <c r="G519" t="s">
        <v>197</v>
      </c>
      <c r="H519" t="s">
        <v>197</v>
      </c>
      <c r="I519" t="s">
        <v>790</v>
      </c>
      <c r="J519" t="s">
        <v>199</v>
      </c>
      <c r="K519" t="s">
        <v>200</v>
      </c>
    </row>
    <row r="520" spans="1:24">
      <c r="B520" t="s">
        <v>197</v>
      </c>
      <c r="C520" t="s">
        <v>197</v>
      </c>
      <c r="D520" t="s">
        <v>197</v>
      </c>
      <c r="E520" t="s">
        <v>197</v>
      </c>
      <c r="F520" t="s">
        <v>197</v>
      </c>
      <c r="G520" t="s">
        <v>197</v>
      </c>
      <c r="H520" t="s">
        <v>197</v>
      </c>
      <c r="I520" t="s">
        <v>197</v>
      </c>
      <c r="J520" t="s">
        <v>197</v>
      </c>
      <c r="K520" t="s">
        <v>301</v>
      </c>
    </row>
    <row r="521" spans="1:24">
      <c r="B521" t="s">
        <v>197</v>
      </c>
      <c r="C521" t="s">
        <v>197</v>
      </c>
      <c r="D521" t="s">
        <v>197</v>
      </c>
      <c r="E521" t="s">
        <v>197</v>
      </c>
      <c r="F521" t="s">
        <v>197</v>
      </c>
      <c r="G521" t="s">
        <v>197</v>
      </c>
      <c r="H521" t="s">
        <v>197</v>
      </c>
      <c r="I521" t="s">
        <v>197</v>
      </c>
      <c r="J521" t="s">
        <v>197</v>
      </c>
      <c r="K521" t="s">
        <v>314</v>
      </c>
    </row>
    <row r="522" spans="1:24">
      <c r="B522" t="s">
        <v>197</v>
      </c>
      <c r="C522" t="s">
        <v>197</v>
      </c>
      <c r="D522" t="s">
        <v>197</v>
      </c>
      <c r="E522" t="s">
        <v>197</v>
      </c>
      <c r="F522" t="s">
        <v>197</v>
      </c>
      <c r="G522" t="s">
        <v>197</v>
      </c>
      <c r="H522" t="s">
        <v>197</v>
      </c>
      <c r="I522" t="s">
        <v>197</v>
      </c>
      <c r="J522" t="s">
        <v>197</v>
      </c>
      <c r="K522" t="s">
        <v>324</v>
      </c>
    </row>
    <row r="523" spans="1:24">
      <c r="B523" t="s">
        <v>197</v>
      </c>
      <c r="C523" t="s">
        <v>197</v>
      </c>
      <c r="D523" t="s">
        <v>197</v>
      </c>
      <c r="E523" t="s">
        <v>197</v>
      </c>
      <c r="F523" t="s">
        <v>197</v>
      </c>
      <c r="G523" t="s">
        <v>197</v>
      </c>
      <c r="H523" t="s">
        <v>197</v>
      </c>
      <c r="I523" t="s">
        <v>197</v>
      </c>
      <c r="J523" t="s">
        <v>197</v>
      </c>
      <c r="K523" t="s">
        <v>335</v>
      </c>
    </row>
    <row r="524" spans="1:24">
      <c r="B524" t="s">
        <v>197</v>
      </c>
      <c r="C524" t="s">
        <v>197</v>
      </c>
      <c r="D524" t="s">
        <v>197</v>
      </c>
      <c r="E524" t="s">
        <v>197</v>
      </c>
      <c r="F524" t="s">
        <v>197</v>
      </c>
      <c r="G524" t="s">
        <v>197</v>
      </c>
      <c r="H524" t="s">
        <v>197</v>
      </c>
      <c r="I524" t="s">
        <v>197</v>
      </c>
      <c r="J524" t="s">
        <v>197</v>
      </c>
      <c r="K524" t="s">
        <v>350</v>
      </c>
    </row>
    <row r="525" spans="1:24">
      <c r="B525" t="s">
        <v>197</v>
      </c>
      <c r="C525" t="s">
        <v>197</v>
      </c>
      <c r="D525" t="s">
        <v>197</v>
      </c>
      <c r="E525" t="s">
        <v>197</v>
      </c>
      <c r="F525" t="s">
        <v>197</v>
      </c>
      <c r="G525" t="s">
        <v>197</v>
      </c>
      <c r="H525" t="s">
        <v>197</v>
      </c>
      <c r="I525" t="s">
        <v>197</v>
      </c>
      <c r="J525" t="s">
        <v>197</v>
      </c>
      <c r="K525" t="s">
        <v>360</v>
      </c>
    </row>
    <row r="526" spans="1:24">
      <c r="B526" t="s">
        <v>197</v>
      </c>
      <c r="C526" t="s">
        <v>197</v>
      </c>
      <c r="D526" t="s">
        <v>197</v>
      </c>
      <c r="E526" t="s">
        <v>197</v>
      </c>
      <c r="F526" t="s">
        <v>197</v>
      </c>
      <c r="G526" t="s">
        <v>197</v>
      </c>
      <c r="H526" t="s">
        <v>197</v>
      </c>
      <c r="I526" t="s">
        <v>197</v>
      </c>
      <c r="J526" t="s">
        <v>197</v>
      </c>
      <c r="K526" t="s">
        <v>367</v>
      </c>
    </row>
    <row r="527" spans="1:24">
      <c r="B527" t="s">
        <v>197</v>
      </c>
      <c r="C527" t="s">
        <v>197</v>
      </c>
      <c r="D527" t="s">
        <v>197</v>
      </c>
      <c r="E527" t="s">
        <v>197</v>
      </c>
      <c r="F527" t="s">
        <v>197</v>
      </c>
      <c r="G527" t="s">
        <v>197</v>
      </c>
      <c r="H527" t="s">
        <v>197</v>
      </c>
      <c r="I527" t="s">
        <v>197</v>
      </c>
      <c r="J527" t="s">
        <v>197</v>
      </c>
      <c r="K527" t="s">
        <v>373</v>
      </c>
    </row>
    <row r="528" spans="1:24">
      <c r="A528" t="s">
        <v>794</v>
      </c>
      <c r="K528" t="s">
        <v>795</v>
      </c>
      <c r="W528" t="s">
        <v>171</v>
      </c>
      <c r="X528" t="str">
        <f>A528</f>
        <v>info_datetimeoffset_dml_batch1_pk_urp1</v>
      </c>
    </row>
    <row r="529" spans="1:24">
      <c r="B529" t="s">
        <v>196</v>
      </c>
      <c r="C529" t="s">
        <v>197</v>
      </c>
      <c r="D529" t="s">
        <v>197</v>
      </c>
      <c r="E529" t="s">
        <v>197</v>
      </c>
      <c r="F529" t="s">
        <v>197</v>
      </c>
      <c r="G529" t="s">
        <v>197</v>
      </c>
      <c r="H529" t="s">
        <v>197</v>
      </c>
      <c r="I529" t="s">
        <v>796</v>
      </c>
      <c r="J529" t="s">
        <v>199</v>
      </c>
      <c r="K529" t="s">
        <v>200</v>
      </c>
    </row>
    <row r="530" spans="1:24">
      <c r="B530" t="s">
        <v>197</v>
      </c>
      <c r="C530" t="s">
        <v>197</v>
      </c>
      <c r="D530" t="s">
        <v>197</v>
      </c>
      <c r="E530" t="s">
        <v>197</v>
      </c>
      <c r="F530" t="s">
        <v>197</v>
      </c>
      <c r="G530" t="s">
        <v>197</v>
      </c>
      <c r="H530" t="s">
        <v>197</v>
      </c>
      <c r="I530" t="s">
        <v>197</v>
      </c>
      <c r="J530" t="s">
        <v>197</v>
      </c>
      <c r="K530" t="s">
        <v>301</v>
      </c>
    </row>
    <row r="531" spans="1:24">
      <c r="B531" t="s">
        <v>197</v>
      </c>
      <c r="C531" t="s">
        <v>197</v>
      </c>
      <c r="D531" t="s">
        <v>197</v>
      </c>
      <c r="E531" t="s">
        <v>197</v>
      </c>
      <c r="F531" t="s">
        <v>197</v>
      </c>
      <c r="G531" t="s">
        <v>197</v>
      </c>
      <c r="H531" t="s">
        <v>197</v>
      </c>
      <c r="I531" t="s">
        <v>197</v>
      </c>
      <c r="J531" t="s">
        <v>197</v>
      </c>
      <c r="K531" t="s">
        <v>314</v>
      </c>
    </row>
    <row r="532" spans="1:24">
      <c r="B532" t="s">
        <v>197</v>
      </c>
      <c r="C532" t="s">
        <v>197</v>
      </c>
      <c r="D532" t="s">
        <v>197</v>
      </c>
      <c r="E532" t="s">
        <v>197</v>
      </c>
      <c r="F532" t="s">
        <v>197</v>
      </c>
      <c r="G532" t="s">
        <v>197</v>
      </c>
      <c r="H532" t="s">
        <v>197</v>
      </c>
      <c r="I532" t="s">
        <v>197</v>
      </c>
      <c r="J532" t="s">
        <v>197</v>
      </c>
      <c r="K532" t="s">
        <v>324</v>
      </c>
    </row>
    <row r="533" spans="1:24">
      <c r="B533" t="s">
        <v>197</v>
      </c>
      <c r="C533" t="s">
        <v>197</v>
      </c>
      <c r="D533" t="s">
        <v>197</v>
      </c>
      <c r="E533" t="s">
        <v>197</v>
      </c>
      <c r="F533" t="s">
        <v>197</v>
      </c>
      <c r="G533" t="s">
        <v>197</v>
      </c>
      <c r="H533" t="s">
        <v>197</v>
      </c>
      <c r="I533" t="s">
        <v>197</v>
      </c>
      <c r="J533" t="s">
        <v>197</v>
      </c>
      <c r="K533" t="s">
        <v>335</v>
      </c>
    </row>
    <row r="534" spans="1:24">
      <c r="B534" t="s">
        <v>197</v>
      </c>
      <c r="C534" t="s">
        <v>197</v>
      </c>
      <c r="D534" t="s">
        <v>197</v>
      </c>
      <c r="E534" t="s">
        <v>197</v>
      </c>
      <c r="F534" t="s">
        <v>197</v>
      </c>
      <c r="G534" t="s">
        <v>197</v>
      </c>
      <c r="H534" t="s">
        <v>197</v>
      </c>
      <c r="I534" t="s">
        <v>197</v>
      </c>
      <c r="J534" t="s">
        <v>197</v>
      </c>
      <c r="K534" t="s">
        <v>350</v>
      </c>
    </row>
    <row r="535" spans="1:24">
      <c r="B535" t="s">
        <v>197</v>
      </c>
      <c r="C535" t="s">
        <v>197</v>
      </c>
      <c r="D535" t="s">
        <v>197</v>
      </c>
      <c r="E535" t="s">
        <v>197</v>
      </c>
      <c r="F535" t="s">
        <v>197</v>
      </c>
      <c r="G535" t="s">
        <v>197</v>
      </c>
      <c r="H535" t="s">
        <v>197</v>
      </c>
      <c r="I535" t="s">
        <v>197</v>
      </c>
      <c r="J535" t="s">
        <v>197</v>
      </c>
      <c r="K535" t="s">
        <v>360</v>
      </c>
    </row>
    <row r="536" spans="1:24">
      <c r="B536" t="s">
        <v>197</v>
      </c>
      <c r="C536" t="s">
        <v>197</v>
      </c>
      <c r="D536" t="s">
        <v>197</v>
      </c>
      <c r="E536" t="s">
        <v>197</v>
      </c>
      <c r="F536" t="s">
        <v>197</v>
      </c>
      <c r="G536" t="s">
        <v>197</v>
      </c>
      <c r="H536" t="s">
        <v>197</v>
      </c>
      <c r="I536" t="s">
        <v>197</v>
      </c>
      <c r="J536" t="s">
        <v>197</v>
      </c>
      <c r="K536" t="s">
        <v>367</v>
      </c>
    </row>
    <row r="537" spans="1:24">
      <c r="B537" t="s">
        <v>197</v>
      </c>
      <c r="C537" t="s">
        <v>197</v>
      </c>
      <c r="D537" t="s">
        <v>197</v>
      </c>
      <c r="E537" t="s">
        <v>197</v>
      </c>
      <c r="F537" t="s">
        <v>197</v>
      </c>
      <c r="G537" t="s">
        <v>197</v>
      </c>
      <c r="H537" t="s">
        <v>197</v>
      </c>
      <c r="I537" t="s">
        <v>197</v>
      </c>
      <c r="J537" t="s">
        <v>197</v>
      </c>
      <c r="K537" t="s">
        <v>373</v>
      </c>
    </row>
    <row r="538" spans="1:24">
      <c r="A538" t="s">
        <v>797</v>
      </c>
      <c r="K538" t="s">
        <v>798</v>
      </c>
      <c r="W538" t="s">
        <v>171</v>
      </c>
      <c r="X538" t="str">
        <f>A538</f>
        <v>info_time_dml_single_pk_irp</v>
      </c>
    </row>
    <row r="539" spans="1:24">
      <c r="B539" t="s">
        <v>196</v>
      </c>
      <c r="C539" t="s">
        <v>197</v>
      </c>
      <c r="D539" t="s">
        <v>197</v>
      </c>
      <c r="E539" t="s">
        <v>197</v>
      </c>
      <c r="F539" t="s">
        <v>197</v>
      </c>
      <c r="G539" t="s">
        <v>197</v>
      </c>
      <c r="H539" t="s">
        <v>197</v>
      </c>
      <c r="I539" t="s">
        <v>799</v>
      </c>
      <c r="J539" t="s">
        <v>199</v>
      </c>
      <c r="K539" t="s">
        <v>200</v>
      </c>
    </row>
    <row r="540" spans="1:24">
      <c r="B540" t="s">
        <v>197</v>
      </c>
      <c r="C540" t="s">
        <v>197</v>
      </c>
      <c r="D540" t="s">
        <v>197</v>
      </c>
      <c r="E540" t="s">
        <v>197</v>
      </c>
      <c r="F540" t="s">
        <v>197</v>
      </c>
      <c r="G540" t="s">
        <v>197</v>
      </c>
      <c r="H540" t="s">
        <v>197</v>
      </c>
      <c r="I540" t="s">
        <v>197</v>
      </c>
      <c r="J540" t="s">
        <v>197</v>
      </c>
      <c r="K540" t="s">
        <v>800</v>
      </c>
    </row>
    <row r="541" spans="1:24">
      <c r="B541" t="s">
        <v>197</v>
      </c>
      <c r="C541" t="s">
        <v>197</v>
      </c>
      <c r="D541" t="s">
        <v>197</v>
      </c>
      <c r="E541" t="s">
        <v>197</v>
      </c>
      <c r="F541" t="s">
        <v>197</v>
      </c>
      <c r="G541" t="s">
        <v>197</v>
      </c>
      <c r="H541" t="s">
        <v>197</v>
      </c>
      <c r="I541" t="s">
        <v>197</v>
      </c>
      <c r="J541" t="s">
        <v>197</v>
      </c>
      <c r="K541" t="s">
        <v>801</v>
      </c>
    </row>
    <row r="542" spans="1:24">
      <c r="B542" t="s">
        <v>197</v>
      </c>
      <c r="C542" t="s">
        <v>197</v>
      </c>
      <c r="D542" t="s">
        <v>197</v>
      </c>
      <c r="E542" t="s">
        <v>197</v>
      </c>
      <c r="F542" t="s">
        <v>197</v>
      </c>
      <c r="G542" t="s">
        <v>197</v>
      </c>
      <c r="H542" t="s">
        <v>197</v>
      </c>
      <c r="I542" t="s">
        <v>197</v>
      </c>
      <c r="J542" t="s">
        <v>197</v>
      </c>
      <c r="K542" t="s">
        <v>802</v>
      </c>
    </row>
    <row r="543" spans="1:24">
      <c r="B543" t="s">
        <v>197</v>
      </c>
      <c r="C543" t="s">
        <v>197</v>
      </c>
      <c r="D543" t="s">
        <v>197</v>
      </c>
      <c r="E543" t="s">
        <v>197</v>
      </c>
      <c r="F543" t="s">
        <v>197</v>
      </c>
      <c r="G543" t="s">
        <v>197</v>
      </c>
      <c r="H543" t="s">
        <v>197</v>
      </c>
      <c r="I543" t="s">
        <v>197</v>
      </c>
      <c r="J543" t="s">
        <v>197</v>
      </c>
      <c r="K543" t="s">
        <v>803</v>
      </c>
    </row>
    <row r="544" spans="1:24">
      <c r="B544" t="s">
        <v>197</v>
      </c>
      <c r="C544" t="s">
        <v>197</v>
      </c>
      <c r="D544" t="s">
        <v>197</v>
      </c>
      <c r="E544" t="s">
        <v>197</v>
      </c>
      <c r="F544" t="s">
        <v>197</v>
      </c>
      <c r="G544" t="s">
        <v>197</v>
      </c>
      <c r="H544" t="s">
        <v>197</v>
      </c>
      <c r="I544" t="s">
        <v>197</v>
      </c>
      <c r="J544" t="s">
        <v>197</v>
      </c>
      <c r="K544" t="s">
        <v>804</v>
      </c>
    </row>
    <row r="545" spans="1:24">
      <c r="B545" t="s">
        <v>197</v>
      </c>
      <c r="C545" t="s">
        <v>197</v>
      </c>
      <c r="D545" t="s">
        <v>197</v>
      </c>
      <c r="E545" t="s">
        <v>197</v>
      </c>
      <c r="F545" t="s">
        <v>197</v>
      </c>
      <c r="G545" t="s">
        <v>197</v>
      </c>
      <c r="H545" t="s">
        <v>197</v>
      </c>
      <c r="I545" t="s">
        <v>197</v>
      </c>
      <c r="J545" t="s">
        <v>197</v>
      </c>
      <c r="K545" t="s">
        <v>805</v>
      </c>
    </row>
    <row r="546" spans="1:24">
      <c r="B546" t="s">
        <v>197</v>
      </c>
      <c r="C546" t="s">
        <v>197</v>
      </c>
      <c r="D546" t="s">
        <v>197</v>
      </c>
      <c r="E546" t="s">
        <v>197</v>
      </c>
      <c r="F546" t="s">
        <v>197</v>
      </c>
      <c r="G546" t="s">
        <v>197</v>
      </c>
      <c r="H546" t="s">
        <v>197</v>
      </c>
      <c r="I546" t="s">
        <v>197</v>
      </c>
      <c r="J546" t="s">
        <v>197</v>
      </c>
      <c r="K546" t="s">
        <v>806</v>
      </c>
    </row>
    <row r="547" spans="1:24">
      <c r="B547" t="s">
        <v>197</v>
      </c>
      <c r="C547" t="s">
        <v>197</v>
      </c>
      <c r="D547" t="s">
        <v>197</v>
      </c>
      <c r="E547" t="s">
        <v>197</v>
      </c>
      <c r="F547" t="s">
        <v>197</v>
      </c>
      <c r="G547" t="s">
        <v>197</v>
      </c>
      <c r="H547" t="s">
        <v>197</v>
      </c>
      <c r="I547" t="s">
        <v>197</v>
      </c>
      <c r="J547" t="s">
        <v>197</v>
      </c>
      <c r="K547" t="s">
        <v>807</v>
      </c>
    </row>
    <row r="548" spans="1:24">
      <c r="A548" t="s">
        <v>811</v>
      </c>
      <c r="K548" t="s">
        <v>812</v>
      </c>
      <c r="W548" t="s">
        <v>171</v>
      </c>
      <c r="X548" t="str">
        <f>A548</f>
        <v>info_datetimeoffset_dml_batch1_pk_urp2</v>
      </c>
    </row>
    <row r="549" spans="1:24">
      <c r="B549" t="s">
        <v>196</v>
      </c>
      <c r="C549" t="s">
        <v>197</v>
      </c>
      <c r="D549" t="s">
        <v>197</v>
      </c>
      <c r="E549" t="s">
        <v>197</v>
      </c>
      <c r="F549" t="s">
        <v>197</v>
      </c>
      <c r="G549" t="s">
        <v>197</v>
      </c>
      <c r="H549" t="s">
        <v>197</v>
      </c>
      <c r="I549" t="s">
        <v>813</v>
      </c>
      <c r="J549" t="s">
        <v>199</v>
      </c>
      <c r="K549" t="s">
        <v>200</v>
      </c>
    </row>
    <row r="550" spans="1:24">
      <c r="B550" t="s">
        <v>197</v>
      </c>
      <c r="C550" t="s">
        <v>197</v>
      </c>
      <c r="D550" t="s">
        <v>197</v>
      </c>
      <c r="E550" t="s">
        <v>197</v>
      </c>
      <c r="F550" t="s">
        <v>197</v>
      </c>
      <c r="G550" t="s">
        <v>197</v>
      </c>
      <c r="H550" t="s">
        <v>197</v>
      </c>
      <c r="I550" t="s">
        <v>197</v>
      </c>
      <c r="J550" t="s">
        <v>197</v>
      </c>
      <c r="K550" t="s">
        <v>301</v>
      </c>
    </row>
    <row r="551" spans="1:24">
      <c r="B551" t="s">
        <v>197</v>
      </c>
      <c r="C551" t="s">
        <v>197</v>
      </c>
      <c r="D551" t="s">
        <v>197</v>
      </c>
      <c r="E551" t="s">
        <v>197</v>
      </c>
      <c r="F551" t="s">
        <v>197</v>
      </c>
      <c r="G551" t="s">
        <v>197</v>
      </c>
      <c r="H551" t="s">
        <v>197</v>
      </c>
      <c r="I551" t="s">
        <v>197</v>
      </c>
      <c r="J551" t="s">
        <v>197</v>
      </c>
      <c r="K551" t="s">
        <v>314</v>
      </c>
    </row>
    <row r="552" spans="1:24">
      <c r="B552" t="s">
        <v>197</v>
      </c>
      <c r="C552" t="s">
        <v>197</v>
      </c>
      <c r="D552" t="s">
        <v>197</v>
      </c>
      <c r="E552" t="s">
        <v>197</v>
      </c>
      <c r="F552" t="s">
        <v>197</v>
      </c>
      <c r="G552" t="s">
        <v>197</v>
      </c>
      <c r="H552" t="s">
        <v>197</v>
      </c>
      <c r="I552" t="s">
        <v>197</v>
      </c>
      <c r="J552" t="s">
        <v>197</v>
      </c>
      <c r="K552" t="s">
        <v>324</v>
      </c>
    </row>
    <row r="553" spans="1:24">
      <c r="B553" t="s">
        <v>197</v>
      </c>
      <c r="C553" t="s">
        <v>197</v>
      </c>
      <c r="D553" t="s">
        <v>197</v>
      </c>
      <c r="E553" t="s">
        <v>197</v>
      </c>
      <c r="F553" t="s">
        <v>197</v>
      </c>
      <c r="G553" t="s">
        <v>197</v>
      </c>
      <c r="H553" t="s">
        <v>197</v>
      </c>
      <c r="I553" t="s">
        <v>197</v>
      </c>
      <c r="J553" t="s">
        <v>197</v>
      </c>
      <c r="K553" t="s">
        <v>335</v>
      </c>
    </row>
    <row r="554" spans="1:24">
      <c r="B554" t="s">
        <v>197</v>
      </c>
      <c r="C554" t="s">
        <v>197</v>
      </c>
      <c r="D554" t="s">
        <v>197</v>
      </c>
      <c r="E554" t="s">
        <v>197</v>
      </c>
      <c r="F554" t="s">
        <v>197</v>
      </c>
      <c r="G554" t="s">
        <v>197</v>
      </c>
      <c r="H554" t="s">
        <v>197</v>
      </c>
      <c r="I554" t="s">
        <v>197</v>
      </c>
      <c r="J554" t="s">
        <v>197</v>
      </c>
      <c r="K554" t="s">
        <v>350</v>
      </c>
    </row>
    <row r="555" spans="1:24">
      <c r="B555" t="s">
        <v>197</v>
      </c>
      <c r="C555" t="s">
        <v>197</v>
      </c>
      <c r="D555" t="s">
        <v>197</v>
      </c>
      <c r="E555" t="s">
        <v>197</v>
      </c>
      <c r="F555" t="s">
        <v>197</v>
      </c>
      <c r="G555" t="s">
        <v>197</v>
      </c>
      <c r="H555" t="s">
        <v>197</v>
      </c>
      <c r="I555" t="s">
        <v>197</v>
      </c>
      <c r="J555" t="s">
        <v>197</v>
      </c>
      <c r="K555" t="s">
        <v>360</v>
      </c>
    </row>
    <row r="556" spans="1:24">
      <c r="B556" t="s">
        <v>197</v>
      </c>
      <c r="C556" t="s">
        <v>197</v>
      </c>
      <c r="D556" t="s">
        <v>197</v>
      </c>
      <c r="E556" t="s">
        <v>197</v>
      </c>
      <c r="F556" t="s">
        <v>197</v>
      </c>
      <c r="G556" t="s">
        <v>197</v>
      </c>
      <c r="H556" t="s">
        <v>197</v>
      </c>
      <c r="I556" t="s">
        <v>197</v>
      </c>
      <c r="J556" t="s">
        <v>197</v>
      </c>
      <c r="K556" t="s">
        <v>367</v>
      </c>
    </row>
    <row r="557" spans="1:24">
      <c r="B557" t="s">
        <v>197</v>
      </c>
      <c r="C557" t="s">
        <v>197</v>
      </c>
      <c r="D557" t="s">
        <v>197</v>
      </c>
      <c r="E557" t="s">
        <v>197</v>
      </c>
      <c r="F557" t="s">
        <v>197</v>
      </c>
      <c r="G557" t="s">
        <v>197</v>
      </c>
      <c r="H557" t="s">
        <v>197</v>
      </c>
      <c r="I557" t="s">
        <v>197</v>
      </c>
      <c r="J557" t="s">
        <v>197</v>
      </c>
      <c r="K557" t="s">
        <v>373</v>
      </c>
    </row>
    <row r="558" spans="1:24">
      <c r="A558" t="s">
        <v>808</v>
      </c>
      <c r="K558" t="s">
        <v>809</v>
      </c>
      <c r="W558" t="s">
        <v>171</v>
      </c>
      <c r="X558" t="str">
        <f>A558</f>
        <v>info_date_dml_batch1_pk_irp2</v>
      </c>
    </row>
    <row r="559" spans="1:24">
      <c r="B559" t="s">
        <v>196</v>
      </c>
      <c r="C559" t="s">
        <v>197</v>
      </c>
      <c r="D559" t="s">
        <v>197</v>
      </c>
      <c r="E559" t="s">
        <v>197</v>
      </c>
      <c r="F559" t="s">
        <v>197</v>
      </c>
      <c r="G559" t="s">
        <v>197</v>
      </c>
      <c r="H559" t="s">
        <v>197</v>
      </c>
      <c r="I559" t="s">
        <v>810</v>
      </c>
      <c r="J559" t="s">
        <v>199</v>
      </c>
      <c r="K559" t="s">
        <v>200</v>
      </c>
    </row>
    <row r="560" spans="1:24">
      <c r="B560" t="s">
        <v>197</v>
      </c>
      <c r="C560" t="s">
        <v>197</v>
      </c>
      <c r="D560" t="s">
        <v>197</v>
      </c>
      <c r="E560" t="s">
        <v>197</v>
      </c>
      <c r="F560" t="s">
        <v>197</v>
      </c>
      <c r="G560" t="s">
        <v>197</v>
      </c>
      <c r="H560" t="s">
        <v>197</v>
      </c>
      <c r="I560" t="s">
        <v>197</v>
      </c>
      <c r="J560" t="s">
        <v>197</v>
      </c>
      <c r="K560" t="s">
        <v>678</v>
      </c>
    </row>
    <row r="561" spans="1:24">
      <c r="A561" t="s">
        <v>814</v>
      </c>
      <c r="K561" t="s">
        <v>815</v>
      </c>
      <c r="W561" t="s">
        <v>171</v>
      </c>
      <c r="X561" t="str">
        <f>A561</f>
        <v>info_varcharmax_dml_batch2_pk_irp2</v>
      </c>
    </row>
    <row r="562" spans="1:24">
      <c r="B562" t="s">
        <v>196</v>
      </c>
      <c r="C562" t="s">
        <v>197</v>
      </c>
      <c r="D562" t="s">
        <v>197</v>
      </c>
      <c r="E562" t="s">
        <v>197</v>
      </c>
      <c r="F562" t="s">
        <v>197</v>
      </c>
      <c r="G562" t="s">
        <v>197</v>
      </c>
      <c r="H562" t="s">
        <v>197</v>
      </c>
      <c r="I562" t="s">
        <v>816</v>
      </c>
      <c r="J562" t="s">
        <v>199</v>
      </c>
      <c r="K562" t="s">
        <v>200</v>
      </c>
    </row>
    <row r="563" spans="1:24">
      <c r="B563" t="s">
        <v>197</v>
      </c>
      <c r="C563" t="s">
        <v>197</v>
      </c>
      <c r="D563" t="s">
        <v>197</v>
      </c>
      <c r="E563" t="s">
        <v>197</v>
      </c>
      <c r="F563" t="s">
        <v>197</v>
      </c>
      <c r="G563" t="s">
        <v>197</v>
      </c>
      <c r="H563" t="s">
        <v>197</v>
      </c>
      <c r="I563" t="s">
        <v>197</v>
      </c>
      <c r="J563" t="s">
        <v>197</v>
      </c>
      <c r="K563" t="s">
        <v>725</v>
      </c>
    </row>
    <row r="564" spans="1:24">
      <c r="B564" t="s">
        <v>197</v>
      </c>
      <c r="C564" t="s">
        <v>197</v>
      </c>
      <c r="D564" t="s">
        <v>197</v>
      </c>
      <c r="E564" t="s">
        <v>197</v>
      </c>
      <c r="F564" t="s">
        <v>197</v>
      </c>
      <c r="G564" t="s">
        <v>197</v>
      </c>
      <c r="H564" t="s">
        <v>197</v>
      </c>
      <c r="I564" t="s">
        <v>197</v>
      </c>
      <c r="J564" t="s">
        <v>197</v>
      </c>
      <c r="K564" t="s">
        <v>726</v>
      </c>
    </row>
    <row r="565" spans="1:24">
      <c r="K565" t="s">
        <v>443</v>
      </c>
    </row>
    <row r="566" spans="1:24">
      <c r="A566" t="s">
        <v>817</v>
      </c>
      <c r="K566" t="s">
        <v>818</v>
      </c>
      <c r="W566" t="s">
        <v>171</v>
      </c>
      <c r="X566" t="str">
        <f>A566</f>
        <v>info_datetimeoffset_dml_batch1_pk_drp1</v>
      </c>
    </row>
    <row r="567" spans="1:24">
      <c r="B567" t="s">
        <v>196</v>
      </c>
      <c r="C567" t="s">
        <v>197</v>
      </c>
      <c r="D567" t="s">
        <v>197</v>
      </c>
      <c r="E567" t="s">
        <v>197</v>
      </c>
      <c r="F567" t="s">
        <v>197</v>
      </c>
      <c r="G567" t="s">
        <v>197</v>
      </c>
      <c r="H567" t="s">
        <v>197</v>
      </c>
      <c r="I567" t="s">
        <v>819</v>
      </c>
      <c r="J567" t="s">
        <v>199</v>
      </c>
      <c r="K567" t="s">
        <v>200</v>
      </c>
    </row>
    <row r="568" spans="1:24">
      <c r="B568" t="s">
        <v>197</v>
      </c>
      <c r="C568" t="s">
        <v>197</v>
      </c>
      <c r="D568" t="s">
        <v>197</v>
      </c>
      <c r="E568" t="s">
        <v>197</v>
      </c>
      <c r="F568" t="s">
        <v>197</v>
      </c>
      <c r="G568" t="s">
        <v>197</v>
      </c>
      <c r="H568" t="s">
        <v>197</v>
      </c>
      <c r="I568" t="s">
        <v>197</v>
      </c>
      <c r="J568" t="s">
        <v>197</v>
      </c>
      <c r="K568" t="s">
        <v>301</v>
      </c>
    </row>
    <row r="569" spans="1:24">
      <c r="B569" t="s">
        <v>197</v>
      </c>
      <c r="C569" t="s">
        <v>197</v>
      </c>
      <c r="D569" t="s">
        <v>197</v>
      </c>
      <c r="E569" t="s">
        <v>197</v>
      </c>
      <c r="F569" t="s">
        <v>197</v>
      </c>
      <c r="G569" t="s">
        <v>197</v>
      </c>
      <c r="H569" t="s">
        <v>197</v>
      </c>
      <c r="I569" t="s">
        <v>197</v>
      </c>
      <c r="J569" t="s">
        <v>197</v>
      </c>
      <c r="K569" t="s">
        <v>314</v>
      </c>
    </row>
    <row r="570" spans="1:24">
      <c r="B570" t="s">
        <v>197</v>
      </c>
      <c r="C570" t="s">
        <v>197</v>
      </c>
      <c r="D570" t="s">
        <v>197</v>
      </c>
      <c r="E570" t="s">
        <v>197</v>
      </c>
      <c r="F570" t="s">
        <v>197</v>
      </c>
      <c r="G570" t="s">
        <v>197</v>
      </c>
      <c r="H570" t="s">
        <v>197</v>
      </c>
      <c r="I570" t="s">
        <v>197</v>
      </c>
      <c r="J570" t="s">
        <v>197</v>
      </c>
      <c r="K570" t="s">
        <v>324</v>
      </c>
    </row>
    <row r="571" spans="1:24">
      <c r="B571" t="s">
        <v>197</v>
      </c>
      <c r="C571" t="s">
        <v>197</v>
      </c>
      <c r="D571" t="s">
        <v>197</v>
      </c>
      <c r="E571" t="s">
        <v>197</v>
      </c>
      <c r="F571" t="s">
        <v>197</v>
      </c>
      <c r="G571" t="s">
        <v>197</v>
      </c>
      <c r="H571" t="s">
        <v>197</v>
      </c>
      <c r="I571" t="s">
        <v>197</v>
      </c>
      <c r="J571" t="s">
        <v>197</v>
      </c>
      <c r="K571" t="s">
        <v>335</v>
      </c>
    </row>
    <row r="572" spans="1:24">
      <c r="B572" t="s">
        <v>197</v>
      </c>
      <c r="C572" t="s">
        <v>197</v>
      </c>
      <c r="D572" t="s">
        <v>197</v>
      </c>
      <c r="E572" t="s">
        <v>197</v>
      </c>
      <c r="F572" t="s">
        <v>197</v>
      </c>
      <c r="G572" t="s">
        <v>197</v>
      </c>
      <c r="H572" t="s">
        <v>197</v>
      </c>
      <c r="I572" t="s">
        <v>197</v>
      </c>
      <c r="J572" t="s">
        <v>197</v>
      </c>
      <c r="K572" t="s">
        <v>350</v>
      </c>
    </row>
    <row r="573" spans="1:24">
      <c r="B573" t="s">
        <v>197</v>
      </c>
      <c r="C573" t="s">
        <v>197</v>
      </c>
      <c r="D573" t="s">
        <v>197</v>
      </c>
      <c r="E573" t="s">
        <v>197</v>
      </c>
      <c r="F573" t="s">
        <v>197</v>
      </c>
      <c r="G573" t="s">
        <v>197</v>
      </c>
      <c r="H573" t="s">
        <v>197</v>
      </c>
      <c r="I573" t="s">
        <v>197</v>
      </c>
      <c r="J573" t="s">
        <v>197</v>
      </c>
      <c r="K573" t="s">
        <v>360</v>
      </c>
    </row>
    <row r="574" spans="1:24">
      <c r="B574" t="s">
        <v>197</v>
      </c>
      <c r="C574" t="s">
        <v>197</v>
      </c>
      <c r="D574" t="s">
        <v>197</v>
      </c>
      <c r="E574" t="s">
        <v>197</v>
      </c>
      <c r="F574" t="s">
        <v>197</v>
      </c>
      <c r="G574" t="s">
        <v>197</v>
      </c>
      <c r="H574" t="s">
        <v>197</v>
      </c>
      <c r="I574" t="s">
        <v>197</v>
      </c>
      <c r="J574" t="s">
        <v>197</v>
      </c>
      <c r="K574" t="s">
        <v>367</v>
      </c>
    </row>
    <row r="575" spans="1:24">
      <c r="B575" t="s">
        <v>197</v>
      </c>
      <c r="C575" t="s">
        <v>197</v>
      </c>
      <c r="D575" t="s">
        <v>197</v>
      </c>
      <c r="E575" t="s">
        <v>197</v>
      </c>
      <c r="F575" t="s">
        <v>197</v>
      </c>
      <c r="G575" t="s">
        <v>197</v>
      </c>
      <c r="H575" t="s">
        <v>197</v>
      </c>
      <c r="I575" t="s">
        <v>197</v>
      </c>
      <c r="J575" t="s">
        <v>197</v>
      </c>
      <c r="K575" t="s">
        <v>373</v>
      </c>
    </row>
    <row r="576" spans="1:24">
      <c r="K576" t="s">
        <v>443</v>
      </c>
    </row>
    <row r="577" spans="1:24">
      <c r="A577" t="s">
        <v>823</v>
      </c>
      <c r="K577" t="s">
        <v>824</v>
      </c>
      <c r="W577" t="s">
        <v>171</v>
      </c>
      <c r="X577" t="str">
        <f>A577</f>
        <v>info_hierarchyid_dml_single_pk</v>
      </c>
    </row>
    <row r="578" spans="1:24">
      <c r="B578" t="s">
        <v>196</v>
      </c>
      <c r="C578" t="s">
        <v>197</v>
      </c>
      <c r="D578" t="s">
        <v>197</v>
      </c>
      <c r="E578" t="s">
        <v>197</v>
      </c>
      <c r="F578" t="s">
        <v>197</v>
      </c>
      <c r="G578" t="s">
        <v>197</v>
      </c>
      <c r="H578" t="s">
        <v>197</v>
      </c>
      <c r="I578" t="s">
        <v>825</v>
      </c>
      <c r="J578" t="s">
        <v>199</v>
      </c>
      <c r="K578" t="s">
        <v>200</v>
      </c>
    </row>
    <row r="579" spans="1:24">
      <c r="B579" t="s">
        <v>197</v>
      </c>
      <c r="C579" t="s">
        <v>197</v>
      </c>
      <c r="D579" t="s">
        <v>197</v>
      </c>
      <c r="E579" t="s">
        <v>197</v>
      </c>
      <c r="F579" t="s">
        <v>197</v>
      </c>
      <c r="G579" t="s">
        <v>197</v>
      </c>
      <c r="H579" t="s">
        <v>197</v>
      </c>
      <c r="I579" t="s">
        <v>197</v>
      </c>
      <c r="J579" t="s">
        <v>197</v>
      </c>
      <c r="K579" t="s">
        <v>706</v>
      </c>
    </row>
    <row r="580" spans="1:24">
      <c r="A580" t="s">
        <v>820</v>
      </c>
      <c r="K580" t="s">
        <v>821</v>
      </c>
      <c r="W580" t="s">
        <v>171</v>
      </c>
      <c r="X580" t="str">
        <f>A580</f>
        <v>info_nchar_dml_batch1_pk_urp1</v>
      </c>
    </row>
    <row r="581" spans="1:24">
      <c r="B581" t="s">
        <v>196</v>
      </c>
      <c r="C581" t="s">
        <v>197</v>
      </c>
      <c r="D581" t="s">
        <v>197</v>
      </c>
      <c r="E581" t="s">
        <v>197</v>
      </c>
      <c r="F581" t="s">
        <v>197</v>
      </c>
      <c r="G581" t="s">
        <v>197</v>
      </c>
      <c r="H581" t="s">
        <v>197</v>
      </c>
      <c r="I581" t="s">
        <v>822</v>
      </c>
      <c r="J581" t="s">
        <v>199</v>
      </c>
      <c r="K581" t="s">
        <v>200</v>
      </c>
    </row>
    <row r="582" spans="1:24">
      <c r="B582" t="s">
        <v>197</v>
      </c>
      <c r="C582" t="s">
        <v>197</v>
      </c>
      <c r="D582" t="s">
        <v>197</v>
      </c>
      <c r="E582" t="s">
        <v>197</v>
      </c>
      <c r="F582" t="s">
        <v>197</v>
      </c>
      <c r="G582" t="s">
        <v>197</v>
      </c>
      <c r="H582" t="s">
        <v>197</v>
      </c>
      <c r="I582" t="s">
        <v>197</v>
      </c>
      <c r="J582" t="s">
        <v>197</v>
      </c>
      <c r="K582" t="s">
        <v>514</v>
      </c>
    </row>
    <row r="583" spans="1:24">
      <c r="B583" t="s">
        <v>197</v>
      </c>
      <c r="C583" t="s">
        <v>197</v>
      </c>
      <c r="D583" t="s">
        <v>197</v>
      </c>
      <c r="E583" t="s">
        <v>197</v>
      </c>
      <c r="F583" t="s">
        <v>197</v>
      </c>
      <c r="G583" t="s">
        <v>197</v>
      </c>
      <c r="H583" t="s">
        <v>197</v>
      </c>
      <c r="I583" t="s">
        <v>197</v>
      </c>
      <c r="J583" t="s">
        <v>197</v>
      </c>
      <c r="K583" t="s">
        <v>516</v>
      </c>
    </row>
    <row r="584" spans="1:24">
      <c r="B584" t="s">
        <v>197</v>
      </c>
      <c r="C584" t="s">
        <v>197</v>
      </c>
      <c r="D584" t="s">
        <v>197</v>
      </c>
      <c r="E584" t="s">
        <v>197</v>
      </c>
      <c r="F584" t="s">
        <v>197</v>
      </c>
      <c r="G584" t="s">
        <v>197</v>
      </c>
      <c r="H584" t="s">
        <v>197</v>
      </c>
      <c r="I584" t="s">
        <v>197</v>
      </c>
      <c r="J584" t="s">
        <v>197</v>
      </c>
      <c r="K584" t="s">
        <v>612</v>
      </c>
    </row>
    <row r="585" spans="1:24">
      <c r="A585" t="s">
        <v>826</v>
      </c>
      <c r="K585" t="s">
        <v>827</v>
      </c>
      <c r="W585" t="s">
        <v>171</v>
      </c>
      <c r="X585" t="str">
        <f>A585</f>
        <v>info_datetimeoffset_dml_batch1_pk_drp2</v>
      </c>
    </row>
    <row r="586" spans="1:24">
      <c r="B586" t="s">
        <v>196</v>
      </c>
      <c r="C586" t="s">
        <v>197</v>
      </c>
      <c r="D586" t="s">
        <v>197</v>
      </c>
      <c r="E586" t="s">
        <v>197</v>
      </c>
      <c r="F586" t="s">
        <v>197</v>
      </c>
      <c r="G586" t="s">
        <v>197</v>
      </c>
      <c r="H586" t="s">
        <v>197</v>
      </c>
      <c r="I586" t="s">
        <v>828</v>
      </c>
      <c r="J586" t="s">
        <v>199</v>
      </c>
      <c r="K586" t="s">
        <v>200</v>
      </c>
    </row>
    <row r="587" spans="1:24">
      <c r="B587" t="s">
        <v>197</v>
      </c>
      <c r="C587" t="s">
        <v>197</v>
      </c>
      <c r="D587" t="s">
        <v>197</v>
      </c>
      <c r="E587" t="s">
        <v>197</v>
      </c>
      <c r="F587" t="s">
        <v>197</v>
      </c>
      <c r="G587" t="s">
        <v>197</v>
      </c>
      <c r="H587" t="s">
        <v>197</v>
      </c>
      <c r="I587" t="s">
        <v>197</v>
      </c>
      <c r="J587" t="s">
        <v>197</v>
      </c>
      <c r="K587" t="s">
        <v>301</v>
      </c>
    </row>
    <row r="588" spans="1:24">
      <c r="B588" t="s">
        <v>197</v>
      </c>
      <c r="C588" t="s">
        <v>197</v>
      </c>
      <c r="D588" t="s">
        <v>197</v>
      </c>
      <c r="E588" t="s">
        <v>197</v>
      </c>
      <c r="F588" t="s">
        <v>197</v>
      </c>
      <c r="G588" t="s">
        <v>197</v>
      </c>
      <c r="H588" t="s">
        <v>197</v>
      </c>
      <c r="I588" t="s">
        <v>197</v>
      </c>
      <c r="J588" t="s">
        <v>197</v>
      </c>
      <c r="K588" t="s">
        <v>314</v>
      </c>
    </row>
    <row r="589" spans="1:24">
      <c r="B589" t="s">
        <v>197</v>
      </c>
      <c r="C589" t="s">
        <v>197</v>
      </c>
      <c r="D589" t="s">
        <v>197</v>
      </c>
      <c r="E589" t="s">
        <v>197</v>
      </c>
      <c r="F589" t="s">
        <v>197</v>
      </c>
      <c r="G589" t="s">
        <v>197</v>
      </c>
      <c r="H589" t="s">
        <v>197</v>
      </c>
      <c r="I589" t="s">
        <v>197</v>
      </c>
      <c r="J589" t="s">
        <v>197</v>
      </c>
      <c r="K589" t="s">
        <v>324</v>
      </c>
    </row>
    <row r="590" spans="1:24">
      <c r="B590" t="s">
        <v>197</v>
      </c>
      <c r="C590" t="s">
        <v>197</v>
      </c>
      <c r="D590" t="s">
        <v>197</v>
      </c>
      <c r="E590" t="s">
        <v>197</v>
      </c>
      <c r="F590" t="s">
        <v>197</v>
      </c>
      <c r="G590" t="s">
        <v>197</v>
      </c>
      <c r="H590" t="s">
        <v>197</v>
      </c>
      <c r="I590" t="s">
        <v>197</v>
      </c>
      <c r="J590" t="s">
        <v>197</v>
      </c>
      <c r="K590" t="s">
        <v>335</v>
      </c>
    </row>
    <row r="591" spans="1:24">
      <c r="B591" t="s">
        <v>197</v>
      </c>
      <c r="C591" t="s">
        <v>197</v>
      </c>
      <c r="D591" t="s">
        <v>197</v>
      </c>
      <c r="E591" t="s">
        <v>197</v>
      </c>
      <c r="F591" t="s">
        <v>197</v>
      </c>
      <c r="G591" t="s">
        <v>197</v>
      </c>
      <c r="H591" t="s">
        <v>197</v>
      </c>
      <c r="I591" t="s">
        <v>197</v>
      </c>
      <c r="J591" t="s">
        <v>197</v>
      </c>
      <c r="K591" t="s">
        <v>350</v>
      </c>
    </row>
    <row r="592" spans="1:24">
      <c r="B592" t="s">
        <v>197</v>
      </c>
      <c r="C592" t="s">
        <v>197</v>
      </c>
      <c r="D592" t="s">
        <v>197</v>
      </c>
      <c r="E592" t="s">
        <v>197</v>
      </c>
      <c r="F592" t="s">
        <v>197</v>
      </c>
      <c r="G592" t="s">
        <v>197</v>
      </c>
      <c r="H592" t="s">
        <v>197</v>
      </c>
      <c r="I592" t="s">
        <v>197</v>
      </c>
      <c r="J592" t="s">
        <v>197</v>
      </c>
      <c r="K592" t="s">
        <v>360</v>
      </c>
    </row>
    <row r="593" spans="1:24">
      <c r="B593" t="s">
        <v>197</v>
      </c>
      <c r="C593" t="s">
        <v>197</v>
      </c>
      <c r="D593" t="s">
        <v>197</v>
      </c>
      <c r="E593" t="s">
        <v>197</v>
      </c>
      <c r="F593" t="s">
        <v>197</v>
      </c>
      <c r="G593" t="s">
        <v>197</v>
      </c>
      <c r="H593" t="s">
        <v>197</v>
      </c>
      <c r="I593" t="s">
        <v>197</v>
      </c>
      <c r="J593" t="s">
        <v>197</v>
      </c>
      <c r="K593" t="s">
        <v>367</v>
      </c>
    </row>
    <row r="594" spans="1:24">
      <c r="B594" t="s">
        <v>197</v>
      </c>
      <c r="C594" t="s">
        <v>197</v>
      </c>
      <c r="D594" t="s">
        <v>197</v>
      </c>
      <c r="E594" t="s">
        <v>197</v>
      </c>
      <c r="F594" t="s">
        <v>197</v>
      </c>
      <c r="G594" t="s">
        <v>197</v>
      </c>
      <c r="H594" t="s">
        <v>197</v>
      </c>
      <c r="I594" t="s">
        <v>197</v>
      </c>
      <c r="J594" t="s">
        <v>197</v>
      </c>
      <c r="K594" t="s">
        <v>373</v>
      </c>
    </row>
    <row r="595" spans="1:24">
      <c r="A595" t="s">
        <v>829</v>
      </c>
      <c r="K595" t="s">
        <v>830</v>
      </c>
      <c r="W595" t="s">
        <v>171</v>
      </c>
      <c r="X595" t="str">
        <f>A595</f>
        <v>info_char_dml_batch1_pk_drp1</v>
      </c>
    </row>
    <row r="596" spans="1:24">
      <c r="B596" t="s">
        <v>196</v>
      </c>
      <c r="C596" t="s">
        <v>197</v>
      </c>
      <c r="D596" t="s">
        <v>197</v>
      </c>
      <c r="E596" t="s">
        <v>197</v>
      </c>
      <c r="F596" t="s">
        <v>197</v>
      </c>
      <c r="G596" t="s">
        <v>197</v>
      </c>
      <c r="H596" t="s">
        <v>197</v>
      </c>
      <c r="I596" t="s">
        <v>831</v>
      </c>
      <c r="J596" t="s">
        <v>199</v>
      </c>
      <c r="K596" t="s">
        <v>200</v>
      </c>
    </row>
    <row r="597" spans="1:24">
      <c r="B597" t="s">
        <v>197</v>
      </c>
      <c r="C597" t="s">
        <v>197</v>
      </c>
      <c r="D597" t="s">
        <v>197</v>
      </c>
      <c r="E597" t="s">
        <v>197</v>
      </c>
      <c r="F597" t="s">
        <v>197</v>
      </c>
      <c r="G597" t="s">
        <v>197</v>
      </c>
      <c r="H597" t="s">
        <v>197</v>
      </c>
      <c r="I597" t="s">
        <v>197</v>
      </c>
      <c r="J597" t="s">
        <v>197</v>
      </c>
      <c r="K597" t="s">
        <v>622</v>
      </c>
    </row>
    <row r="598" spans="1:24">
      <c r="B598" t="s">
        <v>197</v>
      </c>
      <c r="C598" t="s">
        <v>197</v>
      </c>
      <c r="D598" t="s">
        <v>197</v>
      </c>
      <c r="E598" t="s">
        <v>197</v>
      </c>
      <c r="F598" t="s">
        <v>197</v>
      </c>
      <c r="G598" t="s">
        <v>197</v>
      </c>
      <c r="H598" t="s">
        <v>197</v>
      </c>
      <c r="I598" t="s">
        <v>197</v>
      </c>
      <c r="J598" t="s">
        <v>197</v>
      </c>
      <c r="K598" t="s">
        <v>623</v>
      </c>
    </row>
    <row r="599" spans="1:24">
      <c r="B599" t="s">
        <v>197</v>
      </c>
      <c r="C599" t="s">
        <v>197</v>
      </c>
      <c r="D599" t="s">
        <v>197</v>
      </c>
      <c r="E599" t="s">
        <v>197</v>
      </c>
      <c r="F599" t="s">
        <v>197</v>
      </c>
      <c r="G599" t="s">
        <v>197</v>
      </c>
      <c r="H599" t="s">
        <v>197</v>
      </c>
      <c r="I599" t="s">
        <v>197</v>
      </c>
      <c r="J599" t="s">
        <v>197</v>
      </c>
      <c r="K599" t="s">
        <v>832</v>
      </c>
    </row>
    <row r="600" spans="1:24">
      <c r="K600" t="s">
        <v>443</v>
      </c>
    </row>
    <row r="601" spans="1:24">
      <c r="A601" t="s">
        <v>833</v>
      </c>
      <c r="K601" t="s">
        <v>834</v>
      </c>
      <c r="W601" t="s">
        <v>171</v>
      </c>
      <c r="X601" t="str">
        <f>A601</f>
        <v>info_datetimeoffset_dml_batch1_pk</v>
      </c>
    </row>
    <row r="602" spans="1:24">
      <c r="B602" t="s">
        <v>196</v>
      </c>
      <c r="C602" t="s">
        <v>197</v>
      </c>
      <c r="D602" t="s">
        <v>197</v>
      </c>
      <c r="E602" t="s">
        <v>197</v>
      </c>
      <c r="F602" t="s">
        <v>197</v>
      </c>
      <c r="G602" t="s">
        <v>197</v>
      </c>
      <c r="H602" t="s">
        <v>197</v>
      </c>
      <c r="I602" t="s">
        <v>835</v>
      </c>
      <c r="J602" t="s">
        <v>199</v>
      </c>
      <c r="K602" t="s">
        <v>200</v>
      </c>
    </row>
    <row r="603" spans="1:24">
      <c r="B603" t="s">
        <v>197</v>
      </c>
      <c r="C603" t="s">
        <v>197</v>
      </c>
      <c r="D603" t="s">
        <v>197</v>
      </c>
      <c r="E603" t="s">
        <v>197</v>
      </c>
      <c r="F603" t="s">
        <v>197</v>
      </c>
      <c r="G603" t="s">
        <v>197</v>
      </c>
      <c r="H603" t="s">
        <v>197</v>
      </c>
      <c r="I603" t="s">
        <v>197</v>
      </c>
      <c r="J603" t="s">
        <v>197</v>
      </c>
      <c r="K603" t="s">
        <v>301</v>
      </c>
    </row>
    <row r="604" spans="1:24">
      <c r="B604" t="s">
        <v>197</v>
      </c>
      <c r="C604" t="s">
        <v>197</v>
      </c>
      <c r="D604" t="s">
        <v>197</v>
      </c>
      <c r="E604" t="s">
        <v>197</v>
      </c>
      <c r="F604" t="s">
        <v>197</v>
      </c>
      <c r="G604" t="s">
        <v>197</v>
      </c>
      <c r="H604" t="s">
        <v>197</v>
      </c>
      <c r="I604" t="s">
        <v>197</v>
      </c>
      <c r="J604" t="s">
        <v>197</v>
      </c>
      <c r="K604" t="s">
        <v>314</v>
      </c>
    </row>
    <row r="605" spans="1:24">
      <c r="B605" t="s">
        <v>197</v>
      </c>
      <c r="C605" t="s">
        <v>197</v>
      </c>
      <c r="D605" t="s">
        <v>197</v>
      </c>
      <c r="E605" t="s">
        <v>197</v>
      </c>
      <c r="F605" t="s">
        <v>197</v>
      </c>
      <c r="G605" t="s">
        <v>197</v>
      </c>
      <c r="H605" t="s">
        <v>197</v>
      </c>
      <c r="I605" t="s">
        <v>197</v>
      </c>
      <c r="J605" t="s">
        <v>197</v>
      </c>
      <c r="K605" t="s">
        <v>324</v>
      </c>
    </row>
    <row r="606" spans="1:24">
      <c r="B606" t="s">
        <v>197</v>
      </c>
      <c r="C606" t="s">
        <v>197</v>
      </c>
      <c r="D606" t="s">
        <v>197</v>
      </c>
      <c r="E606" t="s">
        <v>197</v>
      </c>
      <c r="F606" t="s">
        <v>197</v>
      </c>
      <c r="G606" t="s">
        <v>197</v>
      </c>
      <c r="H606" t="s">
        <v>197</v>
      </c>
      <c r="I606" t="s">
        <v>197</v>
      </c>
      <c r="J606" t="s">
        <v>197</v>
      </c>
      <c r="K606" t="s">
        <v>335</v>
      </c>
    </row>
    <row r="607" spans="1:24">
      <c r="B607" t="s">
        <v>197</v>
      </c>
      <c r="C607" t="s">
        <v>197</v>
      </c>
      <c r="D607" t="s">
        <v>197</v>
      </c>
      <c r="E607" t="s">
        <v>197</v>
      </c>
      <c r="F607" t="s">
        <v>197</v>
      </c>
      <c r="G607" t="s">
        <v>197</v>
      </c>
      <c r="H607" t="s">
        <v>197</v>
      </c>
      <c r="I607" t="s">
        <v>197</v>
      </c>
      <c r="J607" t="s">
        <v>197</v>
      </c>
      <c r="K607" t="s">
        <v>350</v>
      </c>
    </row>
    <row r="608" spans="1:24">
      <c r="B608" t="s">
        <v>197</v>
      </c>
      <c r="C608" t="s">
        <v>197</v>
      </c>
      <c r="D608" t="s">
        <v>197</v>
      </c>
      <c r="E608" t="s">
        <v>197</v>
      </c>
      <c r="F608" t="s">
        <v>197</v>
      </c>
      <c r="G608" t="s">
        <v>197</v>
      </c>
      <c r="H608" t="s">
        <v>197</v>
      </c>
      <c r="I608" t="s">
        <v>197</v>
      </c>
      <c r="J608" t="s">
        <v>197</v>
      </c>
      <c r="K608" t="s">
        <v>360</v>
      </c>
    </row>
    <row r="609" spans="1:24">
      <c r="B609" t="s">
        <v>197</v>
      </c>
      <c r="C609" t="s">
        <v>197</v>
      </c>
      <c r="D609" t="s">
        <v>197</v>
      </c>
      <c r="E609" t="s">
        <v>197</v>
      </c>
      <c r="F609" t="s">
        <v>197</v>
      </c>
      <c r="G609" t="s">
        <v>197</v>
      </c>
      <c r="H609" t="s">
        <v>197</v>
      </c>
      <c r="I609" t="s">
        <v>197</v>
      </c>
      <c r="J609" t="s">
        <v>197</v>
      </c>
      <c r="K609" t="s">
        <v>367</v>
      </c>
    </row>
    <row r="610" spans="1:24">
      <c r="B610" t="s">
        <v>197</v>
      </c>
      <c r="C610" t="s">
        <v>197</v>
      </c>
      <c r="D610" t="s">
        <v>197</v>
      </c>
      <c r="E610" t="s">
        <v>197</v>
      </c>
      <c r="F610" t="s">
        <v>197</v>
      </c>
      <c r="G610" t="s">
        <v>197</v>
      </c>
      <c r="H610" t="s">
        <v>197</v>
      </c>
      <c r="I610" t="s">
        <v>197</v>
      </c>
      <c r="J610" t="s">
        <v>197</v>
      </c>
      <c r="K610" t="s">
        <v>373</v>
      </c>
    </row>
    <row r="611" spans="1:24">
      <c r="A611" t="s">
        <v>836</v>
      </c>
      <c r="K611" t="s">
        <v>837</v>
      </c>
      <c r="W611" t="s">
        <v>171</v>
      </c>
      <c r="X611" t="str">
        <f>A611</f>
        <v>info_nchar_dml_batch2_pk_urp2</v>
      </c>
    </row>
    <row r="612" spans="1:24">
      <c r="B612" t="s">
        <v>196</v>
      </c>
      <c r="C612" t="s">
        <v>197</v>
      </c>
      <c r="D612" t="s">
        <v>197</v>
      </c>
      <c r="E612" t="s">
        <v>197</v>
      </c>
      <c r="F612" t="s">
        <v>197</v>
      </c>
      <c r="G612" t="s">
        <v>197</v>
      </c>
      <c r="H612" t="s">
        <v>197</v>
      </c>
      <c r="I612" t="s">
        <v>838</v>
      </c>
      <c r="J612" t="s">
        <v>199</v>
      </c>
      <c r="K612" t="s">
        <v>200</v>
      </c>
    </row>
    <row r="613" spans="1:24">
      <c r="B613" t="s">
        <v>197</v>
      </c>
      <c r="C613" t="s">
        <v>197</v>
      </c>
      <c r="D613" t="s">
        <v>197</v>
      </c>
      <c r="E613" t="s">
        <v>197</v>
      </c>
      <c r="F613" t="s">
        <v>197</v>
      </c>
      <c r="G613" t="s">
        <v>197</v>
      </c>
      <c r="H613" t="s">
        <v>197</v>
      </c>
      <c r="I613" t="s">
        <v>197</v>
      </c>
      <c r="J613" t="s">
        <v>197</v>
      </c>
      <c r="K613" t="s">
        <v>514</v>
      </c>
    </row>
    <row r="614" spans="1:24">
      <c r="B614" t="s">
        <v>197</v>
      </c>
      <c r="C614" t="s">
        <v>197</v>
      </c>
      <c r="D614" t="s">
        <v>197</v>
      </c>
      <c r="E614" t="s">
        <v>197</v>
      </c>
      <c r="F614" t="s">
        <v>197</v>
      </c>
      <c r="G614" t="s">
        <v>197</v>
      </c>
      <c r="H614" t="s">
        <v>197</v>
      </c>
      <c r="I614" t="s">
        <v>197</v>
      </c>
      <c r="J614" t="s">
        <v>197</v>
      </c>
      <c r="K614" t="s">
        <v>516</v>
      </c>
    </row>
    <row r="615" spans="1:24">
      <c r="B615" t="s">
        <v>197</v>
      </c>
      <c r="C615" t="s">
        <v>197</v>
      </c>
      <c r="D615" t="s">
        <v>197</v>
      </c>
      <c r="E615" t="s">
        <v>197</v>
      </c>
      <c r="F615" t="s">
        <v>197</v>
      </c>
      <c r="G615" t="s">
        <v>197</v>
      </c>
      <c r="H615" t="s">
        <v>197</v>
      </c>
      <c r="I615" t="s">
        <v>197</v>
      </c>
      <c r="J615" t="s">
        <v>197</v>
      </c>
      <c r="K615" t="s">
        <v>612</v>
      </c>
    </row>
    <row r="616" spans="1:24">
      <c r="A616" t="s">
        <v>839</v>
      </c>
      <c r="K616" t="s">
        <v>840</v>
      </c>
      <c r="W616" t="s">
        <v>171</v>
      </c>
      <c r="X616" t="str">
        <f>A616</f>
        <v>info_date_dml_batch2_pk_irp1</v>
      </c>
    </row>
    <row r="617" spans="1:24">
      <c r="B617" t="s">
        <v>196</v>
      </c>
      <c r="C617" t="s">
        <v>197</v>
      </c>
      <c r="D617" t="s">
        <v>197</v>
      </c>
      <c r="E617" t="s">
        <v>197</v>
      </c>
      <c r="F617" t="s">
        <v>197</v>
      </c>
      <c r="G617" t="s">
        <v>197</v>
      </c>
      <c r="H617" t="s">
        <v>197</v>
      </c>
      <c r="I617" t="s">
        <v>841</v>
      </c>
      <c r="J617" t="s">
        <v>199</v>
      </c>
      <c r="K617" t="s">
        <v>200</v>
      </c>
    </row>
    <row r="618" spans="1:24">
      <c r="B618" t="s">
        <v>197</v>
      </c>
      <c r="C618" t="s">
        <v>197</v>
      </c>
      <c r="D618" t="s">
        <v>197</v>
      </c>
      <c r="E618" t="s">
        <v>197</v>
      </c>
      <c r="F618" t="s">
        <v>197</v>
      </c>
      <c r="G618" t="s">
        <v>197</v>
      </c>
      <c r="H618" t="s">
        <v>197</v>
      </c>
      <c r="I618" t="s">
        <v>197</v>
      </c>
      <c r="J618" t="s">
        <v>197</v>
      </c>
      <c r="K618" t="s">
        <v>678</v>
      </c>
    </row>
    <row r="619" spans="1:24">
      <c r="A619" t="s">
        <v>842</v>
      </c>
      <c r="K619" t="s">
        <v>843</v>
      </c>
      <c r="W619" t="s">
        <v>171</v>
      </c>
      <c r="X619" t="str">
        <f>A619</f>
        <v>info_time_dml_single_pk_urp</v>
      </c>
    </row>
    <row r="620" spans="1:24">
      <c r="B620" t="s">
        <v>196</v>
      </c>
      <c r="C620" t="s">
        <v>197</v>
      </c>
      <c r="D620" t="s">
        <v>197</v>
      </c>
      <c r="E620" t="s">
        <v>197</v>
      </c>
      <c r="F620" t="s">
        <v>197</v>
      </c>
      <c r="G620" t="s">
        <v>197</v>
      </c>
      <c r="H620" t="s">
        <v>197</v>
      </c>
      <c r="I620" t="s">
        <v>844</v>
      </c>
      <c r="J620" t="s">
        <v>199</v>
      </c>
      <c r="K620" t="s">
        <v>200</v>
      </c>
    </row>
    <row r="621" spans="1:24">
      <c r="B621" t="s">
        <v>197</v>
      </c>
      <c r="C621" t="s">
        <v>197</v>
      </c>
      <c r="D621" t="s">
        <v>197</v>
      </c>
      <c r="E621" t="s">
        <v>197</v>
      </c>
      <c r="F621" t="s">
        <v>197</v>
      </c>
      <c r="G621" t="s">
        <v>197</v>
      </c>
      <c r="H621" t="s">
        <v>197</v>
      </c>
      <c r="I621" t="s">
        <v>197</v>
      </c>
      <c r="J621" t="s">
        <v>197</v>
      </c>
      <c r="K621" t="s">
        <v>800</v>
      </c>
    </row>
    <row r="622" spans="1:24">
      <c r="B622" t="s">
        <v>197</v>
      </c>
      <c r="C622" t="s">
        <v>197</v>
      </c>
      <c r="D622" t="s">
        <v>197</v>
      </c>
      <c r="E622" t="s">
        <v>197</v>
      </c>
      <c r="F622" t="s">
        <v>197</v>
      </c>
      <c r="G622" t="s">
        <v>197</v>
      </c>
      <c r="H622" t="s">
        <v>197</v>
      </c>
      <c r="I622" t="s">
        <v>197</v>
      </c>
      <c r="J622" t="s">
        <v>197</v>
      </c>
      <c r="K622" t="s">
        <v>801</v>
      </c>
    </row>
    <row r="623" spans="1:24">
      <c r="B623" t="s">
        <v>197</v>
      </c>
      <c r="C623" t="s">
        <v>197</v>
      </c>
      <c r="D623" t="s">
        <v>197</v>
      </c>
      <c r="E623" t="s">
        <v>197</v>
      </c>
      <c r="F623" t="s">
        <v>197</v>
      </c>
      <c r="G623" t="s">
        <v>197</v>
      </c>
      <c r="H623" t="s">
        <v>197</v>
      </c>
      <c r="I623" t="s">
        <v>197</v>
      </c>
      <c r="J623" t="s">
        <v>197</v>
      </c>
      <c r="K623" t="s">
        <v>802</v>
      </c>
    </row>
    <row r="624" spans="1:24">
      <c r="B624" t="s">
        <v>197</v>
      </c>
      <c r="C624" t="s">
        <v>197</v>
      </c>
      <c r="D624" t="s">
        <v>197</v>
      </c>
      <c r="E624" t="s">
        <v>197</v>
      </c>
      <c r="F624" t="s">
        <v>197</v>
      </c>
      <c r="G624" t="s">
        <v>197</v>
      </c>
      <c r="H624" t="s">
        <v>197</v>
      </c>
      <c r="I624" t="s">
        <v>197</v>
      </c>
      <c r="J624" t="s">
        <v>197</v>
      </c>
      <c r="K624" t="s">
        <v>803</v>
      </c>
    </row>
    <row r="625" spans="1:24">
      <c r="B625" t="s">
        <v>197</v>
      </c>
      <c r="C625" t="s">
        <v>197</v>
      </c>
      <c r="D625" t="s">
        <v>197</v>
      </c>
      <c r="E625" t="s">
        <v>197</v>
      </c>
      <c r="F625" t="s">
        <v>197</v>
      </c>
      <c r="G625" t="s">
        <v>197</v>
      </c>
      <c r="H625" t="s">
        <v>197</v>
      </c>
      <c r="I625" t="s">
        <v>197</v>
      </c>
      <c r="J625" t="s">
        <v>197</v>
      </c>
      <c r="K625" t="s">
        <v>804</v>
      </c>
    </row>
    <row r="626" spans="1:24">
      <c r="B626" t="s">
        <v>197</v>
      </c>
      <c r="C626" t="s">
        <v>197</v>
      </c>
      <c r="D626" t="s">
        <v>197</v>
      </c>
      <c r="E626" t="s">
        <v>197</v>
      </c>
      <c r="F626" t="s">
        <v>197</v>
      </c>
      <c r="G626" t="s">
        <v>197</v>
      </c>
      <c r="H626" t="s">
        <v>197</v>
      </c>
      <c r="I626" t="s">
        <v>197</v>
      </c>
      <c r="J626" t="s">
        <v>197</v>
      </c>
      <c r="K626" t="s">
        <v>805</v>
      </c>
    </row>
    <row r="627" spans="1:24">
      <c r="B627" t="s">
        <v>197</v>
      </c>
      <c r="C627" t="s">
        <v>197</v>
      </c>
      <c r="D627" t="s">
        <v>197</v>
      </c>
      <c r="E627" t="s">
        <v>197</v>
      </c>
      <c r="F627" t="s">
        <v>197</v>
      </c>
      <c r="G627" t="s">
        <v>197</v>
      </c>
      <c r="H627" t="s">
        <v>197</v>
      </c>
      <c r="I627" t="s">
        <v>197</v>
      </c>
      <c r="J627" t="s">
        <v>197</v>
      </c>
      <c r="K627" t="s">
        <v>806</v>
      </c>
    </row>
    <row r="628" spans="1:24">
      <c r="B628" t="s">
        <v>197</v>
      </c>
      <c r="C628" t="s">
        <v>197</v>
      </c>
      <c r="D628" t="s">
        <v>197</v>
      </c>
      <c r="E628" t="s">
        <v>197</v>
      </c>
      <c r="F628" t="s">
        <v>197</v>
      </c>
      <c r="G628" t="s">
        <v>197</v>
      </c>
      <c r="H628" t="s">
        <v>197</v>
      </c>
      <c r="I628" t="s">
        <v>197</v>
      </c>
      <c r="J628" t="s">
        <v>197</v>
      </c>
      <c r="K628" t="s">
        <v>807</v>
      </c>
    </row>
    <row r="629" spans="1:24">
      <c r="A629" t="s">
        <v>845</v>
      </c>
      <c r="K629" t="s">
        <v>846</v>
      </c>
      <c r="W629" t="s">
        <v>171</v>
      </c>
      <c r="X629" t="str">
        <f>A629</f>
        <v>info_binary_dml_batch1_pk_urp1</v>
      </c>
    </row>
    <row r="630" spans="1:24">
      <c r="B630" t="s">
        <v>196</v>
      </c>
      <c r="C630" t="s">
        <v>197</v>
      </c>
      <c r="D630" t="s">
        <v>197</v>
      </c>
      <c r="E630" t="s">
        <v>197</v>
      </c>
      <c r="F630" t="s">
        <v>197</v>
      </c>
      <c r="G630" t="s">
        <v>197</v>
      </c>
      <c r="H630" t="s">
        <v>197</v>
      </c>
      <c r="I630" t="s">
        <v>847</v>
      </c>
      <c r="J630" t="s">
        <v>199</v>
      </c>
      <c r="K630" t="s">
        <v>200</v>
      </c>
    </row>
    <row r="631" spans="1:24">
      <c r="B631" t="s">
        <v>197</v>
      </c>
      <c r="C631" t="s">
        <v>197</v>
      </c>
      <c r="D631" t="s">
        <v>197</v>
      </c>
      <c r="E631" t="s">
        <v>197</v>
      </c>
      <c r="F631" t="s">
        <v>197</v>
      </c>
      <c r="G631" t="s">
        <v>197</v>
      </c>
      <c r="H631" t="s">
        <v>197</v>
      </c>
      <c r="I631" t="s">
        <v>197</v>
      </c>
      <c r="J631" t="s">
        <v>197</v>
      </c>
      <c r="K631" t="s">
        <v>691</v>
      </c>
    </row>
    <row r="632" spans="1:24">
      <c r="B632" t="s">
        <v>197</v>
      </c>
      <c r="C632" t="s">
        <v>197</v>
      </c>
      <c r="D632" t="s">
        <v>197</v>
      </c>
      <c r="E632" t="s">
        <v>197</v>
      </c>
      <c r="F632" t="s">
        <v>197</v>
      </c>
      <c r="G632" t="s">
        <v>197</v>
      </c>
      <c r="H632" t="s">
        <v>197</v>
      </c>
      <c r="I632" t="s">
        <v>197</v>
      </c>
      <c r="J632" t="s">
        <v>197</v>
      </c>
      <c r="K632" t="s">
        <v>692</v>
      </c>
    </row>
    <row r="633" spans="1:24">
      <c r="B633" t="s">
        <v>197</v>
      </c>
      <c r="C633" t="s">
        <v>197</v>
      </c>
      <c r="D633" t="s">
        <v>197</v>
      </c>
      <c r="E633" t="s">
        <v>197</v>
      </c>
      <c r="F633" t="s">
        <v>197</v>
      </c>
      <c r="G633" t="s">
        <v>197</v>
      </c>
      <c r="H633" t="s">
        <v>197</v>
      </c>
      <c r="I633" t="s">
        <v>197</v>
      </c>
      <c r="J633" t="s">
        <v>197</v>
      </c>
      <c r="K633" t="s">
        <v>693</v>
      </c>
    </row>
    <row r="634" spans="1:24">
      <c r="A634" t="s">
        <v>848</v>
      </c>
      <c r="K634" t="s">
        <v>849</v>
      </c>
      <c r="W634" t="s">
        <v>171</v>
      </c>
      <c r="X634" t="str">
        <f>A634</f>
        <v>info_time_dml_single_pk_drp</v>
      </c>
    </row>
    <row r="635" spans="1:24">
      <c r="B635" t="s">
        <v>196</v>
      </c>
      <c r="C635" t="s">
        <v>197</v>
      </c>
      <c r="D635" t="s">
        <v>197</v>
      </c>
      <c r="E635" t="s">
        <v>197</v>
      </c>
      <c r="F635" t="s">
        <v>197</v>
      </c>
      <c r="G635" t="s">
        <v>197</v>
      </c>
      <c r="H635" t="s">
        <v>197</v>
      </c>
      <c r="I635" t="s">
        <v>850</v>
      </c>
      <c r="J635" t="s">
        <v>199</v>
      </c>
      <c r="K635" t="s">
        <v>200</v>
      </c>
    </row>
    <row r="636" spans="1:24">
      <c r="B636" t="s">
        <v>197</v>
      </c>
      <c r="C636" t="s">
        <v>197</v>
      </c>
      <c r="D636" t="s">
        <v>197</v>
      </c>
      <c r="E636" t="s">
        <v>197</v>
      </c>
      <c r="F636" t="s">
        <v>197</v>
      </c>
      <c r="G636" t="s">
        <v>197</v>
      </c>
      <c r="H636" t="s">
        <v>197</v>
      </c>
      <c r="I636" t="s">
        <v>197</v>
      </c>
      <c r="J636" t="s">
        <v>197</v>
      </c>
      <c r="K636" t="s">
        <v>800</v>
      </c>
    </row>
    <row r="637" spans="1:24">
      <c r="B637" t="s">
        <v>197</v>
      </c>
      <c r="C637" t="s">
        <v>197</v>
      </c>
      <c r="D637" t="s">
        <v>197</v>
      </c>
      <c r="E637" t="s">
        <v>197</v>
      </c>
      <c r="F637" t="s">
        <v>197</v>
      </c>
      <c r="G637" t="s">
        <v>197</v>
      </c>
      <c r="H637" t="s">
        <v>197</v>
      </c>
      <c r="I637" t="s">
        <v>197</v>
      </c>
      <c r="J637" t="s">
        <v>197</v>
      </c>
      <c r="K637" t="s">
        <v>801</v>
      </c>
    </row>
    <row r="638" spans="1:24">
      <c r="B638" t="s">
        <v>197</v>
      </c>
      <c r="C638" t="s">
        <v>197</v>
      </c>
      <c r="D638" t="s">
        <v>197</v>
      </c>
      <c r="E638" t="s">
        <v>197</v>
      </c>
      <c r="F638" t="s">
        <v>197</v>
      </c>
      <c r="G638" t="s">
        <v>197</v>
      </c>
      <c r="H638" t="s">
        <v>197</v>
      </c>
      <c r="I638" t="s">
        <v>197</v>
      </c>
      <c r="J638" t="s">
        <v>197</v>
      </c>
      <c r="K638" t="s">
        <v>802</v>
      </c>
    </row>
    <row r="639" spans="1:24">
      <c r="B639" t="s">
        <v>197</v>
      </c>
      <c r="C639" t="s">
        <v>197</v>
      </c>
      <c r="D639" t="s">
        <v>197</v>
      </c>
      <c r="E639" t="s">
        <v>197</v>
      </c>
      <c r="F639" t="s">
        <v>197</v>
      </c>
      <c r="G639" t="s">
        <v>197</v>
      </c>
      <c r="H639" t="s">
        <v>197</v>
      </c>
      <c r="I639" t="s">
        <v>197</v>
      </c>
      <c r="J639" t="s">
        <v>197</v>
      </c>
      <c r="K639" t="s">
        <v>803</v>
      </c>
    </row>
    <row r="640" spans="1:24">
      <c r="B640" t="s">
        <v>197</v>
      </c>
      <c r="C640" t="s">
        <v>197</v>
      </c>
      <c r="D640" t="s">
        <v>197</v>
      </c>
      <c r="E640" t="s">
        <v>197</v>
      </c>
      <c r="F640" t="s">
        <v>197</v>
      </c>
      <c r="G640" t="s">
        <v>197</v>
      </c>
      <c r="H640" t="s">
        <v>197</v>
      </c>
      <c r="I640" t="s">
        <v>197</v>
      </c>
      <c r="J640" t="s">
        <v>197</v>
      </c>
      <c r="K640" t="s">
        <v>804</v>
      </c>
    </row>
    <row r="641" spans="1:24">
      <c r="B641" t="s">
        <v>197</v>
      </c>
      <c r="C641" t="s">
        <v>197</v>
      </c>
      <c r="D641" t="s">
        <v>197</v>
      </c>
      <c r="E641" t="s">
        <v>197</v>
      </c>
      <c r="F641" t="s">
        <v>197</v>
      </c>
      <c r="G641" t="s">
        <v>197</v>
      </c>
      <c r="H641" t="s">
        <v>197</v>
      </c>
      <c r="I641" t="s">
        <v>197</v>
      </c>
      <c r="J641" t="s">
        <v>197</v>
      </c>
      <c r="K641" t="s">
        <v>805</v>
      </c>
    </row>
    <row r="642" spans="1:24">
      <c r="B642" t="s">
        <v>197</v>
      </c>
      <c r="C642" t="s">
        <v>197</v>
      </c>
      <c r="D642" t="s">
        <v>197</v>
      </c>
      <c r="E642" t="s">
        <v>197</v>
      </c>
      <c r="F642" t="s">
        <v>197</v>
      </c>
      <c r="G642" t="s">
        <v>197</v>
      </c>
      <c r="H642" t="s">
        <v>197</v>
      </c>
      <c r="I642" t="s">
        <v>197</v>
      </c>
      <c r="J642" t="s">
        <v>197</v>
      </c>
      <c r="K642" t="s">
        <v>806</v>
      </c>
    </row>
    <row r="643" spans="1:24">
      <c r="B643" t="s">
        <v>197</v>
      </c>
      <c r="C643" t="s">
        <v>197</v>
      </c>
      <c r="D643" t="s">
        <v>197</v>
      </c>
      <c r="E643" t="s">
        <v>197</v>
      </c>
      <c r="F643" t="s">
        <v>197</v>
      </c>
      <c r="G643" t="s">
        <v>197</v>
      </c>
      <c r="H643" t="s">
        <v>197</v>
      </c>
      <c r="I643" t="s">
        <v>197</v>
      </c>
      <c r="J643" t="s">
        <v>197</v>
      </c>
      <c r="K643" t="s">
        <v>807</v>
      </c>
    </row>
    <row r="644" spans="1:24">
      <c r="A644" t="s">
        <v>851</v>
      </c>
      <c r="K644" t="s">
        <v>852</v>
      </c>
      <c r="W644" t="s">
        <v>171</v>
      </c>
      <c r="X644" t="str">
        <f>A644</f>
        <v>info_nvarchar_dml_single_pk</v>
      </c>
    </row>
    <row r="645" spans="1:24">
      <c r="B645" t="s">
        <v>196</v>
      </c>
      <c r="C645" t="s">
        <v>197</v>
      </c>
      <c r="D645" t="s">
        <v>197</v>
      </c>
      <c r="E645" t="s">
        <v>197</v>
      </c>
      <c r="F645" t="s">
        <v>197</v>
      </c>
      <c r="G645" t="s">
        <v>197</v>
      </c>
      <c r="H645" t="s">
        <v>197</v>
      </c>
      <c r="I645" t="s">
        <v>853</v>
      </c>
      <c r="J645" t="s">
        <v>199</v>
      </c>
      <c r="K645" t="s">
        <v>200</v>
      </c>
    </row>
    <row r="646" spans="1:24">
      <c r="B646" t="s">
        <v>197</v>
      </c>
      <c r="C646" t="s">
        <v>197</v>
      </c>
      <c r="D646" t="s">
        <v>197</v>
      </c>
      <c r="E646" t="s">
        <v>197</v>
      </c>
      <c r="F646" t="s">
        <v>197</v>
      </c>
      <c r="G646" t="s">
        <v>197</v>
      </c>
      <c r="H646" t="s">
        <v>197</v>
      </c>
      <c r="I646" t="s">
        <v>197</v>
      </c>
      <c r="J646" t="s">
        <v>197</v>
      </c>
      <c r="K646" t="s">
        <v>408</v>
      </c>
    </row>
    <row r="647" spans="1:24">
      <c r="B647" t="s">
        <v>197</v>
      </c>
      <c r="C647" t="s">
        <v>197</v>
      </c>
      <c r="D647" t="s">
        <v>197</v>
      </c>
      <c r="E647" t="s">
        <v>197</v>
      </c>
      <c r="F647" t="s">
        <v>197</v>
      </c>
      <c r="G647" t="s">
        <v>197</v>
      </c>
      <c r="H647" t="s">
        <v>197</v>
      </c>
      <c r="I647" t="s">
        <v>197</v>
      </c>
      <c r="J647" t="s">
        <v>197</v>
      </c>
      <c r="K647" t="s">
        <v>412</v>
      </c>
    </row>
    <row r="648" spans="1:24">
      <c r="B648" t="s">
        <v>197</v>
      </c>
      <c r="C648" t="s">
        <v>197</v>
      </c>
      <c r="D648" t="s">
        <v>197</v>
      </c>
      <c r="E648" t="s">
        <v>197</v>
      </c>
      <c r="F648" t="s">
        <v>197</v>
      </c>
      <c r="G648" t="s">
        <v>197</v>
      </c>
      <c r="H648" t="s">
        <v>197</v>
      </c>
      <c r="I648" t="s">
        <v>197</v>
      </c>
      <c r="J648" t="s">
        <v>197</v>
      </c>
      <c r="K648" t="s">
        <v>730</v>
      </c>
    </row>
    <row r="649" spans="1:24">
      <c r="A649" t="s">
        <v>854</v>
      </c>
      <c r="K649" t="s">
        <v>855</v>
      </c>
      <c r="W649" t="s">
        <v>171</v>
      </c>
      <c r="X649" t="str">
        <f>A649</f>
        <v>info_date_dml_batch2_pk_irp2</v>
      </c>
    </row>
    <row r="650" spans="1:24">
      <c r="B650" t="s">
        <v>196</v>
      </c>
      <c r="C650" t="s">
        <v>197</v>
      </c>
      <c r="D650" t="s">
        <v>197</v>
      </c>
      <c r="E650" t="s">
        <v>197</v>
      </c>
      <c r="F650" t="s">
        <v>197</v>
      </c>
      <c r="G650" t="s">
        <v>197</v>
      </c>
      <c r="H650" t="s">
        <v>197</v>
      </c>
      <c r="I650" t="s">
        <v>856</v>
      </c>
      <c r="J650" t="s">
        <v>199</v>
      </c>
      <c r="K650" t="s">
        <v>200</v>
      </c>
    </row>
    <row r="651" spans="1:24">
      <c r="B651" t="s">
        <v>197</v>
      </c>
      <c r="C651" t="s">
        <v>197</v>
      </c>
      <c r="D651" t="s">
        <v>197</v>
      </c>
      <c r="E651" t="s">
        <v>197</v>
      </c>
      <c r="F651" t="s">
        <v>197</v>
      </c>
      <c r="G651" t="s">
        <v>197</v>
      </c>
      <c r="H651" t="s">
        <v>197</v>
      </c>
      <c r="I651" t="s">
        <v>197</v>
      </c>
      <c r="J651" t="s">
        <v>197</v>
      </c>
      <c r="K651" t="s">
        <v>678</v>
      </c>
    </row>
    <row r="652" spans="1:24">
      <c r="A652" t="s">
        <v>857</v>
      </c>
      <c r="K652" t="s">
        <v>858</v>
      </c>
      <c r="W652" t="s">
        <v>171</v>
      </c>
      <c r="X652" t="str">
        <f>A652</f>
        <v>info_binary_dml_batch1_pk_urp2</v>
      </c>
    </row>
    <row r="653" spans="1:24">
      <c r="B653" t="s">
        <v>196</v>
      </c>
      <c r="C653" t="s">
        <v>197</v>
      </c>
      <c r="D653" t="s">
        <v>197</v>
      </c>
      <c r="E653" t="s">
        <v>197</v>
      </c>
      <c r="F653" t="s">
        <v>197</v>
      </c>
      <c r="G653" t="s">
        <v>197</v>
      </c>
      <c r="H653" t="s">
        <v>197</v>
      </c>
      <c r="I653" t="s">
        <v>859</v>
      </c>
      <c r="J653" t="s">
        <v>199</v>
      </c>
      <c r="K653" t="s">
        <v>200</v>
      </c>
    </row>
    <row r="654" spans="1:24">
      <c r="B654" t="s">
        <v>197</v>
      </c>
      <c r="C654" t="s">
        <v>197</v>
      </c>
      <c r="D654" t="s">
        <v>197</v>
      </c>
      <c r="E654" t="s">
        <v>197</v>
      </c>
      <c r="F654" t="s">
        <v>197</v>
      </c>
      <c r="G654" t="s">
        <v>197</v>
      </c>
      <c r="H654" t="s">
        <v>197</v>
      </c>
      <c r="I654" t="s">
        <v>197</v>
      </c>
      <c r="J654" t="s">
        <v>197</v>
      </c>
      <c r="K654" t="s">
        <v>691</v>
      </c>
    </row>
    <row r="655" spans="1:24">
      <c r="B655" t="s">
        <v>197</v>
      </c>
      <c r="C655" t="s">
        <v>197</v>
      </c>
      <c r="D655" t="s">
        <v>197</v>
      </c>
      <c r="E655" t="s">
        <v>197</v>
      </c>
      <c r="F655" t="s">
        <v>197</v>
      </c>
      <c r="G655" t="s">
        <v>197</v>
      </c>
      <c r="H655" t="s">
        <v>197</v>
      </c>
      <c r="I655" t="s">
        <v>197</v>
      </c>
      <c r="J655" t="s">
        <v>197</v>
      </c>
      <c r="K655" t="s">
        <v>692</v>
      </c>
    </row>
    <row r="656" spans="1:24">
      <c r="B656" t="s">
        <v>197</v>
      </c>
      <c r="C656" t="s">
        <v>197</v>
      </c>
      <c r="D656" t="s">
        <v>197</v>
      </c>
      <c r="E656" t="s">
        <v>197</v>
      </c>
      <c r="F656" t="s">
        <v>197</v>
      </c>
      <c r="G656" t="s">
        <v>197</v>
      </c>
      <c r="H656" t="s">
        <v>197</v>
      </c>
      <c r="I656" t="s">
        <v>197</v>
      </c>
      <c r="J656" t="s">
        <v>197</v>
      </c>
      <c r="K656" t="s">
        <v>693</v>
      </c>
    </row>
    <row r="657" spans="1:24">
      <c r="A657" t="s">
        <v>860</v>
      </c>
      <c r="K657" t="s">
        <v>861</v>
      </c>
      <c r="W657" t="s">
        <v>171</v>
      </c>
      <c r="X657" t="str">
        <f>A657</f>
        <v>info_time_dml_single_pk</v>
      </c>
    </row>
    <row r="658" spans="1:24">
      <c r="B658" t="s">
        <v>196</v>
      </c>
      <c r="C658" t="s">
        <v>197</v>
      </c>
      <c r="D658" t="s">
        <v>197</v>
      </c>
      <c r="E658" t="s">
        <v>197</v>
      </c>
      <c r="F658" t="s">
        <v>197</v>
      </c>
      <c r="G658" t="s">
        <v>197</v>
      </c>
      <c r="H658" t="s">
        <v>197</v>
      </c>
      <c r="I658" t="s">
        <v>862</v>
      </c>
      <c r="J658" t="s">
        <v>199</v>
      </c>
      <c r="K658" t="s">
        <v>200</v>
      </c>
    </row>
    <row r="659" spans="1:24">
      <c r="B659" t="s">
        <v>197</v>
      </c>
      <c r="C659" t="s">
        <v>197</v>
      </c>
      <c r="D659" t="s">
        <v>197</v>
      </c>
      <c r="E659" t="s">
        <v>197</v>
      </c>
      <c r="F659" t="s">
        <v>197</v>
      </c>
      <c r="G659" t="s">
        <v>197</v>
      </c>
      <c r="H659" t="s">
        <v>197</v>
      </c>
      <c r="I659" t="s">
        <v>197</v>
      </c>
      <c r="J659" t="s">
        <v>197</v>
      </c>
      <c r="K659" t="s">
        <v>800</v>
      </c>
    </row>
    <row r="660" spans="1:24">
      <c r="B660" t="s">
        <v>197</v>
      </c>
      <c r="C660" t="s">
        <v>197</v>
      </c>
      <c r="D660" t="s">
        <v>197</v>
      </c>
      <c r="E660" t="s">
        <v>197</v>
      </c>
      <c r="F660" t="s">
        <v>197</v>
      </c>
      <c r="G660" t="s">
        <v>197</v>
      </c>
      <c r="H660" t="s">
        <v>197</v>
      </c>
      <c r="I660" t="s">
        <v>197</v>
      </c>
      <c r="J660" t="s">
        <v>197</v>
      </c>
      <c r="K660" t="s">
        <v>801</v>
      </c>
    </row>
    <row r="661" spans="1:24">
      <c r="B661" t="s">
        <v>197</v>
      </c>
      <c r="C661" t="s">
        <v>197</v>
      </c>
      <c r="D661" t="s">
        <v>197</v>
      </c>
      <c r="E661" t="s">
        <v>197</v>
      </c>
      <c r="F661" t="s">
        <v>197</v>
      </c>
      <c r="G661" t="s">
        <v>197</v>
      </c>
      <c r="H661" t="s">
        <v>197</v>
      </c>
      <c r="I661" t="s">
        <v>197</v>
      </c>
      <c r="J661" t="s">
        <v>197</v>
      </c>
      <c r="K661" t="s">
        <v>802</v>
      </c>
    </row>
    <row r="662" spans="1:24">
      <c r="B662" t="s">
        <v>197</v>
      </c>
      <c r="C662" t="s">
        <v>197</v>
      </c>
      <c r="D662" t="s">
        <v>197</v>
      </c>
      <c r="E662" t="s">
        <v>197</v>
      </c>
      <c r="F662" t="s">
        <v>197</v>
      </c>
      <c r="G662" t="s">
        <v>197</v>
      </c>
      <c r="H662" t="s">
        <v>197</v>
      </c>
      <c r="I662" t="s">
        <v>197</v>
      </c>
      <c r="J662" t="s">
        <v>197</v>
      </c>
      <c r="K662" t="s">
        <v>803</v>
      </c>
    </row>
    <row r="663" spans="1:24">
      <c r="B663" t="s">
        <v>197</v>
      </c>
      <c r="C663" t="s">
        <v>197</v>
      </c>
      <c r="D663" t="s">
        <v>197</v>
      </c>
      <c r="E663" t="s">
        <v>197</v>
      </c>
      <c r="F663" t="s">
        <v>197</v>
      </c>
      <c r="G663" t="s">
        <v>197</v>
      </c>
      <c r="H663" t="s">
        <v>197</v>
      </c>
      <c r="I663" t="s">
        <v>197</v>
      </c>
      <c r="J663" t="s">
        <v>197</v>
      </c>
      <c r="K663" t="s">
        <v>804</v>
      </c>
    </row>
    <row r="664" spans="1:24">
      <c r="B664" t="s">
        <v>197</v>
      </c>
      <c r="C664" t="s">
        <v>197</v>
      </c>
      <c r="D664" t="s">
        <v>197</v>
      </c>
      <c r="E664" t="s">
        <v>197</v>
      </c>
      <c r="F664" t="s">
        <v>197</v>
      </c>
      <c r="G664" t="s">
        <v>197</v>
      </c>
      <c r="H664" t="s">
        <v>197</v>
      </c>
      <c r="I664" t="s">
        <v>197</v>
      </c>
      <c r="J664" t="s">
        <v>197</v>
      </c>
      <c r="K664" t="s">
        <v>805</v>
      </c>
    </row>
    <row r="665" spans="1:24">
      <c r="B665" t="s">
        <v>197</v>
      </c>
      <c r="C665" t="s">
        <v>197</v>
      </c>
      <c r="D665" t="s">
        <v>197</v>
      </c>
      <c r="E665" t="s">
        <v>197</v>
      </c>
      <c r="F665" t="s">
        <v>197</v>
      </c>
      <c r="G665" t="s">
        <v>197</v>
      </c>
      <c r="H665" t="s">
        <v>197</v>
      </c>
      <c r="I665" t="s">
        <v>197</v>
      </c>
      <c r="J665" t="s">
        <v>197</v>
      </c>
      <c r="K665" t="s">
        <v>806</v>
      </c>
    </row>
    <row r="666" spans="1:24">
      <c r="B666" t="s">
        <v>197</v>
      </c>
      <c r="C666" t="s">
        <v>197</v>
      </c>
      <c r="D666" t="s">
        <v>197</v>
      </c>
      <c r="E666" t="s">
        <v>197</v>
      </c>
      <c r="F666" t="s">
        <v>197</v>
      </c>
      <c r="G666" t="s">
        <v>197</v>
      </c>
      <c r="H666" t="s">
        <v>197</v>
      </c>
      <c r="I666" t="s">
        <v>197</v>
      </c>
      <c r="J666" t="s">
        <v>197</v>
      </c>
      <c r="K666" t="s">
        <v>807</v>
      </c>
    </row>
    <row r="667" spans="1:24">
      <c r="A667" t="s">
        <v>863</v>
      </c>
      <c r="K667" t="s">
        <v>864</v>
      </c>
      <c r="W667" t="s">
        <v>171</v>
      </c>
      <c r="X667" t="str">
        <f>A667</f>
        <v>info_int_dml_single_pk_irp</v>
      </c>
    </row>
    <row r="668" spans="1:24">
      <c r="B668" t="s">
        <v>196</v>
      </c>
      <c r="C668" t="s">
        <v>197</v>
      </c>
      <c r="D668" t="s">
        <v>197</v>
      </c>
      <c r="E668" t="s">
        <v>197</v>
      </c>
      <c r="F668" t="s">
        <v>197</v>
      </c>
      <c r="G668" t="s">
        <v>197</v>
      </c>
      <c r="H668" t="s">
        <v>197</v>
      </c>
      <c r="I668" t="s">
        <v>865</v>
      </c>
      <c r="J668" t="s">
        <v>199</v>
      </c>
      <c r="K668" t="s">
        <v>200</v>
      </c>
    </row>
    <row r="669" spans="1:24">
      <c r="B669" t="s">
        <v>197</v>
      </c>
      <c r="C669" t="s">
        <v>197</v>
      </c>
      <c r="D669" t="s">
        <v>197</v>
      </c>
      <c r="E669" t="s">
        <v>197</v>
      </c>
      <c r="F669" t="s">
        <v>197</v>
      </c>
      <c r="G669" t="s">
        <v>197</v>
      </c>
      <c r="H669" t="s">
        <v>197</v>
      </c>
      <c r="I669" t="s">
        <v>197</v>
      </c>
      <c r="J669" t="s">
        <v>197</v>
      </c>
      <c r="K669" t="s">
        <v>549</v>
      </c>
    </row>
    <row r="670" spans="1:24">
      <c r="B670" t="s">
        <v>197</v>
      </c>
      <c r="C670" t="s">
        <v>197</v>
      </c>
      <c r="D670" t="s">
        <v>197</v>
      </c>
      <c r="E670" t="s">
        <v>197</v>
      </c>
      <c r="F670" t="s">
        <v>197</v>
      </c>
      <c r="G670" t="s">
        <v>197</v>
      </c>
      <c r="H670" t="s">
        <v>197</v>
      </c>
      <c r="I670" t="s">
        <v>197</v>
      </c>
      <c r="J670" t="s">
        <v>197</v>
      </c>
      <c r="K670" t="s">
        <v>550</v>
      </c>
    </row>
    <row r="671" spans="1:24">
      <c r="B671" t="s">
        <v>197</v>
      </c>
      <c r="C671" t="s">
        <v>197</v>
      </c>
      <c r="D671" t="s">
        <v>197</v>
      </c>
      <c r="E671" t="s">
        <v>197</v>
      </c>
      <c r="F671" t="s">
        <v>197</v>
      </c>
      <c r="G671" t="s">
        <v>197</v>
      </c>
      <c r="H671" t="s">
        <v>197</v>
      </c>
      <c r="I671" t="s">
        <v>197</v>
      </c>
      <c r="J671" t="s">
        <v>197</v>
      </c>
      <c r="K671" t="s">
        <v>551</v>
      </c>
    </row>
    <row r="672" spans="1:24">
      <c r="B672" t="s">
        <v>197</v>
      </c>
      <c r="C672" t="s">
        <v>197</v>
      </c>
      <c r="D672" t="s">
        <v>197</v>
      </c>
      <c r="E672" t="s">
        <v>197</v>
      </c>
      <c r="F672" t="s">
        <v>197</v>
      </c>
      <c r="G672" t="s">
        <v>197</v>
      </c>
      <c r="H672" t="s">
        <v>197</v>
      </c>
      <c r="I672" t="s">
        <v>197</v>
      </c>
      <c r="J672" t="s">
        <v>197</v>
      </c>
      <c r="K672" t="s">
        <v>552</v>
      </c>
    </row>
    <row r="673" spans="1:24">
      <c r="B673" t="s">
        <v>197</v>
      </c>
      <c r="C673" t="s">
        <v>197</v>
      </c>
      <c r="D673" t="s">
        <v>197</v>
      </c>
      <c r="E673" t="s">
        <v>197</v>
      </c>
      <c r="F673" t="s">
        <v>197</v>
      </c>
      <c r="G673" t="s">
        <v>197</v>
      </c>
      <c r="H673" t="s">
        <v>197</v>
      </c>
      <c r="I673" t="s">
        <v>197</v>
      </c>
      <c r="J673" t="s">
        <v>197</v>
      </c>
      <c r="K673" t="s">
        <v>553</v>
      </c>
    </row>
    <row r="674" spans="1:24">
      <c r="B674" t="s">
        <v>197</v>
      </c>
      <c r="C674" t="s">
        <v>197</v>
      </c>
      <c r="D674" t="s">
        <v>197</v>
      </c>
      <c r="E674" t="s">
        <v>197</v>
      </c>
      <c r="F674" t="s">
        <v>197</v>
      </c>
      <c r="G674" t="s">
        <v>197</v>
      </c>
      <c r="H674" t="s">
        <v>197</v>
      </c>
      <c r="I674" t="s">
        <v>197</v>
      </c>
      <c r="J674" t="s">
        <v>197</v>
      </c>
      <c r="K674" t="s">
        <v>554</v>
      </c>
    </row>
    <row r="675" spans="1:24">
      <c r="B675" t="s">
        <v>197</v>
      </c>
      <c r="C675" t="s">
        <v>197</v>
      </c>
      <c r="D675" t="s">
        <v>197</v>
      </c>
      <c r="E675" t="s">
        <v>197</v>
      </c>
      <c r="F675" t="s">
        <v>197</v>
      </c>
      <c r="G675" t="s">
        <v>197</v>
      </c>
      <c r="H675" t="s">
        <v>197</v>
      </c>
      <c r="I675" t="s">
        <v>197</v>
      </c>
      <c r="J675" t="s">
        <v>197</v>
      </c>
      <c r="K675" t="s">
        <v>555</v>
      </c>
    </row>
    <row r="676" spans="1:24">
      <c r="B676" t="s">
        <v>197</v>
      </c>
      <c r="C676" t="s">
        <v>197</v>
      </c>
      <c r="D676" t="s">
        <v>197</v>
      </c>
      <c r="E676" t="s">
        <v>197</v>
      </c>
      <c r="F676" t="s">
        <v>197</v>
      </c>
      <c r="G676" t="s">
        <v>197</v>
      </c>
      <c r="H676" t="s">
        <v>197</v>
      </c>
      <c r="I676" t="s">
        <v>197</v>
      </c>
      <c r="J676" t="s">
        <v>197</v>
      </c>
      <c r="K676" t="s">
        <v>556</v>
      </c>
    </row>
    <row r="677" spans="1:24">
      <c r="B677" t="s">
        <v>197</v>
      </c>
      <c r="C677" t="s">
        <v>197</v>
      </c>
      <c r="D677" t="s">
        <v>197</v>
      </c>
      <c r="E677" t="s">
        <v>197</v>
      </c>
      <c r="F677" t="s">
        <v>197</v>
      </c>
      <c r="G677" t="s">
        <v>197</v>
      </c>
      <c r="H677" t="s">
        <v>197</v>
      </c>
      <c r="I677" t="s">
        <v>197</v>
      </c>
      <c r="J677" t="s">
        <v>197</v>
      </c>
      <c r="K677" t="s">
        <v>557</v>
      </c>
    </row>
    <row r="678" spans="1:24">
      <c r="B678" t="s">
        <v>197</v>
      </c>
      <c r="C678" t="s">
        <v>197</v>
      </c>
      <c r="D678" t="s">
        <v>197</v>
      </c>
      <c r="E678" t="s">
        <v>197</v>
      </c>
      <c r="F678" t="s">
        <v>197</v>
      </c>
      <c r="G678" t="s">
        <v>197</v>
      </c>
      <c r="H678" t="s">
        <v>197</v>
      </c>
      <c r="I678" t="s">
        <v>197</v>
      </c>
      <c r="J678" t="s">
        <v>197</v>
      </c>
      <c r="K678" t="s">
        <v>558</v>
      </c>
    </row>
    <row r="679" spans="1:24">
      <c r="B679" t="s">
        <v>197</v>
      </c>
      <c r="C679" t="s">
        <v>197</v>
      </c>
      <c r="D679" t="s">
        <v>197</v>
      </c>
      <c r="E679" t="s">
        <v>197</v>
      </c>
      <c r="F679" t="s">
        <v>197</v>
      </c>
      <c r="G679" t="s">
        <v>197</v>
      </c>
      <c r="H679" t="s">
        <v>197</v>
      </c>
      <c r="I679" t="s">
        <v>197</v>
      </c>
      <c r="J679" t="s">
        <v>197</v>
      </c>
      <c r="K679" t="s">
        <v>559</v>
      </c>
    </row>
    <row r="680" spans="1:24">
      <c r="B680" t="s">
        <v>197</v>
      </c>
      <c r="C680" t="s">
        <v>197</v>
      </c>
      <c r="D680" t="s">
        <v>197</v>
      </c>
      <c r="E680" t="s">
        <v>197</v>
      </c>
      <c r="F680" t="s">
        <v>197</v>
      </c>
      <c r="G680" t="s">
        <v>197</v>
      </c>
      <c r="H680" t="s">
        <v>197</v>
      </c>
      <c r="I680" t="s">
        <v>197</v>
      </c>
      <c r="J680" t="s">
        <v>197</v>
      </c>
      <c r="K680" t="s">
        <v>560</v>
      </c>
    </row>
    <row r="681" spans="1:24">
      <c r="B681" t="s">
        <v>197</v>
      </c>
      <c r="C681" t="s">
        <v>197</v>
      </c>
      <c r="D681" t="s">
        <v>197</v>
      </c>
      <c r="E681" t="s">
        <v>197</v>
      </c>
      <c r="F681" t="s">
        <v>197</v>
      </c>
      <c r="G681" t="s">
        <v>197</v>
      </c>
      <c r="H681" t="s">
        <v>197</v>
      </c>
      <c r="I681" t="s">
        <v>197</v>
      </c>
      <c r="J681" t="s">
        <v>197</v>
      </c>
      <c r="K681" t="s">
        <v>561</v>
      </c>
    </row>
    <row r="682" spans="1:24">
      <c r="B682" t="s">
        <v>197</v>
      </c>
      <c r="C682" t="s">
        <v>197</v>
      </c>
      <c r="D682" t="s">
        <v>197</v>
      </c>
      <c r="E682" t="s">
        <v>197</v>
      </c>
      <c r="F682" t="s">
        <v>197</v>
      </c>
      <c r="G682" t="s">
        <v>197</v>
      </c>
      <c r="H682" t="s">
        <v>197</v>
      </c>
      <c r="I682" t="s">
        <v>197</v>
      </c>
      <c r="J682" t="s">
        <v>197</v>
      </c>
      <c r="K682" t="s">
        <v>562</v>
      </c>
    </row>
    <row r="683" spans="1:24">
      <c r="B683" t="s">
        <v>197</v>
      </c>
      <c r="C683" t="s">
        <v>197</v>
      </c>
      <c r="D683" t="s">
        <v>197</v>
      </c>
      <c r="E683" t="s">
        <v>197</v>
      </c>
      <c r="F683" t="s">
        <v>197</v>
      </c>
      <c r="G683" t="s">
        <v>197</v>
      </c>
      <c r="H683" t="s">
        <v>197</v>
      </c>
      <c r="I683" t="s">
        <v>197</v>
      </c>
      <c r="J683" t="s">
        <v>197</v>
      </c>
      <c r="K683" t="s">
        <v>563</v>
      </c>
    </row>
    <row r="684" spans="1:24">
      <c r="B684" t="s">
        <v>197</v>
      </c>
      <c r="C684" t="s">
        <v>197</v>
      </c>
      <c r="D684" t="s">
        <v>197</v>
      </c>
      <c r="E684" t="s">
        <v>197</v>
      </c>
      <c r="F684" t="s">
        <v>197</v>
      </c>
      <c r="G684" t="s">
        <v>197</v>
      </c>
      <c r="H684" t="s">
        <v>197</v>
      </c>
      <c r="I684" t="s">
        <v>197</v>
      </c>
      <c r="J684" t="s">
        <v>197</v>
      </c>
      <c r="K684" t="s">
        <v>564</v>
      </c>
    </row>
    <row r="685" spans="1:24">
      <c r="B685" t="s">
        <v>197</v>
      </c>
      <c r="C685" t="s">
        <v>197</v>
      </c>
      <c r="D685" t="s">
        <v>197</v>
      </c>
      <c r="E685" t="s">
        <v>197</v>
      </c>
      <c r="F685" t="s">
        <v>197</v>
      </c>
      <c r="G685" t="s">
        <v>197</v>
      </c>
      <c r="H685" t="s">
        <v>197</v>
      </c>
      <c r="I685" t="s">
        <v>197</v>
      </c>
      <c r="J685" t="s">
        <v>197</v>
      </c>
      <c r="K685" t="s">
        <v>565</v>
      </c>
    </row>
    <row r="686" spans="1:24">
      <c r="B686" t="s">
        <v>197</v>
      </c>
      <c r="C686" t="s">
        <v>197</v>
      </c>
      <c r="D686" t="s">
        <v>197</v>
      </c>
      <c r="E686" t="s">
        <v>197</v>
      </c>
      <c r="F686" t="s">
        <v>197</v>
      </c>
      <c r="G686" t="s">
        <v>197</v>
      </c>
      <c r="H686" t="s">
        <v>197</v>
      </c>
      <c r="I686" t="s">
        <v>197</v>
      </c>
      <c r="J686" t="s">
        <v>197</v>
      </c>
      <c r="K686" t="s">
        <v>566</v>
      </c>
    </row>
    <row r="687" spans="1:24">
      <c r="B687" t="s">
        <v>197</v>
      </c>
      <c r="C687" t="s">
        <v>197</v>
      </c>
      <c r="D687" t="s">
        <v>197</v>
      </c>
      <c r="E687" t="s">
        <v>197</v>
      </c>
      <c r="F687" t="s">
        <v>197</v>
      </c>
      <c r="G687" t="s">
        <v>197</v>
      </c>
      <c r="H687" t="s">
        <v>197</v>
      </c>
      <c r="I687" t="s">
        <v>197</v>
      </c>
      <c r="J687" t="s">
        <v>197</v>
      </c>
      <c r="K687" t="s">
        <v>567</v>
      </c>
    </row>
    <row r="688" spans="1:24">
      <c r="A688" t="s">
        <v>866</v>
      </c>
      <c r="K688" t="s">
        <v>867</v>
      </c>
      <c r="W688" t="s">
        <v>171</v>
      </c>
      <c r="X688" t="str">
        <f>A688</f>
        <v>info_sdt_dml_single_pk_irp</v>
      </c>
    </row>
    <row r="689" spans="1:24">
      <c r="B689" t="s">
        <v>196</v>
      </c>
      <c r="C689" t="s">
        <v>197</v>
      </c>
      <c r="D689" t="s">
        <v>197</v>
      </c>
      <c r="E689" t="s">
        <v>197</v>
      </c>
      <c r="F689" t="s">
        <v>197</v>
      </c>
      <c r="G689" t="s">
        <v>197</v>
      </c>
      <c r="H689" t="s">
        <v>197</v>
      </c>
      <c r="I689" t="s">
        <v>868</v>
      </c>
      <c r="J689" t="s">
        <v>199</v>
      </c>
      <c r="K689" t="s">
        <v>200</v>
      </c>
    </row>
    <row r="690" spans="1:24">
      <c r="B690" t="s">
        <v>197</v>
      </c>
      <c r="C690" t="s">
        <v>197</v>
      </c>
      <c r="D690" t="s">
        <v>197</v>
      </c>
      <c r="E690" t="s">
        <v>197</v>
      </c>
      <c r="F690" t="s">
        <v>197</v>
      </c>
      <c r="G690" t="s">
        <v>197</v>
      </c>
      <c r="H690" t="s">
        <v>197</v>
      </c>
      <c r="I690" t="s">
        <v>197</v>
      </c>
      <c r="J690" t="s">
        <v>197</v>
      </c>
      <c r="K690" t="s">
        <v>422</v>
      </c>
    </row>
    <row r="691" spans="1:24">
      <c r="A691" t="s">
        <v>869</v>
      </c>
      <c r="K691" t="s">
        <v>870</v>
      </c>
      <c r="W691" t="s">
        <v>171</v>
      </c>
      <c r="X691" t="str">
        <f>A691</f>
        <v>info_varcharmax_dml_batch1_pk_urp1</v>
      </c>
    </row>
    <row r="692" spans="1:24">
      <c r="B692" t="s">
        <v>196</v>
      </c>
      <c r="C692" t="s">
        <v>197</v>
      </c>
      <c r="D692" t="s">
        <v>197</v>
      </c>
      <c r="E692" t="s">
        <v>197</v>
      </c>
      <c r="F692" t="s">
        <v>197</v>
      </c>
      <c r="G692" t="s">
        <v>197</v>
      </c>
      <c r="H692" t="s">
        <v>197</v>
      </c>
      <c r="I692" t="s">
        <v>871</v>
      </c>
      <c r="J692" t="s">
        <v>199</v>
      </c>
      <c r="K692" t="s">
        <v>200</v>
      </c>
    </row>
    <row r="693" spans="1:24">
      <c r="B693" t="s">
        <v>197</v>
      </c>
      <c r="C693" t="s">
        <v>197</v>
      </c>
      <c r="D693" t="s">
        <v>197</v>
      </c>
      <c r="E693" t="s">
        <v>197</v>
      </c>
      <c r="F693" t="s">
        <v>197</v>
      </c>
      <c r="G693" t="s">
        <v>197</v>
      </c>
      <c r="H693" t="s">
        <v>197</v>
      </c>
      <c r="I693" t="s">
        <v>197</v>
      </c>
      <c r="J693" t="s">
        <v>197</v>
      </c>
      <c r="K693" t="s">
        <v>725</v>
      </c>
    </row>
    <row r="694" spans="1:24">
      <c r="B694" t="s">
        <v>197</v>
      </c>
      <c r="C694" t="s">
        <v>197</v>
      </c>
      <c r="D694" t="s">
        <v>197</v>
      </c>
      <c r="E694" t="s">
        <v>197</v>
      </c>
      <c r="F694" t="s">
        <v>197</v>
      </c>
      <c r="G694" t="s">
        <v>197</v>
      </c>
      <c r="H694" t="s">
        <v>197</v>
      </c>
      <c r="I694" t="s">
        <v>197</v>
      </c>
      <c r="J694" t="s">
        <v>197</v>
      </c>
      <c r="K694" t="s">
        <v>726</v>
      </c>
    </row>
    <row r="695" spans="1:24">
      <c r="K695" t="s">
        <v>443</v>
      </c>
    </row>
    <row r="696" spans="1:24">
      <c r="A696" t="s">
        <v>872</v>
      </c>
      <c r="K696" t="s">
        <v>873</v>
      </c>
      <c r="W696" t="s">
        <v>171</v>
      </c>
      <c r="X696" t="str">
        <f>A696</f>
        <v>info_nchar_dml_batch1_pk_drp1</v>
      </c>
    </row>
    <row r="697" spans="1:24">
      <c r="B697" t="s">
        <v>196</v>
      </c>
      <c r="C697" t="s">
        <v>197</v>
      </c>
      <c r="D697" t="s">
        <v>197</v>
      </c>
      <c r="E697" t="s">
        <v>197</v>
      </c>
      <c r="F697" t="s">
        <v>197</v>
      </c>
      <c r="G697" t="s">
        <v>197</v>
      </c>
      <c r="H697" t="s">
        <v>197</v>
      </c>
      <c r="I697" t="s">
        <v>874</v>
      </c>
      <c r="J697" t="s">
        <v>199</v>
      </c>
      <c r="K697" t="s">
        <v>200</v>
      </c>
    </row>
    <row r="698" spans="1:24">
      <c r="B698" t="s">
        <v>197</v>
      </c>
      <c r="C698" t="s">
        <v>197</v>
      </c>
      <c r="D698" t="s">
        <v>197</v>
      </c>
      <c r="E698" t="s">
        <v>197</v>
      </c>
      <c r="F698" t="s">
        <v>197</v>
      </c>
      <c r="G698" t="s">
        <v>197</v>
      </c>
      <c r="H698" t="s">
        <v>197</v>
      </c>
      <c r="I698" t="s">
        <v>197</v>
      </c>
      <c r="J698" t="s">
        <v>197</v>
      </c>
      <c r="K698" t="s">
        <v>514</v>
      </c>
    </row>
    <row r="699" spans="1:24">
      <c r="B699" t="s">
        <v>197</v>
      </c>
      <c r="C699" t="s">
        <v>197</v>
      </c>
      <c r="D699" t="s">
        <v>197</v>
      </c>
      <c r="E699" t="s">
        <v>197</v>
      </c>
      <c r="F699" t="s">
        <v>197</v>
      </c>
      <c r="G699" t="s">
        <v>197</v>
      </c>
      <c r="H699" t="s">
        <v>197</v>
      </c>
      <c r="I699" t="s">
        <v>197</v>
      </c>
      <c r="J699" t="s">
        <v>197</v>
      </c>
      <c r="K699" t="s">
        <v>516</v>
      </c>
    </row>
    <row r="700" spans="1:24">
      <c r="B700" t="s">
        <v>197</v>
      </c>
      <c r="C700" t="s">
        <v>197</v>
      </c>
      <c r="D700" t="s">
        <v>197</v>
      </c>
      <c r="E700" t="s">
        <v>197</v>
      </c>
      <c r="F700" t="s">
        <v>197</v>
      </c>
      <c r="G700" t="s">
        <v>197</v>
      </c>
      <c r="H700" t="s">
        <v>197</v>
      </c>
      <c r="I700" t="s">
        <v>197</v>
      </c>
      <c r="J700" t="s">
        <v>197</v>
      </c>
      <c r="K700" t="s">
        <v>612</v>
      </c>
    </row>
    <row r="701" spans="1:24">
      <c r="K701" t="s">
        <v>443</v>
      </c>
    </row>
    <row r="702" spans="1:24">
      <c r="A702" t="s">
        <v>875</v>
      </c>
      <c r="K702" t="s">
        <v>876</v>
      </c>
      <c r="W702" t="s">
        <v>171</v>
      </c>
      <c r="X702" t="str">
        <f>A702</f>
        <v>info_sdt_dml_single_pk_urp</v>
      </c>
    </row>
    <row r="703" spans="1:24">
      <c r="B703" t="s">
        <v>196</v>
      </c>
      <c r="C703" t="s">
        <v>197</v>
      </c>
      <c r="D703" t="s">
        <v>197</v>
      </c>
      <c r="E703" t="s">
        <v>197</v>
      </c>
      <c r="F703" t="s">
        <v>197</v>
      </c>
      <c r="G703" t="s">
        <v>197</v>
      </c>
      <c r="H703" t="s">
        <v>197</v>
      </c>
      <c r="I703" t="s">
        <v>877</v>
      </c>
      <c r="J703" t="s">
        <v>199</v>
      </c>
      <c r="K703" t="s">
        <v>200</v>
      </c>
    </row>
    <row r="704" spans="1:24">
      <c r="B704" t="s">
        <v>197</v>
      </c>
      <c r="C704" t="s">
        <v>197</v>
      </c>
      <c r="D704" t="s">
        <v>197</v>
      </c>
      <c r="E704" t="s">
        <v>197</v>
      </c>
      <c r="F704" t="s">
        <v>197</v>
      </c>
      <c r="G704" t="s">
        <v>197</v>
      </c>
      <c r="H704" t="s">
        <v>197</v>
      </c>
      <c r="I704" t="s">
        <v>197</v>
      </c>
      <c r="J704" t="s">
        <v>197</v>
      </c>
      <c r="K704" t="s">
        <v>422</v>
      </c>
    </row>
    <row r="705" spans="1:24">
      <c r="A705" t="s">
        <v>878</v>
      </c>
      <c r="K705" t="s">
        <v>879</v>
      </c>
      <c r="W705" t="s">
        <v>171</v>
      </c>
      <c r="X705" t="str">
        <f>A705</f>
        <v>info_varcharmax_dml_batch1_pk_urp2</v>
      </c>
    </row>
    <row r="706" spans="1:24">
      <c r="B706" t="s">
        <v>196</v>
      </c>
      <c r="C706" t="s">
        <v>197</v>
      </c>
      <c r="D706" t="s">
        <v>197</v>
      </c>
      <c r="E706" t="s">
        <v>197</v>
      </c>
      <c r="F706" t="s">
        <v>197</v>
      </c>
      <c r="G706" t="s">
        <v>197</v>
      </c>
      <c r="H706" t="s">
        <v>197</v>
      </c>
      <c r="I706" t="s">
        <v>880</v>
      </c>
      <c r="J706" t="s">
        <v>199</v>
      </c>
      <c r="K706" t="s">
        <v>200</v>
      </c>
    </row>
    <row r="707" spans="1:24">
      <c r="B707" t="s">
        <v>197</v>
      </c>
      <c r="C707" t="s">
        <v>197</v>
      </c>
      <c r="D707" t="s">
        <v>197</v>
      </c>
      <c r="E707" t="s">
        <v>197</v>
      </c>
      <c r="F707" t="s">
        <v>197</v>
      </c>
      <c r="G707" t="s">
        <v>197</v>
      </c>
      <c r="H707" t="s">
        <v>197</v>
      </c>
      <c r="I707" t="s">
        <v>197</v>
      </c>
      <c r="J707" t="s">
        <v>197</v>
      </c>
      <c r="K707" t="s">
        <v>725</v>
      </c>
    </row>
    <row r="708" spans="1:24">
      <c r="B708" t="s">
        <v>197</v>
      </c>
      <c r="C708" t="s">
        <v>197</v>
      </c>
      <c r="D708" t="s">
        <v>197</v>
      </c>
      <c r="E708" t="s">
        <v>197</v>
      </c>
      <c r="F708" t="s">
        <v>197</v>
      </c>
      <c r="G708" t="s">
        <v>197</v>
      </c>
      <c r="H708" t="s">
        <v>197</v>
      </c>
      <c r="I708" t="s">
        <v>197</v>
      </c>
      <c r="J708" t="s">
        <v>197</v>
      </c>
      <c r="K708" t="s">
        <v>726</v>
      </c>
    </row>
    <row r="709" spans="1:24">
      <c r="K709" t="s">
        <v>443</v>
      </c>
    </row>
    <row r="710" spans="1:24">
      <c r="A710" t="s">
        <v>881</v>
      </c>
      <c r="K710" t="s">
        <v>882</v>
      </c>
      <c r="W710" t="s">
        <v>171</v>
      </c>
      <c r="X710" t="str">
        <f>A710</f>
        <v>info_varcharmax_dml_single_pk_irp</v>
      </c>
    </row>
    <row r="711" spans="1:24">
      <c r="B711" t="s">
        <v>196</v>
      </c>
      <c r="C711" t="s">
        <v>197</v>
      </c>
      <c r="D711" t="s">
        <v>197</v>
      </c>
      <c r="E711" t="s">
        <v>197</v>
      </c>
      <c r="F711" t="s">
        <v>197</v>
      </c>
      <c r="G711" t="s">
        <v>197</v>
      </c>
      <c r="H711" t="s">
        <v>197</v>
      </c>
      <c r="I711" t="s">
        <v>883</v>
      </c>
      <c r="J711" t="s">
        <v>199</v>
      </c>
      <c r="K711" t="s">
        <v>200</v>
      </c>
    </row>
    <row r="712" spans="1:24">
      <c r="B712" t="s">
        <v>197</v>
      </c>
      <c r="C712" t="s">
        <v>197</v>
      </c>
      <c r="D712" t="s">
        <v>197</v>
      </c>
      <c r="E712" t="s">
        <v>197</v>
      </c>
      <c r="F712" t="s">
        <v>197</v>
      </c>
      <c r="G712" t="s">
        <v>197</v>
      </c>
      <c r="H712" t="s">
        <v>197</v>
      </c>
      <c r="I712" t="s">
        <v>197</v>
      </c>
      <c r="J712" t="s">
        <v>197</v>
      </c>
      <c r="K712" t="s">
        <v>725</v>
      </c>
    </row>
    <row r="713" spans="1:24">
      <c r="B713" t="s">
        <v>197</v>
      </c>
      <c r="C713" t="s">
        <v>197</v>
      </c>
      <c r="D713" t="s">
        <v>197</v>
      </c>
      <c r="E713" t="s">
        <v>197</v>
      </c>
      <c r="F713" t="s">
        <v>197</v>
      </c>
      <c r="G713" t="s">
        <v>197</v>
      </c>
      <c r="H713" t="s">
        <v>197</v>
      </c>
      <c r="I713" t="s">
        <v>197</v>
      </c>
      <c r="J713" t="s">
        <v>197</v>
      </c>
      <c r="K713" t="s">
        <v>726</v>
      </c>
    </row>
    <row r="714" spans="1:24">
      <c r="A714" t="s">
        <v>884</v>
      </c>
      <c r="K714" t="s">
        <v>885</v>
      </c>
      <c r="W714" t="s">
        <v>171</v>
      </c>
      <c r="X714" t="str">
        <f>A714</f>
        <v>info_sdt_dml_single_pk_drp</v>
      </c>
    </row>
    <row r="715" spans="1:24">
      <c r="B715" t="s">
        <v>196</v>
      </c>
      <c r="C715" t="s">
        <v>197</v>
      </c>
      <c r="D715" t="s">
        <v>197</v>
      </c>
      <c r="E715" t="s">
        <v>197</v>
      </c>
      <c r="F715" t="s">
        <v>197</v>
      </c>
      <c r="G715" t="s">
        <v>197</v>
      </c>
      <c r="H715" t="s">
        <v>197</v>
      </c>
      <c r="I715" t="s">
        <v>886</v>
      </c>
      <c r="J715" t="s">
        <v>199</v>
      </c>
      <c r="K715" t="s">
        <v>200</v>
      </c>
    </row>
    <row r="716" spans="1:24">
      <c r="B716" t="s">
        <v>197</v>
      </c>
      <c r="C716" t="s">
        <v>197</v>
      </c>
      <c r="D716" t="s">
        <v>197</v>
      </c>
      <c r="E716" t="s">
        <v>197</v>
      </c>
      <c r="F716" t="s">
        <v>197</v>
      </c>
      <c r="G716" t="s">
        <v>197</v>
      </c>
      <c r="H716" t="s">
        <v>197</v>
      </c>
      <c r="I716" t="s">
        <v>197</v>
      </c>
      <c r="J716" t="s">
        <v>197</v>
      </c>
      <c r="K716" t="s">
        <v>422</v>
      </c>
    </row>
    <row r="717" spans="1:24">
      <c r="A717" t="s">
        <v>887</v>
      </c>
      <c r="K717" t="s">
        <v>888</v>
      </c>
      <c r="W717" t="s">
        <v>171</v>
      </c>
      <c r="X717" t="str">
        <f>A717</f>
        <v>info_char_dml_batch1_pk_drp2</v>
      </c>
    </row>
    <row r="718" spans="1:24">
      <c r="B718" t="s">
        <v>196</v>
      </c>
      <c r="C718" t="s">
        <v>197</v>
      </c>
      <c r="D718" t="s">
        <v>197</v>
      </c>
      <c r="E718" t="s">
        <v>197</v>
      </c>
      <c r="F718" t="s">
        <v>197</v>
      </c>
      <c r="G718" t="s">
        <v>197</v>
      </c>
      <c r="H718" t="s">
        <v>197</v>
      </c>
      <c r="I718" t="s">
        <v>889</v>
      </c>
      <c r="J718" t="s">
        <v>199</v>
      </c>
      <c r="K718" t="s">
        <v>200</v>
      </c>
    </row>
    <row r="719" spans="1:24">
      <c r="B719" t="s">
        <v>197</v>
      </c>
      <c r="C719" t="s">
        <v>197</v>
      </c>
      <c r="D719" t="s">
        <v>197</v>
      </c>
      <c r="E719" t="s">
        <v>197</v>
      </c>
      <c r="F719" t="s">
        <v>197</v>
      </c>
      <c r="G719" t="s">
        <v>197</v>
      </c>
      <c r="H719" t="s">
        <v>197</v>
      </c>
      <c r="I719" t="s">
        <v>197</v>
      </c>
      <c r="J719" t="s">
        <v>197</v>
      </c>
      <c r="K719" t="s">
        <v>622</v>
      </c>
    </row>
    <row r="720" spans="1:24">
      <c r="B720" t="s">
        <v>197</v>
      </c>
      <c r="C720" t="s">
        <v>197</v>
      </c>
      <c r="D720" t="s">
        <v>197</v>
      </c>
      <c r="E720" t="s">
        <v>197</v>
      </c>
      <c r="F720" t="s">
        <v>197</v>
      </c>
      <c r="G720" t="s">
        <v>197</v>
      </c>
      <c r="H720" t="s">
        <v>197</v>
      </c>
      <c r="I720" t="s">
        <v>197</v>
      </c>
      <c r="J720" t="s">
        <v>197</v>
      </c>
      <c r="K720" t="s">
        <v>623</v>
      </c>
    </row>
    <row r="721" spans="1:24">
      <c r="B721" t="s">
        <v>197</v>
      </c>
      <c r="C721" t="s">
        <v>197</v>
      </c>
      <c r="D721" t="s">
        <v>197</v>
      </c>
      <c r="E721" t="s">
        <v>197</v>
      </c>
      <c r="F721" t="s">
        <v>197</v>
      </c>
      <c r="G721" t="s">
        <v>197</v>
      </c>
      <c r="H721" t="s">
        <v>197</v>
      </c>
      <c r="I721" t="s">
        <v>197</v>
      </c>
      <c r="J721" t="s">
        <v>197</v>
      </c>
      <c r="K721" t="s">
        <v>832</v>
      </c>
    </row>
    <row r="722" spans="1:24">
      <c r="A722" t="s">
        <v>890</v>
      </c>
      <c r="K722" t="s">
        <v>891</v>
      </c>
      <c r="W722" t="s">
        <v>171</v>
      </c>
      <c r="X722" t="str">
        <f>A722</f>
        <v>info_sdt_dml_single_pk</v>
      </c>
    </row>
    <row r="723" spans="1:24">
      <c r="B723" t="s">
        <v>196</v>
      </c>
      <c r="C723" t="s">
        <v>197</v>
      </c>
      <c r="D723" t="s">
        <v>197</v>
      </c>
      <c r="E723" t="s">
        <v>197</v>
      </c>
      <c r="F723" t="s">
        <v>197</v>
      </c>
      <c r="G723" t="s">
        <v>197</v>
      </c>
      <c r="H723" t="s">
        <v>197</v>
      </c>
      <c r="I723" t="s">
        <v>892</v>
      </c>
      <c r="J723" t="s">
        <v>199</v>
      </c>
      <c r="K723" t="s">
        <v>200</v>
      </c>
    </row>
    <row r="724" spans="1:24">
      <c r="B724" t="s">
        <v>197</v>
      </c>
      <c r="C724" t="s">
        <v>197</v>
      </c>
      <c r="D724" t="s">
        <v>197</v>
      </c>
      <c r="E724" t="s">
        <v>197</v>
      </c>
      <c r="F724" t="s">
        <v>197</v>
      </c>
      <c r="G724" t="s">
        <v>197</v>
      </c>
      <c r="H724" t="s">
        <v>197</v>
      </c>
      <c r="I724" t="s">
        <v>197</v>
      </c>
      <c r="J724" t="s">
        <v>197</v>
      </c>
      <c r="K724" t="s">
        <v>422</v>
      </c>
    </row>
    <row r="725" spans="1:24">
      <c r="A725" t="s">
        <v>893</v>
      </c>
      <c r="K725" t="s">
        <v>894</v>
      </c>
      <c r="W725" t="s">
        <v>171</v>
      </c>
      <c r="X725" t="str">
        <f>A725</f>
        <v>info_int_dml_single_pk_urp</v>
      </c>
    </row>
    <row r="726" spans="1:24">
      <c r="B726" t="s">
        <v>196</v>
      </c>
      <c r="C726" t="s">
        <v>197</v>
      </c>
      <c r="D726" t="s">
        <v>197</v>
      </c>
      <c r="E726" t="s">
        <v>197</v>
      </c>
      <c r="F726" t="s">
        <v>197</v>
      </c>
      <c r="G726" t="s">
        <v>197</v>
      </c>
      <c r="H726" t="s">
        <v>197</v>
      </c>
      <c r="I726" t="s">
        <v>895</v>
      </c>
      <c r="J726" t="s">
        <v>199</v>
      </c>
      <c r="K726" t="s">
        <v>200</v>
      </c>
    </row>
    <row r="727" spans="1:24">
      <c r="B727" t="s">
        <v>197</v>
      </c>
      <c r="C727" t="s">
        <v>197</v>
      </c>
      <c r="D727" t="s">
        <v>197</v>
      </c>
      <c r="E727" t="s">
        <v>197</v>
      </c>
      <c r="F727" t="s">
        <v>197</v>
      </c>
      <c r="G727" t="s">
        <v>197</v>
      </c>
      <c r="H727" t="s">
        <v>197</v>
      </c>
      <c r="I727" t="s">
        <v>197</v>
      </c>
      <c r="J727" t="s">
        <v>197</v>
      </c>
      <c r="K727" t="s">
        <v>549</v>
      </c>
    </row>
    <row r="728" spans="1:24">
      <c r="B728" t="s">
        <v>197</v>
      </c>
      <c r="C728" t="s">
        <v>197</v>
      </c>
      <c r="D728" t="s">
        <v>197</v>
      </c>
      <c r="E728" t="s">
        <v>197</v>
      </c>
      <c r="F728" t="s">
        <v>197</v>
      </c>
      <c r="G728" t="s">
        <v>197</v>
      </c>
      <c r="H728" t="s">
        <v>197</v>
      </c>
      <c r="I728" t="s">
        <v>197</v>
      </c>
      <c r="J728" t="s">
        <v>197</v>
      </c>
      <c r="K728" t="s">
        <v>550</v>
      </c>
    </row>
    <row r="729" spans="1:24">
      <c r="B729" t="s">
        <v>197</v>
      </c>
      <c r="C729" t="s">
        <v>197</v>
      </c>
      <c r="D729" t="s">
        <v>197</v>
      </c>
      <c r="E729" t="s">
        <v>197</v>
      </c>
      <c r="F729" t="s">
        <v>197</v>
      </c>
      <c r="G729" t="s">
        <v>197</v>
      </c>
      <c r="H729" t="s">
        <v>197</v>
      </c>
      <c r="I729" t="s">
        <v>197</v>
      </c>
      <c r="J729" t="s">
        <v>197</v>
      </c>
      <c r="K729" t="s">
        <v>551</v>
      </c>
    </row>
    <row r="730" spans="1:24">
      <c r="B730" t="s">
        <v>197</v>
      </c>
      <c r="C730" t="s">
        <v>197</v>
      </c>
      <c r="D730" t="s">
        <v>197</v>
      </c>
      <c r="E730" t="s">
        <v>197</v>
      </c>
      <c r="F730" t="s">
        <v>197</v>
      </c>
      <c r="G730" t="s">
        <v>197</v>
      </c>
      <c r="H730" t="s">
        <v>197</v>
      </c>
      <c r="I730" t="s">
        <v>197</v>
      </c>
      <c r="J730" t="s">
        <v>197</v>
      </c>
      <c r="K730" t="s">
        <v>552</v>
      </c>
    </row>
    <row r="731" spans="1:24">
      <c r="B731" t="s">
        <v>197</v>
      </c>
      <c r="C731" t="s">
        <v>197</v>
      </c>
      <c r="D731" t="s">
        <v>197</v>
      </c>
      <c r="E731" t="s">
        <v>197</v>
      </c>
      <c r="F731" t="s">
        <v>197</v>
      </c>
      <c r="G731" t="s">
        <v>197</v>
      </c>
      <c r="H731" t="s">
        <v>197</v>
      </c>
      <c r="I731" t="s">
        <v>197</v>
      </c>
      <c r="J731" t="s">
        <v>197</v>
      </c>
      <c r="K731" t="s">
        <v>553</v>
      </c>
    </row>
    <row r="732" spans="1:24">
      <c r="B732" t="s">
        <v>197</v>
      </c>
      <c r="C732" t="s">
        <v>197</v>
      </c>
      <c r="D732" t="s">
        <v>197</v>
      </c>
      <c r="E732" t="s">
        <v>197</v>
      </c>
      <c r="F732" t="s">
        <v>197</v>
      </c>
      <c r="G732" t="s">
        <v>197</v>
      </c>
      <c r="H732" t="s">
        <v>197</v>
      </c>
      <c r="I732" t="s">
        <v>197</v>
      </c>
      <c r="J732" t="s">
        <v>197</v>
      </c>
      <c r="K732" t="s">
        <v>554</v>
      </c>
    </row>
    <row r="733" spans="1:24">
      <c r="B733" t="s">
        <v>197</v>
      </c>
      <c r="C733" t="s">
        <v>197</v>
      </c>
      <c r="D733" t="s">
        <v>197</v>
      </c>
      <c r="E733" t="s">
        <v>197</v>
      </c>
      <c r="F733" t="s">
        <v>197</v>
      </c>
      <c r="G733" t="s">
        <v>197</v>
      </c>
      <c r="H733" t="s">
        <v>197</v>
      </c>
      <c r="I733" t="s">
        <v>197</v>
      </c>
      <c r="J733" t="s">
        <v>197</v>
      </c>
      <c r="K733" t="s">
        <v>555</v>
      </c>
    </row>
    <row r="734" spans="1:24">
      <c r="B734" t="s">
        <v>197</v>
      </c>
      <c r="C734" t="s">
        <v>197</v>
      </c>
      <c r="D734" t="s">
        <v>197</v>
      </c>
      <c r="E734" t="s">
        <v>197</v>
      </c>
      <c r="F734" t="s">
        <v>197</v>
      </c>
      <c r="G734" t="s">
        <v>197</v>
      </c>
      <c r="H734" t="s">
        <v>197</v>
      </c>
      <c r="I734" t="s">
        <v>197</v>
      </c>
      <c r="J734" t="s">
        <v>197</v>
      </c>
      <c r="K734" t="s">
        <v>556</v>
      </c>
    </row>
    <row r="735" spans="1:24">
      <c r="B735" t="s">
        <v>197</v>
      </c>
      <c r="C735" t="s">
        <v>197</v>
      </c>
      <c r="D735" t="s">
        <v>197</v>
      </c>
      <c r="E735" t="s">
        <v>197</v>
      </c>
      <c r="F735" t="s">
        <v>197</v>
      </c>
      <c r="G735" t="s">
        <v>197</v>
      </c>
      <c r="H735" t="s">
        <v>197</v>
      </c>
      <c r="I735" t="s">
        <v>197</v>
      </c>
      <c r="J735" t="s">
        <v>197</v>
      </c>
      <c r="K735" t="s">
        <v>557</v>
      </c>
    </row>
    <row r="736" spans="1:24">
      <c r="B736" t="s">
        <v>197</v>
      </c>
      <c r="C736" t="s">
        <v>197</v>
      </c>
      <c r="D736" t="s">
        <v>197</v>
      </c>
      <c r="E736" t="s">
        <v>197</v>
      </c>
      <c r="F736" t="s">
        <v>197</v>
      </c>
      <c r="G736" t="s">
        <v>197</v>
      </c>
      <c r="H736" t="s">
        <v>197</v>
      </c>
      <c r="I736" t="s">
        <v>197</v>
      </c>
      <c r="J736" t="s">
        <v>197</v>
      </c>
      <c r="K736" t="s">
        <v>558</v>
      </c>
    </row>
    <row r="737" spans="1:24">
      <c r="B737" t="s">
        <v>197</v>
      </c>
      <c r="C737" t="s">
        <v>197</v>
      </c>
      <c r="D737" t="s">
        <v>197</v>
      </c>
      <c r="E737" t="s">
        <v>197</v>
      </c>
      <c r="F737" t="s">
        <v>197</v>
      </c>
      <c r="G737" t="s">
        <v>197</v>
      </c>
      <c r="H737" t="s">
        <v>197</v>
      </c>
      <c r="I737" t="s">
        <v>197</v>
      </c>
      <c r="J737" t="s">
        <v>197</v>
      </c>
      <c r="K737" t="s">
        <v>559</v>
      </c>
    </row>
    <row r="738" spans="1:24">
      <c r="B738" t="s">
        <v>197</v>
      </c>
      <c r="C738" t="s">
        <v>197</v>
      </c>
      <c r="D738" t="s">
        <v>197</v>
      </c>
      <c r="E738" t="s">
        <v>197</v>
      </c>
      <c r="F738" t="s">
        <v>197</v>
      </c>
      <c r="G738" t="s">
        <v>197</v>
      </c>
      <c r="H738" t="s">
        <v>197</v>
      </c>
      <c r="I738" t="s">
        <v>197</v>
      </c>
      <c r="J738" t="s">
        <v>197</v>
      </c>
      <c r="K738" t="s">
        <v>560</v>
      </c>
    </row>
    <row r="739" spans="1:24">
      <c r="B739" t="s">
        <v>197</v>
      </c>
      <c r="C739" t="s">
        <v>197</v>
      </c>
      <c r="D739" t="s">
        <v>197</v>
      </c>
      <c r="E739" t="s">
        <v>197</v>
      </c>
      <c r="F739" t="s">
        <v>197</v>
      </c>
      <c r="G739" t="s">
        <v>197</v>
      </c>
      <c r="H739" t="s">
        <v>197</v>
      </c>
      <c r="I739" t="s">
        <v>197</v>
      </c>
      <c r="J739" t="s">
        <v>197</v>
      </c>
      <c r="K739" t="s">
        <v>561</v>
      </c>
    </row>
    <row r="740" spans="1:24">
      <c r="B740" t="s">
        <v>197</v>
      </c>
      <c r="C740" t="s">
        <v>197</v>
      </c>
      <c r="D740" t="s">
        <v>197</v>
      </c>
      <c r="E740" t="s">
        <v>197</v>
      </c>
      <c r="F740" t="s">
        <v>197</v>
      </c>
      <c r="G740" t="s">
        <v>197</v>
      </c>
      <c r="H740" t="s">
        <v>197</v>
      </c>
      <c r="I740" t="s">
        <v>197</v>
      </c>
      <c r="J740" t="s">
        <v>197</v>
      </c>
      <c r="K740" t="s">
        <v>562</v>
      </c>
    </row>
    <row r="741" spans="1:24">
      <c r="B741" t="s">
        <v>197</v>
      </c>
      <c r="C741" t="s">
        <v>197</v>
      </c>
      <c r="D741" t="s">
        <v>197</v>
      </c>
      <c r="E741" t="s">
        <v>197</v>
      </c>
      <c r="F741" t="s">
        <v>197</v>
      </c>
      <c r="G741" t="s">
        <v>197</v>
      </c>
      <c r="H741" t="s">
        <v>197</v>
      </c>
      <c r="I741" t="s">
        <v>197</v>
      </c>
      <c r="J741" t="s">
        <v>197</v>
      </c>
      <c r="K741" t="s">
        <v>563</v>
      </c>
    </row>
    <row r="742" spans="1:24">
      <c r="B742" t="s">
        <v>197</v>
      </c>
      <c r="C742" t="s">
        <v>197</v>
      </c>
      <c r="D742" t="s">
        <v>197</v>
      </c>
      <c r="E742" t="s">
        <v>197</v>
      </c>
      <c r="F742" t="s">
        <v>197</v>
      </c>
      <c r="G742" t="s">
        <v>197</v>
      </c>
      <c r="H742" t="s">
        <v>197</v>
      </c>
      <c r="I742" t="s">
        <v>197</v>
      </c>
      <c r="J742" t="s">
        <v>197</v>
      </c>
      <c r="K742" t="s">
        <v>564</v>
      </c>
    </row>
    <row r="743" spans="1:24">
      <c r="B743" t="s">
        <v>197</v>
      </c>
      <c r="C743" t="s">
        <v>197</v>
      </c>
      <c r="D743" t="s">
        <v>197</v>
      </c>
      <c r="E743" t="s">
        <v>197</v>
      </c>
      <c r="F743" t="s">
        <v>197</v>
      </c>
      <c r="G743" t="s">
        <v>197</v>
      </c>
      <c r="H743" t="s">
        <v>197</v>
      </c>
      <c r="I743" t="s">
        <v>197</v>
      </c>
      <c r="J743" t="s">
        <v>197</v>
      </c>
      <c r="K743" t="s">
        <v>565</v>
      </c>
    </row>
    <row r="744" spans="1:24">
      <c r="B744" t="s">
        <v>197</v>
      </c>
      <c r="C744" t="s">
        <v>197</v>
      </c>
      <c r="D744" t="s">
        <v>197</v>
      </c>
      <c r="E744" t="s">
        <v>197</v>
      </c>
      <c r="F744" t="s">
        <v>197</v>
      </c>
      <c r="G744" t="s">
        <v>197</v>
      </c>
      <c r="H744" t="s">
        <v>197</v>
      </c>
      <c r="I744" t="s">
        <v>197</v>
      </c>
      <c r="J744" t="s">
        <v>197</v>
      </c>
      <c r="K744" t="s">
        <v>566</v>
      </c>
    </row>
    <row r="745" spans="1:24">
      <c r="B745" t="s">
        <v>197</v>
      </c>
      <c r="C745" t="s">
        <v>197</v>
      </c>
      <c r="D745" t="s">
        <v>197</v>
      </c>
      <c r="E745" t="s">
        <v>197</v>
      </c>
      <c r="F745" t="s">
        <v>197</v>
      </c>
      <c r="G745" t="s">
        <v>197</v>
      </c>
      <c r="H745" t="s">
        <v>197</v>
      </c>
      <c r="I745" t="s">
        <v>197</v>
      </c>
      <c r="J745" t="s">
        <v>197</v>
      </c>
      <c r="K745" t="s">
        <v>567</v>
      </c>
    </row>
    <row r="746" spans="1:24">
      <c r="A746" t="s">
        <v>899</v>
      </c>
      <c r="K746" t="s">
        <v>900</v>
      </c>
      <c r="W746" t="s">
        <v>171</v>
      </c>
      <c r="X746" t="str">
        <f>A746</f>
        <v>info_varcharmax_dml_single_pk_urp</v>
      </c>
    </row>
    <row r="747" spans="1:24">
      <c r="B747" t="s">
        <v>196</v>
      </c>
      <c r="C747" t="s">
        <v>197</v>
      </c>
      <c r="D747" t="s">
        <v>197</v>
      </c>
      <c r="E747" t="s">
        <v>197</v>
      </c>
      <c r="F747" t="s">
        <v>197</v>
      </c>
      <c r="G747" t="s">
        <v>197</v>
      </c>
      <c r="H747" t="s">
        <v>197</v>
      </c>
      <c r="I747" t="s">
        <v>901</v>
      </c>
      <c r="J747" t="s">
        <v>199</v>
      </c>
      <c r="K747" t="s">
        <v>200</v>
      </c>
    </row>
    <row r="748" spans="1:24">
      <c r="B748" t="s">
        <v>197</v>
      </c>
      <c r="C748" t="s">
        <v>197</v>
      </c>
      <c r="D748" t="s">
        <v>197</v>
      </c>
      <c r="E748" t="s">
        <v>197</v>
      </c>
      <c r="F748" t="s">
        <v>197</v>
      </c>
      <c r="G748" t="s">
        <v>197</v>
      </c>
      <c r="H748" t="s">
        <v>197</v>
      </c>
      <c r="I748" t="s">
        <v>197</v>
      </c>
      <c r="J748" t="s">
        <v>197</v>
      </c>
      <c r="K748" t="s">
        <v>725</v>
      </c>
    </row>
    <row r="749" spans="1:24">
      <c r="B749" t="s">
        <v>197</v>
      </c>
      <c r="C749" t="s">
        <v>197</v>
      </c>
      <c r="D749" t="s">
        <v>197</v>
      </c>
      <c r="E749" t="s">
        <v>197</v>
      </c>
      <c r="F749" t="s">
        <v>197</v>
      </c>
      <c r="G749" t="s">
        <v>197</v>
      </c>
      <c r="H749" t="s">
        <v>197</v>
      </c>
      <c r="I749" t="s">
        <v>197</v>
      </c>
      <c r="J749" t="s">
        <v>197</v>
      </c>
      <c r="K749" t="s">
        <v>726</v>
      </c>
    </row>
    <row r="750" spans="1:24">
      <c r="A750" t="s">
        <v>896</v>
      </c>
      <c r="K750" t="s">
        <v>897</v>
      </c>
      <c r="W750" t="s">
        <v>171</v>
      </c>
      <c r="X750" t="str">
        <f>A750</f>
        <v>info_char_dml_batch1_pk</v>
      </c>
    </row>
    <row r="751" spans="1:24">
      <c r="B751" t="s">
        <v>196</v>
      </c>
      <c r="C751" t="s">
        <v>197</v>
      </c>
      <c r="D751" t="s">
        <v>197</v>
      </c>
      <c r="E751" t="s">
        <v>197</v>
      </c>
      <c r="F751" t="s">
        <v>197</v>
      </c>
      <c r="G751" t="s">
        <v>197</v>
      </c>
      <c r="H751" t="s">
        <v>197</v>
      </c>
      <c r="I751" t="s">
        <v>898</v>
      </c>
      <c r="J751" t="s">
        <v>199</v>
      </c>
      <c r="K751" t="s">
        <v>200</v>
      </c>
    </row>
    <row r="752" spans="1:24">
      <c r="B752" t="s">
        <v>197</v>
      </c>
      <c r="C752" t="s">
        <v>197</v>
      </c>
      <c r="D752" t="s">
        <v>197</v>
      </c>
      <c r="E752" t="s">
        <v>197</v>
      </c>
      <c r="F752" t="s">
        <v>197</v>
      </c>
      <c r="G752" t="s">
        <v>197</v>
      </c>
      <c r="H752" t="s">
        <v>197</v>
      </c>
      <c r="I752" t="s">
        <v>197</v>
      </c>
      <c r="J752" t="s">
        <v>197</v>
      </c>
      <c r="K752" t="s">
        <v>622</v>
      </c>
    </row>
    <row r="753" spans="1:24">
      <c r="B753" t="s">
        <v>197</v>
      </c>
      <c r="C753" t="s">
        <v>197</v>
      </c>
      <c r="D753" t="s">
        <v>197</v>
      </c>
      <c r="E753" t="s">
        <v>197</v>
      </c>
      <c r="F753" t="s">
        <v>197</v>
      </c>
      <c r="G753" t="s">
        <v>197</v>
      </c>
      <c r="H753" t="s">
        <v>197</v>
      </c>
      <c r="I753" t="s">
        <v>197</v>
      </c>
      <c r="J753" t="s">
        <v>197</v>
      </c>
      <c r="K753" t="s">
        <v>623</v>
      </c>
    </row>
    <row r="754" spans="1:24">
      <c r="B754" t="s">
        <v>197</v>
      </c>
      <c r="C754" t="s">
        <v>197</v>
      </c>
      <c r="D754" t="s">
        <v>197</v>
      </c>
      <c r="E754" t="s">
        <v>197</v>
      </c>
      <c r="F754" t="s">
        <v>197</v>
      </c>
      <c r="G754" t="s">
        <v>197</v>
      </c>
      <c r="H754" t="s">
        <v>197</v>
      </c>
      <c r="I754" t="s">
        <v>197</v>
      </c>
      <c r="J754" t="s">
        <v>197</v>
      </c>
      <c r="K754" t="s">
        <v>832</v>
      </c>
    </row>
    <row r="755" spans="1:24">
      <c r="A755" t="s">
        <v>902</v>
      </c>
      <c r="K755" t="s">
        <v>903</v>
      </c>
      <c r="W755" t="s">
        <v>171</v>
      </c>
      <c r="X755" t="str">
        <f>A755</f>
        <v>info_binary_dml_single_pk_irp</v>
      </c>
    </row>
    <row r="756" spans="1:24">
      <c r="B756" t="s">
        <v>196</v>
      </c>
      <c r="C756" t="s">
        <v>197</v>
      </c>
      <c r="D756" t="s">
        <v>197</v>
      </c>
      <c r="E756" t="s">
        <v>197</v>
      </c>
      <c r="F756" t="s">
        <v>197</v>
      </c>
      <c r="G756" t="s">
        <v>197</v>
      </c>
      <c r="H756" t="s">
        <v>197</v>
      </c>
      <c r="I756" t="s">
        <v>904</v>
      </c>
      <c r="J756" t="s">
        <v>199</v>
      </c>
      <c r="K756" t="s">
        <v>200</v>
      </c>
    </row>
    <row r="757" spans="1:24">
      <c r="B757" t="s">
        <v>197</v>
      </c>
      <c r="C757" t="s">
        <v>197</v>
      </c>
      <c r="D757" t="s">
        <v>197</v>
      </c>
      <c r="E757" t="s">
        <v>197</v>
      </c>
      <c r="F757" t="s">
        <v>197</v>
      </c>
      <c r="G757" t="s">
        <v>197</v>
      </c>
      <c r="H757" t="s">
        <v>197</v>
      </c>
      <c r="I757" t="s">
        <v>197</v>
      </c>
      <c r="J757" t="s">
        <v>197</v>
      </c>
      <c r="K757" t="s">
        <v>691</v>
      </c>
    </row>
    <row r="758" spans="1:24">
      <c r="B758" t="s">
        <v>197</v>
      </c>
      <c r="C758" t="s">
        <v>197</v>
      </c>
      <c r="D758" t="s">
        <v>197</v>
      </c>
      <c r="E758" t="s">
        <v>197</v>
      </c>
      <c r="F758" t="s">
        <v>197</v>
      </c>
      <c r="G758" t="s">
        <v>197</v>
      </c>
      <c r="H758" t="s">
        <v>197</v>
      </c>
      <c r="I758" t="s">
        <v>197</v>
      </c>
      <c r="J758" t="s">
        <v>197</v>
      </c>
      <c r="K758" t="s">
        <v>692</v>
      </c>
    </row>
    <row r="759" spans="1:24">
      <c r="B759" t="s">
        <v>197</v>
      </c>
      <c r="C759" t="s">
        <v>197</v>
      </c>
      <c r="D759" t="s">
        <v>197</v>
      </c>
      <c r="E759" t="s">
        <v>197</v>
      </c>
      <c r="F759" t="s">
        <v>197</v>
      </c>
      <c r="G759" t="s">
        <v>197</v>
      </c>
      <c r="H759" t="s">
        <v>197</v>
      </c>
      <c r="I759" t="s">
        <v>197</v>
      </c>
      <c r="J759" t="s">
        <v>197</v>
      </c>
      <c r="K759" t="s">
        <v>693</v>
      </c>
    </row>
    <row r="760" spans="1:24">
      <c r="K760" t="s">
        <v>443</v>
      </c>
    </row>
    <row r="761" spans="1:24">
      <c r="A761" t="s">
        <v>905</v>
      </c>
      <c r="K761" t="s">
        <v>906</v>
      </c>
      <c r="W761" t="s">
        <v>171</v>
      </c>
      <c r="X761" t="str">
        <f>A761</f>
        <v>info_nchar_dml_batch1_pk_drp2</v>
      </c>
    </row>
    <row r="762" spans="1:24">
      <c r="B762" t="s">
        <v>196</v>
      </c>
      <c r="C762" t="s">
        <v>197</v>
      </c>
      <c r="D762" t="s">
        <v>197</v>
      </c>
      <c r="E762" t="s">
        <v>197</v>
      </c>
      <c r="F762" t="s">
        <v>197</v>
      </c>
      <c r="G762" t="s">
        <v>197</v>
      </c>
      <c r="H762" t="s">
        <v>197</v>
      </c>
      <c r="I762" t="s">
        <v>907</v>
      </c>
      <c r="J762" t="s">
        <v>199</v>
      </c>
      <c r="K762" t="s">
        <v>200</v>
      </c>
    </row>
    <row r="763" spans="1:24">
      <c r="B763" t="s">
        <v>197</v>
      </c>
      <c r="C763" t="s">
        <v>197</v>
      </c>
      <c r="D763" t="s">
        <v>197</v>
      </c>
      <c r="E763" t="s">
        <v>197</v>
      </c>
      <c r="F763" t="s">
        <v>197</v>
      </c>
      <c r="G763" t="s">
        <v>197</v>
      </c>
      <c r="H763" t="s">
        <v>197</v>
      </c>
      <c r="I763" t="s">
        <v>197</v>
      </c>
      <c r="J763" t="s">
        <v>197</v>
      </c>
      <c r="K763" t="s">
        <v>514</v>
      </c>
    </row>
    <row r="764" spans="1:24">
      <c r="B764" t="s">
        <v>197</v>
      </c>
      <c r="C764" t="s">
        <v>197</v>
      </c>
      <c r="D764" t="s">
        <v>197</v>
      </c>
      <c r="E764" t="s">
        <v>197</v>
      </c>
      <c r="F764" t="s">
        <v>197</v>
      </c>
      <c r="G764" t="s">
        <v>197</v>
      </c>
      <c r="H764" t="s">
        <v>197</v>
      </c>
      <c r="I764" t="s">
        <v>197</v>
      </c>
      <c r="J764" t="s">
        <v>197</v>
      </c>
      <c r="K764" t="s">
        <v>516</v>
      </c>
    </row>
    <row r="765" spans="1:24">
      <c r="B765" t="s">
        <v>197</v>
      </c>
      <c r="C765" t="s">
        <v>197</v>
      </c>
      <c r="D765" t="s">
        <v>197</v>
      </c>
      <c r="E765" t="s">
        <v>197</v>
      </c>
      <c r="F765" t="s">
        <v>197</v>
      </c>
      <c r="G765" t="s">
        <v>197</v>
      </c>
      <c r="H765" t="s">
        <v>197</v>
      </c>
      <c r="I765" t="s">
        <v>197</v>
      </c>
      <c r="J765" t="s">
        <v>197</v>
      </c>
      <c r="K765" t="s">
        <v>612</v>
      </c>
    </row>
    <row r="766" spans="1:24">
      <c r="A766" t="s">
        <v>908</v>
      </c>
      <c r="K766" t="s">
        <v>909</v>
      </c>
      <c r="W766" t="s">
        <v>171</v>
      </c>
      <c r="X766" t="str">
        <f>A766</f>
        <v>info_binary_dml_batch1_pk_drp1</v>
      </c>
    </row>
    <row r="767" spans="1:24">
      <c r="B767" t="s">
        <v>196</v>
      </c>
      <c r="C767" t="s">
        <v>197</v>
      </c>
      <c r="D767" t="s">
        <v>197</v>
      </c>
      <c r="E767" t="s">
        <v>197</v>
      </c>
      <c r="F767" t="s">
        <v>197</v>
      </c>
      <c r="G767" t="s">
        <v>197</v>
      </c>
      <c r="H767" t="s">
        <v>197</v>
      </c>
      <c r="I767" t="s">
        <v>910</v>
      </c>
      <c r="J767" t="s">
        <v>199</v>
      </c>
      <c r="K767" t="s">
        <v>200</v>
      </c>
    </row>
    <row r="768" spans="1:24">
      <c r="B768" t="s">
        <v>197</v>
      </c>
      <c r="C768" t="s">
        <v>197</v>
      </c>
      <c r="D768" t="s">
        <v>197</v>
      </c>
      <c r="E768" t="s">
        <v>197</v>
      </c>
      <c r="F768" t="s">
        <v>197</v>
      </c>
      <c r="G768" t="s">
        <v>197</v>
      </c>
      <c r="H768" t="s">
        <v>197</v>
      </c>
      <c r="I768" t="s">
        <v>197</v>
      </c>
      <c r="J768" t="s">
        <v>197</v>
      </c>
      <c r="K768" t="s">
        <v>691</v>
      </c>
    </row>
    <row r="769" spans="1:24">
      <c r="B769" t="s">
        <v>197</v>
      </c>
      <c r="C769" t="s">
        <v>197</v>
      </c>
      <c r="D769" t="s">
        <v>197</v>
      </c>
      <c r="E769" t="s">
        <v>197</v>
      </c>
      <c r="F769" t="s">
        <v>197</v>
      </c>
      <c r="G769" t="s">
        <v>197</v>
      </c>
      <c r="H769" t="s">
        <v>197</v>
      </c>
      <c r="I769" t="s">
        <v>197</v>
      </c>
      <c r="J769" t="s">
        <v>197</v>
      </c>
      <c r="K769" t="s">
        <v>692</v>
      </c>
    </row>
    <row r="770" spans="1:24">
      <c r="B770" t="s">
        <v>197</v>
      </c>
      <c r="C770" t="s">
        <v>197</v>
      </c>
      <c r="D770" t="s">
        <v>197</v>
      </c>
      <c r="E770" t="s">
        <v>197</v>
      </c>
      <c r="F770" t="s">
        <v>197</v>
      </c>
      <c r="G770" t="s">
        <v>197</v>
      </c>
      <c r="H770" t="s">
        <v>197</v>
      </c>
      <c r="I770" t="s">
        <v>197</v>
      </c>
      <c r="J770" t="s">
        <v>197</v>
      </c>
      <c r="K770" t="s">
        <v>693</v>
      </c>
    </row>
    <row r="771" spans="1:24">
      <c r="K771" t="s">
        <v>443</v>
      </c>
    </row>
    <row r="772" spans="1:24">
      <c r="A772" t="s">
        <v>914</v>
      </c>
      <c r="K772" t="s">
        <v>915</v>
      </c>
      <c r="W772" t="s">
        <v>171</v>
      </c>
      <c r="X772" t="str">
        <f>A772</f>
        <v>info_date_dml_batch1_pk_urp1</v>
      </c>
    </row>
    <row r="773" spans="1:24">
      <c r="B773" t="s">
        <v>196</v>
      </c>
      <c r="C773" t="s">
        <v>197</v>
      </c>
      <c r="D773" t="s">
        <v>197</v>
      </c>
      <c r="E773" t="s">
        <v>197</v>
      </c>
      <c r="F773" t="s">
        <v>197</v>
      </c>
      <c r="G773" t="s">
        <v>197</v>
      </c>
      <c r="H773" t="s">
        <v>197</v>
      </c>
      <c r="I773" t="s">
        <v>916</v>
      </c>
      <c r="J773" t="s">
        <v>199</v>
      </c>
      <c r="K773" t="s">
        <v>200</v>
      </c>
    </row>
    <row r="774" spans="1:24">
      <c r="B774" t="s">
        <v>197</v>
      </c>
      <c r="C774" t="s">
        <v>197</v>
      </c>
      <c r="D774" t="s">
        <v>197</v>
      </c>
      <c r="E774" t="s">
        <v>197</v>
      </c>
      <c r="F774" t="s">
        <v>197</v>
      </c>
      <c r="G774" t="s">
        <v>197</v>
      </c>
      <c r="H774" t="s">
        <v>197</v>
      </c>
      <c r="I774" t="s">
        <v>197</v>
      </c>
      <c r="J774" t="s">
        <v>197</v>
      </c>
      <c r="K774" t="s">
        <v>678</v>
      </c>
    </row>
    <row r="775" spans="1:24">
      <c r="A775" t="s">
        <v>917</v>
      </c>
      <c r="K775" t="s">
        <v>918</v>
      </c>
      <c r="W775" t="s">
        <v>171</v>
      </c>
      <c r="X775" t="str">
        <f>A775</f>
        <v>info_date_dml_batch1_pk_urp2</v>
      </c>
    </row>
    <row r="776" spans="1:24">
      <c r="B776" t="s">
        <v>196</v>
      </c>
      <c r="C776" t="s">
        <v>197</v>
      </c>
      <c r="D776" t="s">
        <v>197</v>
      </c>
      <c r="E776" t="s">
        <v>197</v>
      </c>
      <c r="F776" t="s">
        <v>197</v>
      </c>
      <c r="G776" t="s">
        <v>197</v>
      </c>
      <c r="H776" t="s">
        <v>197</v>
      </c>
      <c r="I776" t="s">
        <v>919</v>
      </c>
      <c r="J776" t="s">
        <v>199</v>
      </c>
      <c r="K776" t="s">
        <v>200</v>
      </c>
    </row>
    <row r="777" spans="1:24">
      <c r="B777" t="s">
        <v>197</v>
      </c>
      <c r="C777" t="s">
        <v>197</v>
      </c>
      <c r="D777" t="s">
        <v>197</v>
      </c>
      <c r="E777" t="s">
        <v>197</v>
      </c>
      <c r="F777" t="s">
        <v>197</v>
      </c>
      <c r="G777" t="s">
        <v>197</v>
      </c>
      <c r="H777" t="s">
        <v>197</v>
      </c>
      <c r="I777" t="s">
        <v>197</v>
      </c>
      <c r="J777" t="s">
        <v>197</v>
      </c>
      <c r="K777" t="s">
        <v>678</v>
      </c>
    </row>
    <row r="778" spans="1:24">
      <c r="A778" t="s">
        <v>920</v>
      </c>
      <c r="K778" t="s">
        <v>921</v>
      </c>
      <c r="W778" t="s">
        <v>171</v>
      </c>
      <c r="X778" t="str">
        <f>A778</f>
        <v>info_binary_dml_batch1_pk_drp2</v>
      </c>
    </row>
    <row r="779" spans="1:24">
      <c r="B779" t="s">
        <v>196</v>
      </c>
      <c r="C779" t="s">
        <v>197</v>
      </c>
      <c r="D779" t="s">
        <v>197</v>
      </c>
      <c r="E779" t="s">
        <v>197</v>
      </c>
      <c r="F779" t="s">
        <v>197</v>
      </c>
      <c r="G779" t="s">
        <v>197</v>
      </c>
      <c r="H779" t="s">
        <v>197</v>
      </c>
      <c r="I779" t="s">
        <v>922</v>
      </c>
      <c r="J779" t="s">
        <v>199</v>
      </c>
      <c r="K779" t="s">
        <v>200</v>
      </c>
    </row>
    <row r="780" spans="1:24">
      <c r="B780" t="s">
        <v>197</v>
      </c>
      <c r="C780" t="s">
        <v>197</v>
      </c>
      <c r="D780" t="s">
        <v>197</v>
      </c>
      <c r="E780" t="s">
        <v>197</v>
      </c>
      <c r="F780" t="s">
        <v>197</v>
      </c>
      <c r="G780" t="s">
        <v>197</v>
      </c>
      <c r="H780" t="s">
        <v>197</v>
      </c>
      <c r="I780" t="s">
        <v>197</v>
      </c>
      <c r="J780" t="s">
        <v>197</v>
      </c>
      <c r="K780" t="s">
        <v>691</v>
      </c>
    </row>
    <row r="781" spans="1:24">
      <c r="B781" t="s">
        <v>197</v>
      </c>
      <c r="C781" t="s">
        <v>197</v>
      </c>
      <c r="D781" t="s">
        <v>197</v>
      </c>
      <c r="E781" t="s">
        <v>197</v>
      </c>
      <c r="F781" t="s">
        <v>197</v>
      </c>
      <c r="G781" t="s">
        <v>197</v>
      </c>
      <c r="H781" t="s">
        <v>197</v>
      </c>
      <c r="I781" t="s">
        <v>197</v>
      </c>
      <c r="J781" t="s">
        <v>197</v>
      </c>
      <c r="K781" t="s">
        <v>692</v>
      </c>
    </row>
    <row r="782" spans="1:24">
      <c r="B782" t="s">
        <v>197</v>
      </c>
      <c r="C782" t="s">
        <v>197</v>
      </c>
      <c r="D782" t="s">
        <v>197</v>
      </c>
      <c r="E782" t="s">
        <v>197</v>
      </c>
      <c r="F782" t="s">
        <v>197</v>
      </c>
      <c r="G782" t="s">
        <v>197</v>
      </c>
      <c r="H782" t="s">
        <v>197</v>
      </c>
      <c r="I782" t="s">
        <v>197</v>
      </c>
      <c r="J782" t="s">
        <v>197</v>
      </c>
      <c r="K782" t="s">
        <v>693</v>
      </c>
    </row>
    <row r="783" spans="1:24">
      <c r="A783" t="s">
        <v>923</v>
      </c>
      <c r="K783" t="s">
        <v>924</v>
      </c>
      <c r="W783" t="s">
        <v>171</v>
      </c>
      <c r="X783" t="str">
        <f>A783</f>
        <v>info_datetime_dml_single_pk_irp</v>
      </c>
    </row>
    <row r="784" spans="1:24">
      <c r="B784" t="s">
        <v>196</v>
      </c>
      <c r="C784" t="s">
        <v>197</v>
      </c>
      <c r="D784" t="s">
        <v>197</v>
      </c>
      <c r="E784" t="s">
        <v>197</v>
      </c>
      <c r="F784" t="s">
        <v>197</v>
      </c>
      <c r="G784" t="s">
        <v>197</v>
      </c>
      <c r="H784" t="s">
        <v>197</v>
      </c>
      <c r="I784" t="s">
        <v>925</v>
      </c>
      <c r="J784" t="s">
        <v>199</v>
      </c>
      <c r="K784" t="s">
        <v>200</v>
      </c>
    </row>
    <row r="785" spans="1:24">
      <c r="B785" t="s">
        <v>197</v>
      </c>
      <c r="C785" t="s">
        <v>197</v>
      </c>
      <c r="D785" t="s">
        <v>197</v>
      </c>
      <c r="E785" t="s">
        <v>197</v>
      </c>
      <c r="F785" t="s">
        <v>197</v>
      </c>
      <c r="G785" t="s">
        <v>197</v>
      </c>
      <c r="H785" t="s">
        <v>197</v>
      </c>
      <c r="I785" t="s">
        <v>197</v>
      </c>
      <c r="J785" t="s">
        <v>197</v>
      </c>
      <c r="K785" t="s">
        <v>574</v>
      </c>
    </row>
    <row r="786" spans="1:24">
      <c r="A786" t="s">
        <v>926</v>
      </c>
      <c r="K786" t="s">
        <v>927</v>
      </c>
      <c r="W786" t="s">
        <v>171</v>
      </c>
      <c r="X786" t="str">
        <f>A786</f>
        <v>info_int_dml_single_pk_drp</v>
      </c>
    </row>
    <row r="787" spans="1:24">
      <c r="B787" t="s">
        <v>196</v>
      </c>
      <c r="C787" t="s">
        <v>197</v>
      </c>
      <c r="D787" t="s">
        <v>197</v>
      </c>
      <c r="E787" t="s">
        <v>197</v>
      </c>
      <c r="F787" t="s">
        <v>197</v>
      </c>
      <c r="G787" t="s">
        <v>197</v>
      </c>
      <c r="H787" t="s">
        <v>197</v>
      </c>
      <c r="I787" t="s">
        <v>928</v>
      </c>
      <c r="J787" t="s">
        <v>199</v>
      </c>
      <c r="K787" t="s">
        <v>200</v>
      </c>
    </row>
    <row r="788" spans="1:24">
      <c r="B788" t="s">
        <v>197</v>
      </c>
      <c r="C788" t="s">
        <v>197</v>
      </c>
      <c r="D788" t="s">
        <v>197</v>
      </c>
      <c r="E788" t="s">
        <v>197</v>
      </c>
      <c r="F788" t="s">
        <v>197</v>
      </c>
      <c r="G788" t="s">
        <v>197</v>
      </c>
      <c r="H788" t="s">
        <v>197</v>
      </c>
      <c r="I788" t="s">
        <v>197</v>
      </c>
      <c r="J788" t="s">
        <v>197</v>
      </c>
      <c r="K788" t="s">
        <v>549</v>
      </c>
    </row>
    <row r="789" spans="1:24">
      <c r="B789" t="s">
        <v>197</v>
      </c>
      <c r="C789" t="s">
        <v>197</v>
      </c>
      <c r="D789" t="s">
        <v>197</v>
      </c>
      <c r="E789" t="s">
        <v>197</v>
      </c>
      <c r="F789" t="s">
        <v>197</v>
      </c>
      <c r="G789" t="s">
        <v>197</v>
      </c>
      <c r="H789" t="s">
        <v>197</v>
      </c>
      <c r="I789" t="s">
        <v>197</v>
      </c>
      <c r="J789" t="s">
        <v>197</v>
      </c>
      <c r="K789" t="s">
        <v>550</v>
      </c>
    </row>
    <row r="790" spans="1:24">
      <c r="B790" t="s">
        <v>197</v>
      </c>
      <c r="C790" t="s">
        <v>197</v>
      </c>
      <c r="D790" t="s">
        <v>197</v>
      </c>
      <c r="E790" t="s">
        <v>197</v>
      </c>
      <c r="F790" t="s">
        <v>197</v>
      </c>
      <c r="G790" t="s">
        <v>197</v>
      </c>
      <c r="H790" t="s">
        <v>197</v>
      </c>
      <c r="I790" t="s">
        <v>197</v>
      </c>
      <c r="J790" t="s">
        <v>197</v>
      </c>
      <c r="K790" t="s">
        <v>551</v>
      </c>
    </row>
    <row r="791" spans="1:24">
      <c r="B791" t="s">
        <v>197</v>
      </c>
      <c r="C791" t="s">
        <v>197</v>
      </c>
      <c r="D791" t="s">
        <v>197</v>
      </c>
      <c r="E791" t="s">
        <v>197</v>
      </c>
      <c r="F791" t="s">
        <v>197</v>
      </c>
      <c r="G791" t="s">
        <v>197</v>
      </c>
      <c r="H791" t="s">
        <v>197</v>
      </c>
      <c r="I791" t="s">
        <v>197</v>
      </c>
      <c r="J791" t="s">
        <v>197</v>
      </c>
      <c r="K791" t="s">
        <v>552</v>
      </c>
    </row>
    <row r="792" spans="1:24">
      <c r="B792" t="s">
        <v>197</v>
      </c>
      <c r="C792" t="s">
        <v>197</v>
      </c>
      <c r="D792" t="s">
        <v>197</v>
      </c>
      <c r="E792" t="s">
        <v>197</v>
      </c>
      <c r="F792" t="s">
        <v>197</v>
      </c>
      <c r="G792" t="s">
        <v>197</v>
      </c>
      <c r="H792" t="s">
        <v>197</v>
      </c>
      <c r="I792" t="s">
        <v>197</v>
      </c>
      <c r="J792" t="s">
        <v>197</v>
      </c>
      <c r="K792" t="s">
        <v>553</v>
      </c>
    </row>
    <row r="793" spans="1:24">
      <c r="B793" t="s">
        <v>197</v>
      </c>
      <c r="C793" t="s">
        <v>197</v>
      </c>
      <c r="D793" t="s">
        <v>197</v>
      </c>
      <c r="E793" t="s">
        <v>197</v>
      </c>
      <c r="F793" t="s">
        <v>197</v>
      </c>
      <c r="G793" t="s">
        <v>197</v>
      </c>
      <c r="H793" t="s">
        <v>197</v>
      </c>
      <c r="I793" t="s">
        <v>197</v>
      </c>
      <c r="J793" t="s">
        <v>197</v>
      </c>
      <c r="K793" t="s">
        <v>554</v>
      </c>
    </row>
    <row r="794" spans="1:24">
      <c r="B794" t="s">
        <v>197</v>
      </c>
      <c r="C794" t="s">
        <v>197</v>
      </c>
      <c r="D794" t="s">
        <v>197</v>
      </c>
      <c r="E794" t="s">
        <v>197</v>
      </c>
      <c r="F794" t="s">
        <v>197</v>
      </c>
      <c r="G794" t="s">
        <v>197</v>
      </c>
      <c r="H794" t="s">
        <v>197</v>
      </c>
      <c r="I794" t="s">
        <v>197</v>
      </c>
      <c r="J794" t="s">
        <v>197</v>
      </c>
      <c r="K794" t="s">
        <v>555</v>
      </c>
    </row>
    <row r="795" spans="1:24">
      <c r="B795" t="s">
        <v>197</v>
      </c>
      <c r="C795" t="s">
        <v>197</v>
      </c>
      <c r="D795" t="s">
        <v>197</v>
      </c>
      <c r="E795" t="s">
        <v>197</v>
      </c>
      <c r="F795" t="s">
        <v>197</v>
      </c>
      <c r="G795" t="s">
        <v>197</v>
      </c>
      <c r="H795" t="s">
        <v>197</v>
      </c>
      <c r="I795" t="s">
        <v>197</v>
      </c>
      <c r="J795" t="s">
        <v>197</v>
      </c>
      <c r="K795" t="s">
        <v>556</v>
      </c>
    </row>
    <row r="796" spans="1:24">
      <c r="B796" t="s">
        <v>197</v>
      </c>
      <c r="C796" t="s">
        <v>197</v>
      </c>
      <c r="D796" t="s">
        <v>197</v>
      </c>
      <c r="E796" t="s">
        <v>197</v>
      </c>
      <c r="F796" t="s">
        <v>197</v>
      </c>
      <c r="G796" t="s">
        <v>197</v>
      </c>
      <c r="H796" t="s">
        <v>197</v>
      </c>
      <c r="I796" t="s">
        <v>197</v>
      </c>
      <c r="J796" t="s">
        <v>197</v>
      </c>
      <c r="K796" t="s">
        <v>557</v>
      </c>
    </row>
    <row r="797" spans="1:24">
      <c r="B797" t="s">
        <v>197</v>
      </c>
      <c r="C797" t="s">
        <v>197</v>
      </c>
      <c r="D797" t="s">
        <v>197</v>
      </c>
      <c r="E797" t="s">
        <v>197</v>
      </c>
      <c r="F797" t="s">
        <v>197</v>
      </c>
      <c r="G797" t="s">
        <v>197</v>
      </c>
      <c r="H797" t="s">
        <v>197</v>
      </c>
      <c r="I797" t="s">
        <v>197</v>
      </c>
      <c r="J797" t="s">
        <v>197</v>
      </c>
      <c r="K797" t="s">
        <v>558</v>
      </c>
    </row>
    <row r="798" spans="1:24">
      <c r="B798" t="s">
        <v>197</v>
      </c>
      <c r="C798" t="s">
        <v>197</v>
      </c>
      <c r="D798" t="s">
        <v>197</v>
      </c>
      <c r="E798" t="s">
        <v>197</v>
      </c>
      <c r="F798" t="s">
        <v>197</v>
      </c>
      <c r="G798" t="s">
        <v>197</v>
      </c>
      <c r="H798" t="s">
        <v>197</v>
      </c>
      <c r="I798" t="s">
        <v>197</v>
      </c>
      <c r="J798" t="s">
        <v>197</v>
      </c>
      <c r="K798" t="s">
        <v>559</v>
      </c>
    </row>
    <row r="799" spans="1:24">
      <c r="B799" t="s">
        <v>197</v>
      </c>
      <c r="C799" t="s">
        <v>197</v>
      </c>
      <c r="D799" t="s">
        <v>197</v>
      </c>
      <c r="E799" t="s">
        <v>197</v>
      </c>
      <c r="F799" t="s">
        <v>197</v>
      </c>
      <c r="G799" t="s">
        <v>197</v>
      </c>
      <c r="H799" t="s">
        <v>197</v>
      </c>
      <c r="I799" t="s">
        <v>197</v>
      </c>
      <c r="J799" t="s">
        <v>197</v>
      </c>
      <c r="K799" t="s">
        <v>560</v>
      </c>
    </row>
    <row r="800" spans="1:24">
      <c r="B800" t="s">
        <v>197</v>
      </c>
      <c r="C800" t="s">
        <v>197</v>
      </c>
      <c r="D800" t="s">
        <v>197</v>
      </c>
      <c r="E800" t="s">
        <v>197</v>
      </c>
      <c r="F800" t="s">
        <v>197</v>
      </c>
      <c r="G800" t="s">
        <v>197</v>
      </c>
      <c r="H800" t="s">
        <v>197</v>
      </c>
      <c r="I800" t="s">
        <v>197</v>
      </c>
      <c r="J800" t="s">
        <v>197</v>
      </c>
      <c r="K800" t="s">
        <v>561</v>
      </c>
    </row>
    <row r="801" spans="1:24">
      <c r="B801" t="s">
        <v>197</v>
      </c>
      <c r="C801" t="s">
        <v>197</v>
      </c>
      <c r="D801" t="s">
        <v>197</v>
      </c>
      <c r="E801" t="s">
        <v>197</v>
      </c>
      <c r="F801" t="s">
        <v>197</v>
      </c>
      <c r="G801" t="s">
        <v>197</v>
      </c>
      <c r="H801" t="s">
        <v>197</v>
      </c>
      <c r="I801" t="s">
        <v>197</v>
      </c>
      <c r="J801" t="s">
        <v>197</v>
      </c>
      <c r="K801" t="s">
        <v>562</v>
      </c>
    </row>
    <row r="802" spans="1:24">
      <c r="B802" t="s">
        <v>197</v>
      </c>
      <c r="C802" t="s">
        <v>197</v>
      </c>
      <c r="D802" t="s">
        <v>197</v>
      </c>
      <c r="E802" t="s">
        <v>197</v>
      </c>
      <c r="F802" t="s">
        <v>197</v>
      </c>
      <c r="G802" t="s">
        <v>197</v>
      </c>
      <c r="H802" t="s">
        <v>197</v>
      </c>
      <c r="I802" t="s">
        <v>197</v>
      </c>
      <c r="J802" t="s">
        <v>197</v>
      </c>
      <c r="K802" t="s">
        <v>563</v>
      </c>
    </row>
    <row r="803" spans="1:24">
      <c r="B803" t="s">
        <v>197</v>
      </c>
      <c r="C803" t="s">
        <v>197</v>
      </c>
      <c r="D803" t="s">
        <v>197</v>
      </c>
      <c r="E803" t="s">
        <v>197</v>
      </c>
      <c r="F803" t="s">
        <v>197</v>
      </c>
      <c r="G803" t="s">
        <v>197</v>
      </c>
      <c r="H803" t="s">
        <v>197</v>
      </c>
      <c r="I803" t="s">
        <v>197</v>
      </c>
      <c r="J803" t="s">
        <v>197</v>
      </c>
      <c r="K803" t="s">
        <v>564</v>
      </c>
    </row>
    <row r="804" spans="1:24">
      <c r="B804" t="s">
        <v>197</v>
      </c>
      <c r="C804" t="s">
        <v>197</v>
      </c>
      <c r="D804" t="s">
        <v>197</v>
      </c>
      <c r="E804" t="s">
        <v>197</v>
      </c>
      <c r="F804" t="s">
        <v>197</v>
      </c>
      <c r="G804" t="s">
        <v>197</v>
      </c>
      <c r="H804" t="s">
        <v>197</v>
      </c>
      <c r="I804" t="s">
        <v>197</v>
      </c>
      <c r="J804" t="s">
        <v>197</v>
      </c>
      <c r="K804" t="s">
        <v>565</v>
      </c>
    </row>
    <row r="805" spans="1:24">
      <c r="B805" t="s">
        <v>197</v>
      </c>
      <c r="C805" t="s">
        <v>197</v>
      </c>
      <c r="D805" t="s">
        <v>197</v>
      </c>
      <c r="E805" t="s">
        <v>197</v>
      </c>
      <c r="F805" t="s">
        <v>197</v>
      </c>
      <c r="G805" t="s">
        <v>197</v>
      </c>
      <c r="H805" t="s">
        <v>197</v>
      </c>
      <c r="I805" t="s">
        <v>197</v>
      </c>
      <c r="J805" t="s">
        <v>197</v>
      </c>
      <c r="K805" t="s">
        <v>566</v>
      </c>
    </row>
    <row r="806" spans="1:24">
      <c r="B806" t="s">
        <v>197</v>
      </c>
      <c r="C806" t="s">
        <v>197</v>
      </c>
      <c r="D806" t="s">
        <v>197</v>
      </c>
      <c r="E806" t="s">
        <v>197</v>
      </c>
      <c r="F806" t="s">
        <v>197</v>
      </c>
      <c r="G806" t="s">
        <v>197</v>
      </c>
      <c r="H806" t="s">
        <v>197</v>
      </c>
      <c r="I806" t="s">
        <v>197</v>
      </c>
      <c r="J806" t="s">
        <v>197</v>
      </c>
      <c r="K806" t="s">
        <v>567</v>
      </c>
    </row>
    <row r="807" spans="1:24">
      <c r="A807" t="s">
        <v>929</v>
      </c>
      <c r="K807" t="s">
        <v>930</v>
      </c>
      <c r="W807" t="s">
        <v>171</v>
      </c>
      <c r="X807" t="str">
        <f>A807</f>
        <v>info_varcharmax_dml_single_pk_drp</v>
      </c>
    </row>
    <row r="808" spans="1:24">
      <c r="B808" t="s">
        <v>196</v>
      </c>
      <c r="C808" t="s">
        <v>197</v>
      </c>
      <c r="D808" t="s">
        <v>197</v>
      </c>
      <c r="E808" t="s">
        <v>197</v>
      </c>
      <c r="F808" t="s">
        <v>197</v>
      </c>
      <c r="G808" t="s">
        <v>197</v>
      </c>
      <c r="H808" t="s">
        <v>197</v>
      </c>
      <c r="I808" t="s">
        <v>931</v>
      </c>
      <c r="J808" t="s">
        <v>199</v>
      </c>
      <c r="K808" t="s">
        <v>200</v>
      </c>
    </row>
    <row r="809" spans="1:24">
      <c r="B809" t="s">
        <v>197</v>
      </c>
      <c r="C809" t="s">
        <v>197</v>
      </c>
      <c r="D809" t="s">
        <v>197</v>
      </c>
      <c r="E809" t="s">
        <v>197</v>
      </c>
      <c r="F809" t="s">
        <v>197</v>
      </c>
      <c r="G809" t="s">
        <v>197</v>
      </c>
      <c r="H809" t="s">
        <v>197</v>
      </c>
      <c r="I809" t="s">
        <v>197</v>
      </c>
      <c r="J809" t="s">
        <v>197</v>
      </c>
      <c r="K809" t="s">
        <v>725</v>
      </c>
    </row>
    <row r="810" spans="1:24">
      <c r="B810" t="s">
        <v>197</v>
      </c>
      <c r="C810" t="s">
        <v>197</v>
      </c>
      <c r="D810" t="s">
        <v>197</v>
      </c>
      <c r="E810" t="s">
        <v>197</v>
      </c>
      <c r="F810" t="s">
        <v>197</v>
      </c>
      <c r="G810" t="s">
        <v>197</v>
      </c>
      <c r="H810" t="s">
        <v>197</v>
      </c>
      <c r="I810" t="s">
        <v>197</v>
      </c>
      <c r="J810" t="s">
        <v>197</v>
      </c>
      <c r="K810" t="s">
        <v>726</v>
      </c>
    </row>
    <row r="811" spans="1:24">
      <c r="A811" t="s">
        <v>935</v>
      </c>
      <c r="K811" t="s">
        <v>936</v>
      </c>
      <c r="W811" t="s">
        <v>171</v>
      </c>
      <c r="X811" t="str">
        <f>A811</f>
        <v>info_int_dml_single_pk</v>
      </c>
    </row>
    <row r="812" spans="1:24">
      <c r="B812" t="s">
        <v>196</v>
      </c>
      <c r="C812" t="s">
        <v>197</v>
      </c>
      <c r="D812" t="s">
        <v>197</v>
      </c>
      <c r="E812" t="s">
        <v>197</v>
      </c>
      <c r="F812" t="s">
        <v>197</v>
      </c>
      <c r="G812" t="s">
        <v>197</v>
      </c>
      <c r="H812" t="s">
        <v>197</v>
      </c>
      <c r="I812" t="s">
        <v>937</v>
      </c>
      <c r="J812" t="s">
        <v>199</v>
      </c>
      <c r="K812" t="s">
        <v>200</v>
      </c>
    </row>
    <row r="813" spans="1:24">
      <c r="B813" t="s">
        <v>197</v>
      </c>
      <c r="C813" t="s">
        <v>197</v>
      </c>
      <c r="D813" t="s">
        <v>197</v>
      </c>
      <c r="E813" t="s">
        <v>197</v>
      </c>
      <c r="F813" t="s">
        <v>197</v>
      </c>
      <c r="G813" t="s">
        <v>197</v>
      </c>
      <c r="H813" t="s">
        <v>197</v>
      </c>
      <c r="I813" t="s">
        <v>197</v>
      </c>
      <c r="J813" t="s">
        <v>197</v>
      </c>
      <c r="K813" t="s">
        <v>549</v>
      </c>
    </row>
    <row r="814" spans="1:24">
      <c r="B814" t="s">
        <v>197</v>
      </c>
      <c r="C814" t="s">
        <v>197</v>
      </c>
      <c r="D814" t="s">
        <v>197</v>
      </c>
      <c r="E814" t="s">
        <v>197</v>
      </c>
      <c r="F814" t="s">
        <v>197</v>
      </c>
      <c r="G814" t="s">
        <v>197</v>
      </c>
      <c r="H814" t="s">
        <v>197</v>
      </c>
      <c r="I814" t="s">
        <v>197</v>
      </c>
      <c r="J814" t="s">
        <v>197</v>
      </c>
      <c r="K814" t="s">
        <v>550</v>
      </c>
    </row>
    <row r="815" spans="1:24">
      <c r="B815" t="s">
        <v>197</v>
      </c>
      <c r="C815" t="s">
        <v>197</v>
      </c>
      <c r="D815" t="s">
        <v>197</v>
      </c>
      <c r="E815" t="s">
        <v>197</v>
      </c>
      <c r="F815" t="s">
        <v>197</v>
      </c>
      <c r="G815" t="s">
        <v>197</v>
      </c>
      <c r="H815" t="s">
        <v>197</v>
      </c>
      <c r="I815" t="s">
        <v>197</v>
      </c>
      <c r="J815" t="s">
        <v>197</v>
      </c>
      <c r="K815" t="s">
        <v>551</v>
      </c>
    </row>
    <row r="816" spans="1:24">
      <c r="B816" t="s">
        <v>197</v>
      </c>
      <c r="C816" t="s">
        <v>197</v>
      </c>
      <c r="D816" t="s">
        <v>197</v>
      </c>
      <c r="E816" t="s">
        <v>197</v>
      </c>
      <c r="F816" t="s">
        <v>197</v>
      </c>
      <c r="G816" t="s">
        <v>197</v>
      </c>
      <c r="H816" t="s">
        <v>197</v>
      </c>
      <c r="I816" t="s">
        <v>197</v>
      </c>
      <c r="J816" t="s">
        <v>197</v>
      </c>
      <c r="K816" t="s">
        <v>552</v>
      </c>
    </row>
    <row r="817" spans="1:24">
      <c r="B817" t="s">
        <v>197</v>
      </c>
      <c r="C817" t="s">
        <v>197</v>
      </c>
      <c r="D817" t="s">
        <v>197</v>
      </c>
      <c r="E817" t="s">
        <v>197</v>
      </c>
      <c r="F817" t="s">
        <v>197</v>
      </c>
      <c r="G817" t="s">
        <v>197</v>
      </c>
      <c r="H817" t="s">
        <v>197</v>
      </c>
      <c r="I817" t="s">
        <v>197</v>
      </c>
      <c r="J817" t="s">
        <v>197</v>
      </c>
      <c r="K817" t="s">
        <v>553</v>
      </c>
    </row>
    <row r="818" spans="1:24">
      <c r="B818" t="s">
        <v>197</v>
      </c>
      <c r="C818" t="s">
        <v>197</v>
      </c>
      <c r="D818" t="s">
        <v>197</v>
      </c>
      <c r="E818" t="s">
        <v>197</v>
      </c>
      <c r="F818" t="s">
        <v>197</v>
      </c>
      <c r="G818" t="s">
        <v>197</v>
      </c>
      <c r="H818" t="s">
        <v>197</v>
      </c>
      <c r="I818" t="s">
        <v>197</v>
      </c>
      <c r="J818" t="s">
        <v>197</v>
      </c>
      <c r="K818" t="s">
        <v>554</v>
      </c>
    </row>
    <row r="819" spans="1:24">
      <c r="B819" t="s">
        <v>197</v>
      </c>
      <c r="C819" t="s">
        <v>197</v>
      </c>
      <c r="D819" t="s">
        <v>197</v>
      </c>
      <c r="E819" t="s">
        <v>197</v>
      </c>
      <c r="F819" t="s">
        <v>197</v>
      </c>
      <c r="G819" t="s">
        <v>197</v>
      </c>
      <c r="H819" t="s">
        <v>197</v>
      </c>
      <c r="I819" t="s">
        <v>197</v>
      </c>
      <c r="J819" t="s">
        <v>197</v>
      </c>
      <c r="K819" t="s">
        <v>555</v>
      </c>
    </row>
    <row r="820" spans="1:24">
      <c r="B820" t="s">
        <v>197</v>
      </c>
      <c r="C820" t="s">
        <v>197</v>
      </c>
      <c r="D820" t="s">
        <v>197</v>
      </c>
      <c r="E820" t="s">
        <v>197</v>
      </c>
      <c r="F820" t="s">
        <v>197</v>
      </c>
      <c r="G820" t="s">
        <v>197</v>
      </c>
      <c r="H820" t="s">
        <v>197</v>
      </c>
      <c r="I820" t="s">
        <v>197</v>
      </c>
      <c r="J820" t="s">
        <v>197</v>
      </c>
      <c r="K820" t="s">
        <v>556</v>
      </c>
    </row>
    <row r="821" spans="1:24">
      <c r="B821" t="s">
        <v>197</v>
      </c>
      <c r="C821" t="s">
        <v>197</v>
      </c>
      <c r="D821" t="s">
        <v>197</v>
      </c>
      <c r="E821" t="s">
        <v>197</v>
      </c>
      <c r="F821" t="s">
        <v>197</v>
      </c>
      <c r="G821" t="s">
        <v>197</v>
      </c>
      <c r="H821" t="s">
        <v>197</v>
      </c>
      <c r="I821" t="s">
        <v>197</v>
      </c>
      <c r="J821" t="s">
        <v>197</v>
      </c>
      <c r="K821" t="s">
        <v>557</v>
      </c>
    </row>
    <row r="822" spans="1:24">
      <c r="B822" t="s">
        <v>197</v>
      </c>
      <c r="C822" t="s">
        <v>197</v>
      </c>
      <c r="D822" t="s">
        <v>197</v>
      </c>
      <c r="E822" t="s">
        <v>197</v>
      </c>
      <c r="F822" t="s">
        <v>197</v>
      </c>
      <c r="G822" t="s">
        <v>197</v>
      </c>
      <c r="H822" t="s">
        <v>197</v>
      </c>
      <c r="I822" t="s">
        <v>197</v>
      </c>
      <c r="J822" t="s">
        <v>197</v>
      </c>
      <c r="K822" t="s">
        <v>558</v>
      </c>
    </row>
    <row r="823" spans="1:24">
      <c r="B823" t="s">
        <v>197</v>
      </c>
      <c r="C823" t="s">
        <v>197</v>
      </c>
      <c r="D823" t="s">
        <v>197</v>
      </c>
      <c r="E823" t="s">
        <v>197</v>
      </c>
      <c r="F823" t="s">
        <v>197</v>
      </c>
      <c r="G823" t="s">
        <v>197</v>
      </c>
      <c r="H823" t="s">
        <v>197</v>
      </c>
      <c r="I823" t="s">
        <v>197</v>
      </c>
      <c r="J823" t="s">
        <v>197</v>
      </c>
      <c r="K823" t="s">
        <v>559</v>
      </c>
    </row>
    <row r="824" spans="1:24">
      <c r="B824" t="s">
        <v>197</v>
      </c>
      <c r="C824" t="s">
        <v>197</v>
      </c>
      <c r="D824" t="s">
        <v>197</v>
      </c>
      <c r="E824" t="s">
        <v>197</v>
      </c>
      <c r="F824" t="s">
        <v>197</v>
      </c>
      <c r="G824" t="s">
        <v>197</v>
      </c>
      <c r="H824" t="s">
        <v>197</v>
      </c>
      <c r="I824" t="s">
        <v>197</v>
      </c>
      <c r="J824" t="s">
        <v>197</v>
      </c>
      <c r="K824" t="s">
        <v>560</v>
      </c>
    </row>
    <row r="825" spans="1:24">
      <c r="B825" t="s">
        <v>197</v>
      </c>
      <c r="C825" t="s">
        <v>197</v>
      </c>
      <c r="D825" t="s">
        <v>197</v>
      </c>
      <c r="E825" t="s">
        <v>197</v>
      </c>
      <c r="F825" t="s">
        <v>197</v>
      </c>
      <c r="G825" t="s">
        <v>197</v>
      </c>
      <c r="H825" t="s">
        <v>197</v>
      </c>
      <c r="I825" t="s">
        <v>197</v>
      </c>
      <c r="J825" t="s">
        <v>197</v>
      </c>
      <c r="K825" t="s">
        <v>561</v>
      </c>
    </row>
    <row r="826" spans="1:24">
      <c r="B826" t="s">
        <v>197</v>
      </c>
      <c r="C826" t="s">
        <v>197</v>
      </c>
      <c r="D826" t="s">
        <v>197</v>
      </c>
      <c r="E826" t="s">
        <v>197</v>
      </c>
      <c r="F826" t="s">
        <v>197</v>
      </c>
      <c r="G826" t="s">
        <v>197</v>
      </c>
      <c r="H826" t="s">
        <v>197</v>
      </c>
      <c r="I826" t="s">
        <v>197</v>
      </c>
      <c r="J826" t="s">
        <v>197</v>
      </c>
      <c r="K826" t="s">
        <v>562</v>
      </c>
    </row>
    <row r="827" spans="1:24">
      <c r="B827" t="s">
        <v>197</v>
      </c>
      <c r="C827" t="s">
        <v>197</v>
      </c>
      <c r="D827" t="s">
        <v>197</v>
      </c>
      <c r="E827" t="s">
        <v>197</v>
      </c>
      <c r="F827" t="s">
        <v>197</v>
      </c>
      <c r="G827" t="s">
        <v>197</v>
      </c>
      <c r="H827" t="s">
        <v>197</v>
      </c>
      <c r="I827" t="s">
        <v>197</v>
      </c>
      <c r="J827" t="s">
        <v>197</v>
      </c>
      <c r="K827" t="s">
        <v>563</v>
      </c>
    </row>
    <row r="828" spans="1:24">
      <c r="B828" t="s">
        <v>197</v>
      </c>
      <c r="C828" t="s">
        <v>197</v>
      </c>
      <c r="D828" t="s">
        <v>197</v>
      </c>
      <c r="E828" t="s">
        <v>197</v>
      </c>
      <c r="F828" t="s">
        <v>197</v>
      </c>
      <c r="G828" t="s">
        <v>197</v>
      </c>
      <c r="H828" t="s">
        <v>197</v>
      </c>
      <c r="I828" t="s">
        <v>197</v>
      </c>
      <c r="J828" t="s">
        <v>197</v>
      </c>
      <c r="K828" t="s">
        <v>564</v>
      </c>
    </row>
    <row r="829" spans="1:24">
      <c r="B829" t="s">
        <v>197</v>
      </c>
      <c r="C829" t="s">
        <v>197</v>
      </c>
      <c r="D829" t="s">
        <v>197</v>
      </c>
      <c r="E829" t="s">
        <v>197</v>
      </c>
      <c r="F829" t="s">
        <v>197</v>
      </c>
      <c r="G829" t="s">
        <v>197</v>
      </c>
      <c r="H829" t="s">
        <v>197</v>
      </c>
      <c r="I829" t="s">
        <v>197</v>
      </c>
      <c r="J829" t="s">
        <v>197</v>
      </c>
      <c r="K829" t="s">
        <v>565</v>
      </c>
    </row>
    <row r="830" spans="1:24">
      <c r="B830" t="s">
        <v>197</v>
      </c>
      <c r="C830" t="s">
        <v>197</v>
      </c>
      <c r="D830" t="s">
        <v>197</v>
      </c>
      <c r="E830" t="s">
        <v>197</v>
      </c>
      <c r="F830" t="s">
        <v>197</v>
      </c>
      <c r="G830" t="s">
        <v>197</v>
      </c>
      <c r="H830" t="s">
        <v>197</v>
      </c>
      <c r="I830" t="s">
        <v>197</v>
      </c>
      <c r="J830" t="s">
        <v>197</v>
      </c>
      <c r="K830" t="s">
        <v>566</v>
      </c>
    </row>
    <row r="831" spans="1:24">
      <c r="B831" t="s">
        <v>197</v>
      </c>
      <c r="C831" t="s">
        <v>197</v>
      </c>
      <c r="D831" t="s">
        <v>197</v>
      </c>
      <c r="E831" t="s">
        <v>197</v>
      </c>
      <c r="F831" t="s">
        <v>197</v>
      </c>
      <c r="G831" t="s">
        <v>197</v>
      </c>
      <c r="H831" t="s">
        <v>197</v>
      </c>
      <c r="I831" t="s">
        <v>197</v>
      </c>
      <c r="J831" t="s">
        <v>197</v>
      </c>
      <c r="K831" t="s">
        <v>567</v>
      </c>
    </row>
    <row r="832" spans="1:24">
      <c r="A832" t="s">
        <v>932</v>
      </c>
      <c r="K832" t="s">
        <v>933</v>
      </c>
      <c r="W832" t="s">
        <v>171</v>
      </c>
      <c r="X832" t="str">
        <f>A832</f>
        <v>info_char_dml_batch1_pk_urp1</v>
      </c>
    </row>
    <row r="833" spans="1:24">
      <c r="B833" t="s">
        <v>196</v>
      </c>
      <c r="C833" t="s">
        <v>197</v>
      </c>
      <c r="D833" t="s">
        <v>197</v>
      </c>
      <c r="E833" t="s">
        <v>197</v>
      </c>
      <c r="F833" t="s">
        <v>197</v>
      </c>
      <c r="G833" t="s">
        <v>197</v>
      </c>
      <c r="H833" t="s">
        <v>197</v>
      </c>
      <c r="I833" t="s">
        <v>934</v>
      </c>
      <c r="J833" t="s">
        <v>199</v>
      </c>
      <c r="K833" t="s">
        <v>200</v>
      </c>
    </row>
    <row r="834" spans="1:24">
      <c r="B834" t="s">
        <v>197</v>
      </c>
      <c r="C834" t="s">
        <v>197</v>
      </c>
      <c r="D834" t="s">
        <v>197</v>
      </c>
      <c r="E834" t="s">
        <v>197</v>
      </c>
      <c r="F834" t="s">
        <v>197</v>
      </c>
      <c r="G834" t="s">
        <v>197</v>
      </c>
      <c r="H834" t="s">
        <v>197</v>
      </c>
      <c r="I834" t="s">
        <v>197</v>
      </c>
      <c r="J834" t="s">
        <v>197</v>
      </c>
      <c r="K834" t="s">
        <v>622</v>
      </c>
    </row>
    <row r="835" spans="1:24">
      <c r="B835" t="s">
        <v>197</v>
      </c>
      <c r="C835" t="s">
        <v>197</v>
      </c>
      <c r="D835" t="s">
        <v>197</v>
      </c>
      <c r="E835" t="s">
        <v>197</v>
      </c>
      <c r="F835" t="s">
        <v>197</v>
      </c>
      <c r="G835" t="s">
        <v>197</v>
      </c>
      <c r="H835" t="s">
        <v>197</v>
      </c>
      <c r="I835" t="s">
        <v>197</v>
      </c>
      <c r="J835" t="s">
        <v>197</v>
      </c>
      <c r="K835" t="s">
        <v>623</v>
      </c>
    </row>
    <row r="836" spans="1:24">
      <c r="B836" t="s">
        <v>197</v>
      </c>
      <c r="C836" t="s">
        <v>197</v>
      </c>
      <c r="D836" t="s">
        <v>197</v>
      </c>
      <c r="E836" t="s">
        <v>197</v>
      </c>
      <c r="F836" t="s">
        <v>197</v>
      </c>
      <c r="G836" t="s">
        <v>197</v>
      </c>
      <c r="H836" t="s">
        <v>197</v>
      </c>
      <c r="I836" t="s">
        <v>197</v>
      </c>
      <c r="J836" t="s">
        <v>197</v>
      </c>
      <c r="K836" t="s">
        <v>832</v>
      </c>
    </row>
    <row r="837" spans="1:24">
      <c r="A837" t="s">
        <v>938</v>
      </c>
      <c r="K837" t="s">
        <v>939</v>
      </c>
      <c r="W837" t="s">
        <v>171</v>
      </c>
      <c r="X837" t="str">
        <f>A837</f>
        <v>info_varcharmax_dml_batch1_pk_drp1</v>
      </c>
    </row>
    <row r="838" spans="1:24">
      <c r="B838" t="s">
        <v>196</v>
      </c>
      <c r="C838" t="s">
        <v>197</v>
      </c>
      <c r="D838" t="s">
        <v>197</v>
      </c>
      <c r="E838" t="s">
        <v>197</v>
      </c>
      <c r="F838" t="s">
        <v>197</v>
      </c>
      <c r="G838" t="s">
        <v>197</v>
      </c>
      <c r="H838" t="s">
        <v>197</v>
      </c>
      <c r="I838" t="s">
        <v>940</v>
      </c>
      <c r="J838" t="s">
        <v>199</v>
      </c>
      <c r="K838" t="s">
        <v>200</v>
      </c>
    </row>
    <row r="839" spans="1:24">
      <c r="B839" t="s">
        <v>197</v>
      </c>
      <c r="C839" t="s">
        <v>197</v>
      </c>
      <c r="D839" t="s">
        <v>197</v>
      </c>
      <c r="E839" t="s">
        <v>197</v>
      </c>
      <c r="F839" t="s">
        <v>197</v>
      </c>
      <c r="G839" t="s">
        <v>197</v>
      </c>
      <c r="H839" t="s">
        <v>197</v>
      </c>
      <c r="I839" t="s">
        <v>197</v>
      </c>
      <c r="J839" t="s">
        <v>197</v>
      </c>
      <c r="K839" t="s">
        <v>725</v>
      </c>
    </row>
    <row r="840" spans="1:24">
      <c r="B840" t="s">
        <v>197</v>
      </c>
      <c r="C840" t="s">
        <v>197</v>
      </c>
      <c r="D840" t="s">
        <v>197</v>
      </c>
      <c r="E840" t="s">
        <v>197</v>
      </c>
      <c r="F840" t="s">
        <v>197</v>
      </c>
      <c r="G840" t="s">
        <v>197</v>
      </c>
      <c r="H840" t="s">
        <v>197</v>
      </c>
      <c r="I840" t="s">
        <v>197</v>
      </c>
      <c r="J840" t="s">
        <v>197</v>
      </c>
      <c r="K840" t="s">
        <v>726</v>
      </c>
    </row>
    <row r="841" spans="1:24">
      <c r="K841" t="s">
        <v>443</v>
      </c>
    </row>
    <row r="842" spans="1:24">
      <c r="A842" t="s">
        <v>941</v>
      </c>
      <c r="K842" t="s">
        <v>942</v>
      </c>
      <c r="W842" t="s">
        <v>171</v>
      </c>
      <c r="X842" t="str">
        <f>A842</f>
        <v>info_timestamp_dml_single_pk_irp</v>
      </c>
    </row>
    <row r="843" spans="1:24">
      <c r="B843" t="s">
        <v>196</v>
      </c>
      <c r="C843" t="s">
        <v>197</v>
      </c>
      <c r="D843" t="s">
        <v>197</v>
      </c>
      <c r="E843" t="s">
        <v>197</v>
      </c>
      <c r="F843" t="s">
        <v>197</v>
      </c>
      <c r="G843" t="s">
        <v>197</v>
      </c>
      <c r="H843" t="s">
        <v>197</v>
      </c>
      <c r="I843" t="s">
        <v>943</v>
      </c>
      <c r="J843" t="s">
        <v>199</v>
      </c>
      <c r="K843" t="s">
        <v>200</v>
      </c>
    </row>
    <row r="844" spans="1:24">
      <c r="B844" t="s">
        <v>197</v>
      </c>
      <c r="C844" t="s">
        <v>197</v>
      </c>
      <c r="D844" t="s">
        <v>197</v>
      </c>
      <c r="E844" t="s">
        <v>197</v>
      </c>
      <c r="F844" t="s">
        <v>197</v>
      </c>
      <c r="G844" t="s">
        <v>197</v>
      </c>
      <c r="H844" t="s">
        <v>197</v>
      </c>
      <c r="I844" t="s">
        <v>197</v>
      </c>
      <c r="J844" t="s">
        <v>197</v>
      </c>
      <c r="K844" t="s">
        <v>944</v>
      </c>
    </row>
    <row r="845" spans="1:24">
      <c r="A845" t="s">
        <v>951</v>
      </c>
      <c r="K845" t="s">
        <v>952</v>
      </c>
      <c r="W845" t="s">
        <v>171</v>
      </c>
      <c r="X845" t="str">
        <f>A845</f>
        <v>info_varcharmax_dml_batch1_pk_drp2</v>
      </c>
    </row>
    <row r="846" spans="1:24">
      <c r="B846" t="s">
        <v>196</v>
      </c>
      <c r="C846" t="s">
        <v>197</v>
      </c>
      <c r="D846" t="s">
        <v>197</v>
      </c>
      <c r="E846" t="s">
        <v>197</v>
      </c>
      <c r="F846" t="s">
        <v>197</v>
      </c>
      <c r="G846" t="s">
        <v>197</v>
      </c>
      <c r="H846" t="s">
        <v>197</v>
      </c>
      <c r="I846" t="s">
        <v>953</v>
      </c>
      <c r="J846" t="s">
        <v>199</v>
      </c>
      <c r="K846" t="s">
        <v>200</v>
      </c>
    </row>
    <row r="847" spans="1:24">
      <c r="B847" t="s">
        <v>197</v>
      </c>
      <c r="C847" t="s">
        <v>197</v>
      </c>
      <c r="D847" t="s">
        <v>197</v>
      </c>
      <c r="E847" t="s">
        <v>197</v>
      </c>
      <c r="F847" t="s">
        <v>197</v>
      </c>
      <c r="G847" t="s">
        <v>197</v>
      </c>
      <c r="H847" t="s">
        <v>197</v>
      </c>
      <c r="I847" t="s">
        <v>197</v>
      </c>
      <c r="J847" t="s">
        <v>197</v>
      </c>
      <c r="K847" t="s">
        <v>725</v>
      </c>
    </row>
    <row r="848" spans="1:24">
      <c r="B848" t="s">
        <v>197</v>
      </c>
      <c r="C848" t="s">
        <v>197</v>
      </c>
      <c r="D848" t="s">
        <v>197</v>
      </c>
      <c r="E848" t="s">
        <v>197</v>
      </c>
      <c r="F848" t="s">
        <v>197</v>
      </c>
      <c r="G848" t="s">
        <v>197</v>
      </c>
      <c r="H848" t="s">
        <v>197</v>
      </c>
      <c r="I848" t="s">
        <v>197</v>
      </c>
      <c r="J848" t="s">
        <v>197</v>
      </c>
      <c r="K848" t="s">
        <v>726</v>
      </c>
    </row>
    <row r="849" spans="1:24">
      <c r="K849" t="s">
        <v>443</v>
      </c>
    </row>
    <row r="850" spans="1:24">
      <c r="A850" t="s">
        <v>945</v>
      </c>
      <c r="K850" t="s">
        <v>946</v>
      </c>
      <c r="W850" t="s">
        <v>171</v>
      </c>
      <c r="X850" t="str">
        <f>A850</f>
        <v>info_char_dml_batch1_pk_urp2</v>
      </c>
    </row>
    <row r="851" spans="1:24">
      <c r="B851" t="s">
        <v>196</v>
      </c>
      <c r="C851" t="s">
        <v>197</v>
      </c>
      <c r="D851" t="s">
        <v>197</v>
      </c>
      <c r="E851" t="s">
        <v>197</v>
      </c>
      <c r="F851" t="s">
        <v>197</v>
      </c>
      <c r="G851" t="s">
        <v>197</v>
      </c>
      <c r="H851" t="s">
        <v>197</v>
      </c>
      <c r="I851" t="s">
        <v>947</v>
      </c>
      <c r="J851" t="s">
        <v>199</v>
      </c>
      <c r="K851" t="s">
        <v>200</v>
      </c>
    </row>
    <row r="852" spans="1:24">
      <c r="B852" t="s">
        <v>197</v>
      </c>
      <c r="C852" t="s">
        <v>197</v>
      </c>
      <c r="D852" t="s">
        <v>197</v>
      </c>
      <c r="E852" t="s">
        <v>197</v>
      </c>
      <c r="F852" t="s">
        <v>197</v>
      </c>
      <c r="G852" t="s">
        <v>197</v>
      </c>
      <c r="H852" t="s">
        <v>197</v>
      </c>
      <c r="I852" t="s">
        <v>197</v>
      </c>
      <c r="J852" t="s">
        <v>197</v>
      </c>
      <c r="K852" t="s">
        <v>622</v>
      </c>
    </row>
    <row r="853" spans="1:24">
      <c r="B853" t="s">
        <v>197</v>
      </c>
      <c r="C853" t="s">
        <v>197</v>
      </c>
      <c r="D853" t="s">
        <v>197</v>
      </c>
      <c r="E853" t="s">
        <v>197</v>
      </c>
      <c r="F853" t="s">
        <v>197</v>
      </c>
      <c r="G853" t="s">
        <v>197</v>
      </c>
      <c r="H853" t="s">
        <v>197</v>
      </c>
      <c r="I853" t="s">
        <v>197</v>
      </c>
      <c r="J853" t="s">
        <v>197</v>
      </c>
      <c r="K853" t="s">
        <v>623</v>
      </c>
    </row>
    <row r="854" spans="1:24">
      <c r="B854" t="s">
        <v>197</v>
      </c>
      <c r="C854" t="s">
        <v>197</v>
      </c>
      <c r="D854" t="s">
        <v>197</v>
      </c>
      <c r="E854" t="s">
        <v>197</v>
      </c>
      <c r="F854" t="s">
        <v>197</v>
      </c>
      <c r="G854" t="s">
        <v>197</v>
      </c>
      <c r="H854" t="s">
        <v>197</v>
      </c>
      <c r="I854" t="s">
        <v>197</v>
      </c>
      <c r="J854" t="s">
        <v>197</v>
      </c>
      <c r="K854" t="s">
        <v>832</v>
      </c>
    </row>
    <row r="855" spans="1:24">
      <c r="A855" t="s">
        <v>954</v>
      </c>
      <c r="K855" t="s">
        <v>955</v>
      </c>
      <c r="W855" t="s">
        <v>171</v>
      </c>
      <c r="X855" t="str">
        <f>A855</f>
        <v>info_char_dml_single_pk_drp</v>
      </c>
    </row>
    <row r="856" spans="1:24">
      <c r="B856" t="s">
        <v>196</v>
      </c>
      <c r="C856" t="s">
        <v>197</v>
      </c>
      <c r="D856" t="s">
        <v>197</v>
      </c>
      <c r="E856" t="s">
        <v>197</v>
      </c>
      <c r="F856" t="s">
        <v>197</v>
      </c>
      <c r="G856" t="s">
        <v>197</v>
      </c>
      <c r="H856" t="s">
        <v>197</v>
      </c>
      <c r="I856" t="s">
        <v>956</v>
      </c>
      <c r="J856" t="s">
        <v>199</v>
      </c>
      <c r="K856" t="s">
        <v>200</v>
      </c>
    </row>
    <row r="857" spans="1:24">
      <c r="B857" t="s">
        <v>197</v>
      </c>
      <c r="C857" t="s">
        <v>197</v>
      </c>
      <c r="D857" t="s">
        <v>197</v>
      </c>
      <c r="E857" t="s">
        <v>197</v>
      </c>
      <c r="F857" t="s">
        <v>197</v>
      </c>
      <c r="G857" t="s">
        <v>197</v>
      </c>
      <c r="H857" t="s">
        <v>197</v>
      </c>
      <c r="I857" t="s">
        <v>197</v>
      </c>
      <c r="J857" t="s">
        <v>197</v>
      </c>
      <c r="K857" t="s">
        <v>622</v>
      </c>
    </row>
    <row r="858" spans="1:24">
      <c r="B858" t="s">
        <v>197</v>
      </c>
      <c r="C858" t="s">
        <v>197</v>
      </c>
      <c r="D858" t="s">
        <v>197</v>
      </c>
      <c r="E858" t="s">
        <v>197</v>
      </c>
      <c r="F858" t="s">
        <v>197</v>
      </c>
      <c r="G858" t="s">
        <v>197</v>
      </c>
      <c r="H858" t="s">
        <v>197</v>
      </c>
      <c r="I858" t="s">
        <v>197</v>
      </c>
      <c r="J858" t="s">
        <v>197</v>
      </c>
      <c r="K858" t="s">
        <v>623</v>
      </c>
    </row>
    <row r="859" spans="1:24">
      <c r="B859" t="s">
        <v>197</v>
      </c>
      <c r="C859" t="s">
        <v>197</v>
      </c>
      <c r="D859" t="s">
        <v>197</v>
      </c>
      <c r="E859" t="s">
        <v>197</v>
      </c>
      <c r="F859" t="s">
        <v>197</v>
      </c>
      <c r="G859" t="s">
        <v>197</v>
      </c>
      <c r="H859" t="s">
        <v>197</v>
      </c>
      <c r="I859" t="s">
        <v>197</v>
      </c>
      <c r="J859" t="s">
        <v>197</v>
      </c>
      <c r="K859" t="s">
        <v>832</v>
      </c>
    </row>
    <row r="860" spans="1:24">
      <c r="A860" t="s">
        <v>948</v>
      </c>
      <c r="K860" t="s">
        <v>949</v>
      </c>
      <c r="W860" t="s">
        <v>171</v>
      </c>
      <c r="X860" t="str">
        <f>A860</f>
        <v>info_char_dml_single_pk_urp</v>
      </c>
    </row>
    <row r="861" spans="1:24">
      <c r="B861" t="s">
        <v>196</v>
      </c>
      <c r="C861" t="s">
        <v>197</v>
      </c>
      <c r="D861" t="s">
        <v>197</v>
      </c>
      <c r="E861" t="s">
        <v>197</v>
      </c>
      <c r="F861" t="s">
        <v>197</v>
      </c>
      <c r="G861" t="s">
        <v>197</v>
      </c>
      <c r="H861" t="s">
        <v>197</v>
      </c>
      <c r="I861" t="s">
        <v>950</v>
      </c>
      <c r="J861" t="s">
        <v>199</v>
      </c>
      <c r="K861" t="s">
        <v>200</v>
      </c>
    </row>
    <row r="862" spans="1:24">
      <c r="B862" t="s">
        <v>197</v>
      </c>
      <c r="C862" t="s">
        <v>197</v>
      </c>
      <c r="D862" t="s">
        <v>197</v>
      </c>
      <c r="E862" t="s">
        <v>197</v>
      </c>
      <c r="F862" t="s">
        <v>197</v>
      </c>
      <c r="G862" t="s">
        <v>197</v>
      </c>
      <c r="H862" t="s">
        <v>197</v>
      </c>
      <c r="I862" t="s">
        <v>197</v>
      </c>
      <c r="J862" t="s">
        <v>197</v>
      </c>
      <c r="K862" t="s">
        <v>622</v>
      </c>
    </row>
    <row r="863" spans="1:24">
      <c r="B863" t="s">
        <v>197</v>
      </c>
      <c r="C863" t="s">
        <v>197</v>
      </c>
      <c r="D863" t="s">
        <v>197</v>
      </c>
      <c r="E863" t="s">
        <v>197</v>
      </c>
      <c r="F863" t="s">
        <v>197</v>
      </c>
      <c r="G863" t="s">
        <v>197</v>
      </c>
      <c r="H863" t="s">
        <v>197</v>
      </c>
      <c r="I863" t="s">
        <v>197</v>
      </c>
      <c r="J863" t="s">
        <v>197</v>
      </c>
      <c r="K863" t="s">
        <v>623</v>
      </c>
    </row>
    <row r="864" spans="1:24">
      <c r="B864" t="s">
        <v>197</v>
      </c>
      <c r="C864" t="s">
        <v>197</v>
      </c>
      <c r="D864" t="s">
        <v>197</v>
      </c>
      <c r="E864" t="s">
        <v>197</v>
      </c>
      <c r="F864" t="s">
        <v>197</v>
      </c>
      <c r="G864" t="s">
        <v>197</v>
      </c>
      <c r="H864" t="s">
        <v>197</v>
      </c>
      <c r="I864" t="s">
        <v>197</v>
      </c>
      <c r="J864" t="s">
        <v>197</v>
      </c>
      <c r="K864" t="s">
        <v>832</v>
      </c>
    </row>
    <row r="865" spans="1:24">
      <c r="A865" t="s">
        <v>957</v>
      </c>
      <c r="K865" t="s">
        <v>958</v>
      </c>
      <c r="W865" t="s">
        <v>171</v>
      </c>
      <c r="X865" t="str">
        <f>A865</f>
        <v>info_date_dml_batch1_pk_drp1</v>
      </c>
    </row>
    <row r="866" spans="1:24">
      <c r="B866" t="s">
        <v>196</v>
      </c>
      <c r="C866" t="s">
        <v>197</v>
      </c>
      <c r="D866" t="s">
        <v>197</v>
      </c>
      <c r="E866" t="s">
        <v>197</v>
      </c>
      <c r="F866" t="s">
        <v>197</v>
      </c>
      <c r="G866" t="s">
        <v>197</v>
      </c>
      <c r="H866" t="s">
        <v>197</v>
      </c>
      <c r="I866" t="s">
        <v>959</v>
      </c>
      <c r="J866" t="s">
        <v>199</v>
      </c>
      <c r="K866" t="s">
        <v>200</v>
      </c>
    </row>
    <row r="867" spans="1:24">
      <c r="B867" t="s">
        <v>197</v>
      </c>
      <c r="C867" t="s">
        <v>197</v>
      </c>
      <c r="D867" t="s">
        <v>197</v>
      </c>
      <c r="E867" t="s">
        <v>197</v>
      </c>
      <c r="F867" t="s">
        <v>197</v>
      </c>
      <c r="G867" t="s">
        <v>197</v>
      </c>
      <c r="H867" t="s">
        <v>197</v>
      </c>
      <c r="I867" t="s">
        <v>197</v>
      </c>
      <c r="J867" t="s">
        <v>197</v>
      </c>
      <c r="K867" t="s">
        <v>678</v>
      </c>
    </row>
    <row r="868" spans="1:24">
      <c r="K868" t="s">
        <v>443</v>
      </c>
    </row>
    <row r="869" spans="1:24">
      <c r="A869" t="s">
        <v>960</v>
      </c>
      <c r="K869" t="s">
        <v>961</v>
      </c>
      <c r="W869" t="s">
        <v>171</v>
      </c>
      <c r="X869" t="str">
        <f>A869</f>
        <v>info_varchar_dml_batch1_pk_irp1</v>
      </c>
    </row>
    <row r="870" spans="1:24">
      <c r="B870" t="s">
        <v>196</v>
      </c>
      <c r="C870" t="s">
        <v>197</v>
      </c>
      <c r="D870" t="s">
        <v>197</v>
      </c>
      <c r="E870" t="s">
        <v>197</v>
      </c>
      <c r="F870" t="s">
        <v>197</v>
      </c>
      <c r="G870" t="s">
        <v>197</v>
      </c>
      <c r="H870" t="s">
        <v>197</v>
      </c>
      <c r="I870" t="s">
        <v>962</v>
      </c>
      <c r="J870" t="s">
        <v>199</v>
      </c>
      <c r="K870" t="s">
        <v>200</v>
      </c>
    </row>
    <row r="871" spans="1:24">
      <c r="B871" t="s">
        <v>197</v>
      </c>
      <c r="C871" t="s">
        <v>197</v>
      </c>
      <c r="D871" t="s">
        <v>197</v>
      </c>
      <c r="E871" t="s">
        <v>197</v>
      </c>
      <c r="F871" t="s">
        <v>197</v>
      </c>
      <c r="G871" t="s">
        <v>197</v>
      </c>
      <c r="H871" t="s">
        <v>197</v>
      </c>
      <c r="I871" t="s">
        <v>197</v>
      </c>
      <c r="J871" t="s">
        <v>197</v>
      </c>
      <c r="K871" t="s">
        <v>431</v>
      </c>
    </row>
    <row r="872" spans="1:24">
      <c r="B872" t="s">
        <v>197</v>
      </c>
      <c r="C872" t="s">
        <v>197</v>
      </c>
      <c r="D872" t="s">
        <v>197</v>
      </c>
      <c r="E872" t="s">
        <v>197</v>
      </c>
      <c r="F872" t="s">
        <v>197</v>
      </c>
      <c r="G872" t="s">
        <v>197</v>
      </c>
      <c r="H872" t="s">
        <v>197</v>
      </c>
      <c r="I872" t="s">
        <v>197</v>
      </c>
      <c r="J872" t="s">
        <v>197</v>
      </c>
      <c r="K872" t="s">
        <v>434</v>
      </c>
    </row>
    <row r="873" spans="1:24">
      <c r="B873" t="s">
        <v>197</v>
      </c>
      <c r="C873" t="s">
        <v>197</v>
      </c>
      <c r="D873" t="s">
        <v>197</v>
      </c>
      <c r="E873" t="s">
        <v>197</v>
      </c>
      <c r="F873" t="s">
        <v>197</v>
      </c>
      <c r="G873" t="s">
        <v>197</v>
      </c>
      <c r="H873" t="s">
        <v>197</v>
      </c>
      <c r="I873" t="s">
        <v>197</v>
      </c>
      <c r="J873" t="s">
        <v>197</v>
      </c>
      <c r="K873" t="s">
        <v>963</v>
      </c>
    </row>
    <row r="874" spans="1:24">
      <c r="K874" t="s">
        <v>443</v>
      </c>
    </row>
    <row r="875" spans="1:24">
      <c r="A875" t="s">
        <v>964</v>
      </c>
      <c r="K875" t="s">
        <v>965</v>
      </c>
      <c r="W875" t="s">
        <v>171</v>
      </c>
      <c r="X875" t="str">
        <f>A875</f>
        <v>info_datetime_dml_single_pk_urp</v>
      </c>
    </row>
    <row r="876" spans="1:24">
      <c r="B876" t="s">
        <v>196</v>
      </c>
      <c r="C876" t="s">
        <v>197</v>
      </c>
      <c r="D876" t="s">
        <v>197</v>
      </c>
      <c r="E876" t="s">
        <v>197</v>
      </c>
      <c r="F876" t="s">
        <v>197</v>
      </c>
      <c r="G876" t="s">
        <v>197</v>
      </c>
      <c r="H876" t="s">
        <v>197</v>
      </c>
      <c r="I876" t="s">
        <v>966</v>
      </c>
      <c r="J876" t="s">
        <v>199</v>
      </c>
      <c r="K876" t="s">
        <v>200</v>
      </c>
    </row>
    <row r="877" spans="1:24">
      <c r="B877" t="s">
        <v>197</v>
      </c>
      <c r="C877" t="s">
        <v>197</v>
      </c>
      <c r="D877" t="s">
        <v>197</v>
      </c>
      <c r="E877" t="s">
        <v>197</v>
      </c>
      <c r="F877" t="s">
        <v>197</v>
      </c>
      <c r="G877" t="s">
        <v>197</v>
      </c>
      <c r="H877" t="s">
        <v>197</v>
      </c>
      <c r="I877" t="s">
        <v>197</v>
      </c>
      <c r="J877" t="s">
        <v>197</v>
      </c>
      <c r="K877" t="s">
        <v>574</v>
      </c>
    </row>
    <row r="878" spans="1:24">
      <c r="A878" t="s">
        <v>967</v>
      </c>
      <c r="K878" t="s">
        <v>968</v>
      </c>
      <c r="W878" t="s">
        <v>171</v>
      </c>
      <c r="X878" t="str">
        <f>A878</f>
        <v>info_nchar_dml_batch1_pk</v>
      </c>
    </row>
    <row r="879" spans="1:24">
      <c r="B879" t="s">
        <v>196</v>
      </c>
      <c r="C879" t="s">
        <v>197</v>
      </c>
      <c r="D879" t="s">
        <v>197</v>
      </c>
      <c r="E879" t="s">
        <v>197</v>
      </c>
      <c r="F879" t="s">
        <v>197</v>
      </c>
      <c r="G879" t="s">
        <v>197</v>
      </c>
      <c r="H879" t="s">
        <v>197</v>
      </c>
      <c r="I879" t="s">
        <v>969</v>
      </c>
      <c r="J879" t="s">
        <v>199</v>
      </c>
      <c r="K879" t="s">
        <v>200</v>
      </c>
    </row>
    <row r="880" spans="1:24">
      <c r="B880" t="s">
        <v>197</v>
      </c>
      <c r="C880" t="s">
        <v>197</v>
      </c>
      <c r="D880" t="s">
        <v>197</v>
      </c>
      <c r="E880" t="s">
        <v>197</v>
      </c>
      <c r="F880" t="s">
        <v>197</v>
      </c>
      <c r="G880" t="s">
        <v>197</v>
      </c>
      <c r="H880" t="s">
        <v>197</v>
      </c>
      <c r="I880" t="s">
        <v>197</v>
      </c>
      <c r="J880" t="s">
        <v>197</v>
      </c>
      <c r="K880" t="s">
        <v>514</v>
      </c>
    </row>
    <row r="881" spans="1:24">
      <c r="B881" t="s">
        <v>197</v>
      </c>
      <c r="C881" t="s">
        <v>197</v>
      </c>
      <c r="D881" t="s">
        <v>197</v>
      </c>
      <c r="E881" t="s">
        <v>197</v>
      </c>
      <c r="F881" t="s">
        <v>197</v>
      </c>
      <c r="G881" t="s">
        <v>197</v>
      </c>
      <c r="H881" t="s">
        <v>197</v>
      </c>
      <c r="I881" t="s">
        <v>197</v>
      </c>
      <c r="J881" t="s">
        <v>197</v>
      </c>
      <c r="K881" t="s">
        <v>516</v>
      </c>
    </row>
    <row r="882" spans="1:24">
      <c r="B882" t="s">
        <v>197</v>
      </c>
      <c r="C882" t="s">
        <v>197</v>
      </c>
      <c r="D882" t="s">
        <v>197</v>
      </c>
      <c r="E882" t="s">
        <v>197</v>
      </c>
      <c r="F882" t="s">
        <v>197</v>
      </c>
      <c r="G882" t="s">
        <v>197</v>
      </c>
      <c r="H882" t="s">
        <v>197</v>
      </c>
      <c r="I882" t="s">
        <v>197</v>
      </c>
      <c r="J882" t="s">
        <v>197</v>
      </c>
      <c r="K882" t="s">
        <v>612</v>
      </c>
    </row>
    <row r="883" spans="1:24">
      <c r="A883" t="s">
        <v>970</v>
      </c>
      <c r="K883" t="s">
        <v>971</v>
      </c>
      <c r="W883" t="s">
        <v>171</v>
      </c>
      <c r="X883" t="str">
        <f>A883</f>
        <v>info_varcharmax_dml_single_pk</v>
      </c>
    </row>
    <row r="884" spans="1:24">
      <c r="B884" t="s">
        <v>196</v>
      </c>
      <c r="C884" t="s">
        <v>197</v>
      </c>
      <c r="D884" t="s">
        <v>197</v>
      </c>
      <c r="E884" t="s">
        <v>197</v>
      </c>
      <c r="F884" t="s">
        <v>197</v>
      </c>
      <c r="G884" t="s">
        <v>197</v>
      </c>
      <c r="H884" t="s">
        <v>197</v>
      </c>
      <c r="I884" t="s">
        <v>972</v>
      </c>
      <c r="J884" t="s">
        <v>199</v>
      </c>
      <c r="K884" t="s">
        <v>200</v>
      </c>
    </row>
    <row r="885" spans="1:24">
      <c r="B885" t="s">
        <v>197</v>
      </c>
      <c r="C885" t="s">
        <v>197</v>
      </c>
      <c r="D885" t="s">
        <v>197</v>
      </c>
      <c r="E885" t="s">
        <v>197</v>
      </c>
      <c r="F885" t="s">
        <v>197</v>
      </c>
      <c r="G885" t="s">
        <v>197</v>
      </c>
      <c r="H885" t="s">
        <v>197</v>
      </c>
      <c r="I885" t="s">
        <v>197</v>
      </c>
      <c r="J885" t="s">
        <v>197</v>
      </c>
      <c r="K885" t="s">
        <v>725</v>
      </c>
    </row>
    <row r="886" spans="1:24">
      <c r="B886" t="s">
        <v>197</v>
      </c>
      <c r="C886" t="s">
        <v>197</v>
      </c>
      <c r="D886" t="s">
        <v>197</v>
      </c>
      <c r="E886" t="s">
        <v>197</v>
      </c>
      <c r="F886" t="s">
        <v>197</v>
      </c>
      <c r="G886" t="s">
        <v>197</v>
      </c>
      <c r="H886" t="s">
        <v>197</v>
      </c>
      <c r="I886" t="s">
        <v>197</v>
      </c>
      <c r="J886" t="s">
        <v>197</v>
      </c>
      <c r="K886" t="s">
        <v>726</v>
      </c>
    </row>
    <row r="887" spans="1:24">
      <c r="A887" t="s">
        <v>973</v>
      </c>
      <c r="K887" t="s">
        <v>974</v>
      </c>
      <c r="W887" t="s">
        <v>171</v>
      </c>
      <c r="X887" t="str">
        <f>A887</f>
        <v>info_date_dml_batch1_pk_drp2</v>
      </c>
    </row>
    <row r="888" spans="1:24">
      <c r="B888" t="s">
        <v>196</v>
      </c>
      <c r="C888" t="s">
        <v>197</v>
      </c>
      <c r="D888" t="s">
        <v>197</v>
      </c>
      <c r="E888" t="s">
        <v>197</v>
      </c>
      <c r="F888" t="s">
        <v>197</v>
      </c>
      <c r="G888" t="s">
        <v>197</v>
      </c>
      <c r="H888" t="s">
        <v>197</v>
      </c>
      <c r="I888" t="s">
        <v>975</v>
      </c>
      <c r="J888" t="s">
        <v>199</v>
      </c>
      <c r="K888" t="s">
        <v>200</v>
      </c>
    </row>
    <row r="889" spans="1:24">
      <c r="B889" t="s">
        <v>197</v>
      </c>
      <c r="C889" t="s">
        <v>197</v>
      </c>
      <c r="D889" t="s">
        <v>197</v>
      </c>
      <c r="E889" t="s">
        <v>197</v>
      </c>
      <c r="F889" t="s">
        <v>197</v>
      </c>
      <c r="G889" t="s">
        <v>197</v>
      </c>
      <c r="H889" t="s">
        <v>197</v>
      </c>
      <c r="I889" t="s">
        <v>197</v>
      </c>
      <c r="J889" t="s">
        <v>197</v>
      </c>
      <c r="K889" t="s">
        <v>678</v>
      </c>
    </row>
    <row r="890" spans="1:24">
      <c r="A890" t="s">
        <v>976</v>
      </c>
      <c r="K890" t="s">
        <v>977</v>
      </c>
      <c r="W890" t="s">
        <v>171</v>
      </c>
      <c r="X890" t="str">
        <f>A890</f>
        <v>info_datetime_dml_single_pk_drp</v>
      </c>
    </row>
    <row r="891" spans="1:24">
      <c r="B891" t="s">
        <v>196</v>
      </c>
      <c r="C891" t="s">
        <v>197</v>
      </c>
      <c r="D891" t="s">
        <v>197</v>
      </c>
      <c r="E891" t="s">
        <v>197</v>
      </c>
      <c r="F891" t="s">
        <v>197</v>
      </c>
      <c r="G891" t="s">
        <v>197</v>
      </c>
      <c r="H891" t="s">
        <v>197</v>
      </c>
      <c r="I891" t="s">
        <v>978</v>
      </c>
      <c r="J891" t="s">
        <v>199</v>
      </c>
      <c r="K891" t="s">
        <v>200</v>
      </c>
    </row>
    <row r="892" spans="1:24">
      <c r="B892" t="s">
        <v>197</v>
      </c>
      <c r="C892" t="s">
        <v>197</v>
      </c>
      <c r="D892" t="s">
        <v>197</v>
      </c>
      <c r="E892" t="s">
        <v>197</v>
      </c>
      <c r="F892" t="s">
        <v>197</v>
      </c>
      <c r="G892" t="s">
        <v>197</v>
      </c>
      <c r="H892" t="s">
        <v>197</v>
      </c>
      <c r="I892" t="s">
        <v>197</v>
      </c>
      <c r="J892" t="s">
        <v>197</v>
      </c>
      <c r="K892" t="s">
        <v>574</v>
      </c>
    </row>
    <row r="893" spans="1:24">
      <c r="A893" t="s">
        <v>979</v>
      </c>
      <c r="K893" t="s">
        <v>980</v>
      </c>
      <c r="W893" t="s">
        <v>171</v>
      </c>
      <c r="X893" t="str">
        <f>A893</f>
        <v>info_date_dml_batch1_pk</v>
      </c>
    </row>
    <row r="894" spans="1:24">
      <c r="B894" t="s">
        <v>196</v>
      </c>
      <c r="C894" t="s">
        <v>197</v>
      </c>
      <c r="D894" t="s">
        <v>197</v>
      </c>
      <c r="E894" t="s">
        <v>197</v>
      </c>
      <c r="F894" t="s">
        <v>197</v>
      </c>
      <c r="G894" t="s">
        <v>197</v>
      </c>
      <c r="H894" t="s">
        <v>197</v>
      </c>
      <c r="I894" t="s">
        <v>981</v>
      </c>
      <c r="J894" t="s">
        <v>199</v>
      </c>
      <c r="K894" t="s">
        <v>200</v>
      </c>
    </row>
    <row r="895" spans="1:24">
      <c r="B895" t="s">
        <v>197</v>
      </c>
      <c r="C895" t="s">
        <v>197</v>
      </c>
      <c r="D895" t="s">
        <v>197</v>
      </c>
      <c r="E895" t="s">
        <v>197</v>
      </c>
      <c r="F895" t="s">
        <v>197</v>
      </c>
      <c r="G895" t="s">
        <v>197</v>
      </c>
      <c r="H895" t="s">
        <v>197</v>
      </c>
      <c r="I895" t="s">
        <v>197</v>
      </c>
      <c r="J895" t="s">
        <v>197</v>
      </c>
      <c r="K895" t="s">
        <v>678</v>
      </c>
    </row>
    <row r="896" spans="1:24">
      <c r="A896" t="s">
        <v>985</v>
      </c>
      <c r="K896" t="s">
        <v>986</v>
      </c>
      <c r="W896" t="s">
        <v>171</v>
      </c>
      <c r="X896" t="str">
        <f>A896</f>
        <v>info_timestamp_dml_single_pk_drp</v>
      </c>
    </row>
    <row r="897" spans="1:24">
      <c r="B897" t="s">
        <v>196</v>
      </c>
      <c r="C897" t="s">
        <v>197</v>
      </c>
      <c r="D897" t="s">
        <v>197</v>
      </c>
      <c r="E897" t="s">
        <v>197</v>
      </c>
      <c r="F897" t="s">
        <v>197</v>
      </c>
      <c r="G897" t="s">
        <v>197</v>
      </c>
      <c r="H897" t="s">
        <v>197</v>
      </c>
      <c r="I897" t="s">
        <v>987</v>
      </c>
      <c r="J897" t="s">
        <v>199</v>
      </c>
      <c r="K897" t="s">
        <v>200</v>
      </c>
    </row>
    <row r="898" spans="1:24">
      <c r="B898" t="s">
        <v>197</v>
      </c>
      <c r="C898" t="s">
        <v>197</v>
      </c>
      <c r="D898" t="s">
        <v>197</v>
      </c>
      <c r="E898" t="s">
        <v>197</v>
      </c>
      <c r="F898" t="s">
        <v>197</v>
      </c>
      <c r="G898" t="s">
        <v>197</v>
      </c>
      <c r="H898" t="s">
        <v>197</v>
      </c>
      <c r="I898" t="s">
        <v>197</v>
      </c>
      <c r="J898" t="s">
        <v>197</v>
      </c>
      <c r="K898" t="s">
        <v>944</v>
      </c>
    </row>
    <row r="899" spans="1:24">
      <c r="A899" t="s">
        <v>982</v>
      </c>
      <c r="K899" t="s">
        <v>983</v>
      </c>
      <c r="W899" t="s">
        <v>171</v>
      </c>
      <c r="X899" t="str">
        <f>A899</f>
        <v>info_nvarchar_dml_batch1_pk_irp1</v>
      </c>
    </row>
    <row r="900" spans="1:24">
      <c r="B900" t="s">
        <v>196</v>
      </c>
      <c r="C900" t="s">
        <v>197</v>
      </c>
      <c r="D900" t="s">
        <v>197</v>
      </c>
      <c r="E900" t="s">
        <v>197</v>
      </c>
      <c r="F900" t="s">
        <v>197</v>
      </c>
      <c r="G900" t="s">
        <v>197</v>
      </c>
      <c r="H900" t="s">
        <v>197</v>
      </c>
      <c r="I900" t="s">
        <v>984</v>
      </c>
      <c r="J900" t="s">
        <v>199</v>
      </c>
      <c r="K900" t="s">
        <v>200</v>
      </c>
    </row>
    <row r="901" spans="1:24">
      <c r="B901" t="s">
        <v>197</v>
      </c>
      <c r="C901" t="s">
        <v>197</v>
      </c>
      <c r="D901" t="s">
        <v>197</v>
      </c>
      <c r="E901" t="s">
        <v>197</v>
      </c>
      <c r="F901" t="s">
        <v>197</v>
      </c>
      <c r="G901" t="s">
        <v>197</v>
      </c>
      <c r="H901" t="s">
        <v>197</v>
      </c>
      <c r="I901" t="s">
        <v>197</v>
      </c>
      <c r="J901" t="s">
        <v>197</v>
      </c>
      <c r="K901" t="s">
        <v>408</v>
      </c>
    </row>
    <row r="902" spans="1:24">
      <c r="B902" t="s">
        <v>197</v>
      </c>
      <c r="C902" t="s">
        <v>197</v>
      </c>
      <c r="D902" t="s">
        <v>197</v>
      </c>
      <c r="E902" t="s">
        <v>197</v>
      </c>
      <c r="F902" t="s">
        <v>197</v>
      </c>
      <c r="G902" t="s">
        <v>197</v>
      </c>
      <c r="H902" t="s">
        <v>197</v>
      </c>
      <c r="I902" t="s">
        <v>197</v>
      </c>
      <c r="J902" t="s">
        <v>197</v>
      </c>
      <c r="K902" t="s">
        <v>412</v>
      </c>
    </row>
    <row r="903" spans="1:24">
      <c r="B903" t="s">
        <v>197</v>
      </c>
      <c r="C903" t="s">
        <v>197</v>
      </c>
      <c r="D903" t="s">
        <v>197</v>
      </c>
      <c r="E903" t="s">
        <v>197</v>
      </c>
      <c r="F903" t="s">
        <v>197</v>
      </c>
      <c r="G903" t="s">
        <v>197</v>
      </c>
      <c r="H903" t="s">
        <v>197</v>
      </c>
      <c r="I903" t="s">
        <v>197</v>
      </c>
      <c r="J903" t="s">
        <v>197</v>
      </c>
      <c r="K903" t="s">
        <v>730</v>
      </c>
    </row>
    <row r="904" spans="1:24">
      <c r="A904" t="s">
        <v>988</v>
      </c>
      <c r="K904" t="s">
        <v>989</v>
      </c>
      <c r="W904" t="s">
        <v>171</v>
      </c>
      <c r="X904" t="str">
        <f>A904</f>
        <v>info_time_dml_batch1_pk_irp1</v>
      </c>
    </row>
    <row r="905" spans="1:24">
      <c r="B905" t="s">
        <v>196</v>
      </c>
      <c r="C905" t="s">
        <v>197</v>
      </c>
      <c r="D905" t="s">
        <v>197</v>
      </c>
      <c r="E905" t="s">
        <v>197</v>
      </c>
      <c r="F905" t="s">
        <v>197</v>
      </c>
      <c r="G905" t="s">
        <v>197</v>
      </c>
      <c r="H905" t="s">
        <v>197</v>
      </c>
      <c r="I905" t="s">
        <v>990</v>
      </c>
      <c r="J905" t="s">
        <v>199</v>
      </c>
      <c r="K905" t="s">
        <v>200</v>
      </c>
    </row>
    <row r="906" spans="1:24">
      <c r="B906" t="s">
        <v>197</v>
      </c>
      <c r="C906" t="s">
        <v>197</v>
      </c>
      <c r="D906" t="s">
        <v>197</v>
      </c>
      <c r="E906" t="s">
        <v>197</v>
      </c>
      <c r="F906" t="s">
        <v>197</v>
      </c>
      <c r="G906" t="s">
        <v>197</v>
      </c>
      <c r="H906" t="s">
        <v>197</v>
      </c>
      <c r="I906" t="s">
        <v>197</v>
      </c>
      <c r="J906" t="s">
        <v>197</v>
      </c>
      <c r="K906" t="s">
        <v>800</v>
      </c>
    </row>
    <row r="907" spans="1:24">
      <c r="B907" t="s">
        <v>197</v>
      </c>
      <c r="C907" t="s">
        <v>197</v>
      </c>
      <c r="D907" t="s">
        <v>197</v>
      </c>
      <c r="E907" t="s">
        <v>197</v>
      </c>
      <c r="F907" t="s">
        <v>197</v>
      </c>
      <c r="G907" t="s">
        <v>197</v>
      </c>
      <c r="H907" t="s">
        <v>197</v>
      </c>
      <c r="I907" t="s">
        <v>197</v>
      </c>
      <c r="J907" t="s">
        <v>197</v>
      </c>
      <c r="K907" t="s">
        <v>801</v>
      </c>
    </row>
    <row r="908" spans="1:24">
      <c r="B908" t="s">
        <v>197</v>
      </c>
      <c r="C908" t="s">
        <v>197</v>
      </c>
      <c r="D908" t="s">
        <v>197</v>
      </c>
      <c r="E908" t="s">
        <v>197</v>
      </c>
      <c r="F908" t="s">
        <v>197</v>
      </c>
      <c r="G908" t="s">
        <v>197</v>
      </c>
      <c r="H908" t="s">
        <v>197</v>
      </c>
      <c r="I908" t="s">
        <v>197</v>
      </c>
      <c r="J908" t="s">
        <v>197</v>
      </c>
      <c r="K908" t="s">
        <v>802</v>
      </c>
    </row>
    <row r="909" spans="1:24">
      <c r="B909" t="s">
        <v>197</v>
      </c>
      <c r="C909" t="s">
        <v>197</v>
      </c>
      <c r="D909" t="s">
        <v>197</v>
      </c>
      <c r="E909" t="s">
        <v>197</v>
      </c>
      <c r="F909" t="s">
        <v>197</v>
      </c>
      <c r="G909" t="s">
        <v>197</v>
      </c>
      <c r="H909" t="s">
        <v>197</v>
      </c>
      <c r="I909" t="s">
        <v>197</v>
      </c>
      <c r="J909" t="s">
        <v>197</v>
      </c>
      <c r="K909" t="s">
        <v>803</v>
      </c>
    </row>
    <row r="910" spans="1:24">
      <c r="B910" t="s">
        <v>197</v>
      </c>
      <c r="C910" t="s">
        <v>197</v>
      </c>
      <c r="D910" t="s">
        <v>197</v>
      </c>
      <c r="E910" t="s">
        <v>197</v>
      </c>
      <c r="F910" t="s">
        <v>197</v>
      </c>
      <c r="G910" t="s">
        <v>197</v>
      </c>
      <c r="H910" t="s">
        <v>197</v>
      </c>
      <c r="I910" t="s">
        <v>197</v>
      </c>
      <c r="J910" t="s">
        <v>197</v>
      </c>
      <c r="K910" t="s">
        <v>804</v>
      </c>
    </row>
    <row r="911" spans="1:24">
      <c r="B911" t="s">
        <v>197</v>
      </c>
      <c r="C911" t="s">
        <v>197</v>
      </c>
      <c r="D911" t="s">
        <v>197</v>
      </c>
      <c r="E911" t="s">
        <v>197</v>
      </c>
      <c r="F911" t="s">
        <v>197</v>
      </c>
      <c r="G911" t="s">
        <v>197</v>
      </c>
      <c r="H911" t="s">
        <v>197</v>
      </c>
      <c r="I911" t="s">
        <v>197</v>
      </c>
      <c r="J911" t="s">
        <v>197</v>
      </c>
      <c r="K911" t="s">
        <v>805</v>
      </c>
    </row>
    <row r="912" spans="1:24">
      <c r="B912" t="s">
        <v>197</v>
      </c>
      <c r="C912" t="s">
        <v>197</v>
      </c>
      <c r="D912" t="s">
        <v>197</v>
      </c>
      <c r="E912" t="s">
        <v>197</v>
      </c>
      <c r="F912" t="s">
        <v>197</v>
      </c>
      <c r="G912" t="s">
        <v>197</v>
      </c>
      <c r="H912" t="s">
        <v>197</v>
      </c>
      <c r="I912" t="s">
        <v>197</v>
      </c>
      <c r="J912" t="s">
        <v>197</v>
      </c>
      <c r="K912" t="s">
        <v>806</v>
      </c>
    </row>
    <row r="913" spans="1:24">
      <c r="B913" t="s">
        <v>197</v>
      </c>
      <c r="C913" t="s">
        <v>197</v>
      </c>
      <c r="D913" t="s">
        <v>197</v>
      </c>
      <c r="E913" t="s">
        <v>197</v>
      </c>
      <c r="F913" t="s">
        <v>197</v>
      </c>
      <c r="G913" t="s">
        <v>197</v>
      </c>
      <c r="H913" t="s">
        <v>197</v>
      </c>
      <c r="I913" t="s">
        <v>197</v>
      </c>
      <c r="J913" t="s">
        <v>197</v>
      </c>
      <c r="K913" t="s">
        <v>807</v>
      </c>
    </row>
    <row r="914" spans="1:24">
      <c r="A914" t="s">
        <v>991</v>
      </c>
      <c r="K914" t="s">
        <v>992</v>
      </c>
      <c r="W914" t="s">
        <v>171</v>
      </c>
      <c r="X914" t="str">
        <f>A914</f>
        <v>info_binary_dml_batch1_pk</v>
      </c>
    </row>
    <row r="915" spans="1:24">
      <c r="B915" t="s">
        <v>196</v>
      </c>
      <c r="C915" t="s">
        <v>197</v>
      </c>
      <c r="D915" t="s">
        <v>197</v>
      </c>
      <c r="E915" t="s">
        <v>197</v>
      </c>
      <c r="F915" t="s">
        <v>197</v>
      </c>
      <c r="G915" t="s">
        <v>197</v>
      </c>
      <c r="H915" t="s">
        <v>197</v>
      </c>
      <c r="I915" t="s">
        <v>993</v>
      </c>
      <c r="J915" t="s">
        <v>199</v>
      </c>
      <c r="K915" t="s">
        <v>200</v>
      </c>
    </row>
    <row r="916" spans="1:24">
      <c r="B916" t="s">
        <v>197</v>
      </c>
      <c r="C916" t="s">
        <v>197</v>
      </c>
      <c r="D916" t="s">
        <v>197</v>
      </c>
      <c r="E916" t="s">
        <v>197</v>
      </c>
      <c r="F916" t="s">
        <v>197</v>
      </c>
      <c r="G916" t="s">
        <v>197</v>
      </c>
      <c r="H916" t="s">
        <v>197</v>
      </c>
      <c r="I916" t="s">
        <v>197</v>
      </c>
      <c r="J916" t="s">
        <v>197</v>
      </c>
      <c r="K916" t="s">
        <v>691</v>
      </c>
    </row>
    <row r="917" spans="1:24">
      <c r="B917" t="s">
        <v>197</v>
      </c>
      <c r="C917" t="s">
        <v>197</v>
      </c>
      <c r="D917" t="s">
        <v>197</v>
      </c>
      <c r="E917" t="s">
        <v>197</v>
      </c>
      <c r="F917" t="s">
        <v>197</v>
      </c>
      <c r="G917" t="s">
        <v>197</v>
      </c>
      <c r="H917" t="s">
        <v>197</v>
      </c>
      <c r="I917" t="s">
        <v>197</v>
      </c>
      <c r="J917" t="s">
        <v>197</v>
      </c>
      <c r="K917" t="s">
        <v>692</v>
      </c>
    </row>
    <row r="918" spans="1:24">
      <c r="B918" t="s">
        <v>197</v>
      </c>
      <c r="C918" t="s">
        <v>197</v>
      </c>
      <c r="D918" t="s">
        <v>197</v>
      </c>
      <c r="E918" t="s">
        <v>197</v>
      </c>
      <c r="F918" t="s">
        <v>197</v>
      </c>
      <c r="G918" t="s">
        <v>197</v>
      </c>
      <c r="H918" t="s">
        <v>197</v>
      </c>
      <c r="I918" t="s">
        <v>197</v>
      </c>
      <c r="J918" t="s">
        <v>197</v>
      </c>
      <c r="K918" t="s">
        <v>693</v>
      </c>
    </row>
    <row r="919" spans="1:24">
      <c r="A919" t="s">
        <v>994</v>
      </c>
      <c r="K919" t="s">
        <v>995</v>
      </c>
      <c r="W919" t="s">
        <v>171</v>
      </c>
      <c r="X919" t="str">
        <f>A919</f>
        <v>info_varchar_dml_batch1_pk_irp2</v>
      </c>
    </row>
    <row r="920" spans="1:24">
      <c r="B920" t="s">
        <v>196</v>
      </c>
      <c r="C920" t="s">
        <v>197</v>
      </c>
      <c r="D920" t="s">
        <v>197</v>
      </c>
      <c r="E920" t="s">
        <v>197</v>
      </c>
      <c r="F920" t="s">
        <v>197</v>
      </c>
      <c r="G920" t="s">
        <v>197</v>
      </c>
      <c r="H920" t="s">
        <v>197</v>
      </c>
      <c r="I920" t="s">
        <v>996</v>
      </c>
      <c r="J920" t="s">
        <v>199</v>
      </c>
      <c r="K920" t="s">
        <v>200</v>
      </c>
    </row>
    <row r="921" spans="1:24">
      <c r="B921" t="s">
        <v>197</v>
      </c>
      <c r="C921" t="s">
        <v>197</v>
      </c>
      <c r="D921" t="s">
        <v>197</v>
      </c>
      <c r="E921" t="s">
        <v>197</v>
      </c>
      <c r="F921" t="s">
        <v>197</v>
      </c>
      <c r="G921" t="s">
        <v>197</v>
      </c>
      <c r="H921" t="s">
        <v>197</v>
      </c>
      <c r="I921" t="s">
        <v>197</v>
      </c>
      <c r="J921" t="s">
        <v>197</v>
      </c>
      <c r="K921" t="s">
        <v>431</v>
      </c>
    </row>
    <row r="922" spans="1:24">
      <c r="B922" t="s">
        <v>197</v>
      </c>
      <c r="C922" t="s">
        <v>197</v>
      </c>
      <c r="D922" t="s">
        <v>197</v>
      </c>
      <c r="E922" t="s">
        <v>197</v>
      </c>
      <c r="F922" t="s">
        <v>197</v>
      </c>
      <c r="G922" t="s">
        <v>197</v>
      </c>
      <c r="H922" t="s">
        <v>197</v>
      </c>
      <c r="I922" t="s">
        <v>197</v>
      </c>
      <c r="J922" t="s">
        <v>197</v>
      </c>
      <c r="K922" t="s">
        <v>434</v>
      </c>
    </row>
    <row r="923" spans="1:24">
      <c r="B923" t="s">
        <v>197</v>
      </c>
      <c r="C923" t="s">
        <v>197</v>
      </c>
      <c r="D923" t="s">
        <v>197</v>
      </c>
      <c r="E923" t="s">
        <v>197</v>
      </c>
      <c r="F923" t="s">
        <v>197</v>
      </c>
      <c r="G923" t="s">
        <v>197</v>
      </c>
      <c r="H923" t="s">
        <v>197</v>
      </c>
      <c r="I923" t="s">
        <v>197</v>
      </c>
      <c r="J923" t="s">
        <v>197</v>
      </c>
      <c r="K923" t="s">
        <v>963</v>
      </c>
    </row>
    <row r="924" spans="1:24">
      <c r="K924" t="s">
        <v>443</v>
      </c>
    </row>
    <row r="925" spans="1:24">
      <c r="A925" t="s">
        <v>997</v>
      </c>
      <c r="K925" t="s">
        <v>998</v>
      </c>
      <c r="W925" t="s">
        <v>171</v>
      </c>
      <c r="X925" t="str">
        <f>A925</f>
        <v>info_time_dml_batch1_pk_irp2</v>
      </c>
    </row>
    <row r="926" spans="1:24">
      <c r="B926" t="s">
        <v>196</v>
      </c>
      <c r="C926" t="s">
        <v>197</v>
      </c>
      <c r="D926" t="s">
        <v>197</v>
      </c>
      <c r="E926" t="s">
        <v>197</v>
      </c>
      <c r="F926" t="s">
        <v>197</v>
      </c>
      <c r="G926" t="s">
        <v>197</v>
      </c>
      <c r="H926" t="s">
        <v>197</v>
      </c>
      <c r="I926" t="s">
        <v>999</v>
      </c>
      <c r="J926" t="s">
        <v>199</v>
      </c>
      <c r="K926" t="s">
        <v>200</v>
      </c>
    </row>
    <row r="927" spans="1:24">
      <c r="B927" t="s">
        <v>197</v>
      </c>
      <c r="C927" t="s">
        <v>197</v>
      </c>
      <c r="D927" t="s">
        <v>197</v>
      </c>
      <c r="E927" t="s">
        <v>197</v>
      </c>
      <c r="F927" t="s">
        <v>197</v>
      </c>
      <c r="G927" t="s">
        <v>197</v>
      </c>
      <c r="H927" t="s">
        <v>197</v>
      </c>
      <c r="I927" t="s">
        <v>197</v>
      </c>
      <c r="J927" t="s">
        <v>197</v>
      </c>
      <c r="K927" t="s">
        <v>800</v>
      </c>
    </row>
    <row r="928" spans="1:24">
      <c r="B928" t="s">
        <v>197</v>
      </c>
      <c r="C928" t="s">
        <v>197</v>
      </c>
      <c r="D928" t="s">
        <v>197</v>
      </c>
      <c r="E928" t="s">
        <v>197</v>
      </c>
      <c r="F928" t="s">
        <v>197</v>
      </c>
      <c r="G928" t="s">
        <v>197</v>
      </c>
      <c r="H928" t="s">
        <v>197</v>
      </c>
      <c r="I928" t="s">
        <v>197</v>
      </c>
      <c r="J928" t="s">
        <v>197</v>
      </c>
      <c r="K928" t="s">
        <v>801</v>
      </c>
    </row>
    <row r="929" spans="1:24">
      <c r="B929" t="s">
        <v>197</v>
      </c>
      <c r="C929" t="s">
        <v>197</v>
      </c>
      <c r="D929" t="s">
        <v>197</v>
      </c>
      <c r="E929" t="s">
        <v>197</v>
      </c>
      <c r="F929" t="s">
        <v>197</v>
      </c>
      <c r="G929" t="s">
        <v>197</v>
      </c>
      <c r="H929" t="s">
        <v>197</v>
      </c>
      <c r="I929" t="s">
        <v>197</v>
      </c>
      <c r="J929" t="s">
        <v>197</v>
      </c>
      <c r="K929" t="s">
        <v>802</v>
      </c>
    </row>
    <row r="930" spans="1:24">
      <c r="B930" t="s">
        <v>197</v>
      </c>
      <c r="C930" t="s">
        <v>197</v>
      </c>
      <c r="D930" t="s">
        <v>197</v>
      </c>
      <c r="E930" t="s">
        <v>197</v>
      </c>
      <c r="F930" t="s">
        <v>197</v>
      </c>
      <c r="G930" t="s">
        <v>197</v>
      </c>
      <c r="H930" t="s">
        <v>197</v>
      </c>
      <c r="I930" t="s">
        <v>197</v>
      </c>
      <c r="J930" t="s">
        <v>197</v>
      </c>
      <c r="K930" t="s">
        <v>803</v>
      </c>
    </row>
    <row r="931" spans="1:24">
      <c r="B931" t="s">
        <v>197</v>
      </c>
      <c r="C931" t="s">
        <v>197</v>
      </c>
      <c r="D931" t="s">
        <v>197</v>
      </c>
      <c r="E931" t="s">
        <v>197</v>
      </c>
      <c r="F931" t="s">
        <v>197</v>
      </c>
      <c r="G931" t="s">
        <v>197</v>
      </c>
      <c r="H931" t="s">
        <v>197</v>
      </c>
      <c r="I931" t="s">
        <v>197</v>
      </c>
      <c r="J931" t="s">
        <v>197</v>
      </c>
      <c r="K931" t="s">
        <v>804</v>
      </c>
    </row>
    <row r="932" spans="1:24">
      <c r="B932" t="s">
        <v>197</v>
      </c>
      <c r="C932" t="s">
        <v>197</v>
      </c>
      <c r="D932" t="s">
        <v>197</v>
      </c>
      <c r="E932" t="s">
        <v>197</v>
      </c>
      <c r="F932" t="s">
        <v>197</v>
      </c>
      <c r="G932" t="s">
        <v>197</v>
      </c>
      <c r="H932" t="s">
        <v>197</v>
      </c>
      <c r="I932" t="s">
        <v>197</v>
      </c>
      <c r="J932" t="s">
        <v>197</v>
      </c>
      <c r="K932" t="s">
        <v>805</v>
      </c>
    </row>
    <row r="933" spans="1:24">
      <c r="B933" t="s">
        <v>197</v>
      </c>
      <c r="C933" t="s">
        <v>197</v>
      </c>
      <c r="D933" t="s">
        <v>197</v>
      </c>
      <c r="E933" t="s">
        <v>197</v>
      </c>
      <c r="F933" t="s">
        <v>197</v>
      </c>
      <c r="G933" t="s">
        <v>197</v>
      </c>
      <c r="H933" t="s">
        <v>197</v>
      </c>
      <c r="I933" t="s">
        <v>197</v>
      </c>
      <c r="J933" t="s">
        <v>197</v>
      </c>
      <c r="K933" t="s">
        <v>806</v>
      </c>
    </row>
    <row r="934" spans="1:24">
      <c r="B934" t="s">
        <v>197</v>
      </c>
      <c r="C934" t="s">
        <v>197</v>
      </c>
      <c r="D934" t="s">
        <v>197</v>
      </c>
      <c r="E934" t="s">
        <v>197</v>
      </c>
      <c r="F934" t="s">
        <v>197</v>
      </c>
      <c r="G934" t="s">
        <v>197</v>
      </c>
      <c r="H934" t="s">
        <v>197</v>
      </c>
      <c r="I934" t="s">
        <v>197</v>
      </c>
      <c r="J934" t="s">
        <v>197</v>
      </c>
      <c r="K934" t="s">
        <v>807</v>
      </c>
    </row>
    <row r="935" spans="1:24">
      <c r="A935" t="s">
        <v>1000</v>
      </c>
      <c r="K935" t="s">
        <v>1001</v>
      </c>
      <c r="W935" t="s">
        <v>171</v>
      </c>
      <c r="X935" t="str">
        <f>A935</f>
        <v>info_datetime_dml_single_pk</v>
      </c>
    </row>
    <row r="936" spans="1:24">
      <c r="B936" t="s">
        <v>196</v>
      </c>
      <c r="C936" t="s">
        <v>197</v>
      </c>
      <c r="D936" t="s">
        <v>197</v>
      </c>
      <c r="E936" t="s">
        <v>197</v>
      </c>
      <c r="F936" t="s">
        <v>197</v>
      </c>
      <c r="G936" t="s">
        <v>197</v>
      </c>
      <c r="H936" t="s">
        <v>197</v>
      </c>
      <c r="I936" t="s">
        <v>1002</v>
      </c>
      <c r="J936" t="s">
        <v>199</v>
      </c>
      <c r="K936" t="s">
        <v>200</v>
      </c>
    </row>
    <row r="937" spans="1:24">
      <c r="B937" t="s">
        <v>197</v>
      </c>
      <c r="C937" t="s">
        <v>197</v>
      </c>
      <c r="D937" t="s">
        <v>197</v>
      </c>
      <c r="E937" t="s">
        <v>197</v>
      </c>
      <c r="F937" t="s">
        <v>197</v>
      </c>
      <c r="G937" t="s">
        <v>197</v>
      </c>
      <c r="H937" t="s">
        <v>197</v>
      </c>
      <c r="I937" t="s">
        <v>197</v>
      </c>
      <c r="J937" t="s">
        <v>197</v>
      </c>
      <c r="K937" t="s">
        <v>574</v>
      </c>
    </row>
    <row r="938" spans="1:24">
      <c r="A938" t="s">
        <v>1003</v>
      </c>
      <c r="K938" t="s">
        <v>1004</v>
      </c>
      <c r="W938" s="1" t="str">
        <f>HYPERLINK("#2026042017hbase1!Z2","NO 源备存在差异，共2个")</f>
        <v>NO 源备存在差异，共2个</v>
      </c>
      <c r="X938" t="str">
        <f>A938</f>
        <v>info_sql_variant_dml_single_pk_irp</v>
      </c>
    </row>
    <row r="939" spans="1:24">
      <c r="B939" t="s">
        <v>196</v>
      </c>
      <c r="C939" t="s">
        <v>197</v>
      </c>
      <c r="D939" t="s">
        <v>197</v>
      </c>
      <c r="E939" t="s">
        <v>197</v>
      </c>
      <c r="F939" t="s">
        <v>197</v>
      </c>
      <c r="G939" t="s">
        <v>197</v>
      </c>
      <c r="H939" t="s">
        <v>197</v>
      </c>
      <c r="I939" t="s">
        <v>1005</v>
      </c>
      <c r="J939" t="s">
        <v>199</v>
      </c>
      <c r="K939" t="s">
        <v>200</v>
      </c>
    </row>
    <row r="940" spans="1:24">
      <c r="B940" t="s">
        <v>197</v>
      </c>
      <c r="C940" t="s">
        <v>197</v>
      </c>
      <c r="D940" t="s">
        <v>197</v>
      </c>
      <c r="E940" t="s">
        <v>197</v>
      </c>
      <c r="F940" t="s">
        <v>197</v>
      </c>
      <c r="G940" t="s">
        <v>197</v>
      </c>
      <c r="H940" t="s">
        <v>197</v>
      </c>
      <c r="I940" t="s">
        <v>197</v>
      </c>
      <c r="J940" t="s">
        <v>197</v>
      </c>
      <c r="K940" t="s">
        <v>1006</v>
      </c>
    </row>
    <row r="941" spans="1:24">
      <c r="B941" t="s">
        <v>197</v>
      </c>
      <c r="C941" t="s">
        <v>197</v>
      </c>
      <c r="D941" t="s">
        <v>197</v>
      </c>
      <c r="E941" t="s">
        <v>197</v>
      </c>
      <c r="F941" t="s">
        <v>197</v>
      </c>
      <c r="G941" t="s">
        <v>197</v>
      </c>
      <c r="H941" t="s">
        <v>197</v>
      </c>
      <c r="I941" t="s">
        <v>197</v>
      </c>
      <c r="J941" t="s">
        <v>197</v>
      </c>
      <c r="K941" t="s">
        <v>1007</v>
      </c>
    </row>
    <row r="942" spans="1:24">
      <c r="B942" t="s">
        <v>197</v>
      </c>
      <c r="C942" t="s">
        <v>197</v>
      </c>
      <c r="D942" t="s">
        <v>197</v>
      </c>
      <c r="E942" t="s">
        <v>197</v>
      </c>
      <c r="F942" t="s">
        <v>197</v>
      </c>
      <c r="G942" t="s">
        <v>197</v>
      </c>
      <c r="H942" t="s">
        <v>197</v>
      </c>
      <c r="I942" t="s">
        <v>197</v>
      </c>
      <c r="J942" t="s">
        <v>197</v>
      </c>
      <c r="K942" t="s">
        <v>1008</v>
      </c>
    </row>
    <row r="943" spans="1:24">
      <c r="B943" t="s">
        <v>197</v>
      </c>
      <c r="C943" t="s">
        <v>197</v>
      </c>
      <c r="D943" t="s">
        <v>197</v>
      </c>
      <c r="E943" t="s">
        <v>197</v>
      </c>
      <c r="F943" t="s">
        <v>197</v>
      </c>
      <c r="G943" t="s">
        <v>197</v>
      </c>
      <c r="H943" t="s">
        <v>197</v>
      </c>
      <c r="I943" t="s">
        <v>197</v>
      </c>
      <c r="J943" t="s">
        <v>197</v>
      </c>
      <c r="K943" t="s">
        <v>1009</v>
      </c>
    </row>
    <row r="944" spans="1:24">
      <c r="B944" t="s">
        <v>197</v>
      </c>
      <c r="C944" t="s">
        <v>197</v>
      </c>
      <c r="D944" t="s">
        <v>197</v>
      </c>
      <c r="E944" t="s">
        <v>197</v>
      </c>
      <c r="F944" t="s">
        <v>197</v>
      </c>
      <c r="G944" t="s">
        <v>197</v>
      </c>
      <c r="H944" t="s">
        <v>197</v>
      </c>
      <c r="I944" t="s">
        <v>197</v>
      </c>
      <c r="J944" t="s">
        <v>197</v>
      </c>
      <c r="K944" t="s">
        <v>1010</v>
      </c>
    </row>
    <row r="945" spans="2:11">
      <c r="B945" t="s">
        <v>197</v>
      </c>
      <c r="C945" t="s">
        <v>197</v>
      </c>
      <c r="D945" t="s">
        <v>197</v>
      </c>
      <c r="E945" t="s">
        <v>197</v>
      </c>
      <c r="F945" t="s">
        <v>197</v>
      </c>
      <c r="G945" t="s">
        <v>197</v>
      </c>
      <c r="H945" t="s">
        <v>197</v>
      </c>
      <c r="I945" t="s">
        <v>197</v>
      </c>
      <c r="J945" t="s">
        <v>197</v>
      </c>
      <c r="K945" t="s">
        <v>1011</v>
      </c>
    </row>
    <row r="946" spans="2:11">
      <c r="B946" t="s">
        <v>197</v>
      </c>
      <c r="C946" t="s">
        <v>197</v>
      </c>
      <c r="D946" t="s">
        <v>197</v>
      </c>
      <c r="E946" t="s">
        <v>197</v>
      </c>
      <c r="F946" t="s">
        <v>197</v>
      </c>
      <c r="G946" t="s">
        <v>197</v>
      </c>
      <c r="H946" t="s">
        <v>197</v>
      </c>
      <c r="I946" t="s">
        <v>197</v>
      </c>
      <c r="J946" t="s">
        <v>197</v>
      </c>
      <c r="K946" t="s">
        <v>1012</v>
      </c>
    </row>
    <row r="947" spans="2:11">
      <c r="B947" t="s">
        <v>197</v>
      </c>
      <c r="C947" t="s">
        <v>197</v>
      </c>
      <c r="D947" t="s">
        <v>197</v>
      </c>
      <c r="E947" t="s">
        <v>197</v>
      </c>
      <c r="F947" t="s">
        <v>197</v>
      </c>
      <c r="G947" t="s">
        <v>197</v>
      </c>
      <c r="H947" t="s">
        <v>197</v>
      </c>
      <c r="I947" t="s">
        <v>197</v>
      </c>
      <c r="J947" t="s">
        <v>197</v>
      </c>
      <c r="K947" t="s">
        <v>1013</v>
      </c>
    </row>
    <row r="948" spans="2:11">
      <c r="B948" t="s">
        <v>197</v>
      </c>
      <c r="C948" t="s">
        <v>197</v>
      </c>
      <c r="D948" t="s">
        <v>197</v>
      </c>
      <c r="E948" t="s">
        <v>197</v>
      </c>
      <c r="F948" t="s">
        <v>197</v>
      </c>
      <c r="G948" t="s">
        <v>197</v>
      </c>
      <c r="H948" t="s">
        <v>197</v>
      </c>
      <c r="I948" t="s">
        <v>197</v>
      </c>
      <c r="J948" t="s">
        <v>197</v>
      </c>
      <c r="K948" t="s">
        <v>1014</v>
      </c>
    </row>
    <row r="949" spans="2:11">
      <c r="B949" t="s">
        <v>197</v>
      </c>
      <c r="C949" t="s">
        <v>197</v>
      </c>
      <c r="D949" t="s">
        <v>197</v>
      </c>
      <c r="E949" t="s">
        <v>197</v>
      </c>
      <c r="F949" t="s">
        <v>197</v>
      </c>
      <c r="G949" t="s">
        <v>197</v>
      </c>
      <c r="H949" t="s">
        <v>197</v>
      </c>
      <c r="I949" t="s">
        <v>197</v>
      </c>
      <c r="J949" t="s">
        <v>197</v>
      </c>
      <c r="K949" t="s">
        <v>1015</v>
      </c>
    </row>
    <row r="950" spans="2:11">
      <c r="B950" t="s">
        <v>197</v>
      </c>
      <c r="C950" t="s">
        <v>197</v>
      </c>
      <c r="D950" t="s">
        <v>197</v>
      </c>
      <c r="E950" t="s">
        <v>197</v>
      </c>
      <c r="F950" t="s">
        <v>197</v>
      </c>
      <c r="G950" t="s">
        <v>197</v>
      </c>
      <c r="H950" t="s">
        <v>197</v>
      </c>
      <c r="I950" t="s">
        <v>197</v>
      </c>
      <c r="J950" t="s">
        <v>197</v>
      </c>
      <c r="K950" t="s">
        <v>1016</v>
      </c>
    </row>
    <row r="951" spans="2:11">
      <c r="B951" t="s">
        <v>197</v>
      </c>
      <c r="C951" t="s">
        <v>197</v>
      </c>
      <c r="D951" t="s">
        <v>197</v>
      </c>
      <c r="E951" t="s">
        <v>197</v>
      </c>
      <c r="F951" t="s">
        <v>197</v>
      </c>
      <c r="G951" t="s">
        <v>197</v>
      </c>
      <c r="H951" t="s">
        <v>197</v>
      </c>
      <c r="I951" t="s">
        <v>197</v>
      </c>
      <c r="J951" t="s">
        <v>197</v>
      </c>
      <c r="K951" t="s">
        <v>1017</v>
      </c>
    </row>
    <row r="952" spans="2:11">
      <c r="B952" t="s">
        <v>197</v>
      </c>
      <c r="C952" t="s">
        <v>197</v>
      </c>
      <c r="D952" t="s">
        <v>197</v>
      </c>
      <c r="E952" t="s">
        <v>197</v>
      </c>
      <c r="F952" t="s">
        <v>197</v>
      </c>
      <c r="G952" t="s">
        <v>197</v>
      </c>
      <c r="H952" t="s">
        <v>197</v>
      </c>
      <c r="I952" t="s">
        <v>197</v>
      </c>
      <c r="J952" t="s">
        <v>197</v>
      </c>
      <c r="K952" t="s">
        <v>1018</v>
      </c>
    </row>
    <row r="953" spans="2:11">
      <c r="B953" t="s">
        <v>197</v>
      </c>
      <c r="C953" t="s">
        <v>197</v>
      </c>
      <c r="D953" t="s">
        <v>197</v>
      </c>
      <c r="E953" t="s">
        <v>197</v>
      </c>
      <c r="F953" t="s">
        <v>197</v>
      </c>
      <c r="G953" t="s">
        <v>197</v>
      </c>
      <c r="H953" t="s">
        <v>197</v>
      </c>
      <c r="I953" t="s">
        <v>197</v>
      </c>
      <c r="J953" t="s">
        <v>197</v>
      </c>
      <c r="K953" t="s">
        <v>1019</v>
      </c>
    </row>
    <row r="954" spans="2:11">
      <c r="B954" t="s">
        <v>197</v>
      </c>
      <c r="C954" t="s">
        <v>197</v>
      </c>
      <c r="D954" t="s">
        <v>197</v>
      </c>
      <c r="E954" t="s">
        <v>197</v>
      </c>
      <c r="F954" t="s">
        <v>197</v>
      </c>
      <c r="G954" t="s">
        <v>197</v>
      </c>
      <c r="H954" t="s">
        <v>197</v>
      </c>
      <c r="I954" t="s">
        <v>197</v>
      </c>
      <c r="J954" t="s">
        <v>197</v>
      </c>
      <c r="K954" t="s">
        <v>1020</v>
      </c>
    </row>
    <row r="955" spans="2:11">
      <c r="B955" t="s">
        <v>197</v>
      </c>
      <c r="C955" t="s">
        <v>197</v>
      </c>
      <c r="D955" t="s">
        <v>197</v>
      </c>
      <c r="E955" t="s">
        <v>197</v>
      </c>
      <c r="F955" t="s">
        <v>197</v>
      </c>
      <c r="G955" t="s">
        <v>197</v>
      </c>
      <c r="H955" t="s">
        <v>197</v>
      </c>
      <c r="I955" t="s">
        <v>197</v>
      </c>
      <c r="J955" t="s">
        <v>197</v>
      </c>
      <c r="K955" t="s">
        <v>1021</v>
      </c>
    </row>
    <row r="956" spans="2:11">
      <c r="B956" t="s">
        <v>197</v>
      </c>
      <c r="C956" t="s">
        <v>197</v>
      </c>
      <c r="D956" t="s">
        <v>197</v>
      </c>
      <c r="E956" t="s">
        <v>197</v>
      </c>
      <c r="F956" t="s">
        <v>197</v>
      </c>
      <c r="G956" t="s">
        <v>197</v>
      </c>
      <c r="H956" t="s">
        <v>197</v>
      </c>
      <c r="I956" t="s">
        <v>197</v>
      </c>
      <c r="J956" t="s">
        <v>197</v>
      </c>
      <c r="K956" t="s">
        <v>1022</v>
      </c>
    </row>
    <row r="957" spans="2:11">
      <c r="B957" t="s">
        <v>197</v>
      </c>
      <c r="C957" t="s">
        <v>197</v>
      </c>
      <c r="D957" t="s">
        <v>197</v>
      </c>
      <c r="E957" t="s">
        <v>197</v>
      </c>
      <c r="F957" t="s">
        <v>197</v>
      </c>
      <c r="G957" t="s">
        <v>197</v>
      </c>
      <c r="H957" t="s">
        <v>197</v>
      </c>
      <c r="I957" t="s">
        <v>197</v>
      </c>
      <c r="J957" t="s">
        <v>197</v>
      </c>
      <c r="K957" t="s">
        <v>1023</v>
      </c>
    </row>
    <row r="958" spans="2:11">
      <c r="B958" t="s">
        <v>197</v>
      </c>
      <c r="C958" t="s">
        <v>197</v>
      </c>
      <c r="D958" t="s">
        <v>197</v>
      </c>
      <c r="E958" t="s">
        <v>197</v>
      </c>
      <c r="F958" t="s">
        <v>197</v>
      </c>
      <c r="G958" t="s">
        <v>197</v>
      </c>
      <c r="H958" t="s">
        <v>197</v>
      </c>
      <c r="I958" t="s">
        <v>197</v>
      </c>
      <c r="J958" t="s">
        <v>197</v>
      </c>
      <c r="K958" t="s">
        <v>1024</v>
      </c>
    </row>
    <row r="959" spans="2:11">
      <c r="B959" t="s">
        <v>197</v>
      </c>
      <c r="C959" t="s">
        <v>197</v>
      </c>
      <c r="D959" t="s">
        <v>197</v>
      </c>
      <c r="E959" t="s">
        <v>197</v>
      </c>
      <c r="F959" t="s">
        <v>197</v>
      </c>
      <c r="G959" t="s">
        <v>197</v>
      </c>
      <c r="H959" t="s">
        <v>197</v>
      </c>
      <c r="I959" t="s">
        <v>197</v>
      </c>
      <c r="J959" t="s">
        <v>197</v>
      </c>
      <c r="K959" t="s">
        <v>1025</v>
      </c>
    </row>
    <row r="960" spans="2:11">
      <c r="B960" t="s">
        <v>197</v>
      </c>
      <c r="C960" t="s">
        <v>197</v>
      </c>
      <c r="D960" t="s">
        <v>197</v>
      </c>
      <c r="E960" t="s">
        <v>197</v>
      </c>
      <c r="F960" t="s">
        <v>197</v>
      </c>
      <c r="G960" t="s">
        <v>197</v>
      </c>
      <c r="H960" t="s">
        <v>197</v>
      </c>
      <c r="I960" t="s">
        <v>197</v>
      </c>
      <c r="J960" t="s">
        <v>197</v>
      </c>
      <c r="K960" t="s">
        <v>1026</v>
      </c>
    </row>
    <row r="961" spans="1:24">
      <c r="B961" t="s">
        <v>197</v>
      </c>
      <c r="C961" t="s">
        <v>197</v>
      </c>
      <c r="D961" t="s">
        <v>197</v>
      </c>
      <c r="E961" t="s">
        <v>197</v>
      </c>
      <c r="F961" t="s">
        <v>197</v>
      </c>
      <c r="G961" t="s">
        <v>197</v>
      </c>
      <c r="H961" t="s">
        <v>197</v>
      </c>
      <c r="I961" t="s">
        <v>197</v>
      </c>
      <c r="J961" t="s">
        <v>197</v>
      </c>
      <c r="K961" t="s">
        <v>1027</v>
      </c>
    </row>
    <row r="962" spans="1:24">
      <c r="B962" t="s">
        <v>197</v>
      </c>
      <c r="C962" t="s">
        <v>197</v>
      </c>
      <c r="D962" t="s">
        <v>197</v>
      </c>
      <c r="E962" t="s">
        <v>197</v>
      </c>
      <c r="F962" t="s">
        <v>197</v>
      </c>
      <c r="G962" t="s">
        <v>197</v>
      </c>
      <c r="H962" t="s">
        <v>197</v>
      </c>
      <c r="I962" t="s">
        <v>197</v>
      </c>
      <c r="J962" t="s">
        <v>197</v>
      </c>
      <c r="K962" t="s">
        <v>1028</v>
      </c>
    </row>
    <row r="963" spans="1:24">
      <c r="B963" t="s">
        <v>197</v>
      </c>
      <c r="C963" t="s">
        <v>197</v>
      </c>
      <c r="D963" t="s">
        <v>197</v>
      </c>
      <c r="E963" t="s">
        <v>197</v>
      </c>
      <c r="F963" t="s">
        <v>197</v>
      </c>
      <c r="G963" t="s">
        <v>197</v>
      </c>
      <c r="H963" t="s">
        <v>197</v>
      </c>
      <c r="I963" t="s">
        <v>197</v>
      </c>
      <c r="J963" t="s">
        <v>197</v>
      </c>
      <c r="K963" t="s">
        <v>1029</v>
      </c>
    </row>
    <row r="964" spans="1:24">
      <c r="A964" t="s">
        <v>1030</v>
      </c>
      <c r="K964" t="s">
        <v>1031</v>
      </c>
      <c r="W964" t="s">
        <v>171</v>
      </c>
      <c r="X964" t="str">
        <f>A964</f>
        <v>info_varcharmax_dml_batch1_pk</v>
      </c>
    </row>
    <row r="965" spans="1:24">
      <c r="B965" t="s">
        <v>196</v>
      </c>
      <c r="C965" t="s">
        <v>197</v>
      </c>
      <c r="D965" t="s">
        <v>197</v>
      </c>
      <c r="E965" t="s">
        <v>197</v>
      </c>
      <c r="F965" t="s">
        <v>197</v>
      </c>
      <c r="G965" t="s">
        <v>197</v>
      </c>
      <c r="H965" t="s">
        <v>197</v>
      </c>
      <c r="I965" t="s">
        <v>1032</v>
      </c>
      <c r="J965" t="s">
        <v>199</v>
      </c>
      <c r="K965" t="s">
        <v>200</v>
      </c>
    </row>
    <row r="966" spans="1:24">
      <c r="B966" t="s">
        <v>197</v>
      </c>
      <c r="C966" t="s">
        <v>197</v>
      </c>
      <c r="D966" t="s">
        <v>197</v>
      </c>
      <c r="E966" t="s">
        <v>197</v>
      </c>
      <c r="F966" t="s">
        <v>197</v>
      </c>
      <c r="G966" t="s">
        <v>197</v>
      </c>
      <c r="H966" t="s">
        <v>197</v>
      </c>
      <c r="I966" t="s">
        <v>197</v>
      </c>
      <c r="J966" t="s">
        <v>197</v>
      </c>
      <c r="K966" t="s">
        <v>725</v>
      </c>
    </row>
    <row r="967" spans="1:24">
      <c r="B967" t="s">
        <v>197</v>
      </c>
      <c r="C967" t="s">
        <v>197</v>
      </c>
      <c r="D967" t="s">
        <v>197</v>
      </c>
      <c r="E967" t="s">
        <v>197</v>
      </c>
      <c r="F967" t="s">
        <v>197</v>
      </c>
      <c r="G967" t="s">
        <v>197</v>
      </c>
      <c r="H967" t="s">
        <v>197</v>
      </c>
      <c r="I967" t="s">
        <v>197</v>
      </c>
      <c r="J967" t="s">
        <v>197</v>
      </c>
      <c r="K967" t="s">
        <v>726</v>
      </c>
    </row>
    <row r="968" spans="1:24">
      <c r="K968" t="s">
        <v>443</v>
      </c>
    </row>
    <row r="969" spans="1:24">
      <c r="A969" t="s">
        <v>1036</v>
      </c>
      <c r="K969" t="s">
        <v>1037</v>
      </c>
      <c r="W969" t="s">
        <v>171</v>
      </c>
      <c r="X969" t="str">
        <f>A969</f>
        <v>info_uniqueidentifier_dml_single_pk_irp</v>
      </c>
    </row>
    <row r="970" spans="1:24">
      <c r="B970" t="s">
        <v>196</v>
      </c>
      <c r="C970" t="s">
        <v>197</v>
      </c>
      <c r="D970" t="s">
        <v>197</v>
      </c>
      <c r="E970" t="s">
        <v>197</v>
      </c>
      <c r="F970" t="s">
        <v>197</v>
      </c>
      <c r="G970" t="s">
        <v>197</v>
      </c>
      <c r="H970" t="s">
        <v>197</v>
      </c>
      <c r="I970" t="s">
        <v>1038</v>
      </c>
      <c r="J970" t="s">
        <v>199</v>
      </c>
      <c r="K970" t="s">
        <v>200</v>
      </c>
    </row>
    <row r="971" spans="1:24">
      <c r="B971" t="s">
        <v>197</v>
      </c>
      <c r="C971" t="s">
        <v>197</v>
      </c>
      <c r="D971" t="s">
        <v>197</v>
      </c>
      <c r="E971" t="s">
        <v>197</v>
      </c>
      <c r="F971" t="s">
        <v>197</v>
      </c>
      <c r="G971" t="s">
        <v>197</v>
      </c>
      <c r="H971" t="s">
        <v>197</v>
      </c>
      <c r="I971" t="s">
        <v>197</v>
      </c>
      <c r="J971" t="s">
        <v>197</v>
      </c>
      <c r="K971" t="s">
        <v>1039</v>
      </c>
    </row>
    <row r="972" spans="1:24">
      <c r="A972" t="s">
        <v>1040</v>
      </c>
      <c r="K972" t="s">
        <v>1041</v>
      </c>
      <c r="W972" t="s">
        <v>171</v>
      </c>
      <c r="X972" t="str">
        <f>A972</f>
        <v>info_datetime2_dml_single_pk_irp</v>
      </c>
    </row>
    <row r="973" spans="1:24">
      <c r="B973" t="s">
        <v>196</v>
      </c>
      <c r="C973" t="s">
        <v>197</v>
      </c>
      <c r="D973" t="s">
        <v>197</v>
      </c>
      <c r="E973" t="s">
        <v>197</v>
      </c>
      <c r="F973" t="s">
        <v>197</v>
      </c>
      <c r="G973" t="s">
        <v>197</v>
      </c>
      <c r="H973" t="s">
        <v>197</v>
      </c>
      <c r="I973" t="s">
        <v>1042</v>
      </c>
      <c r="J973" t="s">
        <v>199</v>
      </c>
      <c r="K973" t="s">
        <v>200</v>
      </c>
    </row>
    <row r="974" spans="1:24">
      <c r="B974" t="s">
        <v>197</v>
      </c>
      <c r="C974" t="s">
        <v>197</v>
      </c>
      <c r="D974" t="s">
        <v>197</v>
      </c>
      <c r="E974" t="s">
        <v>197</v>
      </c>
      <c r="F974" t="s">
        <v>197</v>
      </c>
      <c r="G974" t="s">
        <v>197</v>
      </c>
      <c r="H974" t="s">
        <v>197</v>
      </c>
      <c r="I974" t="s">
        <v>197</v>
      </c>
      <c r="J974" t="s">
        <v>197</v>
      </c>
      <c r="K974" t="s">
        <v>667</v>
      </c>
    </row>
    <row r="975" spans="1:24">
      <c r="B975" t="s">
        <v>197</v>
      </c>
      <c r="C975" t="s">
        <v>197</v>
      </c>
      <c r="D975" t="s">
        <v>197</v>
      </c>
      <c r="E975" t="s">
        <v>197</v>
      </c>
      <c r="F975" t="s">
        <v>197</v>
      </c>
      <c r="G975" t="s">
        <v>197</v>
      </c>
      <c r="H975" t="s">
        <v>197</v>
      </c>
      <c r="I975" t="s">
        <v>197</v>
      </c>
      <c r="J975" t="s">
        <v>197</v>
      </c>
      <c r="K975" t="s">
        <v>668</v>
      </c>
    </row>
    <row r="976" spans="1:24">
      <c r="B976" t="s">
        <v>197</v>
      </c>
      <c r="C976" t="s">
        <v>197</v>
      </c>
      <c r="D976" t="s">
        <v>197</v>
      </c>
      <c r="E976" t="s">
        <v>197</v>
      </c>
      <c r="F976" t="s">
        <v>197</v>
      </c>
      <c r="G976" t="s">
        <v>197</v>
      </c>
      <c r="H976" t="s">
        <v>197</v>
      </c>
      <c r="I976" t="s">
        <v>197</v>
      </c>
      <c r="J976" t="s">
        <v>197</v>
      </c>
      <c r="K976" t="s">
        <v>669</v>
      </c>
    </row>
    <row r="977" spans="1:24">
      <c r="B977" t="s">
        <v>197</v>
      </c>
      <c r="C977" t="s">
        <v>197</v>
      </c>
      <c r="D977" t="s">
        <v>197</v>
      </c>
      <c r="E977" t="s">
        <v>197</v>
      </c>
      <c r="F977" t="s">
        <v>197</v>
      </c>
      <c r="G977" t="s">
        <v>197</v>
      </c>
      <c r="H977" t="s">
        <v>197</v>
      </c>
      <c r="I977" t="s">
        <v>197</v>
      </c>
      <c r="J977" t="s">
        <v>197</v>
      </c>
      <c r="K977" t="s">
        <v>670</v>
      </c>
    </row>
    <row r="978" spans="1:24">
      <c r="B978" t="s">
        <v>197</v>
      </c>
      <c r="C978" t="s">
        <v>197</v>
      </c>
      <c r="D978" t="s">
        <v>197</v>
      </c>
      <c r="E978" t="s">
        <v>197</v>
      </c>
      <c r="F978" t="s">
        <v>197</v>
      </c>
      <c r="G978" t="s">
        <v>197</v>
      </c>
      <c r="H978" t="s">
        <v>197</v>
      </c>
      <c r="I978" t="s">
        <v>197</v>
      </c>
      <c r="J978" t="s">
        <v>197</v>
      </c>
      <c r="K978" t="s">
        <v>671</v>
      </c>
    </row>
    <row r="979" spans="1:24">
      <c r="B979" t="s">
        <v>197</v>
      </c>
      <c r="C979" t="s">
        <v>197</v>
      </c>
      <c r="D979" t="s">
        <v>197</v>
      </c>
      <c r="E979" t="s">
        <v>197</v>
      </c>
      <c r="F979" t="s">
        <v>197</v>
      </c>
      <c r="G979" t="s">
        <v>197</v>
      </c>
      <c r="H979" t="s">
        <v>197</v>
      </c>
      <c r="I979" t="s">
        <v>197</v>
      </c>
      <c r="J979" t="s">
        <v>197</v>
      </c>
      <c r="K979" t="s">
        <v>672</v>
      </c>
    </row>
    <row r="980" spans="1:24">
      <c r="B980" t="s">
        <v>197</v>
      </c>
      <c r="C980" t="s">
        <v>197</v>
      </c>
      <c r="D980" t="s">
        <v>197</v>
      </c>
      <c r="E980" t="s">
        <v>197</v>
      </c>
      <c r="F980" t="s">
        <v>197</v>
      </c>
      <c r="G980" t="s">
        <v>197</v>
      </c>
      <c r="H980" t="s">
        <v>197</v>
      </c>
      <c r="I980" t="s">
        <v>197</v>
      </c>
      <c r="J980" t="s">
        <v>197</v>
      </c>
      <c r="K980" t="s">
        <v>673</v>
      </c>
    </row>
    <row r="981" spans="1:24">
      <c r="B981" t="s">
        <v>197</v>
      </c>
      <c r="C981" t="s">
        <v>197</v>
      </c>
      <c r="D981" t="s">
        <v>197</v>
      </c>
      <c r="E981" t="s">
        <v>197</v>
      </c>
      <c r="F981" t="s">
        <v>197</v>
      </c>
      <c r="G981" t="s">
        <v>197</v>
      </c>
      <c r="H981" t="s">
        <v>197</v>
      </c>
      <c r="I981" t="s">
        <v>197</v>
      </c>
      <c r="J981" t="s">
        <v>197</v>
      </c>
      <c r="K981" t="s">
        <v>674</v>
      </c>
    </row>
    <row r="982" spans="1:24">
      <c r="A982" t="s">
        <v>1033</v>
      </c>
      <c r="K982" t="s">
        <v>1034</v>
      </c>
      <c r="W982" t="s">
        <v>171</v>
      </c>
      <c r="X982" t="str">
        <f>A982</f>
        <v>info_nvarchar_dml_batch1_pk_irp2</v>
      </c>
    </row>
    <row r="983" spans="1:24">
      <c r="B983" t="s">
        <v>196</v>
      </c>
      <c r="C983" t="s">
        <v>197</v>
      </c>
      <c r="D983" t="s">
        <v>197</v>
      </c>
      <c r="E983" t="s">
        <v>197</v>
      </c>
      <c r="F983" t="s">
        <v>197</v>
      </c>
      <c r="G983" t="s">
        <v>197</v>
      </c>
      <c r="H983" t="s">
        <v>197</v>
      </c>
      <c r="I983" t="s">
        <v>1035</v>
      </c>
      <c r="J983" t="s">
        <v>199</v>
      </c>
      <c r="K983" t="s">
        <v>200</v>
      </c>
    </row>
    <row r="984" spans="1:24">
      <c r="B984" t="s">
        <v>197</v>
      </c>
      <c r="C984" t="s">
        <v>197</v>
      </c>
      <c r="D984" t="s">
        <v>197</v>
      </c>
      <c r="E984" t="s">
        <v>197</v>
      </c>
      <c r="F984" t="s">
        <v>197</v>
      </c>
      <c r="G984" t="s">
        <v>197</v>
      </c>
      <c r="H984" t="s">
        <v>197</v>
      </c>
      <c r="I984" t="s">
        <v>197</v>
      </c>
      <c r="J984" t="s">
        <v>197</v>
      </c>
      <c r="K984" t="s">
        <v>408</v>
      </c>
    </row>
    <row r="985" spans="1:24">
      <c r="B985" t="s">
        <v>197</v>
      </c>
      <c r="C985" t="s">
        <v>197</v>
      </c>
      <c r="D985" t="s">
        <v>197</v>
      </c>
      <c r="E985" t="s">
        <v>197</v>
      </c>
      <c r="F985" t="s">
        <v>197</v>
      </c>
      <c r="G985" t="s">
        <v>197</v>
      </c>
      <c r="H985" t="s">
        <v>197</v>
      </c>
      <c r="I985" t="s">
        <v>197</v>
      </c>
      <c r="J985" t="s">
        <v>197</v>
      </c>
      <c r="K985" t="s">
        <v>412</v>
      </c>
    </row>
    <row r="986" spans="1:24">
      <c r="B986" t="s">
        <v>197</v>
      </c>
      <c r="C986" t="s">
        <v>197</v>
      </c>
      <c r="D986" t="s">
        <v>197</v>
      </c>
      <c r="E986" t="s">
        <v>197</v>
      </c>
      <c r="F986" t="s">
        <v>197</v>
      </c>
      <c r="G986" t="s">
        <v>197</v>
      </c>
      <c r="H986" t="s">
        <v>197</v>
      </c>
      <c r="I986" t="s">
        <v>197</v>
      </c>
      <c r="J986" t="s">
        <v>197</v>
      </c>
      <c r="K986" t="s">
        <v>416</v>
      </c>
    </row>
    <row r="987" spans="1:24">
      <c r="A987" t="s">
        <v>1043</v>
      </c>
      <c r="K987" t="s">
        <v>1044</v>
      </c>
      <c r="W987" t="s">
        <v>171</v>
      </c>
      <c r="X987" t="str">
        <f>A987</f>
        <v>info_char_dml_single_pk</v>
      </c>
    </row>
    <row r="988" spans="1:24">
      <c r="B988" t="s">
        <v>196</v>
      </c>
      <c r="C988" t="s">
        <v>197</v>
      </c>
      <c r="D988" t="s">
        <v>197</v>
      </c>
      <c r="E988" t="s">
        <v>197</v>
      </c>
      <c r="F988" t="s">
        <v>197</v>
      </c>
      <c r="G988" t="s">
        <v>197</v>
      </c>
      <c r="H988" t="s">
        <v>197</v>
      </c>
      <c r="I988" t="s">
        <v>1045</v>
      </c>
      <c r="J988" t="s">
        <v>199</v>
      </c>
      <c r="K988" t="s">
        <v>200</v>
      </c>
    </row>
    <row r="989" spans="1:24">
      <c r="B989" t="s">
        <v>197</v>
      </c>
      <c r="C989" t="s">
        <v>197</v>
      </c>
      <c r="D989" t="s">
        <v>197</v>
      </c>
      <c r="E989" t="s">
        <v>197</v>
      </c>
      <c r="F989" t="s">
        <v>197</v>
      </c>
      <c r="G989" t="s">
        <v>197</v>
      </c>
      <c r="H989" t="s">
        <v>197</v>
      </c>
      <c r="I989" t="s">
        <v>197</v>
      </c>
      <c r="J989" t="s">
        <v>197</v>
      </c>
      <c r="K989" t="s">
        <v>622</v>
      </c>
    </row>
    <row r="990" spans="1:24">
      <c r="B990" t="s">
        <v>197</v>
      </c>
      <c r="C990" t="s">
        <v>197</v>
      </c>
      <c r="D990" t="s">
        <v>197</v>
      </c>
      <c r="E990" t="s">
        <v>197</v>
      </c>
      <c r="F990" t="s">
        <v>197</v>
      </c>
      <c r="G990" t="s">
        <v>197</v>
      </c>
      <c r="H990" t="s">
        <v>197</v>
      </c>
      <c r="I990" t="s">
        <v>197</v>
      </c>
      <c r="J990" t="s">
        <v>197</v>
      </c>
      <c r="K990" t="s">
        <v>623</v>
      </c>
    </row>
    <row r="991" spans="1:24">
      <c r="B991" t="s">
        <v>197</v>
      </c>
      <c r="C991" t="s">
        <v>197</v>
      </c>
      <c r="D991" t="s">
        <v>197</v>
      </c>
      <c r="E991" t="s">
        <v>197</v>
      </c>
      <c r="F991" t="s">
        <v>197</v>
      </c>
      <c r="G991" t="s">
        <v>197</v>
      </c>
      <c r="H991" t="s">
        <v>197</v>
      </c>
      <c r="I991" t="s">
        <v>197</v>
      </c>
      <c r="J991" t="s">
        <v>197</v>
      </c>
      <c r="K991" t="s">
        <v>832</v>
      </c>
    </row>
    <row r="992" spans="1:24">
      <c r="A992" t="s">
        <v>1049</v>
      </c>
      <c r="K992" t="s">
        <v>1050</v>
      </c>
      <c r="W992" s="1" t="str">
        <f>HYPERLINK("#2026042017hbase1!AA2","NO 源备存在差异，共8个")</f>
        <v>NO 源备存在差异，共8个</v>
      </c>
      <c r="X992" t="str">
        <f>A992</f>
        <v>info_geography_dml_single_pk_irp</v>
      </c>
    </row>
    <row r="993" spans="1:24">
      <c r="B993" t="s">
        <v>196</v>
      </c>
      <c r="C993" t="s">
        <v>197</v>
      </c>
      <c r="D993" t="s">
        <v>197</v>
      </c>
      <c r="E993" t="s">
        <v>197</v>
      </c>
      <c r="F993" t="s">
        <v>197</v>
      </c>
      <c r="G993" t="s">
        <v>197</v>
      </c>
      <c r="H993" t="s">
        <v>197</v>
      </c>
      <c r="I993" t="s">
        <v>1051</v>
      </c>
      <c r="J993" t="s">
        <v>199</v>
      </c>
      <c r="K993" t="s">
        <v>200</v>
      </c>
    </row>
    <row r="994" spans="1:24">
      <c r="B994" t="s">
        <v>197</v>
      </c>
      <c r="C994" t="s">
        <v>197</v>
      </c>
      <c r="D994" t="s">
        <v>197</v>
      </c>
      <c r="E994" t="s">
        <v>197</v>
      </c>
      <c r="F994" t="s">
        <v>197</v>
      </c>
      <c r="G994" t="s">
        <v>197</v>
      </c>
      <c r="H994" t="s">
        <v>197</v>
      </c>
      <c r="I994" t="s">
        <v>197</v>
      </c>
      <c r="J994" t="s">
        <v>197</v>
      </c>
      <c r="K994" t="s">
        <v>1052</v>
      </c>
    </row>
    <row r="995" spans="1:24">
      <c r="A995" t="s">
        <v>1057</v>
      </c>
      <c r="K995" t="s">
        <v>1058</v>
      </c>
      <c r="W995" t="s">
        <v>171</v>
      </c>
      <c r="X995" t="str">
        <f>A995</f>
        <v>info_time_dml_batch2_pk_irp1</v>
      </c>
    </row>
    <row r="996" spans="1:24">
      <c r="B996" t="s">
        <v>196</v>
      </c>
      <c r="C996" t="s">
        <v>197</v>
      </c>
      <c r="D996" t="s">
        <v>197</v>
      </c>
      <c r="E996" t="s">
        <v>197</v>
      </c>
      <c r="F996" t="s">
        <v>197</v>
      </c>
      <c r="G996" t="s">
        <v>197</v>
      </c>
      <c r="H996" t="s">
        <v>197</v>
      </c>
      <c r="I996" t="s">
        <v>1059</v>
      </c>
      <c r="J996" t="s">
        <v>199</v>
      </c>
      <c r="K996" t="s">
        <v>200</v>
      </c>
    </row>
    <row r="997" spans="1:24">
      <c r="B997" t="s">
        <v>197</v>
      </c>
      <c r="C997" t="s">
        <v>197</v>
      </c>
      <c r="D997" t="s">
        <v>197</v>
      </c>
      <c r="E997" t="s">
        <v>197</v>
      </c>
      <c r="F997" t="s">
        <v>197</v>
      </c>
      <c r="G997" t="s">
        <v>197</v>
      </c>
      <c r="H997" t="s">
        <v>197</v>
      </c>
      <c r="I997" t="s">
        <v>197</v>
      </c>
      <c r="J997" t="s">
        <v>197</v>
      </c>
      <c r="K997" t="s">
        <v>800</v>
      </c>
    </row>
    <row r="998" spans="1:24">
      <c r="B998" t="s">
        <v>197</v>
      </c>
      <c r="C998" t="s">
        <v>197</v>
      </c>
      <c r="D998" t="s">
        <v>197</v>
      </c>
      <c r="E998" t="s">
        <v>197</v>
      </c>
      <c r="F998" t="s">
        <v>197</v>
      </c>
      <c r="G998" t="s">
        <v>197</v>
      </c>
      <c r="H998" t="s">
        <v>197</v>
      </c>
      <c r="I998" t="s">
        <v>197</v>
      </c>
      <c r="J998" t="s">
        <v>197</v>
      </c>
      <c r="K998" t="s">
        <v>801</v>
      </c>
    </row>
    <row r="999" spans="1:24">
      <c r="B999" t="s">
        <v>197</v>
      </c>
      <c r="C999" t="s">
        <v>197</v>
      </c>
      <c r="D999" t="s">
        <v>197</v>
      </c>
      <c r="E999" t="s">
        <v>197</v>
      </c>
      <c r="F999" t="s">
        <v>197</v>
      </c>
      <c r="G999" t="s">
        <v>197</v>
      </c>
      <c r="H999" t="s">
        <v>197</v>
      </c>
      <c r="I999" t="s">
        <v>197</v>
      </c>
      <c r="J999" t="s">
        <v>197</v>
      </c>
      <c r="K999" t="s">
        <v>802</v>
      </c>
    </row>
    <row r="1000" spans="1:24">
      <c r="B1000" t="s">
        <v>197</v>
      </c>
      <c r="C1000" t="s">
        <v>197</v>
      </c>
      <c r="D1000" t="s">
        <v>197</v>
      </c>
      <c r="E1000" t="s">
        <v>197</v>
      </c>
      <c r="F1000" t="s">
        <v>197</v>
      </c>
      <c r="G1000" t="s">
        <v>197</v>
      </c>
      <c r="H1000" t="s">
        <v>197</v>
      </c>
      <c r="I1000" t="s">
        <v>197</v>
      </c>
      <c r="J1000" t="s">
        <v>197</v>
      </c>
      <c r="K1000" t="s">
        <v>803</v>
      </c>
    </row>
    <row r="1001" spans="1:24">
      <c r="B1001" t="s">
        <v>197</v>
      </c>
      <c r="C1001" t="s">
        <v>197</v>
      </c>
      <c r="D1001" t="s">
        <v>197</v>
      </c>
      <c r="E1001" t="s">
        <v>197</v>
      </c>
      <c r="F1001" t="s">
        <v>197</v>
      </c>
      <c r="G1001" t="s">
        <v>197</v>
      </c>
      <c r="H1001" t="s">
        <v>197</v>
      </c>
      <c r="I1001" t="s">
        <v>197</v>
      </c>
      <c r="J1001" t="s">
        <v>197</v>
      </c>
      <c r="K1001" t="s">
        <v>804</v>
      </c>
    </row>
    <row r="1002" spans="1:24">
      <c r="B1002" t="s">
        <v>197</v>
      </c>
      <c r="C1002" t="s">
        <v>197</v>
      </c>
      <c r="D1002" t="s">
        <v>197</v>
      </c>
      <c r="E1002" t="s">
        <v>197</v>
      </c>
      <c r="F1002" t="s">
        <v>197</v>
      </c>
      <c r="G1002" t="s">
        <v>197</v>
      </c>
      <c r="H1002" t="s">
        <v>197</v>
      </c>
      <c r="I1002" t="s">
        <v>197</v>
      </c>
      <c r="J1002" t="s">
        <v>197</v>
      </c>
      <c r="K1002" t="s">
        <v>805</v>
      </c>
    </row>
    <row r="1003" spans="1:24">
      <c r="B1003" t="s">
        <v>197</v>
      </c>
      <c r="C1003" t="s">
        <v>197</v>
      </c>
      <c r="D1003" t="s">
        <v>197</v>
      </c>
      <c r="E1003" t="s">
        <v>197</v>
      </c>
      <c r="F1003" t="s">
        <v>197</v>
      </c>
      <c r="G1003" t="s">
        <v>197</v>
      </c>
      <c r="H1003" t="s">
        <v>197</v>
      </c>
      <c r="I1003" t="s">
        <v>197</v>
      </c>
      <c r="J1003" t="s">
        <v>197</v>
      </c>
      <c r="K1003" t="s">
        <v>806</v>
      </c>
    </row>
    <row r="1004" spans="1:24">
      <c r="B1004" t="s">
        <v>197</v>
      </c>
      <c r="C1004" t="s">
        <v>197</v>
      </c>
      <c r="D1004" t="s">
        <v>197</v>
      </c>
      <c r="E1004" t="s">
        <v>197</v>
      </c>
      <c r="F1004" t="s">
        <v>197</v>
      </c>
      <c r="G1004" t="s">
        <v>197</v>
      </c>
      <c r="H1004" t="s">
        <v>197</v>
      </c>
      <c r="I1004" t="s">
        <v>197</v>
      </c>
      <c r="J1004" t="s">
        <v>197</v>
      </c>
      <c r="K1004" t="s">
        <v>807</v>
      </c>
    </row>
    <row r="1005" spans="1:24">
      <c r="A1005" t="s">
        <v>1046</v>
      </c>
      <c r="K1005" t="s">
        <v>1047</v>
      </c>
      <c r="W1005" t="s">
        <v>171</v>
      </c>
      <c r="X1005" t="str">
        <f>A1005</f>
        <v>info_varbinary_dml_batch1_pk_irp1</v>
      </c>
    </row>
    <row r="1006" spans="1:24">
      <c r="B1006" t="s">
        <v>196</v>
      </c>
      <c r="C1006" t="s">
        <v>197</v>
      </c>
      <c r="D1006" t="s">
        <v>197</v>
      </c>
      <c r="E1006" t="s">
        <v>197</v>
      </c>
      <c r="F1006" t="s">
        <v>197</v>
      </c>
      <c r="G1006" t="s">
        <v>197</v>
      </c>
      <c r="H1006" t="s">
        <v>197</v>
      </c>
      <c r="I1006" t="s">
        <v>1048</v>
      </c>
      <c r="J1006" t="s">
        <v>199</v>
      </c>
      <c r="K1006" t="s">
        <v>200</v>
      </c>
    </row>
    <row r="1007" spans="1:24">
      <c r="B1007" t="s">
        <v>197</v>
      </c>
      <c r="C1007" t="s">
        <v>197</v>
      </c>
      <c r="D1007" t="s">
        <v>197</v>
      </c>
      <c r="E1007" t="s">
        <v>197</v>
      </c>
      <c r="F1007" t="s">
        <v>197</v>
      </c>
      <c r="G1007" t="s">
        <v>197</v>
      </c>
      <c r="H1007" t="s">
        <v>197</v>
      </c>
      <c r="I1007" t="s">
        <v>197</v>
      </c>
      <c r="J1007" t="s">
        <v>197</v>
      </c>
      <c r="K1007" t="s">
        <v>495</v>
      </c>
    </row>
    <row r="1008" spans="1:24">
      <c r="B1008" t="s">
        <v>197</v>
      </c>
      <c r="C1008" t="s">
        <v>197</v>
      </c>
      <c r="D1008" t="s">
        <v>197</v>
      </c>
      <c r="E1008" t="s">
        <v>197</v>
      </c>
      <c r="F1008" t="s">
        <v>197</v>
      </c>
      <c r="G1008" t="s">
        <v>197</v>
      </c>
      <c r="H1008" t="s">
        <v>197</v>
      </c>
      <c r="I1008" t="s">
        <v>197</v>
      </c>
      <c r="J1008" t="s">
        <v>197</v>
      </c>
      <c r="K1008" t="s">
        <v>499</v>
      </c>
    </row>
    <row r="1009" spans="1:24">
      <c r="B1009" t="s">
        <v>197</v>
      </c>
      <c r="C1009" t="s">
        <v>197</v>
      </c>
      <c r="D1009" t="s">
        <v>197</v>
      </c>
      <c r="E1009" t="s">
        <v>197</v>
      </c>
      <c r="F1009" t="s">
        <v>197</v>
      </c>
      <c r="G1009" t="s">
        <v>197</v>
      </c>
      <c r="H1009" t="s">
        <v>197</v>
      </c>
      <c r="I1009" t="s">
        <v>197</v>
      </c>
      <c r="J1009" t="s">
        <v>197</v>
      </c>
      <c r="K1009" t="s">
        <v>503</v>
      </c>
    </row>
    <row r="1010" spans="1:24">
      <c r="A1010" t="s">
        <v>1060</v>
      </c>
      <c r="K1010" t="s">
        <v>1061</v>
      </c>
      <c r="W1010" t="s">
        <v>171</v>
      </c>
      <c r="X1010" t="str">
        <f>A1010</f>
        <v>info_varchar_dml_batch2_pk_irp1</v>
      </c>
    </row>
    <row r="1011" spans="1:24">
      <c r="B1011" t="s">
        <v>196</v>
      </c>
      <c r="C1011" t="s">
        <v>197</v>
      </c>
      <c r="D1011" t="s">
        <v>197</v>
      </c>
      <c r="E1011" t="s">
        <v>197</v>
      </c>
      <c r="F1011" t="s">
        <v>197</v>
      </c>
      <c r="G1011" t="s">
        <v>197</v>
      </c>
      <c r="H1011" t="s">
        <v>197</v>
      </c>
      <c r="I1011" t="s">
        <v>1062</v>
      </c>
      <c r="J1011" t="s">
        <v>199</v>
      </c>
      <c r="K1011" t="s">
        <v>200</v>
      </c>
    </row>
    <row r="1012" spans="1:24">
      <c r="B1012" t="s">
        <v>197</v>
      </c>
      <c r="C1012" t="s">
        <v>197</v>
      </c>
      <c r="D1012" t="s">
        <v>197</v>
      </c>
      <c r="E1012" t="s">
        <v>197</v>
      </c>
      <c r="F1012" t="s">
        <v>197</v>
      </c>
      <c r="G1012" t="s">
        <v>197</v>
      </c>
      <c r="H1012" t="s">
        <v>197</v>
      </c>
      <c r="I1012" t="s">
        <v>197</v>
      </c>
      <c r="J1012" t="s">
        <v>197</v>
      </c>
      <c r="K1012" t="s">
        <v>431</v>
      </c>
    </row>
    <row r="1013" spans="1:24">
      <c r="B1013" t="s">
        <v>197</v>
      </c>
      <c r="C1013" t="s">
        <v>197</v>
      </c>
      <c r="D1013" t="s">
        <v>197</v>
      </c>
      <c r="E1013" t="s">
        <v>197</v>
      </c>
      <c r="F1013" t="s">
        <v>197</v>
      </c>
      <c r="G1013" t="s">
        <v>197</v>
      </c>
      <c r="H1013" t="s">
        <v>197</v>
      </c>
      <c r="I1013" t="s">
        <v>197</v>
      </c>
      <c r="J1013" t="s">
        <v>197</v>
      </c>
      <c r="K1013" t="s">
        <v>434</v>
      </c>
    </row>
    <row r="1014" spans="1:24">
      <c r="B1014" t="s">
        <v>197</v>
      </c>
      <c r="C1014" t="s">
        <v>197</v>
      </c>
      <c r="D1014" t="s">
        <v>197</v>
      </c>
      <c r="E1014" t="s">
        <v>197</v>
      </c>
      <c r="F1014" t="s">
        <v>197</v>
      </c>
      <c r="G1014" t="s">
        <v>197</v>
      </c>
      <c r="H1014" t="s">
        <v>197</v>
      </c>
      <c r="I1014" t="s">
        <v>197</v>
      </c>
      <c r="J1014" t="s">
        <v>197</v>
      </c>
      <c r="K1014" t="s">
        <v>963</v>
      </c>
    </row>
    <row r="1015" spans="1:24">
      <c r="K1015" t="s">
        <v>443</v>
      </c>
    </row>
    <row r="1016" spans="1:24">
      <c r="A1016" t="s">
        <v>1063</v>
      </c>
      <c r="K1016" t="s">
        <v>1064</v>
      </c>
      <c r="W1016" t="s">
        <v>171</v>
      </c>
      <c r="X1016" t="str">
        <f>A1016</f>
        <v>info_varbinary_dml_batch1_pk_irp2</v>
      </c>
    </row>
    <row r="1017" spans="1:24">
      <c r="B1017" t="s">
        <v>196</v>
      </c>
      <c r="C1017" t="s">
        <v>197</v>
      </c>
      <c r="D1017" t="s">
        <v>197</v>
      </c>
      <c r="E1017" t="s">
        <v>197</v>
      </c>
      <c r="F1017" t="s">
        <v>197</v>
      </c>
      <c r="G1017" t="s">
        <v>197</v>
      </c>
      <c r="H1017" t="s">
        <v>197</v>
      </c>
      <c r="I1017" t="s">
        <v>1065</v>
      </c>
      <c r="J1017" t="s">
        <v>199</v>
      </c>
      <c r="K1017" t="s">
        <v>200</v>
      </c>
    </row>
    <row r="1018" spans="1:24">
      <c r="B1018" t="s">
        <v>197</v>
      </c>
      <c r="C1018" t="s">
        <v>197</v>
      </c>
      <c r="D1018" t="s">
        <v>197</v>
      </c>
      <c r="E1018" t="s">
        <v>197</v>
      </c>
      <c r="F1018" t="s">
        <v>197</v>
      </c>
      <c r="G1018" t="s">
        <v>197</v>
      </c>
      <c r="H1018" t="s">
        <v>197</v>
      </c>
      <c r="I1018" t="s">
        <v>197</v>
      </c>
      <c r="J1018" t="s">
        <v>197</v>
      </c>
      <c r="K1018" t="s">
        <v>495</v>
      </c>
    </row>
    <row r="1019" spans="1:24">
      <c r="B1019" t="s">
        <v>197</v>
      </c>
      <c r="C1019" t="s">
        <v>197</v>
      </c>
      <c r="D1019" t="s">
        <v>197</v>
      </c>
      <c r="E1019" t="s">
        <v>197</v>
      </c>
      <c r="F1019" t="s">
        <v>197</v>
      </c>
      <c r="G1019" t="s">
        <v>197</v>
      </c>
      <c r="H1019" t="s">
        <v>197</v>
      </c>
      <c r="I1019" t="s">
        <v>197</v>
      </c>
      <c r="J1019" t="s">
        <v>197</v>
      </c>
      <c r="K1019" t="s">
        <v>499</v>
      </c>
    </row>
    <row r="1020" spans="1:24">
      <c r="B1020" t="s">
        <v>197</v>
      </c>
      <c r="C1020" t="s">
        <v>197</v>
      </c>
      <c r="D1020" t="s">
        <v>197</v>
      </c>
      <c r="E1020" t="s">
        <v>197</v>
      </c>
      <c r="F1020" t="s">
        <v>197</v>
      </c>
      <c r="G1020" t="s">
        <v>197</v>
      </c>
      <c r="H1020" t="s">
        <v>197</v>
      </c>
      <c r="I1020" t="s">
        <v>197</v>
      </c>
      <c r="J1020" t="s">
        <v>197</v>
      </c>
      <c r="K1020" t="s">
        <v>503</v>
      </c>
    </row>
    <row r="1021" spans="1:24">
      <c r="A1021" t="s">
        <v>1053</v>
      </c>
      <c r="K1021" t="s">
        <v>1054</v>
      </c>
      <c r="W1021" t="s">
        <v>171</v>
      </c>
      <c r="X1021" t="str">
        <f>A1021</f>
        <v>info_varchar_dml_single_pk_irp</v>
      </c>
    </row>
    <row r="1022" spans="1:24">
      <c r="B1022" t="s">
        <v>196</v>
      </c>
      <c r="C1022" t="s">
        <v>197</v>
      </c>
      <c r="D1022" t="s">
        <v>197</v>
      </c>
      <c r="E1022" t="s">
        <v>197</v>
      </c>
      <c r="F1022" t="s">
        <v>197</v>
      </c>
      <c r="G1022" t="s">
        <v>197</v>
      </c>
      <c r="H1022" t="s">
        <v>197</v>
      </c>
      <c r="I1022" t="s">
        <v>1055</v>
      </c>
      <c r="J1022" t="s">
        <v>199</v>
      </c>
      <c r="K1022" t="s">
        <v>200</v>
      </c>
    </row>
    <row r="1023" spans="1:24">
      <c r="B1023" t="s">
        <v>197</v>
      </c>
      <c r="C1023" t="s">
        <v>197</v>
      </c>
      <c r="D1023" t="s">
        <v>197</v>
      </c>
      <c r="E1023" t="s">
        <v>197</v>
      </c>
      <c r="F1023" t="s">
        <v>197</v>
      </c>
      <c r="G1023" t="s">
        <v>197</v>
      </c>
      <c r="H1023" t="s">
        <v>197</v>
      </c>
      <c r="I1023" t="s">
        <v>197</v>
      </c>
      <c r="J1023" t="s">
        <v>197</v>
      </c>
      <c r="K1023" t="s">
        <v>431</v>
      </c>
    </row>
    <row r="1024" spans="1:24">
      <c r="B1024" t="s">
        <v>197</v>
      </c>
      <c r="C1024" t="s">
        <v>197</v>
      </c>
      <c r="D1024" t="s">
        <v>197</v>
      </c>
      <c r="E1024" t="s">
        <v>197</v>
      </c>
      <c r="F1024" t="s">
        <v>197</v>
      </c>
      <c r="G1024" t="s">
        <v>197</v>
      </c>
      <c r="H1024" t="s">
        <v>197</v>
      </c>
      <c r="I1024" t="s">
        <v>197</v>
      </c>
      <c r="J1024" t="s">
        <v>197</v>
      </c>
      <c r="K1024" t="s">
        <v>1056</v>
      </c>
    </row>
    <row r="1025" spans="1:24">
      <c r="B1025" t="s">
        <v>197</v>
      </c>
      <c r="C1025" t="s">
        <v>197</v>
      </c>
      <c r="D1025" t="s">
        <v>197</v>
      </c>
      <c r="E1025" t="s">
        <v>197</v>
      </c>
      <c r="F1025" t="s">
        <v>197</v>
      </c>
      <c r="G1025" t="s">
        <v>197</v>
      </c>
      <c r="H1025" t="s">
        <v>197</v>
      </c>
      <c r="I1025" t="s">
        <v>197</v>
      </c>
      <c r="J1025" t="s">
        <v>197</v>
      </c>
      <c r="K1025" t="s">
        <v>963</v>
      </c>
    </row>
    <row r="1026" spans="1:24">
      <c r="A1026" t="s">
        <v>1066</v>
      </c>
      <c r="K1026" t="s">
        <v>1067</v>
      </c>
      <c r="W1026" s="1" t="str">
        <f>HYPERLINK("#2026042017hbase1!AB2","NO 源备存在差异，共2个")</f>
        <v>NO 源备存在差异，共2个</v>
      </c>
      <c r="X1026" t="str">
        <f>A1026</f>
        <v>info_sql_variant_dml_single_pk_urp</v>
      </c>
    </row>
    <row r="1027" spans="1:24">
      <c r="B1027" t="s">
        <v>196</v>
      </c>
      <c r="C1027" t="s">
        <v>197</v>
      </c>
      <c r="D1027" t="s">
        <v>197</v>
      </c>
      <c r="E1027" t="s">
        <v>197</v>
      </c>
      <c r="F1027" t="s">
        <v>197</v>
      </c>
      <c r="G1027" t="s">
        <v>197</v>
      </c>
      <c r="H1027" t="s">
        <v>197</v>
      </c>
      <c r="I1027" t="s">
        <v>1068</v>
      </c>
      <c r="J1027" t="s">
        <v>199</v>
      </c>
      <c r="K1027" t="s">
        <v>200</v>
      </c>
    </row>
    <row r="1028" spans="1:24">
      <c r="B1028" t="s">
        <v>197</v>
      </c>
      <c r="C1028" t="s">
        <v>197</v>
      </c>
      <c r="D1028" t="s">
        <v>197</v>
      </c>
      <c r="E1028" t="s">
        <v>197</v>
      </c>
      <c r="F1028" t="s">
        <v>197</v>
      </c>
      <c r="G1028" t="s">
        <v>197</v>
      </c>
      <c r="H1028" t="s">
        <v>197</v>
      </c>
      <c r="I1028" t="s">
        <v>197</v>
      </c>
      <c r="J1028" t="s">
        <v>197</v>
      </c>
      <c r="K1028" t="s">
        <v>1006</v>
      </c>
    </row>
    <row r="1029" spans="1:24">
      <c r="B1029" t="s">
        <v>197</v>
      </c>
      <c r="C1029" t="s">
        <v>197</v>
      </c>
      <c r="D1029" t="s">
        <v>197</v>
      </c>
      <c r="E1029" t="s">
        <v>197</v>
      </c>
      <c r="F1029" t="s">
        <v>197</v>
      </c>
      <c r="G1029" t="s">
        <v>197</v>
      </c>
      <c r="H1029" t="s">
        <v>197</v>
      </c>
      <c r="I1029" t="s">
        <v>197</v>
      </c>
      <c r="J1029" t="s">
        <v>197</v>
      </c>
      <c r="K1029" t="s">
        <v>1007</v>
      </c>
    </row>
    <row r="1030" spans="1:24">
      <c r="B1030" t="s">
        <v>197</v>
      </c>
      <c r="C1030" t="s">
        <v>197</v>
      </c>
      <c r="D1030" t="s">
        <v>197</v>
      </c>
      <c r="E1030" t="s">
        <v>197</v>
      </c>
      <c r="F1030" t="s">
        <v>197</v>
      </c>
      <c r="G1030" t="s">
        <v>197</v>
      </c>
      <c r="H1030" t="s">
        <v>197</v>
      </c>
      <c r="I1030" t="s">
        <v>197</v>
      </c>
      <c r="J1030" t="s">
        <v>197</v>
      </c>
      <c r="K1030" t="s">
        <v>1008</v>
      </c>
    </row>
    <row r="1031" spans="1:24">
      <c r="B1031" t="s">
        <v>197</v>
      </c>
      <c r="C1031" t="s">
        <v>197</v>
      </c>
      <c r="D1031" t="s">
        <v>197</v>
      </c>
      <c r="E1031" t="s">
        <v>197</v>
      </c>
      <c r="F1031" t="s">
        <v>197</v>
      </c>
      <c r="G1031" t="s">
        <v>197</v>
      </c>
      <c r="H1031" t="s">
        <v>197</v>
      </c>
      <c r="I1031" t="s">
        <v>197</v>
      </c>
      <c r="J1031" t="s">
        <v>197</v>
      </c>
      <c r="K1031" t="s">
        <v>1009</v>
      </c>
    </row>
    <row r="1032" spans="1:24">
      <c r="B1032" t="s">
        <v>197</v>
      </c>
      <c r="C1032" t="s">
        <v>197</v>
      </c>
      <c r="D1032" t="s">
        <v>197</v>
      </c>
      <c r="E1032" t="s">
        <v>197</v>
      </c>
      <c r="F1032" t="s">
        <v>197</v>
      </c>
      <c r="G1032" t="s">
        <v>197</v>
      </c>
      <c r="H1032" t="s">
        <v>197</v>
      </c>
      <c r="I1032" t="s">
        <v>197</v>
      </c>
      <c r="J1032" t="s">
        <v>197</v>
      </c>
      <c r="K1032" t="s">
        <v>1010</v>
      </c>
    </row>
    <row r="1033" spans="1:24">
      <c r="B1033" t="s">
        <v>197</v>
      </c>
      <c r="C1033" t="s">
        <v>197</v>
      </c>
      <c r="D1033" t="s">
        <v>197</v>
      </c>
      <c r="E1033" t="s">
        <v>197</v>
      </c>
      <c r="F1033" t="s">
        <v>197</v>
      </c>
      <c r="G1033" t="s">
        <v>197</v>
      </c>
      <c r="H1033" t="s">
        <v>197</v>
      </c>
      <c r="I1033" t="s">
        <v>197</v>
      </c>
      <c r="J1033" t="s">
        <v>197</v>
      </c>
      <c r="K1033" t="s">
        <v>1011</v>
      </c>
    </row>
    <row r="1034" spans="1:24">
      <c r="B1034" t="s">
        <v>197</v>
      </c>
      <c r="C1034" t="s">
        <v>197</v>
      </c>
      <c r="D1034" t="s">
        <v>197</v>
      </c>
      <c r="E1034" t="s">
        <v>197</v>
      </c>
      <c r="F1034" t="s">
        <v>197</v>
      </c>
      <c r="G1034" t="s">
        <v>197</v>
      </c>
      <c r="H1034" t="s">
        <v>197</v>
      </c>
      <c r="I1034" t="s">
        <v>197</v>
      </c>
      <c r="J1034" t="s">
        <v>197</v>
      </c>
      <c r="K1034" t="s">
        <v>1012</v>
      </c>
    </row>
    <row r="1035" spans="1:24">
      <c r="B1035" t="s">
        <v>197</v>
      </c>
      <c r="C1035" t="s">
        <v>197</v>
      </c>
      <c r="D1035" t="s">
        <v>197</v>
      </c>
      <c r="E1035" t="s">
        <v>197</v>
      </c>
      <c r="F1035" t="s">
        <v>197</v>
      </c>
      <c r="G1035" t="s">
        <v>197</v>
      </c>
      <c r="H1035" t="s">
        <v>197</v>
      </c>
      <c r="I1035" t="s">
        <v>197</v>
      </c>
      <c r="J1035" t="s">
        <v>197</v>
      </c>
      <c r="K1035" t="s">
        <v>1013</v>
      </c>
    </row>
    <row r="1036" spans="1:24">
      <c r="B1036" t="s">
        <v>197</v>
      </c>
      <c r="C1036" t="s">
        <v>197</v>
      </c>
      <c r="D1036" t="s">
        <v>197</v>
      </c>
      <c r="E1036" t="s">
        <v>197</v>
      </c>
      <c r="F1036" t="s">
        <v>197</v>
      </c>
      <c r="G1036" t="s">
        <v>197</v>
      </c>
      <c r="H1036" t="s">
        <v>197</v>
      </c>
      <c r="I1036" t="s">
        <v>197</v>
      </c>
      <c r="J1036" t="s">
        <v>197</v>
      </c>
      <c r="K1036" t="s">
        <v>1014</v>
      </c>
    </row>
    <row r="1037" spans="1:24">
      <c r="B1037" t="s">
        <v>197</v>
      </c>
      <c r="C1037" t="s">
        <v>197</v>
      </c>
      <c r="D1037" t="s">
        <v>197</v>
      </c>
      <c r="E1037" t="s">
        <v>197</v>
      </c>
      <c r="F1037" t="s">
        <v>197</v>
      </c>
      <c r="G1037" t="s">
        <v>197</v>
      </c>
      <c r="H1037" t="s">
        <v>197</v>
      </c>
      <c r="I1037" t="s">
        <v>197</v>
      </c>
      <c r="J1037" t="s">
        <v>197</v>
      </c>
      <c r="K1037" t="s">
        <v>1015</v>
      </c>
    </row>
    <row r="1038" spans="1:24">
      <c r="B1038" t="s">
        <v>197</v>
      </c>
      <c r="C1038" t="s">
        <v>197</v>
      </c>
      <c r="D1038" t="s">
        <v>197</v>
      </c>
      <c r="E1038" t="s">
        <v>197</v>
      </c>
      <c r="F1038" t="s">
        <v>197</v>
      </c>
      <c r="G1038" t="s">
        <v>197</v>
      </c>
      <c r="H1038" t="s">
        <v>197</v>
      </c>
      <c r="I1038" t="s">
        <v>197</v>
      </c>
      <c r="J1038" t="s">
        <v>197</v>
      </c>
      <c r="K1038" t="s">
        <v>1016</v>
      </c>
    </row>
    <row r="1039" spans="1:24">
      <c r="B1039" t="s">
        <v>197</v>
      </c>
      <c r="C1039" t="s">
        <v>197</v>
      </c>
      <c r="D1039" t="s">
        <v>197</v>
      </c>
      <c r="E1039" t="s">
        <v>197</v>
      </c>
      <c r="F1039" t="s">
        <v>197</v>
      </c>
      <c r="G1039" t="s">
        <v>197</v>
      </c>
      <c r="H1039" t="s">
        <v>197</v>
      </c>
      <c r="I1039" t="s">
        <v>197</v>
      </c>
      <c r="J1039" t="s">
        <v>197</v>
      </c>
      <c r="K1039" t="s">
        <v>1017</v>
      </c>
    </row>
    <row r="1040" spans="1:24">
      <c r="B1040" t="s">
        <v>197</v>
      </c>
      <c r="C1040" t="s">
        <v>197</v>
      </c>
      <c r="D1040" t="s">
        <v>197</v>
      </c>
      <c r="E1040" t="s">
        <v>197</v>
      </c>
      <c r="F1040" t="s">
        <v>197</v>
      </c>
      <c r="G1040" t="s">
        <v>197</v>
      </c>
      <c r="H1040" t="s">
        <v>197</v>
      </c>
      <c r="I1040" t="s">
        <v>197</v>
      </c>
      <c r="J1040" t="s">
        <v>197</v>
      </c>
      <c r="K1040" t="s">
        <v>1018</v>
      </c>
    </row>
    <row r="1041" spans="1:24">
      <c r="B1041" t="s">
        <v>197</v>
      </c>
      <c r="C1041" t="s">
        <v>197</v>
      </c>
      <c r="D1041" t="s">
        <v>197</v>
      </c>
      <c r="E1041" t="s">
        <v>197</v>
      </c>
      <c r="F1041" t="s">
        <v>197</v>
      </c>
      <c r="G1041" t="s">
        <v>197</v>
      </c>
      <c r="H1041" t="s">
        <v>197</v>
      </c>
      <c r="I1041" t="s">
        <v>197</v>
      </c>
      <c r="J1041" t="s">
        <v>197</v>
      </c>
      <c r="K1041" t="s">
        <v>1019</v>
      </c>
    </row>
    <row r="1042" spans="1:24">
      <c r="B1042" t="s">
        <v>197</v>
      </c>
      <c r="C1042" t="s">
        <v>197</v>
      </c>
      <c r="D1042" t="s">
        <v>197</v>
      </c>
      <c r="E1042" t="s">
        <v>197</v>
      </c>
      <c r="F1042" t="s">
        <v>197</v>
      </c>
      <c r="G1042" t="s">
        <v>197</v>
      </c>
      <c r="H1042" t="s">
        <v>197</v>
      </c>
      <c r="I1042" t="s">
        <v>197</v>
      </c>
      <c r="J1042" t="s">
        <v>197</v>
      </c>
      <c r="K1042" t="s">
        <v>1020</v>
      </c>
    </row>
    <row r="1043" spans="1:24">
      <c r="B1043" t="s">
        <v>197</v>
      </c>
      <c r="C1043" t="s">
        <v>197</v>
      </c>
      <c r="D1043" t="s">
        <v>197</v>
      </c>
      <c r="E1043" t="s">
        <v>197</v>
      </c>
      <c r="F1043" t="s">
        <v>197</v>
      </c>
      <c r="G1043" t="s">
        <v>197</v>
      </c>
      <c r="H1043" t="s">
        <v>197</v>
      </c>
      <c r="I1043" t="s">
        <v>197</v>
      </c>
      <c r="J1043" t="s">
        <v>197</v>
      </c>
      <c r="K1043" t="s">
        <v>1021</v>
      </c>
    </row>
    <row r="1044" spans="1:24">
      <c r="B1044" t="s">
        <v>197</v>
      </c>
      <c r="C1044" t="s">
        <v>197</v>
      </c>
      <c r="D1044" t="s">
        <v>197</v>
      </c>
      <c r="E1044" t="s">
        <v>197</v>
      </c>
      <c r="F1044" t="s">
        <v>197</v>
      </c>
      <c r="G1044" t="s">
        <v>197</v>
      </c>
      <c r="H1044" t="s">
        <v>197</v>
      </c>
      <c r="I1044" t="s">
        <v>197</v>
      </c>
      <c r="J1044" t="s">
        <v>197</v>
      </c>
      <c r="K1044" t="s">
        <v>1022</v>
      </c>
    </row>
    <row r="1045" spans="1:24">
      <c r="B1045" t="s">
        <v>197</v>
      </c>
      <c r="C1045" t="s">
        <v>197</v>
      </c>
      <c r="D1045" t="s">
        <v>197</v>
      </c>
      <c r="E1045" t="s">
        <v>197</v>
      </c>
      <c r="F1045" t="s">
        <v>197</v>
      </c>
      <c r="G1045" t="s">
        <v>197</v>
      </c>
      <c r="H1045" t="s">
        <v>197</v>
      </c>
      <c r="I1045" t="s">
        <v>197</v>
      </c>
      <c r="J1045" t="s">
        <v>197</v>
      </c>
      <c r="K1045" t="s">
        <v>1023</v>
      </c>
    </row>
    <row r="1046" spans="1:24">
      <c r="B1046" t="s">
        <v>197</v>
      </c>
      <c r="C1046" t="s">
        <v>197</v>
      </c>
      <c r="D1046" t="s">
        <v>197</v>
      </c>
      <c r="E1046" t="s">
        <v>197</v>
      </c>
      <c r="F1046" t="s">
        <v>197</v>
      </c>
      <c r="G1046" t="s">
        <v>197</v>
      </c>
      <c r="H1046" t="s">
        <v>197</v>
      </c>
      <c r="I1046" t="s">
        <v>197</v>
      </c>
      <c r="J1046" t="s">
        <v>197</v>
      </c>
      <c r="K1046" t="s">
        <v>1024</v>
      </c>
    </row>
    <row r="1047" spans="1:24">
      <c r="B1047" t="s">
        <v>197</v>
      </c>
      <c r="C1047" t="s">
        <v>197</v>
      </c>
      <c r="D1047" t="s">
        <v>197</v>
      </c>
      <c r="E1047" t="s">
        <v>197</v>
      </c>
      <c r="F1047" t="s">
        <v>197</v>
      </c>
      <c r="G1047" t="s">
        <v>197</v>
      </c>
      <c r="H1047" t="s">
        <v>197</v>
      </c>
      <c r="I1047" t="s">
        <v>197</v>
      </c>
      <c r="J1047" t="s">
        <v>197</v>
      </c>
      <c r="K1047" t="s">
        <v>1025</v>
      </c>
    </row>
    <row r="1048" spans="1:24">
      <c r="B1048" t="s">
        <v>197</v>
      </c>
      <c r="C1048" t="s">
        <v>197</v>
      </c>
      <c r="D1048" t="s">
        <v>197</v>
      </c>
      <c r="E1048" t="s">
        <v>197</v>
      </c>
      <c r="F1048" t="s">
        <v>197</v>
      </c>
      <c r="G1048" t="s">
        <v>197</v>
      </c>
      <c r="H1048" t="s">
        <v>197</v>
      </c>
      <c r="I1048" t="s">
        <v>197</v>
      </c>
      <c r="J1048" t="s">
        <v>197</v>
      </c>
      <c r="K1048" t="s">
        <v>1026</v>
      </c>
    </row>
    <row r="1049" spans="1:24">
      <c r="B1049" t="s">
        <v>197</v>
      </c>
      <c r="C1049" t="s">
        <v>197</v>
      </c>
      <c r="D1049" t="s">
        <v>197</v>
      </c>
      <c r="E1049" t="s">
        <v>197</v>
      </c>
      <c r="F1049" t="s">
        <v>197</v>
      </c>
      <c r="G1049" t="s">
        <v>197</v>
      </c>
      <c r="H1049" t="s">
        <v>197</v>
      </c>
      <c r="I1049" t="s">
        <v>197</v>
      </c>
      <c r="J1049" t="s">
        <v>197</v>
      </c>
      <c r="K1049" t="s">
        <v>1027</v>
      </c>
    </row>
    <row r="1050" spans="1:24">
      <c r="B1050" t="s">
        <v>197</v>
      </c>
      <c r="C1050" t="s">
        <v>197</v>
      </c>
      <c r="D1050" t="s">
        <v>197</v>
      </c>
      <c r="E1050" t="s">
        <v>197</v>
      </c>
      <c r="F1050" t="s">
        <v>197</v>
      </c>
      <c r="G1050" t="s">
        <v>197</v>
      </c>
      <c r="H1050" t="s">
        <v>197</v>
      </c>
      <c r="I1050" t="s">
        <v>197</v>
      </c>
      <c r="J1050" t="s">
        <v>197</v>
      </c>
      <c r="K1050" t="s">
        <v>1028</v>
      </c>
    </row>
    <row r="1051" spans="1:24">
      <c r="B1051" t="s">
        <v>197</v>
      </c>
      <c r="C1051" t="s">
        <v>197</v>
      </c>
      <c r="D1051" t="s">
        <v>197</v>
      </c>
      <c r="E1051" t="s">
        <v>197</v>
      </c>
      <c r="F1051" t="s">
        <v>197</v>
      </c>
      <c r="G1051" t="s">
        <v>197</v>
      </c>
      <c r="H1051" t="s">
        <v>197</v>
      </c>
      <c r="I1051" t="s">
        <v>197</v>
      </c>
      <c r="J1051" t="s">
        <v>197</v>
      </c>
      <c r="K1051" t="s">
        <v>1029</v>
      </c>
    </row>
    <row r="1052" spans="1:24">
      <c r="A1052" t="s">
        <v>1069</v>
      </c>
      <c r="K1052" t="s">
        <v>1070</v>
      </c>
      <c r="W1052" t="s">
        <v>171</v>
      </c>
      <c r="X1052" t="str">
        <f>A1052</f>
        <v>info_varchar_dml_batch2_pk_irp2</v>
      </c>
    </row>
    <row r="1053" spans="1:24">
      <c r="B1053" t="s">
        <v>196</v>
      </c>
      <c r="C1053" t="s">
        <v>197</v>
      </c>
      <c r="D1053" t="s">
        <v>197</v>
      </c>
      <c r="E1053" t="s">
        <v>197</v>
      </c>
      <c r="F1053" t="s">
        <v>197</v>
      </c>
      <c r="G1053" t="s">
        <v>197</v>
      </c>
      <c r="H1053" t="s">
        <v>197</v>
      </c>
      <c r="I1053" t="s">
        <v>1071</v>
      </c>
      <c r="J1053" t="s">
        <v>199</v>
      </c>
      <c r="K1053" t="s">
        <v>200</v>
      </c>
    </row>
    <row r="1054" spans="1:24">
      <c r="B1054" t="s">
        <v>197</v>
      </c>
      <c r="C1054" t="s">
        <v>197</v>
      </c>
      <c r="D1054" t="s">
        <v>197</v>
      </c>
      <c r="E1054" t="s">
        <v>197</v>
      </c>
      <c r="F1054" t="s">
        <v>197</v>
      </c>
      <c r="G1054" t="s">
        <v>197</v>
      </c>
      <c r="H1054" t="s">
        <v>197</v>
      </c>
      <c r="I1054" t="s">
        <v>197</v>
      </c>
      <c r="J1054" t="s">
        <v>197</v>
      </c>
      <c r="K1054" t="s">
        <v>431</v>
      </c>
    </row>
    <row r="1055" spans="1:24">
      <c r="B1055" t="s">
        <v>197</v>
      </c>
      <c r="C1055" t="s">
        <v>197</v>
      </c>
      <c r="D1055" t="s">
        <v>197</v>
      </c>
      <c r="E1055" t="s">
        <v>197</v>
      </c>
      <c r="F1055" t="s">
        <v>197</v>
      </c>
      <c r="G1055" t="s">
        <v>197</v>
      </c>
      <c r="H1055" t="s">
        <v>197</v>
      </c>
      <c r="I1055" t="s">
        <v>197</v>
      </c>
      <c r="J1055" t="s">
        <v>197</v>
      </c>
      <c r="K1055" t="s">
        <v>434</v>
      </c>
    </row>
    <row r="1056" spans="1:24">
      <c r="B1056" t="s">
        <v>197</v>
      </c>
      <c r="C1056" t="s">
        <v>197</v>
      </c>
      <c r="D1056" t="s">
        <v>197</v>
      </c>
      <c r="E1056" t="s">
        <v>197</v>
      </c>
      <c r="F1056" t="s">
        <v>197</v>
      </c>
      <c r="G1056" t="s">
        <v>197</v>
      </c>
      <c r="H1056" t="s">
        <v>197</v>
      </c>
      <c r="I1056" t="s">
        <v>197</v>
      </c>
      <c r="J1056" t="s">
        <v>197</v>
      </c>
      <c r="K1056" t="s">
        <v>963</v>
      </c>
    </row>
    <row r="1057" spans="1:24">
      <c r="K1057" t="s">
        <v>443</v>
      </c>
    </row>
    <row r="1058" spans="1:24">
      <c r="A1058" t="s">
        <v>1072</v>
      </c>
      <c r="K1058" t="s">
        <v>1073</v>
      </c>
      <c r="W1058" s="1" t="str">
        <f>HYPERLINK("#2026042017hbase1!AC2","NO 源备存在差异，共2个")</f>
        <v>NO 源备存在差异，共2个</v>
      </c>
      <c r="X1058" t="str">
        <f>A1058</f>
        <v>info_sql_variant_dml_single_pk_drp</v>
      </c>
    </row>
    <row r="1059" spans="1:24">
      <c r="B1059" t="s">
        <v>196</v>
      </c>
      <c r="C1059" t="s">
        <v>197</v>
      </c>
      <c r="D1059" t="s">
        <v>197</v>
      </c>
      <c r="E1059" t="s">
        <v>197</v>
      </c>
      <c r="F1059" t="s">
        <v>197</v>
      </c>
      <c r="G1059" t="s">
        <v>197</v>
      </c>
      <c r="H1059" t="s">
        <v>197</v>
      </c>
      <c r="I1059" t="s">
        <v>1074</v>
      </c>
      <c r="J1059" t="s">
        <v>199</v>
      </c>
      <c r="K1059" t="s">
        <v>200</v>
      </c>
    </row>
    <row r="1060" spans="1:24">
      <c r="B1060" t="s">
        <v>197</v>
      </c>
      <c r="C1060" t="s">
        <v>197</v>
      </c>
      <c r="D1060" t="s">
        <v>197</v>
      </c>
      <c r="E1060" t="s">
        <v>197</v>
      </c>
      <c r="F1060" t="s">
        <v>197</v>
      </c>
      <c r="G1060" t="s">
        <v>197</v>
      </c>
      <c r="H1060" t="s">
        <v>197</v>
      </c>
      <c r="I1060" t="s">
        <v>197</v>
      </c>
      <c r="J1060" t="s">
        <v>197</v>
      </c>
      <c r="K1060" t="s">
        <v>1006</v>
      </c>
    </row>
    <row r="1061" spans="1:24">
      <c r="B1061" t="s">
        <v>197</v>
      </c>
      <c r="C1061" t="s">
        <v>197</v>
      </c>
      <c r="D1061" t="s">
        <v>197</v>
      </c>
      <c r="E1061" t="s">
        <v>197</v>
      </c>
      <c r="F1061" t="s">
        <v>197</v>
      </c>
      <c r="G1061" t="s">
        <v>197</v>
      </c>
      <c r="H1061" t="s">
        <v>197</v>
      </c>
      <c r="I1061" t="s">
        <v>197</v>
      </c>
      <c r="J1061" t="s">
        <v>197</v>
      </c>
      <c r="K1061" t="s">
        <v>1007</v>
      </c>
    </row>
    <row r="1062" spans="1:24">
      <c r="B1062" t="s">
        <v>197</v>
      </c>
      <c r="C1062" t="s">
        <v>197</v>
      </c>
      <c r="D1062" t="s">
        <v>197</v>
      </c>
      <c r="E1062" t="s">
        <v>197</v>
      </c>
      <c r="F1062" t="s">
        <v>197</v>
      </c>
      <c r="G1062" t="s">
        <v>197</v>
      </c>
      <c r="H1062" t="s">
        <v>197</v>
      </c>
      <c r="I1062" t="s">
        <v>197</v>
      </c>
      <c r="J1062" t="s">
        <v>197</v>
      </c>
      <c r="K1062" t="s">
        <v>1008</v>
      </c>
    </row>
    <row r="1063" spans="1:24">
      <c r="B1063" t="s">
        <v>197</v>
      </c>
      <c r="C1063" t="s">
        <v>197</v>
      </c>
      <c r="D1063" t="s">
        <v>197</v>
      </c>
      <c r="E1063" t="s">
        <v>197</v>
      </c>
      <c r="F1063" t="s">
        <v>197</v>
      </c>
      <c r="G1063" t="s">
        <v>197</v>
      </c>
      <c r="H1063" t="s">
        <v>197</v>
      </c>
      <c r="I1063" t="s">
        <v>197</v>
      </c>
      <c r="J1063" t="s">
        <v>197</v>
      </c>
      <c r="K1063" t="s">
        <v>1009</v>
      </c>
    </row>
    <row r="1064" spans="1:24">
      <c r="B1064" t="s">
        <v>197</v>
      </c>
      <c r="C1064" t="s">
        <v>197</v>
      </c>
      <c r="D1064" t="s">
        <v>197</v>
      </c>
      <c r="E1064" t="s">
        <v>197</v>
      </c>
      <c r="F1064" t="s">
        <v>197</v>
      </c>
      <c r="G1064" t="s">
        <v>197</v>
      </c>
      <c r="H1064" t="s">
        <v>197</v>
      </c>
      <c r="I1064" t="s">
        <v>197</v>
      </c>
      <c r="J1064" t="s">
        <v>197</v>
      </c>
      <c r="K1064" t="s">
        <v>1010</v>
      </c>
    </row>
    <row r="1065" spans="1:24">
      <c r="B1065" t="s">
        <v>197</v>
      </c>
      <c r="C1065" t="s">
        <v>197</v>
      </c>
      <c r="D1065" t="s">
        <v>197</v>
      </c>
      <c r="E1065" t="s">
        <v>197</v>
      </c>
      <c r="F1065" t="s">
        <v>197</v>
      </c>
      <c r="G1065" t="s">
        <v>197</v>
      </c>
      <c r="H1065" t="s">
        <v>197</v>
      </c>
      <c r="I1065" t="s">
        <v>197</v>
      </c>
      <c r="J1065" t="s">
        <v>197</v>
      </c>
      <c r="K1065" t="s">
        <v>1011</v>
      </c>
    </row>
    <row r="1066" spans="1:24">
      <c r="B1066" t="s">
        <v>197</v>
      </c>
      <c r="C1066" t="s">
        <v>197</v>
      </c>
      <c r="D1066" t="s">
        <v>197</v>
      </c>
      <c r="E1066" t="s">
        <v>197</v>
      </c>
      <c r="F1066" t="s">
        <v>197</v>
      </c>
      <c r="G1066" t="s">
        <v>197</v>
      </c>
      <c r="H1066" t="s">
        <v>197</v>
      </c>
      <c r="I1066" t="s">
        <v>197</v>
      </c>
      <c r="J1066" t="s">
        <v>197</v>
      </c>
      <c r="K1066" t="s">
        <v>1012</v>
      </c>
    </row>
    <row r="1067" spans="1:24">
      <c r="B1067" t="s">
        <v>197</v>
      </c>
      <c r="C1067" t="s">
        <v>197</v>
      </c>
      <c r="D1067" t="s">
        <v>197</v>
      </c>
      <c r="E1067" t="s">
        <v>197</v>
      </c>
      <c r="F1067" t="s">
        <v>197</v>
      </c>
      <c r="G1067" t="s">
        <v>197</v>
      </c>
      <c r="H1067" t="s">
        <v>197</v>
      </c>
      <c r="I1067" t="s">
        <v>197</v>
      </c>
      <c r="J1067" t="s">
        <v>197</v>
      </c>
      <c r="K1067" t="s">
        <v>1013</v>
      </c>
    </row>
    <row r="1068" spans="1:24">
      <c r="B1068" t="s">
        <v>197</v>
      </c>
      <c r="C1068" t="s">
        <v>197</v>
      </c>
      <c r="D1068" t="s">
        <v>197</v>
      </c>
      <c r="E1068" t="s">
        <v>197</v>
      </c>
      <c r="F1068" t="s">
        <v>197</v>
      </c>
      <c r="G1068" t="s">
        <v>197</v>
      </c>
      <c r="H1068" t="s">
        <v>197</v>
      </c>
      <c r="I1068" t="s">
        <v>197</v>
      </c>
      <c r="J1068" t="s">
        <v>197</v>
      </c>
      <c r="K1068" t="s">
        <v>1014</v>
      </c>
    </row>
    <row r="1069" spans="1:24">
      <c r="B1069" t="s">
        <v>197</v>
      </c>
      <c r="C1069" t="s">
        <v>197</v>
      </c>
      <c r="D1069" t="s">
        <v>197</v>
      </c>
      <c r="E1069" t="s">
        <v>197</v>
      </c>
      <c r="F1069" t="s">
        <v>197</v>
      </c>
      <c r="G1069" t="s">
        <v>197</v>
      </c>
      <c r="H1069" t="s">
        <v>197</v>
      </c>
      <c r="I1069" t="s">
        <v>197</v>
      </c>
      <c r="J1069" t="s">
        <v>197</v>
      </c>
      <c r="K1069" t="s">
        <v>1015</v>
      </c>
    </row>
    <row r="1070" spans="1:24">
      <c r="B1070" t="s">
        <v>197</v>
      </c>
      <c r="C1070" t="s">
        <v>197</v>
      </c>
      <c r="D1070" t="s">
        <v>197</v>
      </c>
      <c r="E1070" t="s">
        <v>197</v>
      </c>
      <c r="F1070" t="s">
        <v>197</v>
      </c>
      <c r="G1070" t="s">
        <v>197</v>
      </c>
      <c r="H1070" t="s">
        <v>197</v>
      </c>
      <c r="I1070" t="s">
        <v>197</v>
      </c>
      <c r="J1070" t="s">
        <v>197</v>
      </c>
      <c r="K1070" t="s">
        <v>1016</v>
      </c>
    </row>
    <row r="1071" spans="1:24">
      <c r="B1071" t="s">
        <v>197</v>
      </c>
      <c r="C1071" t="s">
        <v>197</v>
      </c>
      <c r="D1071" t="s">
        <v>197</v>
      </c>
      <c r="E1071" t="s">
        <v>197</v>
      </c>
      <c r="F1071" t="s">
        <v>197</v>
      </c>
      <c r="G1071" t="s">
        <v>197</v>
      </c>
      <c r="H1071" t="s">
        <v>197</v>
      </c>
      <c r="I1071" t="s">
        <v>197</v>
      </c>
      <c r="J1071" t="s">
        <v>197</v>
      </c>
      <c r="K1071" t="s">
        <v>1017</v>
      </c>
    </row>
    <row r="1072" spans="1:24">
      <c r="B1072" t="s">
        <v>197</v>
      </c>
      <c r="C1072" t="s">
        <v>197</v>
      </c>
      <c r="D1072" t="s">
        <v>197</v>
      </c>
      <c r="E1072" t="s">
        <v>197</v>
      </c>
      <c r="F1072" t="s">
        <v>197</v>
      </c>
      <c r="G1072" t="s">
        <v>197</v>
      </c>
      <c r="H1072" t="s">
        <v>197</v>
      </c>
      <c r="I1072" t="s">
        <v>197</v>
      </c>
      <c r="J1072" t="s">
        <v>197</v>
      </c>
      <c r="K1072" t="s">
        <v>1018</v>
      </c>
    </row>
    <row r="1073" spans="1:24">
      <c r="B1073" t="s">
        <v>197</v>
      </c>
      <c r="C1073" t="s">
        <v>197</v>
      </c>
      <c r="D1073" t="s">
        <v>197</v>
      </c>
      <c r="E1073" t="s">
        <v>197</v>
      </c>
      <c r="F1073" t="s">
        <v>197</v>
      </c>
      <c r="G1073" t="s">
        <v>197</v>
      </c>
      <c r="H1073" t="s">
        <v>197</v>
      </c>
      <c r="I1073" t="s">
        <v>197</v>
      </c>
      <c r="J1073" t="s">
        <v>197</v>
      </c>
      <c r="K1073" t="s">
        <v>1019</v>
      </c>
    </row>
    <row r="1074" spans="1:24">
      <c r="B1074" t="s">
        <v>197</v>
      </c>
      <c r="C1074" t="s">
        <v>197</v>
      </c>
      <c r="D1074" t="s">
        <v>197</v>
      </c>
      <c r="E1074" t="s">
        <v>197</v>
      </c>
      <c r="F1074" t="s">
        <v>197</v>
      </c>
      <c r="G1074" t="s">
        <v>197</v>
      </c>
      <c r="H1074" t="s">
        <v>197</v>
      </c>
      <c r="I1074" t="s">
        <v>197</v>
      </c>
      <c r="J1074" t="s">
        <v>197</v>
      </c>
      <c r="K1074" t="s">
        <v>1020</v>
      </c>
    </row>
    <row r="1075" spans="1:24">
      <c r="B1075" t="s">
        <v>197</v>
      </c>
      <c r="C1075" t="s">
        <v>197</v>
      </c>
      <c r="D1075" t="s">
        <v>197</v>
      </c>
      <c r="E1075" t="s">
        <v>197</v>
      </c>
      <c r="F1075" t="s">
        <v>197</v>
      </c>
      <c r="G1075" t="s">
        <v>197</v>
      </c>
      <c r="H1075" t="s">
        <v>197</v>
      </c>
      <c r="I1075" t="s">
        <v>197</v>
      </c>
      <c r="J1075" t="s">
        <v>197</v>
      </c>
      <c r="K1075" t="s">
        <v>1021</v>
      </c>
    </row>
    <row r="1076" spans="1:24">
      <c r="B1076" t="s">
        <v>197</v>
      </c>
      <c r="C1076" t="s">
        <v>197</v>
      </c>
      <c r="D1076" t="s">
        <v>197</v>
      </c>
      <c r="E1076" t="s">
        <v>197</v>
      </c>
      <c r="F1076" t="s">
        <v>197</v>
      </c>
      <c r="G1076" t="s">
        <v>197</v>
      </c>
      <c r="H1076" t="s">
        <v>197</v>
      </c>
      <c r="I1076" t="s">
        <v>197</v>
      </c>
      <c r="J1076" t="s">
        <v>197</v>
      </c>
      <c r="K1076" t="s">
        <v>1022</v>
      </c>
    </row>
    <row r="1077" spans="1:24">
      <c r="B1077" t="s">
        <v>197</v>
      </c>
      <c r="C1077" t="s">
        <v>197</v>
      </c>
      <c r="D1077" t="s">
        <v>197</v>
      </c>
      <c r="E1077" t="s">
        <v>197</v>
      </c>
      <c r="F1077" t="s">
        <v>197</v>
      </c>
      <c r="G1077" t="s">
        <v>197</v>
      </c>
      <c r="H1077" t="s">
        <v>197</v>
      </c>
      <c r="I1077" t="s">
        <v>197</v>
      </c>
      <c r="J1077" t="s">
        <v>197</v>
      </c>
      <c r="K1077" t="s">
        <v>1023</v>
      </c>
    </row>
    <row r="1078" spans="1:24">
      <c r="B1078" t="s">
        <v>197</v>
      </c>
      <c r="C1078" t="s">
        <v>197</v>
      </c>
      <c r="D1078" t="s">
        <v>197</v>
      </c>
      <c r="E1078" t="s">
        <v>197</v>
      </c>
      <c r="F1078" t="s">
        <v>197</v>
      </c>
      <c r="G1078" t="s">
        <v>197</v>
      </c>
      <c r="H1078" t="s">
        <v>197</v>
      </c>
      <c r="I1078" t="s">
        <v>197</v>
      </c>
      <c r="J1078" t="s">
        <v>197</v>
      </c>
      <c r="K1078" t="s">
        <v>1024</v>
      </c>
    </row>
    <row r="1079" spans="1:24">
      <c r="B1079" t="s">
        <v>197</v>
      </c>
      <c r="C1079" t="s">
        <v>197</v>
      </c>
      <c r="D1079" t="s">
        <v>197</v>
      </c>
      <c r="E1079" t="s">
        <v>197</v>
      </c>
      <c r="F1079" t="s">
        <v>197</v>
      </c>
      <c r="G1079" t="s">
        <v>197</v>
      </c>
      <c r="H1079" t="s">
        <v>197</v>
      </c>
      <c r="I1079" t="s">
        <v>197</v>
      </c>
      <c r="J1079" t="s">
        <v>197</v>
      </c>
      <c r="K1079" t="s">
        <v>1025</v>
      </c>
    </row>
    <row r="1080" spans="1:24">
      <c r="B1080" t="s">
        <v>197</v>
      </c>
      <c r="C1080" t="s">
        <v>197</v>
      </c>
      <c r="D1080" t="s">
        <v>197</v>
      </c>
      <c r="E1080" t="s">
        <v>197</v>
      </c>
      <c r="F1080" t="s">
        <v>197</v>
      </c>
      <c r="G1080" t="s">
        <v>197</v>
      </c>
      <c r="H1080" t="s">
        <v>197</v>
      </c>
      <c r="I1080" t="s">
        <v>197</v>
      </c>
      <c r="J1080" t="s">
        <v>197</v>
      </c>
      <c r="K1080" t="s">
        <v>1026</v>
      </c>
    </row>
    <row r="1081" spans="1:24">
      <c r="B1081" t="s">
        <v>197</v>
      </c>
      <c r="C1081" t="s">
        <v>197</v>
      </c>
      <c r="D1081" t="s">
        <v>197</v>
      </c>
      <c r="E1081" t="s">
        <v>197</v>
      </c>
      <c r="F1081" t="s">
        <v>197</v>
      </c>
      <c r="G1081" t="s">
        <v>197</v>
      </c>
      <c r="H1081" t="s">
        <v>197</v>
      </c>
      <c r="I1081" t="s">
        <v>197</v>
      </c>
      <c r="J1081" t="s">
        <v>197</v>
      </c>
      <c r="K1081" t="s">
        <v>1027</v>
      </c>
    </row>
    <row r="1082" spans="1:24">
      <c r="B1082" t="s">
        <v>197</v>
      </c>
      <c r="C1082" t="s">
        <v>197</v>
      </c>
      <c r="D1082" t="s">
        <v>197</v>
      </c>
      <c r="E1082" t="s">
        <v>197</v>
      </c>
      <c r="F1082" t="s">
        <v>197</v>
      </c>
      <c r="G1082" t="s">
        <v>197</v>
      </c>
      <c r="H1082" t="s">
        <v>197</v>
      </c>
      <c r="I1082" t="s">
        <v>197</v>
      </c>
      <c r="J1082" t="s">
        <v>197</v>
      </c>
      <c r="K1082" t="s">
        <v>1028</v>
      </c>
    </row>
    <row r="1083" spans="1:24">
      <c r="B1083" t="s">
        <v>197</v>
      </c>
      <c r="C1083" t="s">
        <v>197</v>
      </c>
      <c r="D1083" t="s">
        <v>197</v>
      </c>
      <c r="E1083" t="s">
        <v>197</v>
      </c>
      <c r="F1083" t="s">
        <v>197</v>
      </c>
      <c r="G1083" t="s">
        <v>197</v>
      </c>
      <c r="H1083" t="s">
        <v>197</v>
      </c>
      <c r="I1083" t="s">
        <v>197</v>
      </c>
      <c r="J1083" t="s">
        <v>197</v>
      </c>
      <c r="K1083" t="s">
        <v>1029</v>
      </c>
    </row>
    <row r="1084" spans="1:24">
      <c r="A1084" t="s">
        <v>1075</v>
      </c>
      <c r="K1084" t="s">
        <v>1076</v>
      </c>
      <c r="W1084" t="s">
        <v>171</v>
      </c>
      <c r="X1084" t="str">
        <f>A1084</f>
        <v>info_int_dml_batch1_pk_irp1</v>
      </c>
    </row>
    <row r="1085" spans="1:24">
      <c r="B1085" t="s">
        <v>196</v>
      </c>
      <c r="C1085" t="s">
        <v>197</v>
      </c>
      <c r="D1085" t="s">
        <v>197</v>
      </c>
      <c r="E1085" t="s">
        <v>197</v>
      </c>
      <c r="F1085" t="s">
        <v>197</v>
      </c>
      <c r="G1085" t="s">
        <v>197</v>
      </c>
      <c r="H1085" t="s">
        <v>197</v>
      </c>
      <c r="I1085" t="s">
        <v>1077</v>
      </c>
      <c r="J1085" t="s">
        <v>199</v>
      </c>
      <c r="K1085" t="s">
        <v>200</v>
      </c>
    </row>
    <row r="1086" spans="1:24">
      <c r="B1086" t="s">
        <v>197</v>
      </c>
      <c r="C1086" t="s">
        <v>197</v>
      </c>
      <c r="D1086" t="s">
        <v>197</v>
      </c>
      <c r="E1086" t="s">
        <v>197</v>
      </c>
      <c r="F1086" t="s">
        <v>197</v>
      </c>
      <c r="G1086" t="s">
        <v>197</v>
      </c>
      <c r="H1086" t="s">
        <v>197</v>
      </c>
      <c r="I1086" t="s">
        <v>197</v>
      </c>
      <c r="J1086" t="s">
        <v>197</v>
      </c>
      <c r="K1086" t="s">
        <v>549</v>
      </c>
    </row>
    <row r="1087" spans="1:24">
      <c r="B1087" t="s">
        <v>197</v>
      </c>
      <c r="C1087" t="s">
        <v>197</v>
      </c>
      <c r="D1087" t="s">
        <v>197</v>
      </c>
      <c r="E1087" t="s">
        <v>197</v>
      </c>
      <c r="F1087" t="s">
        <v>197</v>
      </c>
      <c r="G1087" t="s">
        <v>197</v>
      </c>
      <c r="H1087" t="s">
        <v>197</v>
      </c>
      <c r="I1087" t="s">
        <v>197</v>
      </c>
      <c r="J1087" t="s">
        <v>197</v>
      </c>
      <c r="K1087" t="s">
        <v>550</v>
      </c>
    </row>
    <row r="1088" spans="1:24">
      <c r="B1088" t="s">
        <v>197</v>
      </c>
      <c r="C1088" t="s">
        <v>197</v>
      </c>
      <c r="D1088" t="s">
        <v>197</v>
      </c>
      <c r="E1088" t="s">
        <v>197</v>
      </c>
      <c r="F1088" t="s">
        <v>197</v>
      </c>
      <c r="G1088" t="s">
        <v>197</v>
      </c>
      <c r="H1088" t="s">
        <v>197</v>
      </c>
      <c r="I1088" t="s">
        <v>197</v>
      </c>
      <c r="J1088" t="s">
        <v>197</v>
      </c>
      <c r="K1088" t="s">
        <v>551</v>
      </c>
    </row>
    <row r="1089" spans="2:11">
      <c r="B1089" t="s">
        <v>197</v>
      </c>
      <c r="C1089" t="s">
        <v>197</v>
      </c>
      <c r="D1089" t="s">
        <v>197</v>
      </c>
      <c r="E1089" t="s">
        <v>197</v>
      </c>
      <c r="F1089" t="s">
        <v>197</v>
      </c>
      <c r="G1089" t="s">
        <v>197</v>
      </c>
      <c r="H1089" t="s">
        <v>197</v>
      </c>
      <c r="I1089" t="s">
        <v>197</v>
      </c>
      <c r="J1089" t="s">
        <v>197</v>
      </c>
      <c r="K1089" t="s">
        <v>552</v>
      </c>
    </row>
    <row r="1090" spans="2:11">
      <c r="B1090" t="s">
        <v>197</v>
      </c>
      <c r="C1090" t="s">
        <v>197</v>
      </c>
      <c r="D1090" t="s">
        <v>197</v>
      </c>
      <c r="E1090" t="s">
        <v>197</v>
      </c>
      <c r="F1090" t="s">
        <v>197</v>
      </c>
      <c r="G1090" t="s">
        <v>197</v>
      </c>
      <c r="H1090" t="s">
        <v>197</v>
      </c>
      <c r="I1090" t="s">
        <v>197</v>
      </c>
      <c r="J1090" t="s">
        <v>197</v>
      </c>
      <c r="K1090" t="s">
        <v>553</v>
      </c>
    </row>
    <row r="1091" spans="2:11">
      <c r="B1091" t="s">
        <v>197</v>
      </c>
      <c r="C1091" t="s">
        <v>197</v>
      </c>
      <c r="D1091" t="s">
        <v>197</v>
      </c>
      <c r="E1091" t="s">
        <v>197</v>
      </c>
      <c r="F1091" t="s">
        <v>197</v>
      </c>
      <c r="G1091" t="s">
        <v>197</v>
      </c>
      <c r="H1091" t="s">
        <v>197</v>
      </c>
      <c r="I1091" t="s">
        <v>197</v>
      </c>
      <c r="J1091" t="s">
        <v>197</v>
      </c>
      <c r="K1091" t="s">
        <v>554</v>
      </c>
    </row>
    <row r="1092" spans="2:11">
      <c r="B1092" t="s">
        <v>197</v>
      </c>
      <c r="C1092" t="s">
        <v>197</v>
      </c>
      <c r="D1092" t="s">
        <v>197</v>
      </c>
      <c r="E1092" t="s">
        <v>197</v>
      </c>
      <c r="F1092" t="s">
        <v>197</v>
      </c>
      <c r="G1092" t="s">
        <v>197</v>
      </c>
      <c r="H1092" t="s">
        <v>197</v>
      </c>
      <c r="I1092" t="s">
        <v>197</v>
      </c>
      <c r="J1092" t="s">
        <v>197</v>
      </c>
      <c r="K1092" t="s">
        <v>555</v>
      </c>
    </row>
    <row r="1093" spans="2:11">
      <c r="B1093" t="s">
        <v>197</v>
      </c>
      <c r="C1093" t="s">
        <v>197</v>
      </c>
      <c r="D1093" t="s">
        <v>197</v>
      </c>
      <c r="E1093" t="s">
        <v>197</v>
      </c>
      <c r="F1093" t="s">
        <v>197</v>
      </c>
      <c r="G1093" t="s">
        <v>197</v>
      </c>
      <c r="H1093" t="s">
        <v>197</v>
      </c>
      <c r="I1093" t="s">
        <v>197</v>
      </c>
      <c r="J1093" t="s">
        <v>197</v>
      </c>
      <c r="K1093" t="s">
        <v>556</v>
      </c>
    </row>
    <row r="1094" spans="2:11">
      <c r="B1094" t="s">
        <v>197</v>
      </c>
      <c r="C1094" t="s">
        <v>197</v>
      </c>
      <c r="D1094" t="s">
        <v>197</v>
      </c>
      <c r="E1094" t="s">
        <v>197</v>
      </c>
      <c r="F1094" t="s">
        <v>197</v>
      </c>
      <c r="G1094" t="s">
        <v>197</v>
      </c>
      <c r="H1094" t="s">
        <v>197</v>
      </c>
      <c r="I1094" t="s">
        <v>197</v>
      </c>
      <c r="J1094" t="s">
        <v>197</v>
      </c>
      <c r="K1094" t="s">
        <v>557</v>
      </c>
    </row>
    <row r="1095" spans="2:11">
      <c r="B1095" t="s">
        <v>197</v>
      </c>
      <c r="C1095" t="s">
        <v>197</v>
      </c>
      <c r="D1095" t="s">
        <v>197</v>
      </c>
      <c r="E1095" t="s">
        <v>197</v>
      </c>
      <c r="F1095" t="s">
        <v>197</v>
      </c>
      <c r="G1095" t="s">
        <v>197</v>
      </c>
      <c r="H1095" t="s">
        <v>197</v>
      </c>
      <c r="I1095" t="s">
        <v>197</v>
      </c>
      <c r="J1095" t="s">
        <v>197</v>
      </c>
      <c r="K1095" t="s">
        <v>558</v>
      </c>
    </row>
    <row r="1096" spans="2:11">
      <c r="B1096" t="s">
        <v>197</v>
      </c>
      <c r="C1096" t="s">
        <v>197</v>
      </c>
      <c r="D1096" t="s">
        <v>197</v>
      </c>
      <c r="E1096" t="s">
        <v>197</v>
      </c>
      <c r="F1096" t="s">
        <v>197</v>
      </c>
      <c r="G1096" t="s">
        <v>197</v>
      </c>
      <c r="H1096" t="s">
        <v>197</v>
      </c>
      <c r="I1096" t="s">
        <v>197</v>
      </c>
      <c r="J1096" t="s">
        <v>197</v>
      </c>
      <c r="K1096" t="s">
        <v>559</v>
      </c>
    </row>
    <row r="1097" spans="2:11">
      <c r="B1097" t="s">
        <v>197</v>
      </c>
      <c r="C1097" t="s">
        <v>197</v>
      </c>
      <c r="D1097" t="s">
        <v>197</v>
      </c>
      <c r="E1097" t="s">
        <v>197</v>
      </c>
      <c r="F1097" t="s">
        <v>197</v>
      </c>
      <c r="G1097" t="s">
        <v>197</v>
      </c>
      <c r="H1097" t="s">
        <v>197</v>
      </c>
      <c r="I1097" t="s">
        <v>197</v>
      </c>
      <c r="J1097" t="s">
        <v>197</v>
      </c>
      <c r="K1097" t="s">
        <v>560</v>
      </c>
    </row>
    <row r="1098" spans="2:11">
      <c r="B1098" t="s">
        <v>197</v>
      </c>
      <c r="C1098" t="s">
        <v>197</v>
      </c>
      <c r="D1098" t="s">
        <v>197</v>
      </c>
      <c r="E1098" t="s">
        <v>197</v>
      </c>
      <c r="F1098" t="s">
        <v>197</v>
      </c>
      <c r="G1098" t="s">
        <v>197</v>
      </c>
      <c r="H1098" t="s">
        <v>197</v>
      </c>
      <c r="I1098" t="s">
        <v>197</v>
      </c>
      <c r="J1098" t="s">
        <v>197</v>
      </c>
      <c r="K1098" t="s">
        <v>561</v>
      </c>
    </row>
    <row r="1099" spans="2:11">
      <c r="B1099" t="s">
        <v>197</v>
      </c>
      <c r="C1099" t="s">
        <v>197</v>
      </c>
      <c r="D1099" t="s">
        <v>197</v>
      </c>
      <c r="E1099" t="s">
        <v>197</v>
      </c>
      <c r="F1099" t="s">
        <v>197</v>
      </c>
      <c r="G1099" t="s">
        <v>197</v>
      </c>
      <c r="H1099" t="s">
        <v>197</v>
      </c>
      <c r="I1099" t="s">
        <v>197</v>
      </c>
      <c r="J1099" t="s">
        <v>197</v>
      </c>
      <c r="K1099" t="s">
        <v>562</v>
      </c>
    </row>
    <row r="1100" spans="2:11">
      <c r="B1100" t="s">
        <v>197</v>
      </c>
      <c r="C1100" t="s">
        <v>197</v>
      </c>
      <c r="D1100" t="s">
        <v>197</v>
      </c>
      <c r="E1100" t="s">
        <v>197</v>
      </c>
      <c r="F1100" t="s">
        <v>197</v>
      </c>
      <c r="G1100" t="s">
        <v>197</v>
      </c>
      <c r="H1100" t="s">
        <v>197</v>
      </c>
      <c r="I1100" t="s">
        <v>197</v>
      </c>
      <c r="J1100" t="s">
        <v>197</v>
      </c>
      <c r="K1100" t="s">
        <v>563</v>
      </c>
    </row>
    <row r="1101" spans="2:11">
      <c r="B1101" t="s">
        <v>197</v>
      </c>
      <c r="C1101" t="s">
        <v>197</v>
      </c>
      <c r="D1101" t="s">
        <v>197</v>
      </c>
      <c r="E1101" t="s">
        <v>197</v>
      </c>
      <c r="F1101" t="s">
        <v>197</v>
      </c>
      <c r="G1101" t="s">
        <v>197</v>
      </c>
      <c r="H1101" t="s">
        <v>197</v>
      </c>
      <c r="I1101" t="s">
        <v>197</v>
      </c>
      <c r="J1101" t="s">
        <v>197</v>
      </c>
      <c r="K1101" t="s">
        <v>564</v>
      </c>
    </row>
    <row r="1102" spans="2:11">
      <c r="B1102" t="s">
        <v>197</v>
      </c>
      <c r="C1102" t="s">
        <v>197</v>
      </c>
      <c r="D1102" t="s">
        <v>197</v>
      </c>
      <c r="E1102" t="s">
        <v>197</v>
      </c>
      <c r="F1102" t="s">
        <v>197</v>
      </c>
      <c r="G1102" t="s">
        <v>197</v>
      </c>
      <c r="H1102" t="s">
        <v>197</v>
      </c>
      <c r="I1102" t="s">
        <v>197</v>
      </c>
      <c r="J1102" t="s">
        <v>197</v>
      </c>
      <c r="K1102" t="s">
        <v>565</v>
      </c>
    </row>
    <row r="1103" spans="2:11">
      <c r="B1103" t="s">
        <v>197</v>
      </c>
      <c r="C1103" t="s">
        <v>197</v>
      </c>
      <c r="D1103" t="s">
        <v>197</v>
      </c>
      <c r="E1103" t="s">
        <v>197</v>
      </c>
      <c r="F1103" t="s">
        <v>197</v>
      </c>
      <c r="G1103" t="s">
        <v>197</v>
      </c>
      <c r="H1103" t="s">
        <v>197</v>
      </c>
      <c r="I1103" t="s">
        <v>197</v>
      </c>
      <c r="J1103" t="s">
        <v>197</v>
      </c>
      <c r="K1103" t="s">
        <v>566</v>
      </c>
    </row>
    <row r="1104" spans="2:11">
      <c r="B1104" t="s">
        <v>197</v>
      </c>
      <c r="C1104" t="s">
        <v>197</v>
      </c>
      <c r="D1104" t="s">
        <v>197</v>
      </c>
      <c r="E1104" t="s">
        <v>197</v>
      </c>
      <c r="F1104" t="s">
        <v>197</v>
      </c>
      <c r="G1104" t="s">
        <v>197</v>
      </c>
      <c r="H1104" t="s">
        <v>197</v>
      </c>
      <c r="I1104" t="s">
        <v>197</v>
      </c>
      <c r="J1104" t="s">
        <v>197</v>
      </c>
      <c r="K1104" t="s">
        <v>567</v>
      </c>
    </row>
    <row r="1105" spans="1:24">
      <c r="A1105" t="s">
        <v>1081</v>
      </c>
      <c r="K1105" t="s">
        <v>1082</v>
      </c>
      <c r="W1105" t="s">
        <v>171</v>
      </c>
      <c r="X1105" t="str">
        <f>A1105</f>
        <v>info_nvarchar_dml_batch2_pk_irp1</v>
      </c>
    </row>
    <row r="1106" spans="1:24">
      <c r="B1106" t="s">
        <v>196</v>
      </c>
      <c r="C1106" t="s">
        <v>197</v>
      </c>
      <c r="D1106" t="s">
        <v>197</v>
      </c>
      <c r="E1106" t="s">
        <v>197</v>
      </c>
      <c r="F1106" t="s">
        <v>197</v>
      </c>
      <c r="G1106" t="s">
        <v>197</v>
      </c>
      <c r="H1106" t="s">
        <v>197</v>
      </c>
      <c r="I1106" t="s">
        <v>1083</v>
      </c>
      <c r="J1106" t="s">
        <v>199</v>
      </c>
      <c r="K1106" t="s">
        <v>200</v>
      </c>
    </row>
    <row r="1107" spans="1:24">
      <c r="B1107" t="s">
        <v>197</v>
      </c>
      <c r="C1107" t="s">
        <v>197</v>
      </c>
      <c r="D1107" t="s">
        <v>197</v>
      </c>
      <c r="E1107" t="s">
        <v>197</v>
      </c>
      <c r="F1107" t="s">
        <v>197</v>
      </c>
      <c r="G1107" t="s">
        <v>197</v>
      </c>
      <c r="H1107" t="s">
        <v>197</v>
      </c>
      <c r="I1107" t="s">
        <v>197</v>
      </c>
      <c r="J1107" t="s">
        <v>197</v>
      </c>
      <c r="K1107" t="s">
        <v>408</v>
      </c>
    </row>
    <row r="1108" spans="1:24">
      <c r="B1108" t="s">
        <v>197</v>
      </c>
      <c r="C1108" t="s">
        <v>197</v>
      </c>
      <c r="D1108" t="s">
        <v>197</v>
      </c>
      <c r="E1108" t="s">
        <v>197</v>
      </c>
      <c r="F1108" t="s">
        <v>197</v>
      </c>
      <c r="G1108" t="s">
        <v>197</v>
      </c>
      <c r="H1108" t="s">
        <v>197</v>
      </c>
      <c r="I1108" t="s">
        <v>197</v>
      </c>
      <c r="J1108" t="s">
        <v>197</v>
      </c>
      <c r="K1108" t="s">
        <v>412</v>
      </c>
    </row>
    <row r="1109" spans="1:24">
      <c r="B1109" t="s">
        <v>197</v>
      </c>
      <c r="C1109" t="s">
        <v>197</v>
      </c>
      <c r="D1109" t="s">
        <v>197</v>
      </c>
      <c r="E1109" t="s">
        <v>197</v>
      </c>
      <c r="F1109" t="s">
        <v>197</v>
      </c>
      <c r="G1109" t="s">
        <v>197</v>
      </c>
      <c r="H1109" t="s">
        <v>197</v>
      </c>
      <c r="I1109" t="s">
        <v>197</v>
      </c>
      <c r="J1109" t="s">
        <v>197</v>
      </c>
      <c r="K1109" t="s">
        <v>416</v>
      </c>
    </row>
    <row r="1110" spans="1:24">
      <c r="A1110" t="s">
        <v>1078</v>
      </c>
      <c r="K1110" t="s">
        <v>1079</v>
      </c>
      <c r="W1110" t="s">
        <v>171</v>
      </c>
      <c r="X1110" t="str">
        <f>A1110</f>
        <v>info_uniqueidentifier_dml_single_pk_urp</v>
      </c>
    </row>
    <row r="1111" spans="1:24">
      <c r="B1111" t="s">
        <v>196</v>
      </c>
      <c r="C1111" t="s">
        <v>197</v>
      </c>
      <c r="D1111" t="s">
        <v>197</v>
      </c>
      <c r="E1111" t="s">
        <v>197</v>
      </c>
      <c r="F1111" t="s">
        <v>197</v>
      </c>
      <c r="G1111" t="s">
        <v>197</v>
      </c>
      <c r="H1111" t="s">
        <v>197</v>
      </c>
      <c r="I1111" t="s">
        <v>1080</v>
      </c>
      <c r="J1111" t="s">
        <v>199</v>
      </c>
      <c r="K1111" t="s">
        <v>200</v>
      </c>
    </row>
    <row r="1112" spans="1:24">
      <c r="B1112" t="s">
        <v>197</v>
      </c>
      <c r="C1112" t="s">
        <v>197</v>
      </c>
      <c r="D1112" t="s">
        <v>197</v>
      </c>
      <c r="E1112" t="s">
        <v>197</v>
      </c>
      <c r="F1112" t="s">
        <v>197</v>
      </c>
      <c r="G1112" t="s">
        <v>197</v>
      </c>
      <c r="H1112" t="s">
        <v>197</v>
      </c>
      <c r="I1112" t="s">
        <v>197</v>
      </c>
      <c r="J1112" t="s">
        <v>197</v>
      </c>
      <c r="K1112" t="s">
        <v>1039</v>
      </c>
    </row>
    <row r="1113" spans="1:24">
      <c r="A1113" t="s">
        <v>1084</v>
      </c>
      <c r="K1113" t="s">
        <v>1085</v>
      </c>
      <c r="W1113" t="s">
        <v>171</v>
      </c>
      <c r="X1113" t="str">
        <f>A1113</f>
        <v>info_datetime2_dml_single_pk_urp</v>
      </c>
    </row>
    <row r="1114" spans="1:24">
      <c r="B1114" t="s">
        <v>196</v>
      </c>
      <c r="C1114" t="s">
        <v>197</v>
      </c>
      <c r="D1114" t="s">
        <v>197</v>
      </c>
      <c r="E1114" t="s">
        <v>197</v>
      </c>
      <c r="F1114" t="s">
        <v>197</v>
      </c>
      <c r="G1114" t="s">
        <v>197</v>
      </c>
      <c r="H1114" t="s">
        <v>197</v>
      </c>
      <c r="I1114" t="s">
        <v>1086</v>
      </c>
      <c r="J1114" t="s">
        <v>199</v>
      </c>
      <c r="K1114" t="s">
        <v>200</v>
      </c>
    </row>
    <row r="1115" spans="1:24">
      <c r="B1115" t="s">
        <v>197</v>
      </c>
      <c r="C1115" t="s">
        <v>197</v>
      </c>
      <c r="D1115" t="s">
        <v>197</v>
      </c>
      <c r="E1115" t="s">
        <v>197</v>
      </c>
      <c r="F1115" t="s">
        <v>197</v>
      </c>
      <c r="G1115" t="s">
        <v>197</v>
      </c>
      <c r="H1115" t="s">
        <v>197</v>
      </c>
      <c r="I1115" t="s">
        <v>197</v>
      </c>
      <c r="J1115" t="s">
        <v>197</v>
      </c>
      <c r="K1115" t="s">
        <v>667</v>
      </c>
    </row>
    <row r="1116" spans="1:24">
      <c r="B1116" t="s">
        <v>197</v>
      </c>
      <c r="C1116" t="s">
        <v>197</v>
      </c>
      <c r="D1116" t="s">
        <v>197</v>
      </c>
      <c r="E1116" t="s">
        <v>197</v>
      </c>
      <c r="F1116" t="s">
        <v>197</v>
      </c>
      <c r="G1116" t="s">
        <v>197</v>
      </c>
      <c r="H1116" t="s">
        <v>197</v>
      </c>
      <c r="I1116" t="s">
        <v>197</v>
      </c>
      <c r="J1116" t="s">
        <v>197</v>
      </c>
      <c r="K1116" t="s">
        <v>668</v>
      </c>
    </row>
    <row r="1117" spans="1:24">
      <c r="B1117" t="s">
        <v>197</v>
      </c>
      <c r="C1117" t="s">
        <v>197</v>
      </c>
      <c r="D1117" t="s">
        <v>197</v>
      </c>
      <c r="E1117" t="s">
        <v>197</v>
      </c>
      <c r="F1117" t="s">
        <v>197</v>
      </c>
      <c r="G1117" t="s">
        <v>197</v>
      </c>
      <c r="H1117" t="s">
        <v>197</v>
      </c>
      <c r="I1117" t="s">
        <v>197</v>
      </c>
      <c r="J1117" t="s">
        <v>197</v>
      </c>
      <c r="K1117" t="s">
        <v>669</v>
      </c>
    </row>
    <row r="1118" spans="1:24">
      <c r="B1118" t="s">
        <v>197</v>
      </c>
      <c r="C1118" t="s">
        <v>197</v>
      </c>
      <c r="D1118" t="s">
        <v>197</v>
      </c>
      <c r="E1118" t="s">
        <v>197</v>
      </c>
      <c r="F1118" t="s">
        <v>197</v>
      </c>
      <c r="G1118" t="s">
        <v>197</v>
      </c>
      <c r="H1118" t="s">
        <v>197</v>
      </c>
      <c r="I1118" t="s">
        <v>197</v>
      </c>
      <c r="J1118" t="s">
        <v>197</v>
      </c>
      <c r="K1118" t="s">
        <v>670</v>
      </c>
    </row>
    <row r="1119" spans="1:24">
      <c r="B1119" t="s">
        <v>197</v>
      </c>
      <c r="C1119" t="s">
        <v>197</v>
      </c>
      <c r="D1119" t="s">
        <v>197</v>
      </c>
      <c r="E1119" t="s">
        <v>197</v>
      </c>
      <c r="F1119" t="s">
        <v>197</v>
      </c>
      <c r="G1119" t="s">
        <v>197</v>
      </c>
      <c r="H1119" t="s">
        <v>197</v>
      </c>
      <c r="I1119" t="s">
        <v>197</v>
      </c>
      <c r="J1119" t="s">
        <v>197</v>
      </c>
      <c r="K1119" t="s">
        <v>671</v>
      </c>
    </row>
    <row r="1120" spans="1:24">
      <c r="B1120" t="s">
        <v>197</v>
      </c>
      <c r="C1120" t="s">
        <v>197</v>
      </c>
      <c r="D1120" t="s">
        <v>197</v>
      </c>
      <c r="E1120" t="s">
        <v>197</v>
      </c>
      <c r="F1120" t="s">
        <v>197</v>
      </c>
      <c r="G1120" t="s">
        <v>197</v>
      </c>
      <c r="H1120" t="s">
        <v>197</v>
      </c>
      <c r="I1120" t="s">
        <v>197</v>
      </c>
      <c r="J1120" t="s">
        <v>197</v>
      </c>
      <c r="K1120" t="s">
        <v>672</v>
      </c>
    </row>
    <row r="1121" spans="1:24">
      <c r="B1121" t="s">
        <v>197</v>
      </c>
      <c r="C1121" t="s">
        <v>197</v>
      </c>
      <c r="D1121" t="s">
        <v>197</v>
      </c>
      <c r="E1121" t="s">
        <v>197</v>
      </c>
      <c r="F1121" t="s">
        <v>197</v>
      </c>
      <c r="G1121" t="s">
        <v>197</v>
      </c>
      <c r="H1121" t="s">
        <v>197</v>
      </c>
      <c r="I1121" t="s">
        <v>197</v>
      </c>
      <c r="J1121" t="s">
        <v>197</v>
      </c>
      <c r="K1121" t="s">
        <v>673</v>
      </c>
    </row>
    <row r="1122" spans="1:24">
      <c r="B1122" t="s">
        <v>197</v>
      </c>
      <c r="C1122" t="s">
        <v>197</v>
      </c>
      <c r="D1122" t="s">
        <v>197</v>
      </c>
      <c r="E1122" t="s">
        <v>197</v>
      </c>
      <c r="F1122" t="s">
        <v>197</v>
      </c>
      <c r="G1122" t="s">
        <v>197</v>
      </c>
      <c r="H1122" t="s">
        <v>197</v>
      </c>
      <c r="I1122" t="s">
        <v>197</v>
      </c>
      <c r="J1122" t="s">
        <v>197</v>
      </c>
      <c r="K1122" t="s">
        <v>674</v>
      </c>
    </row>
    <row r="1123" spans="1:24">
      <c r="A1123" t="s">
        <v>1087</v>
      </c>
      <c r="K1123" t="s">
        <v>1088</v>
      </c>
      <c r="W1123" s="1" t="str">
        <f>HYPERLINK("#2026042017hbase1!AD2","NO 源备存在差异，共4个")</f>
        <v>NO 源备存在差异，共4个</v>
      </c>
      <c r="X1123" t="str">
        <f>A1123</f>
        <v>info_geography_dml_single_pk_urp</v>
      </c>
    </row>
    <row r="1124" spans="1:24">
      <c r="B1124" t="s">
        <v>196</v>
      </c>
      <c r="C1124" t="s">
        <v>197</v>
      </c>
      <c r="D1124" t="s">
        <v>197</v>
      </c>
      <c r="E1124" t="s">
        <v>197</v>
      </c>
      <c r="F1124" t="s">
        <v>197</v>
      </c>
      <c r="G1124" t="s">
        <v>197</v>
      </c>
      <c r="H1124" t="s">
        <v>197</v>
      </c>
      <c r="I1124" t="s">
        <v>1089</v>
      </c>
      <c r="J1124" t="s">
        <v>199</v>
      </c>
      <c r="K1124" t="s">
        <v>200</v>
      </c>
    </row>
    <row r="1125" spans="1:24">
      <c r="B1125" t="s">
        <v>197</v>
      </c>
      <c r="C1125" t="s">
        <v>197</v>
      </c>
      <c r="D1125" t="s">
        <v>197</v>
      </c>
      <c r="E1125" t="s">
        <v>197</v>
      </c>
      <c r="F1125" t="s">
        <v>197</v>
      </c>
      <c r="G1125" t="s">
        <v>197</v>
      </c>
      <c r="H1125" t="s">
        <v>197</v>
      </c>
      <c r="I1125" t="s">
        <v>197</v>
      </c>
      <c r="J1125" t="s">
        <v>197</v>
      </c>
      <c r="K1125" t="s">
        <v>1052</v>
      </c>
    </row>
    <row r="1126" spans="1:24">
      <c r="A1126" t="s">
        <v>1090</v>
      </c>
      <c r="K1126" t="s">
        <v>1091</v>
      </c>
      <c r="W1126" t="s">
        <v>171</v>
      </c>
      <c r="X1126" t="str">
        <f>A1126</f>
        <v>info_time_dml_batch2_pk_irp2</v>
      </c>
    </row>
    <row r="1127" spans="1:24">
      <c r="B1127" t="s">
        <v>196</v>
      </c>
      <c r="C1127" t="s">
        <v>197</v>
      </c>
      <c r="D1127" t="s">
        <v>197</v>
      </c>
      <c r="E1127" t="s">
        <v>197</v>
      </c>
      <c r="F1127" t="s">
        <v>197</v>
      </c>
      <c r="G1127" t="s">
        <v>197</v>
      </c>
      <c r="H1127" t="s">
        <v>197</v>
      </c>
      <c r="I1127" t="s">
        <v>1092</v>
      </c>
      <c r="J1127" t="s">
        <v>199</v>
      </c>
      <c r="K1127" t="s">
        <v>200</v>
      </c>
    </row>
    <row r="1128" spans="1:24">
      <c r="B1128" t="s">
        <v>197</v>
      </c>
      <c r="C1128" t="s">
        <v>197</v>
      </c>
      <c r="D1128" t="s">
        <v>197</v>
      </c>
      <c r="E1128" t="s">
        <v>197</v>
      </c>
      <c r="F1128" t="s">
        <v>197</v>
      </c>
      <c r="G1128" t="s">
        <v>197</v>
      </c>
      <c r="H1128" t="s">
        <v>197</v>
      </c>
      <c r="I1128" t="s">
        <v>197</v>
      </c>
      <c r="J1128" t="s">
        <v>197</v>
      </c>
      <c r="K1128" t="s">
        <v>800</v>
      </c>
    </row>
    <row r="1129" spans="1:24">
      <c r="B1129" t="s">
        <v>197</v>
      </c>
      <c r="C1129" t="s">
        <v>197</v>
      </c>
      <c r="D1129" t="s">
        <v>197</v>
      </c>
      <c r="E1129" t="s">
        <v>197</v>
      </c>
      <c r="F1129" t="s">
        <v>197</v>
      </c>
      <c r="G1129" t="s">
        <v>197</v>
      </c>
      <c r="H1129" t="s">
        <v>197</v>
      </c>
      <c r="I1129" t="s">
        <v>197</v>
      </c>
      <c r="J1129" t="s">
        <v>197</v>
      </c>
      <c r="K1129" t="s">
        <v>801</v>
      </c>
    </row>
    <row r="1130" spans="1:24">
      <c r="B1130" t="s">
        <v>197</v>
      </c>
      <c r="C1130" t="s">
        <v>197</v>
      </c>
      <c r="D1130" t="s">
        <v>197</v>
      </c>
      <c r="E1130" t="s">
        <v>197</v>
      </c>
      <c r="F1130" t="s">
        <v>197</v>
      </c>
      <c r="G1130" t="s">
        <v>197</v>
      </c>
      <c r="H1130" t="s">
        <v>197</v>
      </c>
      <c r="I1130" t="s">
        <v>197</v>
      </c>
      <c r="J1130" t="s">
        <v>197</v>
      </c>
      <c r="K1130" t="s">
        <v>802</v>
      </c>
    </row>
    <row r="1131" spans="1:24">
      <c r="B1131" t="s">
        <v>197</v>
      </c>
      <c r="C1131" t="s">
        <v>197</v>
      </c>
      <c r="D1131" t="s">
        <v>197</v>
      </c>
      <c r="E1131" t="s">
        <v>197</v>
      </c>
      <c r="F1131" t="s">
        <v>197</v>
      </c>
      <c r="G1131" t="s">
        <v>197</v>
      </c>
      <c r="H1131" t="s">
        <v>197</v>
      </c>
      <c r="I1131" t="s">
        <v>197</v>
      </c>
      <c r="J1131" t="s">
        <v>197</v>
      </c>
      <c r="K1131" t="s">
        <v>803</v>
      </c>
    </row>
    <row r="1132" spans="1:24">
      <c r="B1132" t="s">
        <v>197</v>
      </c>
      <c r="C1132" t="s">
        <v>197</v>
      </c>
      <c r="D1132" t="s">
        <v>197</v>
      </c>
      <c r="E1132" t="s">
        <v>197</v>
      </c>
      <c r="F1132" t="s">
        <v>197</v>
      </c>
      <c r="G1132" t="s">
        <v>197</v>
      </c>
      <c r="H1132" t="s">
        <v>197</v>
      </c>
      <c r="I1132" t="s">
        <v>197</v>
      </c>
      <c r="J1132" t="s">
        <v>197</v>
      </c>
      <c r="K1132" t="s">
        <v>804</v>
      </c>
    </row>
    <row r="1133" spans="1:24">
      <c r="B1133" t="s">
        <v>197</v>
      </c>
      <c r="C1133" t="s">
        <v>197</v>
      </c>
      <c r="D1133" t="s">
        <v>197</v>
      </c>
      <c r="E1133" t="s">
        <v>197</v>
      </c>
      <c r="F1133" t="s">
        <v>197</v>
      </c>
      <c r="G1133" t="s">
        <v>197</v>
      </c>
      <c r="H1133" t="s">
        <v>197</v>
      </c>
      <c r="I1133" t="s">
        <v>197</v>
      </c>
      <c r="J1133" t="s">
        <v>197</v>
      </c>
      <c r="K1133" t="s">
        <v>805</v>
      </c>
    </row>
    <row r="1134" spans="1:24">
      <c r="B1134" t="s">
        <v>197</v>
      </c>
      <c r="C1134" t="s">
        <v>197</v>
      </c>
      <c r="D1134" t="s">
        <v>197</v>
      </c>
      <c r="E1134" t="s">
        <v>197</v>
      </c>
      <c r="F1134" t="s">
        <v>197</v>
      </c>
      <c r="G1134" t="s">
        <v>197</v>
      </c>
      <c r="H1134" t="s">
        <v>197</v>
      </c>
      <c r="I1134" t="s">
        <v>197</v>
      </c>
      <c r="J1134" t="s">
        <v>197</v>
      </c>
      <c r="K1134" t="s">
        <v>806</v>
      </c>
    </row>
    <row r="1135" spans="1:24">
      <c r="B1135" t="s">
        <v>197</v>
      </c>
      <c r="C1135" t="s">
        <v>197</v>
      </c>
      <c r="D1135" t="s">
        <v>197</v>
      </c>
      <c r="E1135" t="s">
        <v>197</v>
      </c>
      <c r="F1135" t="s">
        <v>197</v>
      </c>
      <c r="G1135" t="s">
        <v>197</v>
      </c>
      <c r="H1135" t="s">
        <v>197</v>
      </c>
      <c r="I1135" t="s">
        <v>197</v>
      </c>
      <c r="J1135" t="s">
        <v>197</v>
      </c>
      <c r="K1135" t="s">
        <v>807</v>
      </c>
    </row>
    <row r="1136" spans="1:24">
      <c r="A1136" t="s">
        <v>1093</v>
      </c>
      <c r="K1136" t="s">
        <v>1094</v>
      </c>
      <c r="W1136" t="s">
        <v>171</v>
      </c>
      <c r="X1136" t="str">
        <f>A1136</f>
        <v>info_varbinary_dml_batch2_pk_irp1</v>
      </c>
    </row>
    <row r="1137" spans="1:24">
      <c r="B1137" t="s">
        <v>196</v>
      </c>
      <c r="C1137" t="s">
        <v>197</v>
      </c>
      <c r="D1137" t="s">
        <v>197</v>
      </c>
      <c r="E1137" t="s">
        <v>197</v>
      </c>
      <c r="F1137" t="s">
        <v>197</v>
      </c>
      <c r="G1137" t="s">
        <v>197</v>
      </c>
      <c r="H1137" t="s">
        <v>197</v>
      </c>
      <c r="I1137" t="s">
        <v>1095</v>
      </c>
      <c r="J1137" t="s">
        <v>199</v>
      </c>
      <c r="K1137" t="s">
        <v>200</v>
      </c>
    </row>
    <row r="1138" spans="1:24">
      <c r="B1138" t="s">
        <v>197</v>
      </c>
      <c r="C1138" t="s">
        <v>197</v>
      </c>
      <c r="D1138" t="s">
        <v>197</v>
      </c>
      <c r="E1138" t="s">
        <v>197</v>
      </c>
      <c r="F1138" t="s">
        <v>197</v>
      </c>
      <c r="G1138" t="s">
        <v>197</v>
      </c>
      <c r="H1138" t="s">
        <v>197</v>
      </c>
      <c r="I1138" t="s">
        <v>197</v>
      </c>
      <c r="J1138" t="s">
        <v>197</v>
      </c>
      <c r="K1138" t="s">
        <v>495</v>
      </c>
    </row>
    <row r="1139" spans="1:24">
      <c r="B1139" t="s">
        <v>197</v>
      </c>
      <c r="C1139" t="s">
        <v>197</v>
      </c>
      <c r="D1139" t="s">
        <v>197</v>
      </c>
      <c r="E1139" t="s">
        <v>197</v>
      </c>
      <c r="F1139" t="s">
        <v>197</v>
      </c>
      <c r="G1139" t="s">
        <v>197</v>
      </c>
      <c r="H1139" t="s">
        <v>197</v>
      </c>
      <c r="I1139" t="s">
        <v>197</v>
      </c>
      <c r="J1139" t="s">
        <v>197</v>
      </c>
      <c r="K1139" t="s">
        <v>499</v>
      </c>
    </row>
    <row r="1140" spans="1:24">
      <c r="B1140" t="s">
        <v>197</v>
      </c>
      <c r="C1140" t="s">
        <v>197</v>
      </c>
      <c r="D1140" t="s">
        <v>197</v>
      </c>
      <c r="E1140" t="s">
        <v>197</v>
      </c>
      <c r="F1140" t="s">
        <v>197</v>
      </c>
      <c r="G1140" t="s">
        <v>197</v>
      </c>
      <c r="H1140" t="s">
        <v>197</v>
      </c>
      <c r="I1140" t="s">
        <v>197</v>
      </c>
      <c r="J1140" t="s">
        <v>197</v>
      </c>
      <c r="K1140" t="s">
        <v>503</v>
      </c>
    </row>
    <row r="1141" spans="1:24">
      <c r="A1141" t="s">
        <v>1096</v>
      </c>
      <c r="K1141" t="s">
        <v>1097</v>
      </c>
      <c r="W1141" t="s">
        <v>171</v>
      </c>
      <c r="X1141" t="str">
        <f>A1141</f>
        <v>info_time_dml_batch1_pk_urp1</v>
      </c>
    </row>
    <row r="1142" spans="1:24">
      <c r="B1142" t="s">
        <v>196</v>
      </c>
      <c r="C1142" t="s">
        <v>197</v>
      </c>
      <c r="D1142" t="s">
        <v>197</v>
      </c>
      <c r="E1142" t="s">
        <v>197</v>
      </c>
      <c r="F1142" t="s">
        <v>197</v>
      </c>
      <c r="G1142" t="s">
        <v>197</v>
      </c>
      <c r="H1142" t="s">
        <v>197</v>
      </c>
      <c r="I1142" t="s">
        <v>1098</v>
      </c>
      <c r="J1142" t="s">
        <v>199</v>
      </c>
      <c r="K1142" t="s">
        <v>200</v>
      </c>
    </row>
    <row r="1143" spans="1:24">
      <c r="B1143" t="s">
        <v>197</v>
      </c>
      <c r="C1143" t="s">
        <v>197</v>
      </c>
      <c r="D1143" t="s">
        <v>197</v>
      </c>
      <c r="E1143" t="s">
        <v>197</v>
      </c>
      <c r="F1143" t="s">
        <v>197</v>
      </c>
      <c r="G1143" t="s">
        <v>197</v>
      </c>
      <c r="H1143" t="s">
        <v>197</v>
      </c>
      <c r="I1143" t="s">
        <v>197</v>
      </c>
      <c r="J1143" t="s">
        <v>197</v>
      </c>
      <c r="K1143" t="s">
        <v>800</v>
      </c>
    </row>
    <row r="1144" spans="1:24">
      <c r="B1144" t="s">
        <v>197</v>
      </c>
      <c r="C1144" t="s">
        <v>197</v>
      </c>
      <c r="D1144" t="s">
        <v>197</v>
      </c>
      <c r="E1144" t="s">
        <v>197</v>
      </c>
      <c r="F1144" t="s">
        <v>197</v>
      </c>
      <c r="G1144" t="s">
        <v>197</v>
      </c>
      <c r="H1144" t="s">
        <v>197</v>
      </c>
      <c r="I1144" t="s">
        <v>197</v>
      </c>
      <c r="J1144" t="s">
        <v>197</v>
      </c>
      <c r="K1144" t="s">
        <v>801</v>
      </c>
    </row>
    <row r="1145" spans="1:24">
      <c r="B1145" t="s">
        <v>197</v>
      </c>
      <c r="C1145" t="s">
        <v>197</v>
      </c>
      <c r="D1145" t="s">
        <v>197</v>
      </c>
      <c r="E1145" t="s">
        <v>197</v>
      </c>
      <c r="F1145" t="s">
        <v>197</v>
      </c>
      <c r="G1145" t="s">
        <v>197</v>
      </c>
      <c r="H1145" t="s">
        <v>197</v>
      </c>
      <c r="I1145" t="s">
        <v>197</v>
      </c>
      <c r="J1145" t="s">
        <v>197</v>
      </c>
      <c r="K1145" t="s">
        <v>802</v>
      </c>
    </row>
    <row r="1146" spans="1:24">
      <c r="B1146" t="s">
        <v>197</v>
      </c>
      <c r="C1146" t="s">
        <v>197</v>
      </c>
      <c r="D1146" t="s">
        <v>197</v>
      </c>
      <c r="E1146" t="s">
        <v>197</v>
      </c>
      <c r="F1146" t="s">
        <v>197</v>
      </c>
      <c r="G1146" t="s">
        <v>197</v>
      </c>
      <c r="H1146" t="s">
        <v>197</v>
      </c>
      <c r="I1146" t="s">
        <v>197</v>
      </c>
      <c r="J1146" t="s">
        <v>197</v>
      </c>
      <c r="K1146" t="s">
        <v>803</v>
      </c>
    </row>
    <row r="1147" spans="1:24">
      <c r="B1147" t="s">
        <v>197</v>
      </c>
      <c r="C1147" t="s">
        <v>197</v>
      </c>
      <c r="D1147" t="s">
        <v>197</v>
      </c>
      <c r="E1147" t="s">
        <v>197</v>
      </c>
      <c r="F1147" t="s">
        <v>197</v>
      </c>
      <c r="G1147" t="s">
        <v>197</v>
      </c>
      <c r="H1147" t="s">
        <v>197</v>
      </c>
      <c r="I1147" t="s">
        <v>197</v>
      </c>
      <c r="J1147" t="s">
        <v>197</v>
      </c>
      <c r="K1147" t="s">
        <v>804</v>
      </c>
    </row>
    <row r="1148" spans="1:24">
      <c r="B1148" t="s">
        <v>197</v>
      </c>
      <c r="C1148" t="s">
        <v>197</v>
      </c>
      <c r="D1148" t="s">
        <v>197</v>
      </c>
      <c r="E1148" t="s">
        <v>197</v>
      </c>
      <c r="F1148" t="s">
        <v>197</v>
      </c>
      <c r="G1148" t="s">
        <v>197</v>
      </c>
      <c r="H1148" t="s">
        <v>197</v>
      </c>
      <c r="I1148" t="s">
        <v>197</v>
      </c>
      <c r="J1148" t="s">
        <v>197</v>
      </c>
      <c r="K1148" t="s">
        <v>805</v>
      </c>
    </row>
    <row r="1149" spans="1:24">
      <c r="B1149" t="s">
        <v>197</v>
      </c>
      <c r="C1149" t="s">
        <v>197</v>
      </c>
      <c r="D1149" t="s">
        <v>197</v>
      </c>
      <c r="E1149" t="s">
        <v>197</v>
      </c>
      <c r="F1149" t="s">
        <v>197</v>
      </c>
      <c r="G1149" t="s">
        <v>197</v>
      </c>
      <c r="H1149" t="s">
        <v>197</v>
      </c>
      <c r="I1149" t="s">
        <v>197</v>
      </c>
      <c r="J1149" t="s">
        <v>197</v>
      </c>
      <c r="K1149" t="s">
        <v>806</v>
      </c>
    </row>
    <row r="1150" spans="1:24">
      <c r="B1150" t="s">
        <v>197</v>
      </c>
      <c r="C1150" t="s">
        <v>197</v>
      </c>
      <c r="D1150" t="s">
        <v>197</v>
      </c>
      <c r="E1150" t="s">
        <v>197</v>
      </c>
      <c r="F1150" t="s">
        <v>197</v>
      </c>
      <c r="G1150" t="s">
        <v>197</v>
      </c>
      <c r="H1150" t="s">
        <v>197</v>
      </c>
      <c r="I1150" t="s">
        <v>197</v>
      </c>
      <c r="J1150" t="s">
        <v>197</v>
      </c>
      <c r="K1150" t="s">
        <v>807</v>
      </c>
    </row>
    <row r="1151" spans="1:24">
      <c r="A1151" t="s">
        <v>1099</v>
      </c>
      <c r="K1151" t="s">
        <v>1100</v>
      </c>
      <c r="W1151" s="1" t="str">
        <f>HYPERLINK("#2026042017hbase1!AE2","NO 源备存在差异，共2个")</f>
        <v>NO 源备存在差异，共2个</v>
      </c>
      <c r="X1151" t="str">
        <f>A1151</f>
        <v>info_sql_variant_dml_single_pk</v>
      </c>
    </row>
    <row r="1152" spans="1:24">
      <c r="B1152" t="s">
        <v>196</v>
      </c>
      <c r="C1152" t="s">
        <v>197</v>
      </c>
      <c r="D1152" t="s">
        <v>197</v>
      </c>
      <c r="E1152" t="s">
        <v>197</v>
      </c>
      <c r="F1152" t="s">
        <v>197</v>
      </c>
      <c r="G1152" t="s">
        <v>197</v>
      </c>
      <c r="H1152" t="s">
        <v>197</v>
      </c>
      <c r="I1152" t="s">
        <v>1101</v>
      </c>
      <c r="J1152" t="s">
        <v>199</v>
      </c>
      <c r="K1152" t="s">
        <v>200</v>
      </c>
    </row>
    <row r="1153" spans="2:11">
      <c r="B1153" t="s">
        <v>197</v>
      </c>
      <c r="C1153" t="s">
        <v>197</v>
      </c>
      <c r="D1153" t="s">
        <v>197</v>
      </c>
      <c r="E1153" t="s">
        <v>197</v>
      </c>
      <c r="F1153" t="s">
        <v>197</v>
      </c>
      <c r="G1153" t="s">
        <v>197</v>
      </c>
      <c r="H1153" t="s">
        <v>197</v>
      </c>
      <c r="I1153" t="s">
        <v>197</v>
      </c>
      <c r="J1153" t="s">
        <v>197</v>
      </c>
      <c r="K1153" t="s">
        <v>1006</v>
      </c>
    </row>
    <row r="1154" spans="2:11">
      <c r="B1154" t="s">
        <v>197</v>
      </c>
      <c r="C1154" t="s">
        <v>197</v>
      </c>
      <c r="D1154" t="s">
        <v>197</v>
      </c>
      <c r="E1154" t="s">
        <v>197</v>
      </c>
      <c r="F1154" t="s">
        <v>197</v>
      </c>
      <c r="G1154" t="s">
        <v>197</v>
      </c>
      <c r="H1154" t="s">
        <v>197</v>
      </c>
      <c r="I1154" t="s">
        <v>197</v>
      </c>
      <c r="J1154" t="s">
        <v>197</v>
      </c>
      <c r="K1154" t="s">
        <v>1007</v>
      </c>
    </row>
    <row r="1155" spans="2:11">
      <c r="B1155" t="s">
        <v>197</v>
      </c>
      <c r="C1155" t="s">
        <v>197</v>
      </c>
      <c r="D1155" t="s">
        <v>197</v>
      </c>
      <c r="E1155" t="s">
        <v>197</v>
      </c>
      <c r="F1155" t="s">
        <v>197</v>
      </c>
      <c r="G1155" t="s">
        <v>197</v>
      </c>
      <c r="H1155" t="s">
        <v>197</v>
      </c>
      <c r="I1155" t="s">
        <v>197</v>
      </c>
      <c r="J1155" t="s">
        <v>197</v>
      </c>
      <c r="K1155" t="s">
        <v>1008</v>
      </c>
    </row>
    <row r="1156" spans="2:11">
      <c r="B1156" t="s">
        <v>197</v>
      </c>
      <c r="C1156" t="s">
        <v>197</v>
      </c>
      <c r="D1156" t="s">
        <v>197</v>
      </c>
      <c r="E1156" t="s">
        <v>197</v>
      </c>
      <c r="F1156" t="s">
        <v>197</v>
      </c>
      <c r="G1156" t="s">
        <v>197</v>
      </c>
      <c r="H1156" t="s">
        <v>197</v>
      </c>
      <c r="I1156" t="s">
        <v>197</v>
      </c>
      <c r="J1156" t="s">
        <v>197</v>
      </c>
      <c r="K1156" t="s">
        <v>1009</v>
      </c>
    </row>
    <row r="1157" spans="2:11">
      <c r="B1157" t="s">
        <v>197</v>
      </c>
      <c r="C1157" t="s">
        <v>197</v>
      </c>
      <c r="D1157" t="s">
        <v>197</v>
      </c>
      <c r="E1157" t="s">
        <v>197</v>
      </c>
      <c r="F1157" t="s">
        <v>197</v>
      </c>
      <c r="G1157" t="s">
        <v>197</v>
      </c>
      <c r="H1157" t="s">
        <v>197</v>
      </c>
      <c r="I1157" t="s">
        <v>197</v>
      </c>
      <c r="J1157" t="s">
        <v>197</v>
      </c>
      <c r="K1157" t="s">
        <v>1010</v>
      </c>
    </row>
    <row r="1158" spans="2:11">
      <c r="B1158" t="s">
        <v>197</v>
      </c>
      <c r="C1158" t="s">
        <v>197</v>
      </c>
      <c r="D1158" t="s">
        <v>197</v>
      </c>
      <c r="E1158" t="s">
        <v>197</v>
      </c>
      <c r="F1158" t="s">
        <v>197</v>
      </c>
      <c r="G1158" t="s">
        <v>197</v>
      </c>
      <c r="H1158" t="s">
        <v>197</v>
      </c>
      <c r="I1158" t="s">
        <v>197</v>
      </c>
      <c r="J1158" t="s">
        <v>197</v>
      </c>
      <c r="K1158" t="s">
        <v>1011</v>
      </c>
    </row>
    <row r="1159" spans="2:11">
      <c r="B1159" t="s">
        <v>197</v>
      </c>
      <c r="C1159" t="s">
        <v>197</v>
      </c>
      <c r="D1159" t="s">
        <v>197</v>
      </c>
      <c r="E1159" t="s">
        <v>197</v>
      </c>
      <c r="F1159" t="s">
        <v>197</v>
      </c>
      <c r="G1159" t="s">
        <v>197</v>
      </c>
      <c r="H1159" t="s">
        <v>197</v>
      </c>
      <c r="I1159" t="s">
        <v>197</v>
      </c>
      <c r="J1159" t="s">
        <v>197</v>
      </c>
      <c r="K1159" t="s">
        <v>1012</v>
      </c>
    </row>
    <row r="1160" spans="2:11">
      <c r="B1160" t="s">
        <v>197</v>
      </c>
      <c r="C1160" t="s">
        <v>197</v>
      </c>
      <c r="D1160" t="s">
        <v>197</v>
      </c>
      <c r="E1160" t="s">
        <v>197</v>
      </c>
      <c r="F1160" t="s">
        <v>197</v>
      </c>
      <c r="G1160" t="s">
        <v>197</v>
      </c>
      <c r="H1160" t="s">
        <v>197</v>
      </c>
      <c r="I1160" t="s">
        <v>197</v>
      </c>
      <c r="J1160" t="s">
        <v>197</v>
      </c>
      <c r="K1160" t="s">
        <v>1013</v>
      </c>
    </row>
    <row r="1161" spans="2:11">
      <c r="B1161" t="s">
        <v>197</v>
      </c>
      <c r="C1161" t="s">
        <v>197</v>
      </c>
      <c r="D1161" t="s">
        <v>197</v>
      </c>
      <c r="E1161" t="s">
        <v>197</v>
      </c>
      <c r="F1161" t="s">
        <v>197</v>
      </c>
      <c r="G1161" t="s">
        <v>197</v>
      </c>
      <c r="H1161" t="s">
        <v>197</v>
      </c>
      <c r="I1161" t="s">
        <v>197</v>
      </c>
      <c r="J1161" t="s">
        <v>197</v>
      </c>
      <c r="K1161" t="s">
        <v>1014</v>
      </c>
    </row>
    <row r="1162" spans="2:11">
      <c r="B1162" t="s">
        <v>197</v>
      </c>
      <c r="C1162" t="s">
        <v>197</v>
      </c>
      <c r="D1162" t="s">
        <v>197</v>
      </c>
      <c r="E1162" t="s">
        <v>197</v>
      </c>
      <c r="F1162" t="s">
        <v>197</v>
      </c>
      <c r="G1162" t="s">
        <v>197</v>
      </c>
      <c r="H1162" t="s">
        <v>197</v>
      </c>
      <c r="I1162" t="s">
        <v>197</v>
      </c>
      <c r="J1162" t="s">
        <v>197</v>
      </c>
      <c r="K1162" t="s">
        <v>1015</v>
      </c>
    </row>
    <row r="1163" spans="2:11">
      <c r="B1163" t="s">
        <v>197</v>
      </c>
      <c r="C1163" t="s">
        <v>197</v>
      </c>
      <c r="D1163" t="s">
        <v>197</v>
      </c>
      <c r="E1163" t="s">
        <v>197</v>
      </c>
      <c r="F1163" t="s">
        <v>197</v>
      </c>
      <c r="G1163" t="s">
        <v>197</v>
      </c>
      <c r="H1163" t="s">
        <v>197</v>
      </c>
      <c r="I1163" t="s">
        <v>197</v>
      </c>
      <c r="J1163" t="s">
        <v>197</v>
      </c>
      <c r="K1163" t="s">
        <v>1016</v>
      </c>
    </row>
    <row r="1164" spans="2:11">
      <c r="B1164" t="s">
        <v>197</v>
      </c>
      <c r="C1164" t="s">
        <v>197</v>
      </c>
      <c r="D1164" t="s">
        <v>197</v>
      </c>
      <c r="E1164" t="s">
        <v>197</v>
      </c>
      <c r="F1164" t="s">
        <v>197</v>
      </c>
      <c r="G1164" t="s">
        <v>197</v>
      </c>
      <c r="H1164" t="s">
        <v>197</v>
      </c>
      <c r="I1164" t="s">
        <v>197</v>
      </c>
      <c r="J1164" t="s">
        <v>197</v>
      </c>
      <c r="K1164" t="s">
        <v>1017</v>
      </c>
    </row>
    <row r="1165" spans="2:11">
      <c r="B1165" t="s">
        <v>197</v>
      </c>
      <c r="C1165" t="s">
        <v>197</v>
      </c>
      <c r="D1165" t="s">
        <v>197</v>
      </c>
      <c r="E1165" t="s">
        <v>197</v>
      </c>
      <c r="F1165" t="s">
        <v>197</v>
      </c>
      <c r="G1165" t="s">
        <v>197</v>
      </c>
      <c r="H1165" t="s">
        <v>197</v>
      </c>
      <c r="I1165" t="s">
        <v>197</v>
      </c>
      <c r="J1165" t="s">
        <v>197</v>
      </c>
      <c r="K1165" t="s">
        <v>1018</v>
      </c>
    </row>
    <row r="1166" spans="2:11">
      <c r="B1166" t="s">
        <v>197</v>
      </c>
      <c r="C1166" t="s">
        <v>197</v>
      </c>
      <c r="D1166" t="s">
        <v>197</v>
      </c>
      <c r="E1166" t="s">
        <v>197</v>
      </c>
      <c r="F1166" t="s">
        <v>197</v>
      </c>
      <c r="G1166" t="s">
        <v>197</v>
      </c>
      <c r="H1166" t="s">
        <v>197</v>
      </c>
      <c r="I1166" t="s">
        <v>197</v>
      </c>
      <c r="J1166" t="s">
        <v>197</v>
      </c>
      <c r="K1166" t="s">
        <v>1019</v>
      </c>
    </row>
    <row r="1167" spans="2:11">
      <c r="B1167" t="s">
        <v>197</v>
      </c>
      <c r="C1167" t="s">
        <v>197</v>
      </c>
      <c r="D1167" t="s">
        <v>197</v>
      </c>
      <c r="E1167" t="s">
        <v>197</v>
      </c>
      <c r="F1167" t="s">
        <v>197</v>
      </c>
      <c r="G1167" t="s">
        <v>197</v>
      </c>
      <c r="H1167" t="s">
        <v>197</v>
      </c>
      <c r="I1167" t="s">
        <v>197</v>
      </c>
      <c r="J1167" t="s">
        <v>197</v>
      </c>
      <c r="K1167" t="s">
        <v>1020</v>
      </c>
    </row>
    <row r="1168" spans="2:11">
      <c r="B1168" t="s">
        <v>197</v>
      </c>
      <c r="C1168" t="s">
        <v>197</v>
      </c>
      <c r="D1168" t="s">
        <v>197</v>
      </c>
      <c r="E1168" t="s">
        <v>197</v>
      </c>
      <c r="F1168" t="s">
        <v>197</v>
      </c>
      <c r="G1168" t="s">
        <v>197</v>
      </c>
      <c r="H1168" t="s">
        <v>197</v>
      </c>
      <c r="I1168" t="s">
        <v>197</v>
      </c>
      <c r="J1168" t="s">
        <v>197</v>
      </c>
      <c r="K1168" t="s">
        <v>1021</v>
      </c>
    </row>
    <row r="1169" spans="1:24">
      <c r="B1169" t="s">
        <v>197</v>
      </c>
      <c r="C1169" t="s">
        <v>197</v>
      </c>
      <c r="D1169" t="s">
        <v>197</v>
      </c>
      <c r="E1169" t="s">
        <v>197</v>
      </c>
      <c r="F1169" t="s">
        <v>197</v>
      </c>
      <c r="G1169" t="s">
        <v>197</v>
      </c>
      <c r="H1169" t="s">
        <v>197</v>
      </c>
      <c r="I1169" t="s">
        <v>197</v>
      </c>
      <c r="J1169" t="s">
        <v>197</v>
      </c>
      <c r="K1169" t="s">
        <v>1022</v>
      </c>
    </row>
    <row r="1170" spans="1:24">
      <c r="B1170" t="s">
        <v>197</v>
      </c>
      <c r="C1170" t="s">
        <v>197</v>
      </c>
      <c r="D1170" t="s">
        <v>197</v>
      </c>
      <c r="E1170" t="s">
        <v>197</v>
      </c>
      <c r="F1170" t="s">
        <v>197</v>
      </c>
      <c r="G1170" t="s">
        <v>197</v>
      </c>
      <c r="H1170" t="s">
        <v>197</v>
      </c>
      <c r="I1170" t="s">
        <v>197</v>
      </c>
      <c r="J1170" t="s">
        <v>197</v>
      </c>
      <c r="K1170" t="s">
        <v>1023</v>
      </c>
    </row>
    <row r="1171" spans="1:24">
      <c r="B1171" t="s">
        <v>197</v>
      </c>
      <c r="C1171" t="s">
        <v>197</v>
      </c>
      <c r="D1171" t="s">
        <v>197</v>
      </c>
      <c r="E1171" t="s">
        <v>197</v>
      </c>
      <c r="F1171" t="s">
        <v>197</v>
      </c>
      <c r="G1171" t="s">
        <v>197</v>
      </c>
      <c r="H1171" t="s">
        <v>197</v>
      </c>
      <c r="I1171" t="s">
        <v>197</v>
      </c>
      <c r="J1171" t="s">
        <v>197</v>
      </c>
      <c r="K1171" t="s">
        <v>1024</v>
      </c>
    </row>
    <row r="1172" spans="1:24">
      <c r="B1172" t="s">
        <v>197</v>
      </c>
      <c r="C1172" t="s">
        <v>197</v>
      </c>
      <c r="D1172" t="s">
        <v>197</v>
      </c>
      <c r="E1172" t="s">
        <v>197</v>
      </c>
      <c r="F1172" t="s">
        <v>197</v>
      </c>
      <c r="G1172" t="s">
        <v>197</v>
      </c>
      <c r="H1172" t="s">
        <v>197</v>
      </c>
      <c r="I1172" t="s">
        <v>197</v>
      </c>
      <c r="J1172" t="s">
        <v>197</v>
      </c>
      <c r="K1172" t="s">
        <v>1025</v>
      </c>
    </row>
    <row r="1173" spans="1:24">
      <c r="B1173" t="s">
        <v>197</v>
      </c>
      <c r="C1173" t="s">
        <v>197</v>
      </c>
      <c r="D1173" t="s">
        <v>197</v>
      </c>
      <c r="E1173" t="s">
        <v>197</v>
      </c>
      <c r="F1173" t="s">
        <v>197</v>
      </c>
      <c r="G1173" t="s">
        <v>197</v>
      </c>
      <c r="H1173" t="s">
        <v>197</v>
      </c>
      <c r="I1173" t="s">
        <v>197</v>
      </c>
      <c r="J1173" t="s">
        <v>197</v>
      </c>
      <c r="K1173" t="s">
        <v>1026</v>
      </c>
    </row>
    <row r="1174" spans="1:24">
      <c r="B1174" t="s">
        <v>197</v>
      </c>
      <c r="C1174" t="s">
        <v>197</v>
      </c>
      <c r="D1174" t="s">
        <v>197</v>
      </c>
      <c r="E1174" t="s">
        <v>197</v>
      </c>
      <c r="F1174" t="s">
        <v>197</v>
      </c>
      <c r="G1174" t="s">
        <v>197</v>
      </c>
      <c r="H1174" t="s">
        <v>197</v>
      </c>
      <c r="I1174" t="s">
        <v>197</v>
      </c>
      <c r="J1174" t="s">
        <v>197</v>
      </c>
      <c r="K1174" t="s">
        <v>1027</v>
      </c>
    </row>
    <row r="1175" spans="1:24">
      <c r="B1175" t="s">
        <v>197</v>
      </c>
      <c r="C1175" t="s">
        <v>197</v>
      </c>
      <c r="D1175" t="s">
        <v>197</v>
      </c>
      <c r="E1175" t="s">
        <v>197</v>
      </c>
      <c r="F1175" t="s">
        <v>197</v>
      </c>
      <c r="G1175" t="s">
        <v>197</v>
      </c>
      <c r="H1175" t="s">
        <v>197</v>
      </c>
      <c r="I1175" t="s">
        <v>197</v>
      </c>
      <c r="J1175" t="s">
        <v>197</v>
      </c>
      <c r="K1175" t="s">
        <v>1028</v>
      </c>
    </row>
    <row r="1176" spans="1:24">
      <c r="B1176" t="s">
        <v>197</v>
      </c>
      <c r="C1176" t="s">
        <v>197</v>
      </c>
      <c r="D1176" t="s">
        <v>197</v>
      </c>
      <c r="E1176" t="s">
        <v>197</v>
      </c>
      <c r="F1176" t="s">
        <v>197</v>
      </c>
      <c r="G1176" t="s">
        <v>197</v>
      </c>
      <c r="H1176" t="s">
        <v>197</v>
      </c>
      <c r="I1176" t="s">
        <v>197</v>
      </c>
      <c r="J1176" t="s">
        <v>197</v>
      </c>
      <c r="K1176" t="s">
        <v>1029</v>
      </c>
    </row>
    <row r="1177" spans="1:24">
      <c r="A1177" t="s">
        <v>1102</v>
      </c>
      <c r="K1177" t="s">
        <v>1103</v>
      </c>
      <c r="W1177" t="s">
        <v>171</v>
      </c>
      <c r="X1177" t="str">
        <f>A1177</f>
        <v>info_uniqueidentifier_dml_single_pk_drp</v>
      </c>
    </row>
    <row r="1178" spans="1:24">
      <c r="B1178" t="s">
        <v>196</v>
      </c>
      <c r="C1178" t="s">
        <v>197</v>
      </c>
      <c r="D1178" t="s">
        <v>197</v>
      </c>
      <c r="E1178" t="s">
        <v>197</v>
      </c>
      <c r="F1178" t="s">
        <v>197</v>
      </c>
      <c r="G1178" t="s">
        <v>197</v>
      </c>
      <c r="H1178" t="s">
        <v>197</v>
      </c>
      <c r="I1178" t="s">
        <v>1104</v>
      </c>
      <c r="J1178" t="s">
        <v>199</v>
      </c>
      <c r="K1178" t="s">
        <v>200</v>
      </c>
    </row>
    <row r="1179" spans="1:24">
      <c r="B1179" t="s">
        <v>197</v>
      </c>
      <c r="C1179" t="s">
        <v>197</v>
      </c>
      <c r="D1179" t="s">
        <v>197</v>
      </c>
      <c r="E1179" t="s">
        <v>197</v>
      </c>
      <c r="F1179" t="s">
        <v>197</v>
      </c>
      <c r="G1179" t="s">
        <v>197</v>
      </c>
      <c r="H1179" t="s">
        <v>197</v>
      </c>
      <c r="I1179" t="s">
        <v>197</v>
      </c>
      <c r="J1179" t="s">
        <v>197</v>
      </c>
      <c r="K1179" t="s">
        <v>1039</v>
      </c>
    </row>
    <row r="1180" spans="1:24">
      <c r="A1180" t="s">
        <v>1105</v>
      </c>
      <c r="K1180" t="s">
        <v>1106</v>
      </c>
      <c r="W1180" t="s">
        <v>171</v>
      </c>
      <c r="X1180" t="str">
        <f>A1180</f>
        <v>info_time_dml_batch1_pk_urp2</v>
      </c>
    </row>
    <row r="1181" spans="1:24">
      <c r="B1181" t="s">
        <v>196</v>
      </c>
      <c r="C1181" t="s">
        <v>197</v>
      </c>
      <c r="D1181" t="s">
        <v>197</v>
      </c>
      <c r="E1181" t="s">
        <v>197</v>
      </c>
      <c r="F1181" t="s">
        <v>197</v>
      </c>
      <c r="G1181" t="s">
        <v>197</v>
      </c>
      <c r="H1181" t="s">
        <v>197</v>
      </c>
      <c r="I1181" t="s">
        <v>1107</v>
      </c>
      <c r="J1181" t="s">
        <v>199</v>
      </c>
      <c r="K1181" t="s">
        <v>200</v>
      </c>
    </row>
    <row r="1182" spans="1:24">
      <c r="B1182" t="s">
        <v>197</v>
      </c>
      <c r="C1182" t="s">
        <v>197</v>
      </c>
      <c r="D1182" t="s">
        <v>197</v>
      </c>
      <c r="E1182" t="s">
        <v>197</v>
      </c>
      <c r="F1182" t="s">
        <v>197</v>
      </c>
      <c r="G1182" t="s">
        <v>197</v>
      </c>
      <c r="H1182" t="s">
        <v>197</v>
      </c>
      <c r="I1182" t="s">
        <v>197</v>
      </c>
      <c r="J1182" t="s">
        <v>197</v>
      </c>
      <c r="K1182" t="s">
        <v>800</v>
      </c>
    </row>
    <row r="1183" spans="1:24">
      <c r="B1183" t="s">
        <v>197</v>
      </c>
      <c r="C1183" t="s">
        <v>197</v>
      </c>
      <c r="D1183" t="s">
        <v>197</v>
      </c>
      <c r="E1183" t="s">
        <v>197</v>
      </c>
      <c r="F1183" t="s">
        <v>197</v>
      </c>
      <c r="G1183" t="s">
        <v>197</v>
      </c>
      <c r="H1183" t="s">
        <v>197</v>
      </c>
      <c r="I1183" t="s">
        <v>197</v>
      </c>
      <c r="J1183" t="s">
        <v>197</v>
      </c>
      <c r="K1183" t="s">
        <v>801</v>
      </c>
    </row>
    <row r="1184" spans="1:24">
      <c r="B1184" t="s">
        <v>197</v>
      </c>
      <c r="C1184" t="s">
        <v>197</v>
      </c>
      <c r="D1184" t="s">
        <v>197</v>
      </c>
      <c r="E1184" t="s">
        <v>197</v>
      </c>
      <c r="F1184" t="s">
        <v>197</v>
      </c>
      <c r="G1184" t="s">
        <v>197</v>
      </c>
      <c r="H1184" t="s">
        <v>197</v>
      </c>
      <c r="I1184" t="s">
        <v>197</v>
      </c>
      <c r="J1184" t="s">
        <v>197</v>
      </c>
      <c r="K1184" t="s">
        <v>802</v>
      </c>
    </row>
    <row r="1185" spans="1:24">
      <c r="B1185" t="s">
        <v>197</v>
      </c>
      <c r="C1185" t="s">
        <v>197</v>
      </c>
      <c r="D1185" t="s">
        <v>197</v>
      </c>
      <c r="E1185" t="s">
        <v>197</v>
      </c>
      <c r="F1185" t="s">
        <v>197</v>
      </c>
      <c r="G1185" t="s">
        <v>197</v>
      </c>
      <c r="H1185" t="s">
        <v>197</v>
      </c>
      <c r="I1185" t="s">
        <v>197</v>
      </c>
      <c r="J1185" t="s">
        <v>197</v>
      </c>
      <c r="K1185" t="s">
        <v>803</v>
      </c>
    </row>
    <row r="1186" spans="1:24">
      <c r="B1186" t="s">
        <v>197</v>
      </c>
      <c r="C1186" t="s">
        <v>197</v>
      </c>
      <c r="D1186" t="s">
        <v>197</v>
      </c>
      <c r="E1186" t="s">
        <v>197</v>
      </c>
      <c r="F1186" t="s">
        <v>197</v>
      </c>
      <c r="G1186" t="s">
        <v>197</v>
      </c>
      <c r="H1186" t="s">
        <v>197</v>
      </c>
      <c r="I1186" t="s">
        <v>197</v>
      </c>
      <c r="J1186" t="s">
        <v>197</v>
      </c>
      <c r="K1186" t="s">
        <v>804</v>
      </c>
    </row>
    <row r="1187" spans="1:24">
      <c r="B1187" t="s">
        <v>197</v>
      </c>
      <c r="C1187" t="s">
        <v>197</v>
      </c>
      <c r="D1187" t="s">
        <v>197</v>
      </c>
      <c r="E1187" t="s">
        <v>197</v>
      </c>
      <c r="F1187" t="s">
        <v>197</v>
      </c>
      <c r="G1187" t="s">
        <v>197</v>
      </c>
      <c r="H1187" t="s">
        <v>197</v>
      </c>
      <c r="I1187" t="s">
        <v>197</v>
      </c>
      <c r="J1187" t="s">
        <v>197</v>
      </c>
      <c r="K1187" t="s">
        <v>805</v>
      </c>
    </row>
    <row r="1188" spans="1:24">
      <c r="B1188" t="s">
        <v>197</v>
      </c>
      <c r="C1188" t="s">
        <v>197</v>
      </c>
      <c r="D1188" t="s">
        <v>197</v>
      </c>
      <c r="E1188" t="s">
        <v>197</v>
      </c>
      <c r="F1188" t="s">
        <v>197</v>
      </c>
      <c r="G1188" t="s">
        <v>197</v>
      </c>
      <c r="H1188" t="s">
        <v>197</v>
      </c>
      <c r="I1188" t="s">
        <v>197</v>
      </c>
      <c r="J1188" t="s">
        <v>197</v>
      </c>
      <c r="K1188" t="s">
        <v>806</v>
      </c>
    </row>
    <row r="1189" spans="1:24">
      <c r="B1189" t="s">
        <v>197</v>
      </c>
      <c r="C1189" t="s">
        <v>197</v>
      </c>
      <c r="D1189" t="s">
        <v>197</v>
      </c>
      <c r="E1189" t="s">
        <v>197</v>
      </c>
      <c r="F1189" t="s">
        <v>197</v>
      </c>
      <c r="G1189" t="s">
        <v>197</v>
      </c>
      <c r="H1189" t="s">
        <v>197</v>
      </c>
      <c r="I1189" t="s">
        <v>197</v>
      </c>
      <c r="J1189" t="s">
        <v>197</v>
      </c>
      <c r="K1189" t="s">
        <v>807</v>
      </c>
    </row>
    <row r="1190" spans="1:24">
      <c r="A1190" t="s">
        <v>1108</v>
      </c>
      <c r="K1190" t="s">
        <v>1109</v>
      </c>
      <c r="W1190" t="s">
        <v>171</v>
      </c>
      <c r="X1190" t="str">
        <f>A1190</f>
        <v>info_datetime2_dml_single_pk_drp</v>
      </c>
    </row>
    <row r="1191" spans="1:24">
      <c r="B1191" t="s">
        <v>196</v>
      </c>
      <c r="C1191" t="s">
        <v>197</v>
      </c>
      <c r="D1191" t="s">
        <v>197</v>
      </c>
      <c r="E1191" t="s">
        <v>197</v>
      </c>
      <c r="F1191" t="s">
        <v>197</v>
      </c>
      <c r="G1191" t="s">
        <v>197</v>
      </c>
      <c r="H1191" t="s">
        <v>197</v>
      </c>
      <c r="I1191" t="s">
        <v>1110</v>
      </c>
      <c r="J1191" t="s">
        <v>199</v>
      </c>
      <c r="K1191" t="s">
        <v>200</v>
      </c>
    </row>
    <row r="1192" spans="1:24">
      <c r="B1192" t="s">
        <v>197</v>
      </c>
      <c r="C1192" t="s">
        <v>197</v>
      </c>
      <c r="D1192" t="s">
        <v>197</v>
      </c>
      <c r="E1192" t="s">
        <v>197</v>
      </c>
      <c r="F1192" t="s">
        <v>197</v>
      </c>
      <c r="G1192" t="s">
        <v>197</v>
      </c>
      <c r="H1192" t="s">
        <v>197</v>
      </c>
      <c r="I1192" t="s">
        <v>197</v>
      </c>
      <c r="J1192" t="s">
        <v>197</v>
      </c>
      <c r="K1192" t="s">
        <v>667</v>
      </c>
    </row>
    <row r="1193" spans="1:24">
      <c r="B1193" t="s">
        <v>197</v>
      </c>
      <c r="C1193" t="s">
        <v>197</v>
      </c>
      <c r="D1193" t="s">
        <v>197</v>
      </c>
      <c r="E1193" t="s">
        <v>197</v>
      </c>
      <c r="F1193" t="s">
        <v>197</v>
      </c>
      <c r="G1193" t="s">
        <v>197</v>
      </c>
      <c r="H1193" t="s">
        <v>197</v>
      </c>
      <c r="I1193" t="s">
        <v>197</v>
      </c>
      <c r="J1193" t="s">
        <v>197</v>
      </c>
      <c r="K1193" t="s">
        <v>668</v>
      </c>
    </row>
    <row r="1194" spans="1:24">
      <c r="B1194" t="s">
        <v>197</v>
      </c>
      <c r="C1194" t="s">
        <v>197</v>
      </c>
      <c r="D1194" t="s">
        <v>197</v>
      </c>
      <c r="E1194" t="s">
        <v>197</v>
      </c>
      <c r="F1194" t="s">
        <v>197</v>
      </c>
      <c r="G1194" t="s">
        <v>197</v>
      </c>
      <c r="H1194" t="s">
        <v>197</v>
      </c>
      <c r="I1194" t="s">
        <v>197</v>
      </c>
      <c r="J1194" t="s">
        <v>197</v>
      </c>
      <c r="K1194" t="s">
        <v>669</v>
      </c>
    </row>
    <row r="1195" spans="1:24">
      <c r="B1195" t="s">
        <v>197</v>
      </c>
      <c r="C1195" t="s">
        <v>197</v>
      </c>
      <c r="D1195" t="s">
        <v>197</v>
      </c>
      <c r="E1195" t="s">
        <v>197</v>
      </c>
      <c r="F1195" t="s">
        <v>197</v>
      </c>
      <c r="G1195" t="s">
        <v>197</v>
      </c>
      <c r="H1195" t="s">
        <v>197</v>
      </c>
      <c r="I1195" t="s">
        <v>197</v>
      </c>
      <c r="J1195" t="s">
        <v>197</v>
      </c>
      <c r="K1195" t="s">
        <v>670</v>
      </c>
    </row>
    <row r="1196" spans="1:24">
      <c r="B1196" t="s">
        <v>197</v>
      </c>
      <c r="C1196" t="s">
        <v>197</v>
      </c>
      <c r="D1196" t="s">
        <v>197</v>
      </c>
      <c r="E1196" t="s">
        <v>197</v>
      </c>
      <c r="F1196" t="s">
        <v>197</v>
      </c>
      <c r="G1196" t="s">
        <v>197</v>
      </c>
      <c r="H1196" t="s">
        <v>197</v>
      </c>
      <c r="I1196" t="s">
        <v>197</v>
      </c>
      <c r="J1196" t="s">
        <v>197</v>
      </c>
      <c r="K1196" t="s">
        <v>671</v>
      </c>
    </row>
    <row r="1197" spans="1:24">
      <c r="B1197" t="s">
        <v>197</v>
      </c>
      <c r="C1197" t="s">
        <v>197</v>
      </c>
      <c r="D1197" t="s">
        <v>197</v>
      </c>
      <c r="E1197" t="s">
        <v>197</v>
      </c>
      <c r="F1197" t="s">
        <v>197</v>
      </c>
      <c r="G1197" t="s">
        <v>197</v>
      </c>
      <c r="H1197" t="s">
        <v>197</v>
      </c>
      <c r="I1197" t="s">
        <v>197</v>
      </c>
      <c r="J1197" t="s">
        <v>197</v>
      </c>
      <c r="K1197" t="s">
        <v>672</v>
      </c>
    </row>
    <row r="1198" spans="1:24">
      <c r="B1198" t="s">
        <v>197</v>
      </c>
      <c r="C1198" t="s">
        <v>197</v>
      </c>
      <c r="D1198" t="s">
        <v>197</v>
      </c>
      <c r="E1198" t="s">
        <v>197</v>
      </c>
      <c r="F1198" t="s">
        <v>197</v>
      </c>
      <c r="G1198" t="s">
        <v>197</v>
      </c>
      <c r="H1198" t="s">
        <v>197</v>
      </c>
      <c r="I1198" t="s">
        <v>197</v>
      </c>
      <c r="J1198" t="s">
        <v>197</v>
      </c>
      <c r="K1198" t="s">
        <v>673</v>
      </c>
    </row>
    <row r="1199" spans="1:24">
      <c r="B1199" t="s">
        <v>197</v>
      </c>
      <c r="C1199" t="s">
        <v>197</v>
      </c>
      <c r="D1199" t="s">
        <v>197</v>
      </c>
      <c r="E1199" t="s">
        <v>197</v>
      </c>
      <c r="F1199" t="s">
        <v>197</v>
      </c>
      <c r="G1199" t="s">
        <v>197</v>
      </c>
      <c r="H1199" t="s">
        <v>197</v>
      </c>
      <c r="I1199" t="s">
        <v>197</v>
      </c>
      <c r="J1199" t="s">
        <v>197</v>
      </c>
      <c r="K1199" t="s">
        <v>674</v>
      </c>
    </row>
    <row r="1200" spans="1:24">
      <c r="A1200" t="s">
        <v>1111</v>
      </c>
      <c r="K1200" t="s">
        <v>1112</v>
      </c>
      <c r="W1200" t="s">
        <v>171</v>
      </c>
      <c r="X1200" t="str">
        <f>A1200</f>
        <v>info_varchar_dml_single_pk_urp</v>
      </c>
    </row>
    <row r="1201" spans="1:24">
      <c r="B1201" t="s">
        <v>196</v>
      </c>
      <c r="C1201" t="s">
        <v>197</v>
      </c>
      <c r="D1201" t="s">
        <v>197</v>
      </c>
      <c r="E1201" t="s">
        <v>197</v>
      </c>
      <c r="F1201" t="s">
        <v>197</v>
      </c>
      <c r="G1201" t="s">
        <v>197</v>
      </c>
      <c r="H1201" t="s">
        <v>197</v>
      </c>
      <c r="I1201" t="s">
        <v>1113</v>
      </c>
      <c r="J1201" t="s">
        <v>199</v>
      </c>
      <c r="K1201" t="s">
        <v>200</v>
      </c>
    </row>
    <row r="1202" spans="1:24">
      <c r="B1202" t="s">
        <v>197</v>
      </c>
      <c r="C1202" t="s">
        <v>197</v>
      </c>
      <c r="D1202" t="s">
        <v>197</v>
      </c>
      <c r="E1202" t="s">
        <v>197</v>
      </c>
      <c r="F1202" t="s">
        <v>197</v>
      </c>
      <c r="G1202" t="s">
        <v>197</v>
      </c>
      <c r="H1202" t="s">
        <v>197</v>
      </c>
      <c r="I1202" t="s">
        <v>197</v>
      </c>
      <c r="J1202" t="s">
        <v>197</v>
      </c>
      <c r="K1202" t="s">
        <v>431</v>
      </c>
    </row>
    <row r="1203" spans="1:24">
      <c r="B1203" t="s">
        <v>197</v>
      </c>
      <c r="C1203" t="s">
        <v>197</v>
      </c>
      <c r="D1203" t="s">
        <v>197</v>
      </c>
      <c r="E1203" t="s">
        <v>197</v>
      </c>
      <c r="F1203" t="s">
        <v>197</v>
      </c>
      <c r="G1203" t="s">
        <v>197</v>
      </c>
      <c r="H1203" t="s">
        <v>197</v>
      </c>
      <c r="I1203" t="s">
        <v>197</v>
      </c>
      <c r="J1203" t="s">
        <v>197</v>
      </c>
      <c r="K1203" t="s">
        <v>1056</v>
      </c>
    </row>
    <row r="1204" spans="1:24">
      <c r="B1204" t="s">
        <v>197</v>
      </c>
      <c r="C1204" t="s">
        <v>197</v>
      </c>
      <c r="D1204" t="s">
        <v>197</v>
      </c>
      <c r="E1204" t="s">
        <v>197</v>
      </c>
      <c r="F1204" t="s">
        <v>197</v>
      </c>
      <c r="G1204" t="s">
        <v>197</v>
      </c>
      <c r="H1204" t="s">
        <v>197</v>
      </c>
      <c r="I1204" t="s">
        <v>197</v>
      </c>
      <c r="J1204" t="s">
        <v>197</v>
      </c>
      <c r="K1204" t="s">
        <v>963</v>
      </c>
    </row>
    <row r="1205" spans="1:24">
      <c r="A1205" t="s">
        <v>1114</v>
      </c>
      <c r="K1205" t="s">
        <v>1115</v>
      </c>
      <c r="W1205" t="s">
        <v>171</v>
      </c>
      <c r="X1205" t="str">
        <f>A1205</f>
        <v>info_time_dml_batch1_pk_drp1</v>
      </c>
    </row>
    <row r="1206" spans="1:24">
      <c r="B1206" t="s">
        <v>196</v>
      </c>
      <c r="C1206" t="s">
        <v>197</v>
      </c>
      <c r="D1206" t="s">
        <v>197</v>
      </c>
      <c r="E1206" t="s">
        <v>197</v>
      </c>
      <c r="F1206" t="s">
        <v>197</v>
      </c>
      <c r="G1206" t="s">
        <v>197</v>
      </c>
      <c r="H1206" t="s">
        <v>197</v>
      </c>
      <c r="I1206" t="s">
        <v>1116</v>
      </c>
      <c r="J1206" t="s">
        <v>199</v>
      </c>
      <c r="K1206" t="s">
        <v>200</v>
      </c>
    </row>
    <row r="1207" spans="1:24">
      <c r="B1207" t="s">
        <v>197</v>
      </c>
      <c r="C1207" t="s">
        <v>197</v>
      </c>
      <c r="D1207" t="s">
        <v>197</v>
      </c>
      <c r="E1207" t="s">
        <v>197</v>
      </c>
      <c r="F1207" t="s">
        <v>197</v>
      </c>
      <c r="G1207" t="s">
        <v>197</v>
      </c>
      <c r="H1207" t="s">
        <v>197</v>
      </c>
      <c r="I1207" t="s">
        <v>197</v>
      </c>
      <c r="J1207" t="s">
        <v>197</v>
      </c>
      <c r="K1207" t="s">
        <v>800</v>
      </c>
    </row>
    <row r="1208" spans="1:24">
      <c r="B1208" t="s">
        <v>197</v>
      </c>
      <c r="C1208" t="s">
        <v>197</v>
      </c>
      <c r="D1208" t="s">
        <v>197</v>
      </c>
      <c r="E1208" t="s">
        <v>197</v>
      </c>
      <c r="F1208" t="s">
        <v>197</v>
      </c>
      <c r="G1208" t="s">
        <v>197</v>
      </c>
      <c r="H1208" t="s">
        <v>197</v>
      </c>
      <c r="I1208" t="s">
        <v>197</v>
      </c>
      <c r="J1208" t="s">
        <v>197</v>
      </c>
      <c r="K1208" t="s">
        <v>801</v>
      </c>
    </row>
    <row r="1209" spans="1:24">
      <c r="B1209" t="s">
        <v>197</v>
      </c>
      <c r="C1209" t="s">
        <v>197</v>
      </c>
      <c r="D1209" t="s">
        <v>197</v>
      </c>
      <c r="E1209" t="s">
        <v>197</v>
      </c>
      <c r="F1209" t="s">
        <v>197</v>
      </c>
      <c r="G1209" t="s">
        <v>197</v>
      </c>
      <c r="H1209" t="s">
        <v>197</v>
      </c>
      <c r="I1209" t="s">
        <v>197</v>
      </c>
      <c r="J1209" t="s">
        <v>197</v>
      </c>
      <c r="K1209" t="s">
        <v>802</v>
      </c>
    </row>
    <row r="1210" spans="1:24">
      <c r="B1210" t="s">
        <v>197</v>
      </c>
      <c r="C1210" t="s">
        <v>197</v>
      </c>
      <c r="D1210" t="s">
        <v>197</v>
      </c>
      <c r="E1210" t="s">
        <v>197</v>
      </c>
      <c r="F1210" t="s">
        <v>197</v>
      </c>
      <c r="G1210" t="s">
        <v>197</v>
      </c>
      <c r="H1210" t="s">
        <v>197</v>
      </c>
      <c r="I1210" t="s">
        <v>197</v>
      </c>
      <c r="J1210" t="s">
        <v>197</v>
      </c>
      <c r="K1210" t="s">
        <v>803</v>
      </c>
    </row>
    <row r="1211" spans="1:24">
      <c r="B1211" t="s">
        <v>197</v>
      </c>
      <c r="C1211" t="s">
        <v>197</v>
      </c>
      <c r="D1211" t="s">
        <v>197</v>
      </c>
      <c r="E1211" t="s">
        <v>197</v>
      </c>
      <c r="F1211" t="s">
        <v>197</v>
      </c>
      <c r="G1211" t="s">
        <v>197</v>
      </c>
      <c r="H1211" t="s">
        <v>197</v>
      </c>
      <c r="I1211" t="s">
        <v>197</v>
      </c>
      <c r="J1211" t="s">
        <v>197</v>
      </c>
      <c r="K1211" t="s">
        <v>804</v>
      </c>
    </row>
    <row r="1212" spans="1:24">
      <c r="B1212" t="s">
        <v>197</v>
      </c>
      <c r="C1212" t="s">
        <v>197</v>
      </c>
      <c r="D1212" t="s">
        <v>197</v>
      </c>
      <c r="E1212" t="s">
        <v>197</v>
      </c>
      <c r="F1212" t="s">
        <v>197</v>
      </c>
      <c r="G1212" t="s">
        <v>197</v>
      </c>
      <c r="H1212" t="s">
        <v>197</v>
      </c>
      <c r="I1212" t="s">
        <v>197</v>
      </c>
      <c r="J1212" t="s">
        <v>197</v>
      </c>
      <c r="K1212" t="s">
        <v>805</v>
      </c>
    </row>
    <row r="1213" spans="1:24">
      <c r="B1213" t="s">
        <v>197</v>
      </c>
      <c r="C1213" t="s">
        <v>197</v>
      </c>
      <c r="D1213" t="s">
        <v>197</v>
      </c>
      <c r="E1213" t="s">
        <v>197</v>
      </c>
      <c r="F1213" t="s">
        <v>197</v>
      </c>
      <c r="G1213" t="s">
        <v>197</v>
      </c>
      <c r="H1213" t="s">
        <v>197</v>
      </c>
      <c r="I1213" t="s">
        <v>197</v>
      </c>
      <c r="J1213" t="s">
        <v>197</v>
      </c>
      <c r="K1213" t="s">
        <v>806</v>
      </c>
    </row>
    <row r="1214" spans="1:24">
      <c r="B1214" t="s">
        <v>197</v>
      </c>
      <c r="C1214" t="s">
        <v>197</v>
      </c>
      <c r="D1214" t="s">
        <v>197</v>
      </c>
      <c r="E1214" t="s">
        <v>197</v>
      </c>
      <c r="F1214" t="s">
        <v>197</v>
      </c>
      <c r="G1214" t="s">
        <v>197</v>
      </c>
      <c r="H1214" t="s">
        <v>197</v>
      </c>
      <c r="I1214" t="s">
        <v>197</v>
      </c>
      <c r="J1214" t="s">
        <v>197</v>
      </c>
      <c r="K1214" t="s">
        <v>807</v>
      </c>
    </row>
    <row r="1215" spans="1:24">
      <c r="K1215" t="s">
        <v>443</v>
      </c>
    </row>
    <row r="1216" spans="1:24">
      <c r="A1216" t="s">
        <v>1117</v>
      </c>
      <c r="K1216" t="s">
        <v>1118</v>
      </c>
      <c r="W1216" t="s">
        <v>171</v>
      </c>
      <c r="X1216" t="str">
        <f>A1216</f>
        <v>info_int_dml_batch1_pk_irp2</v>
      </c>
    </row>
    <row r="1217" spans="2:11">
      <c r="B1217" t="s">
        <v>196</v>
      </c>
      <c r="C1217" t="s">
        <v>197</v>
      </c>
      <c r="D1217" t="s">
        <v>197</v>
      </c>
      <c r="E1217" t="s">
        <v>197</v>
      </c>
      <c r="F1217" t="s">
        <v>197</v>
      </c>
      <c r="G1217" t="s">
        <v>197</v>
      </c>
      <c r="H1217" t="s">
        <v>197</v>
      </c>
      <c r="I1217" t="s">
        <v>1119</v>
      </c>
      <c r="J1217" t="s">
        <v>199</v>
      </c>
      <c r="K1217" t="s">
        <v>200</v>
      </c>
    </row>
    <row r="1218" spans="2:11">
      <c r="B1218" t="s">
        <v>197</v>
      </c>
      <c r="C1218" t="s">
        <v>197</v>
      </c>
      <c r="D1218" t="s">
        <v>197</v>
      </c>
      <c r="E1218" t="s">
        <v>197</v>
      </c>
      <c r="F1218" t="s">
        <v>197</v>
      </c>
      <c r="G1218" t="s">
        <v>197</v>
      </c>
      <c r="H1218" t="s">
        <v>197</v>
      </c>
      <c r="I1218" t="s">
        <v>197</v>
      </c>
      <c r="J1218" t="s">
        <v>197</v>
      </c>
      <c r="K1218" t="s">
        <v>549</v>
      </c>
    </row>
    <row r="1219" spans="2:11">
      <c r="B1219" t="s">
        <v>197</v>
      </c>
      <c r="C1219" t="s">
        <v>197</v>
      </c>
      <c r="D1219" t="s">
        <v>197</v>
      </c>
      <c r="E1219" t="s">
        <v>197</v>
      </c>
      <c r="F1219" t="s">
        <v>197</v>
      </c>
      <c r="G1219" t="s">
        <v>197</v>
      </c>
      <c r="H1219" t="s">
        <v>197</v>
      </c>
      <c r="I1219" t="s">
        <v>197</v>
      </c>
      <c r="J1219" t="s">
        <v>197</v>
      </c>
      <c r="K1219" t="s">
        <v>550</v>
      </c>
    </row>
    <row r="1220" spans="2:11">
      <c r="B1220" t="s">
        <v>197</v>
      </c>
      <c r="C1220" t="s">
        <v>197</v>
      </c>
      <c r="D1220" t="s">
        <v>197</v>
      </c>
      <c r="E1220" t="s">
        <v>197</v>
      </c>
      <c r="F1220" t="s">
        <v>197</v>
      </c>
      <c r="G1220" t="s">
        <v>197</v>
      </c>
      <c r="H1220" t="s">
        <v>197</v>
      </c>
      <c r="I1220" t="s">
        <v>197</v>
      </c>
      <c r="J1220" t="s">
        <v>197</v>
      </c>
      <c r="K1220" t="s">
        <v>551</v>
      </c>
    </row>
    <row r="1221" spans="2:11">
      <c r="B1221" t="s">
        <v>197</v>
      </c>
      <c r="C1221" t="s">
        <v>197</v>
      </c>
      <c r="D1221" t="s">
        <v>197</v>
      </c>
      <c r="E1221" t="s">
        <v>197</v>
      </c>
      <c r="F1221" t="s">
        <v>197</v>
      </c>
      <c r="G1221" t="s">
        <v>197</v>
      </c>
      <c r="H1221" t="s">
        <v>197</v>
      </c>
      <c r="I1221" t="s">
        <v>197</v>
      </c>
      <c r="J1221" t="s">
        <v>197</v>
      </c>
      <c r="K1221" t="s">
        <v>552</v>
      </c>
    </row>
    <row r="1222" spans="2:11">
      <c r="B1222" t="s">
        <v>197</v>
      </c>
      <c r="C1222" t="s">
        <v>197</v>
      </c>
      <c r="D1222" t="s">
        <v>197</v>
      </c>
      <c r="E1222" t="s">
        <v>197</v>
      </c>
      <c r="F1222" t="s">
        <v>197</v>
      </c>
      <c r="G1222" t="s">
        <v>197</v>
      </c>
      <c r="H1222" t="s">
        <v>197</v>
      </c>
      <c r="I1222" t="s">
        <v>197</v>
      </c>
      <c r="J1222" t="s">
        <v>197</v>
      </c>
      <c r="K1222" t="s">
        <v>553</v>
      </c>
    </row>
    <row r="1223" spans="2:11">
      <c r="B1223" t="s">
        <v>197</v>
      </c>
      <c r="C1223" t="s">
        <v>197</v>
      </c>
      <c r="D1223" t="s">
        <v>197</v>
      </c>
      <c r="E1223" t="s">
        <v>197</v>
      </c>
      <c r="F1223" t="s">
        <v>197</v>
      </c>
      <c r="G1223" t="s">
        <v>197</v>
      </c>
      <c r="H1223" t="s">
        <v>197</v>
      </c>
      <c r="I1223" t="s">
        <v>197</v>
      </c>
      <c r="J1223" t="s">
        <v>197</v>
      </c>
      <c r="K1223" t="s">
        <v>554</v>
      </c>
    </row>
    <row r="1224" spans="2:11">
      <c r="B1224" t="s">
        <v>197</v>
      </c>
      <c r="C1224" t="s">
        <v>197</v>
      </c>
      <c r="D1224" t="s">
        <v>197</v>
      </c>
      <c r="E1224" t="s">
        <v>197</v>
      </c>
      <c r="F1224" t="s">
        <v>197</v>
      </c>
      <c r="G1224" t="s">
        <v>197</v>
      </c>
      <c r="H1224" t="s">
        <v>197</v>
      </c>
      <c r="I1224" t="s">
        <v>197</v>
      </c>
      <c r="J1224" t="s">
        <v>197</v>
      </c>
      <c r="K1224" t="s">
        <v>555</v>
      </c>
    </row>
    <row r="1225" spans="2:11">
      <c r="B1225" t="s">
        <v>197</v>
      </c>
      <c r="C1225" t="s">
        <v>197</v>
      </c>
      <c r="D1225" t="s">
        <v>197</v>
      </c>
      <c r="E1225" t="s">
        <v>197</v>
      </c>
      <c r="F1225" t="s">
        <v>197</v>
      </c>
      <c r="G1225" t="s">
        <v>197</v>
      </c>
      <c r="H1225" t="s">
        <v>197</v>
      </c>
      <c r="I1225" t="s">
        <v>197</v>
      </c>
      <c r="J1225" t="s">
        <v>197</v>
      </c>
      <c r="K1225" t="s">
        <v>556</v>
      </c>
    </row>
    <row r="1226" spans="2:11">
      <c r="B1226" t="s">
        <v>197</v>
      </c>
      <c r="C1226" t="s">
        <v>197</v>
      </c>
      <c r="D1226" t="s">
        <v>197</v>
      </c>
      <c r="E1226" t="s">
        <v>197</v>
      </c>
      <c r="F1226" t="s">
        <v>197</v>
      </c>
      <c r="G1226" t="s">
        <v>197</v>
      </c>
      <c r="H1226" t="s">
        <v>197</v>
      </c>
      <c r="I1226" t="s">
        <v>197</v>
      </c>
      <c r="J1226" t="s">
        <v>197</v>
      </c>
      <c r="K1226" t="s">
        <v>557</v>
      </c>
    </row>
    <row r="1227" spans="2:11">
      <c r="B1227" t="s">
        <v>197</v>
      </c>
      <c r="C1227" t="s">
        <v>197</v>
      </c>
      <c r="D1227" t="s">
        <v>197</v>
      </c>
      <c r="E1227" t="s">
        <v>197</v>
      </c>
      <c r="F1227" t="s">
        <v>197</v>
      </c>
      <c r="G1227" t="s">
        <v>197</v>
      </c>
      <c r="H1227" t="s">
        <v>197</v>
      </c>
      <c r="I1227" t="s">
        <v>197</v>
      </c>
      <c r="J1227" t="s">
        <v>197</v>
      </c>
      <c r="K1227" t="s">
        <v>558</v>
      </c>
    </row>
    <row r="1228" spans="2:11">
      <c r="B1228" t="s">
        <v>197</v>
      </c>
      <c r="C1228" t="s">
        <v>197</v>
      </c>
      <c r="D1228" t="s">
        <v>197</v>
      </c>
      <c r="E1228" t="s">
        <v>197</v>
      </c>
      <c r="F1228" t="s">
        <v>197</v>
      </c>
      <c r="G1228" t="s">
        <v>197</v>
      </c>
      <c r="H1228" t="s">
        <v>197</v>
      </c>
      <c r="I1228" t="s">
        <v>197</v>
      </c>
      <c r="J1228" t="s">
        <v>197</v>
      </c>
      <c r="K1228" t="s">
        <v>559</v>
      </c>
    </row>
    <row r="1229" spans="2:11">
      <c r="B1229" t="s">
        <v>197</v>
      </c>
      <c r="C1229" t="s">
        <v>197</v>
      </c>
      <c r="D1229" t="s">
        <v>197</v>
      </c>
      <c r="E1229" t="s">
        <v>197</v>
      </c>
      <c r="F1229" t="s">
        <v>197</v>
      </c>
      <c r="G1229" t="s">
        <v>197</v>
      </c>
      <c r="H1229" t="s">
        <v>197</v>
      </c>
      <c r="I1229" t="s">
        <v>197</v>
      </c>
      <c r="J1229" t="s">
        <v>197</v>
      </c>
      <c r="K1229" t="s">
        <v>560</v>
      </c>
    </row>
    <row r="1230" spans="2:11">
      <c r="B1230" t="s">
        <v>197</v>
      </c>
      <c r="C1230" t="s">
        <v>197</v>
      </c>
      <c r="D1230" t="s">
        <v>197</v>
      </c>
      <c r="E1230" t="s">
        <v>197</v>
      </c>
      <c r="F1230" t="s">
        <v>197</v>
      </c>
      <c r="G1230" t="s">
        <v>197</v>
      </c>
      <c r="H1230" t="s">
        <v>197</v>
      </c>
      <c r="I1230" t="s">
        <v>197</v>
      </c>
      <c r="J1230" t="s">
        <v>197</v>
      </c>
      <c r="K1230" t="s">
        <v>561</v>
      </c>
    </row>
    <row r="1231" spans="2:11">
      <c r="B1231" t="s">
        <v>197</v>
      </c>
      <c r="C1231" t="s">
        <v>197</v>
      </c>
      <c r="D1231" t="s">
        <v>197</v>
      </c>
      <c r="E1231" t="s">
        <v>197</v>
      </c>
      <c r="F1231" t="s">
        <v>197</v>
      </c>
      <c r="G1231" t="s">
        <v>197</v>
      </c>
      <c r="H1231" t="s">
        <v>197</v>
      </c>
      <c r="I1231" t="s">
        <v>197</v>
      </c>
      <c r="J1231" t="s">
        <v>197</v>
      </c>
      <c r="K1231" t="s">
        <v>562</v>
      </c>
    </row>
    <row r="1232" spans="2:11">
      <c r="B1232" t="s">
        <v>197</v>
      </c>
      <c r="C1232" t="s">
        <v>197</v>
      </c>
      <c r="D1232" t="s">
        <v>197</v>
      </c>
      <c r="E1232" t="s">
        <v>197</v>
      </c>
      <c r="F1232" t="s">
        <v>197</v>
      </c>
      <c r="G1232" t="s">
        <v>197</v>
      </c>
      <c r="H1232" t="s">
        <v>197</v>
      </c>
      <c r="I1232" t="s">
        <v>197</v>
      </c>
      <c r="J1232" t="s">
        <v>197</v>
      </c>
      <c r="K1232" t="s">
        <v>563</v>
      </c>
    </row>
    <row r="1233" spans="1:24">
      <c r="B1233" t="s">
        <v>197</v>
      </c>
      <c r="C1233" t="s">
        <v>197</v>
      </c>
      <c r="D1233" t="s">
        <v>197</v>
      </c>
      <c r="E1233" t="s">
        <v>197</v>
      </c>
      <c r="F1233" t="s">
        <v>197</v>
      </c>
      <c r="G1233" t="s">
        <v>197</v>
      </c>
      <c r="H1233" t="s">
        <v>197</v>
      </c>
      <c r="I1233" t="s">
        <v>197</v>
      </c>
      <c r="J1233" t="s">
        <v>197</v>
      </c>
      <c r="K1233" t="s">
        <v>564</v>
      </c>
    </row>
    <row r="1234" spans="1:24">
      <c r="B1234" t="s">
        <v>197</v>
      </c>
      <c r="C1234" t="s">
        <v>197</v>
      </c>
      <c r="D1234" t="s">
        <v>197</v>
      </c>
      <c r="E1234" t="s">
        <v>197</v>
      </c>
      <c r="F1234" t="s">
        <v>197</v>
      </c>
      <c r="G1234" t="s">
        <v>197</v>
      </c>
      <c r="H1234" t="s">
        <v>197</v>
      </c>
      <c r="I1234" t="s">
        <v>197</v>
      </c>
      <c r="J1234" t="s">
        <v>197</v>
      </c>
      <c r="K1234" t="s">
        <v>565</v>
      </c>
    </row>
    <row r="1235" spans="1:24">
      <c r="B1235" t="s">
        <v>197</v>
      </c>
      <c r="C1235" t="s">
        <v>197</v>
      </c>
      <c r="D1235" t="s">
        <v>197</v>
      </c>
      <c r="E1235" t="s">
        <v>197</v>
      </c>
      <c r="F1235" t="s">
        <v>197</v>
      </c>
      <c r="G1235" t="s">
        <v>197</v>
      </c>
      <c r="H1235" t="s">
        <v>197</v>
      </c>
      <c r="I1235" t="s">
        <v>197</v>
      </c>
      <c r="J1235" t="s">
        <v>197</v>
      </c>
      <c r="K1235" t="s">
        <v>566</v>
      </c>
    </row>
    <row r="1236" spans="1:24">
      <c r="B1236" t="s">
        <v>197</v>
      </c>
      <c r="C1236" t="s">
        <v>197</v>
      </c>
      <c r="D1236" t="s">
        <v>197</v>
      </c>
      <c r="E1236" t="s">
        <v>197</v>
      </c>
      <c r="F1236" t="s">
        <v>197</v>
      </c>
      <c r="G1236" t="s">
        <v>197</v>
      </c>
      <c r="H1236" t="s">
        <v>197</v>
      </c>
      <c r="I1236" t="s">
        <v>197</v>
      </c>
      <c r="J1236" t="s">
        <v>197</v>
      </c>
      <c r="K1236" t="s">
        <v>567</v>
      </c>
    </row>
    <row r="1237" spans="1:24">
      <c r="A1237" t="s">
        <v>1120</v>
      </c>
      <c r="K1237" t="s">
        <v>1121</v>
      </c>
      <c r="W1237" t="s">
        <v>171</v>
      </c>
      <c r="X1237" t="str">
        <f>A1237</f>
        <v>info_uniqueidentifier_dml_single_pk</v>
      </c>
    </row>
    <row r="1238" spans="1:24">
      <c r="B1238" t="s">
        <v>196</v>
      </c>
      <c r="C1238" t="s">
        <v>197</v>
      </c>
      <c r="D1238" t="s">
        <v>197</v>
      </c>
      <c r="E1238" t="s">
        <v>197</v>
      </c>
      <c r="F1238" t="s">
        <v>197</v>
      </c>
      <c r="G1238" t="s">
        <v>197</v>
      </c>
      <c r="H1238" t="s">
        <v>197</v>
      </c>
      <c r="I1238" t="s">
        <v>1122</v>
      </c>
      <c r="J1238" t="s">
        <v>199</v>
      </c>
      <c r="K1238" t="s">
        <v>200</v>
      </c>
    </row>
    <row r="1239" spans="1:24">
      <c r="B1239" t="s">
        <v>197</v>
      </c>
      <c r="C1239" t="s">
        <v>197</v>
      </c>
      <c r="D1239" t="s">
        <v>197</v>
      </c>
      <c r="E1239" t="s">
        <v>197</v>
      </c>
      <c r="F1239" t="s">
        <v>197</v>
      </c>
      <c r="G1239" t="s">
        <v>197</v>
      </c>
      <c r="H1239" t="s">
        <v>197</v>
      </c>
      <c r="I1239" t="s">
        <v>197</v>
      </c>
      <c r="J1239" t="s">
        <v>197</v>
      </c>
      <c r="K1239" t="s">
        <v>1039</v>
      </c>
    </row>
    <row r="1240" spans="1:24">
      <c r="A1240" t="s">
        <v>1123</v>
      </c>
      <c r="K1240" t="s">
        <v>1124</v>
      </c>
      <c r="W1240" t="s">
        <v>171</v>
      </c>
      <c r="X1240" t="str">
        <f>A1240</f>
        <v>info_datetime2_dml_single_pk</v>
      </c>
    </row>
    <row r="1241" spans="1:24">
      <c r="B1241" t="s">
        <v>196</v>
      </c>
      <c r="C1241" t="s">
        <v>197</v>
      </c>
      <c r="D1241" t="s">
        <v>197</v>
      </c>
      <c r="E1241" t="s">
        <v>197</v>
      </c>
      <c r="F1241" t="s">
        <v>197</v>
      </c>
      <c r="G1241" t="s">
        <v>197</v>
      </c>
      <c r="H1241" t="s">
        <v>197</v>
      </c>
      <c r="I1241" t="s">
        <v>1125</v>
      </c>
      <c r="J1241" t="s">
        <v>199</v>
      </c>
      <c r="K1241" t="s">
        <v>200</v>
      </c>
    </row>
    <row r="1242" spans="1:24">
      <c r="B1242" t="s">
        <v>197</v>
      </c>
      <c r="C1242" t="s">
        <v>197</v>
      </c>
      <c r="D1242" t="s">
        <v>197</v>
      </c>
      <c r="E1242" t="s">
        <v>197</v>
      </c>
      <c r="F1242" t="s">
        <v>197</v>
      </c>
      <c r="G1242" t="s">
        <v>197</v>
      </c>
      <c r="H1242" t="s">
        <v>197</v>
      </c>
      <c r="I1242" t="s">
        <v>197</v>
      </c>
      <c r="J1242" t="s">
        <v>197</v>
      </c>
      <c r="K1242" t="s">
        <v>667</v>
      </c>
    </row>
    <row r="1243" spans="1:24">
      <c r="B1243" t="s">
        <v>197</v>
      </c>
      <c r="C1243" t="s">
        <v>197</v>
      </c>
      <c r="D1243" t="s">
        <v>197</v>
      </c>
      <c r="E1243" t="s">
        <v>197</v>
      </c>
      <c r="F1243" t="s">
        <v>197</v>
      </c>
      <c r="G1243" t="s">
        <v>197</v>
      </c>
      <c r="H1243" t="s">
        <v>197</v>
      </c>
      <c r="I1243" t="s">
        <v>197</v>
      </c>
      <c r="J1243" t="s">
        <v>197</v>
      </c>
      <c r="K1243" t="s">
        <v>668</v>
      </c>
    </row>
    <row r="1244" spans="1:24">
      <c r="B1244" t="s">
        <v>197</v>
      </c>
      <c r="C1244" t="s">
        <v>197</v>
      </c>
      <c r="D1244" t="s">
        <v>197</v>
      </c>
      <c r="E1244" t="s">
        <v>197</v>
      </c>
      <c r="F1244" t="s">
        <v>197</v>
      </c>
      <c r="G1244" t="s">
        <v>197</v>
      </c>
      <c r="H1244" t="s">
        <v>197</v>
      </c>
      <c r="I1244" t="s">
        <v>197</v>
      </c>
      <c r="J1244" t="s">
        <v>197</v>
      </c>
      <c r="K1244" t="s">
        <v>669</v>
      </c>
    </row>
    <row r="1245" spans="1:24">
      <c r="B1245" t="s">
        <v>197</v>
      </c>
      <c r="C1245" t="s">
        <v>197</v>
      </c>
      <c r="D1245" t="s">
        <v>197</v>
      </c>
      <c r="E1245" t="s">
        <v>197</v>
      </c>
      <c r="F1245" t="s">
        <v>197</v>
      </c>
      <c r="G1245" t="s">
        <v>197</v>
      </c>
      <c r="H1245" t="s">
        <v>197</v>
      </c>
      <c r="I1245" t="s">
        <v>197</v>
      </c>
      <c r="J1245" t="s">
        <v>197</v>
      </c>
      <c r="K1245" t="s">
        <v>670</v>
      </c>
    </row>
    <row r="1246" spans="1:24">
      <c r="B1246" t="s">
        <v>197</v>
      </c>
      <c r="C1246" t="s">
        <v>197</v>
      </c>
      <c r="D1246" t="s">
        <v>197</v>
      </c>
      <c r="E1246" t="s">
        <v>197</v>
      </c>
      <c r="F1246" t="s">
        <v>197</v>
      </c>
      <c r="G1246" t="s">
        <v>197</v>
      </c>
      <c r="H1246" t="s">
        <v>197</v>
      </c>
      <c r="I1246" t="s">
        <v>197</v>
      </c>
      <c r="J1246" t="s">
        <v>197</v>
      </c>
      <c r="K1246" t="s">
        <v>671</v>
      </c>
    </row>
    <row r="1247" spans="1:24">
      <c r="B1247" t="s">
        <v>197</v>
      </c>
      <c r="C1247" t="s">
        <v>197</v>
      </c>
      <c r="D1247" t="s">
        <v>197</v>
      </c>
      <c r="E1247" t="s">
        <v>197</v>
      </c>
      <c r="F1247" t="s">
        <v>197</v>
      </c>
      <c r="G1247" t="s">
        <v>197</v>
      </c>
      <c r="H1247" t="s">
        <v>197</v>
      </c>
      <c r="I1247" t="s">
        <v>197</v>
      </c>
      <c r="J1247" t="s">
        <v>197</v>
      </c>
      <c r="K1247" t="s">
        <v>672</v>
      </c>
    </row>
    <row r="1248" spans="1:24">
      <c r="B1248" t="s">
        <v>197</v>
      </c>
      <c r="C1248" t="s">
        <v>197</v>
      </c>
      <c r="D1248" t="s">
        <v>197</v>
      </c>
      <c r="E1248" t="s">
        <v>197</v>
      </c>
      <c r="F1248" t="s">
        <v>197</v>
      </c>
      <c r="G1248" t="s">
        <v>197</v>
      </c>
      <c r="H1248" t="s">
        <v>197</v>
      </c>
      <c r="I1248" t="s">
        <v>197</v>
      </c>
      <c r="J1248" t="s">
        <v>197</v>
      </c>
      <c r="K1248" t="s">
        <v>673</v>
      </c>
    </row>
    <row r="1249" spans="1:24">
      <c r="B1249" t="s">
        <v>197</v>
      </c>
      <c r="C1249" t="s">
        <v>197</v>
      </c>
      <c r="D1249" t="s">
        <v>197</v>
      </c>
      <c r="E1249" t="s">
        <v>197</v>
      </c>
      <c r="F1249" t="s">
        <v>197</v>
      </c>
      <c r="G1249" t="s">
        <v>197</v>
      </c>
      <c r="H1249" t="s">
        <v>197</v>
      </c>
      <c r="I1249" t="s">
        <v>197</v>
      </c>
      <c r="J1249" t="s">
        <v>197</v>
      </c>
      <c r="K1249" t="s">
        <v>674</v>
      </c>
    </row>
    <row r="1250" spans="1:24">
      <c r="A1250" t="s">
        <v>1129</v>
      </c>
      <c r="K1250" t="s">
        <v>1130</v>
      </c>
      <c r="W1250" s="1" t="str">
        <f>HYPERLINK("#2026042017hbase1!AF2","NO 源备存在差异，共4个")</f>
        <v>NO 源备存在差异，共4个</v>
      </c>
      <c r="X1250" t="str">
        <f>A1250</f>
        <v>info_geography_dml_single_pk_drp</v>
      </c>
    </row>
    <row r="1251" spans="1:24">
      <c r="B1251" t="s">
        <v>196</v>
      </c>
      <c r="C1251" t="s">
        <v>197</v>
      </c>
      <c r="D1251" t="s">
        <v>197</v>
      </c>
      <c r="E1251" t="s">
        <v>197</v>
      </c>
      <c r="F1251" t="s">
        <v>197</v>
      </c>
      <c r="G1251" t="s">
        <v>197</v>
      </c>
      <c r="H1251" t="s">
        <v>197</v>
      </c>
      <c r="I1251" t="s">
        <v>1131</v>
      </c>
      <c r="J1251" t="s">
        <v>199</v>
      </c>
      <c r="K1251" t="s">
        <v>200</v>
      </c>
    </row>
    <row r="1252" spans="1:24">
      <c r="B1252" t="s">
        <v>197</v>
      </c>
      <c r="C1252" t="s">
        <v>197</v>
      </c>
      <c r="D1252" t="s">
        <v>197</v>
      </c>
      <c r="E1252" t="s">
        <v>197</v>
      </c>
      <c r="F1252" t="s">
        <v>197</v>
      </c>
      <c r="G1252" t="s">
        <v>197</v>
      </c>
      <c r="H1252" t="s">
        <v>197</v>
      </c>
      <c r="I1252" t="s">
        <v>197</v>
      </c>
      <c r="J1252" t="s">
        <v>197</v>
      </c>
      <c r="K1252" t="s">
        <v>1052</v>
      </c>
    </row>
    <row r="1253" spans="1:24">
      <c r="A1253" t="s">
        <v>1126</v>
      </c>
      <c r="K1253" t="s">
        <v>1127</v>
      </c>
      <c r="W1253" t="s">
        <v>171</v>
      </c>
      <c r="X1253" t="str">
        <f>A1253</f>
        <v>info_varchar_dml_single_pk_drp</v>
      </c>
    </row>
    <row r="1254" spans="1:24">
      <c r="B1254" t="s">
        <v>196</v>
      </c>
      <c r="C1254" t="s">
        <v>197</v>
      </c>
      <c r="D1254" t="s">
        <v>197</v>
      </c>
      <c r="E1254" t="s">
        <v>197</v>
      </c>
      <c r="F1254" t="s">
        <v>197</v>
      </c>
      <c r="G1254" t="s">
        <v>197</v>
      </c>
      <c r="H1254" t="s">
        <v>197</v>
      </c>
      <c r="I1254" t="s">
        <v>1128</v>
      </c>
      <c r="J1254" t="s">
        <v>199</v>
      </c>
      <c r="K1254" t="s">
        <v>200</v>
      </c>
    </row>
    <row r="1255" spans="1:24">
      <c r="B1255" t="s">
        <v>197</v>
      </c>
      <c r="C1255" t="s">
        <v>197</v>
      </c>
      <c r="D1255" t="s">
        <v>197</v>
      </c>
      <c r="E1255" t="s">
        <v>197</v>
      </c>
      <c r="F1255" t="s">
        <v>197</v>
      </c>
      <c r="G1255" t="s">
        <v>197</v>
      </c>
      <c r="H1255" t="s">
        <v>197</v>
      </c>
      <c r="I1255" t="s">
        <v>197</v>
      </c>
      <c r="J1255" t="s">
        <v>197</v>
      </c>
      <c r="K1255" t="s">
        <v>431</v>
      </c>
    </row>
    <row r="1256" spans="1:24">
      <c r="B1256" t="s">
        <v>197</v>
      </c>
      <c r="C1256" t="s">
        <v>197</v>
      </c>
      <c r="D1256" t="s">
        <v>197</v>
      </c>
      <c r="E1256" t="s">
        <v>197</v>
      </c>
      <c r="F1256" t="s">
        <v>197</v>
      </c>
      <c r="G1256" t="s">
        <v>197</v>
      </c>
      <c r="H1256" t="s">
        <v>197</v>
      </c>
      <c r="I1256" t="s">
        <v>197</v>
      </c>
      <c r="J1256" t="s">
        <v>197</v>
      </c>
      <c r="K1256" t="s">
        <v>1056</v>
      </c>
    </row>
    <row r="1257" spans="1:24">
      <c r="B1257" t="s">
        <v>197</v>
      </c>
      <c r="C1257" t="s">
        <v>197</v>
      </c>
      <c r="D1257" t="s">
        <v>197</v>
      </c>
      <c r="E1257" t="s">
        <v>197</v>
      </c>
      <c r="F1257" t="s">
        <v>197</v>
      </c>
      <c r="G1257" t="s">
        <v>197</v>
      </c>
      <c r="H1257" t="s">
        <v>197</v>
      </c>
      <c r="I1257" t="s">
        <v>197</v>
      </c>
      <c r="J1257" t="s">
        <v>197</v>
      </c>
      <c r="K1257" t="s">
        <v>963</v>
      </c>
    </row>
    <row r="1258" spans="1:24">
      <c r="A1258" t="s">
        <v>1141</v>
      </c>
      <c r="K1258" t="s">
        <v>1142</v>
      </c>
      <c r="W1258" t="s">
        <v>171</v>
      </c>
      <c r="X1258" t="str">
        <f>A1258</f>
        <v>info_nvarchar_dml_batch2_pk_irp2</v>
      </c>
    </row>
    <row r="1259" spans="1:24">
      <c r="B1259" t="s">
        <v>196</v>
      </c>
      <c r="C1259" t="s">
        <v>197</v>
      </c>
      <c r="D1259" t="s">
        <v>197</v>
      </c>
      <c r="E1259" t="s">
        <v>197</v>
      </c>
      <c r="F1259" t="s">
        <v>197</v>
      </c>
      <c r="G1259" t="s">
        <v>197</v>
      </c>
      <c r="H1259" t="s">
        <v>197</v>
      </c>
      <c r="I1259" t="s">
        <v>1143</v>
      </c>
      <c r="J1259" t="s">
        <v>199</v>
      </c>
      <c r="K1259" t="s">
        <v>200</v>
      </c>
    </row>
    <row r="1260" spans="1:24">
      <c r="B1260" t="s">
        <v>197</v>
      </c>
      <c r="C1260" t="s">
        <v>197</v>
      </c>
      <c r="D1260" t="s">
        <v>197</v>
      </c>
      <c r="E1260" t="s">
        <v>197</v>
      </c>
      <c r="F1260" t="s">
        <v>197</v>
      </c>
      <c r="G1260" t="s">
        <v>197</v>
      </c>
      <c r="H1260" t="s">
        <v>197</v>
      </c>
      <c r="I1260" t="s">
        <v>197</v>
      </c>
      <c r="J1260" t="s">
        <v>197</v>
      </c>
      <c r="K1260" t="s">
        <v>408</v>
      </c>
    </row>
    <row r="1261" spans="1:24">
      <c r="B1261" t="s">
        <v>197</v>
      </c>
      <c r="C1261" t="s">
        <v>197</v>
      </c>
      <c r="D1261" t="s">
        <v>197</v>
      </c>
      <c r="E1261" t="s">
        <v>197</v>
      </c>
      <c r="F1261" t="s">
        <v>197</v>
      </c>
      <c r="G1261" t="s">
        <v>197</v>
      </c>
      <c r="H1261" t="s">
        <v>197</v>
      </c>
      <c r="I1261" t="s">
        <v>197</v>
      </c>
      <c r="J1261" t="s">
        <v>197</v>
      </c>
      <c r="K1261" t="s">
        <v>412</v>
      </c>
    </row>
    <row r="1262" spans="1:24">
      <c r="B1262" t="s">
        <v>197</v>
      </c>
      <c r="C1262" t="s">
        <v>197</v>
      </c>
      <c r="D1262" t="s">
        <v>197</v>
      </c>
      <c r="E1262" t="s">
        <v>197</v>
      </c>
      <c r="F1262" t="s">
        <v>197</v>
      </c>
      <c r="G1262" t="s">
        <v>197</v>
      </c>
      <c r="H1262" t="s">
        <v>197</v>
      </c>
      <c r="I1262" t="s">
        <v>197</v>
      </c>
      <c r="J1262" t="s">
        <v>197</v>
      </c>
      <c r="K1262" t="s">
        <v>416</v>
      </c>
    </row>
    <row r="1263" spans="1:24">
      <c r="A1263" t="s">
        <v>1132</v>
      </c>
      <c r="K1263" t="s">
        <v>1133</v>
      </c>
      <c r="W1263" t="s">
        <v>171</v>
      </c>
      <c r="X1263" t="str">
        <f>A1263</f>
        <v>info_time_dml_batch1_pk_drp2</v>
      </c>
    </row>
    <row r="1264" spans="1:24">
      <c r="B1264" t="s">
        <v>196</v>
      </c>
      <c r="C1264" t="s">
        <v>197</v>
      </c>
      <c r="D1264" t="s">
        <v>197</v>
      </c>
      <c r="E1264" t="s">
        <v>197</v>
      </c>
      <c r="F1264" t="s">
        <v>197</v>
      </c>
      <c r="G1264" t="s">
        <v>197</v>
      </c>
      <c r="H1264" t="s">
        <v>197</v>
      </c>
      <c r="I1264" t="s">
        <v>1134</v>
      </c>
      <c r="J1264" t="s">
        <v>199</v>
      </c>
      <c r="K1264" t="s">
        <v>200</v>
      </c>
    </row>
    <row r="1265" spans="1:24">
      <c r="B1265" t="s">
        <v>197</v>
      </c>
      <c r="C1265" t="s">
        <v>197</v>
      </c>
      <c r="D1265" t="s">
        <v>197</v>
      </c>
      <c r="E1265" t="s">
        <v>197</v>
      </c>
      <c r="F1265" t="s">
        <v>197</v>
      </c>
      <c r="G1265" t="s">
        <v>197</v>
      </c>
      <c r="H1265" t="s">
        <v>197</v>
      </c>
      <c r="I1265" t="s">
        <v>197</v>
      </c>
      <c r="J1265" t="s">
        <v>197</v>
      </c>
      <c r="K1265" t="s">
        <v>800</v>
      </c>
    </row>
    <row r="1266" spans="1:24">
      <c r="B1266" t="s">
        <v>197</v>
      </c>
      <c r="C1266" t="s">
        <v>197</v>
      </c>
      <c r="D1266" t="s">
        <v>197</v>
      </c>
      <c r="E1266" t="s">
        <v>197</v>
      </c>
      <c r="F1266" t="s">
        <v>197</v>
      </c>
      <c r="G1266" t="s">
        <v>197</v>
      </c>
      <c r="H1266" t="s">
        <v>197</v>
      </c>
      <c r="I1266" t="s">
        <v>197</v>
      </c>
      <c r="J1266" t="s">
        <v>197</v>
      </c>
      <c r="K1266" t="s">
        <v>801</v>
      </c>
    </row>
    <row r="1267" spans="1:24">
      <c r="B1267" t="s">
        <v>197</v>
      </c>
      <c r="C1267" t="s">
        <v>197</v>
      </c>
      <c r="D1267" t="s">
        <v>197</v>
      </c>
      <c r="E1267" t="s">
        <v>197</v>
      </c>
      <c r="F1267" t="s">
        <v>197</v>
      </c>
      <c r="G1267" t="s">
        <v>197</v>
      </c>
      <c r="H1267" t="s">
        <v>197</v>
      </c>
      <c r="I1267" t="s">
        <v>197</v>
      </c>
      <c r="J1267" t="s">
        <v>197</v>
      </c>
      <c r="K1267" t="s">
        <v>802</v>
      </c>
    </row>
    <row r="1268" spans="1:24">
      <c r="B1268" t="s">
        <v>197</v>
      </c>
      <c r="C1268" t="s">
        <v>197</v>
      </c>
      <c r="D1268" t="s">
        <v>197</v>
      </c>
      <c r="E1268" t="s">
        <v>197</v>
      </c>
      <c r="F1268" t="s">
        <v>197</v>
      </c>
      <c r="G1268" t="s">
        <v>197</v>
      </c>
      <c r="H1268" t="s">
        <v>197</v>
      </c>
      <c r="I1268" t="s">
        <v>197</v>
      </c>
      <c r="J1268" t="s">
        <v>197</v>
      </c>
      <c r="K1268" t="s">
        <v>803</v>
      </c>
    </row>
    <row r="1269" spans="1:24">
      <c r="B1269" t="s">
        <v>197</v>
      </c>
      <c r="C1269" t="s">
        <v>197</v>
      </c>
      <c r="D1269" t="s">
        <v>197</v>
      </c>
      <c r="E1269" t="s">
        <v>197</v>
      </c>
      <c r="F1269" t="s">
        <v>197</v>
      </c>
      <c r="G1269" t="s">
        <v>197</v>
      </c>
      <c r="H1269" t="s">
        <v>197</v>
      </c>
      <c r="I1269" t="s">
        <v>197</v>
      </c>
      <c r="J1269" t="s">
        <v>197</v>
      </c>
      <c r="K1269" t="s">
        <v>804</v>
      </c>
    </row>
    <row r="1270" spans="1:24">
      <c r="B1270" t="s">
        <v>197</v>
      </c>
      <c r="C1270" t="s">
        <v>197</v>
      </c>
      <c r="D1270" t="s">
        <v>197</v>
      </c>
      <c r="E1270" t="s">
        <v>197</v>
      </c>
      <c r="F1270" t="s">
        <v>197</v>
      </c>
      <c r="G1270" t="s">
        <v>197</v>
      </c>
      <c r="H1270" t="s">
        <v>197</v>
      </c>
      <c r="I1270" t="s">
        <v>197</v>
      </c>
      <c r="J1270" t="s">
        <v>197</v>
      </c>
      <c r="K1270" t="s">
        <v>805</v>
      </c>
    </row>
    <row r="1271" spans="1:24">
      <c r="B1271" t="s">
        <v>197</v>
      </c>
      <c r="C1271" t="s">
        <v>197</v>
      </c>
      <c r="D1271" t="s">
        <v>197</v>
      </c>
      <c r="E1271" t="s">
        <v>197</v>
      </c>
      <c r="F1271" t="s">
        <v>197</v>
      </c>
      <c r="G1271" t="s">
        <v>197</v>
      </c>
      <c r="H1271" t="s">
        <v>197</v>
      </c>
      <c r="I1271" t="s">
        <v>197</v>
      </c>
      <c r="J1271" t="s">
        <v>197</v>
      </c>
      <c r="K1271" t="s">
        <v>806</v>
      </c>
    </row>
    <row r="1272" spans="1:24">
      <c r="B1272" t="s">
        <v>197</v>
      </c>
      <c r="C1272" t="s">
        <v>197</v>
      </c>
      <c r="D1272" t="s">
        <v>197</v>
      </c>
      <c r="E1272" t="s">
        <v>197</v>
      </c>
      <c r="F1272" t="s">
        <v>197</v>
      </c>
      <c r="G1272" t="s">
        <v>197</v>
      </c>
      <c r="H1272" t="s">
        <v>197</v>
      </c>
      <c r="I1272" t="s">
        <v>197</v>
      </c>
      <c r="J1272" t="s">
        <v>197</v>
      </c>
      <c r="K1272" t="s">
        <v>807</v>
      </c>
    </row>
    <row r="1273" spans="1:24">
      <c r="A1273" t="s">
        <v>1138</v>
      </c>
      <c r="K1273" t="s">
        <v>1139</v>
      </c>
      <c r="W1273" t="s">
        <v>171</v>
      </c>
      <c r="X1273" t="str">
        <f>A1273</f>
        <v>info_geography_dml_single_pk</v>
      </c>
    </row>
    <row r="1274" spans="1:24">
      <c r="B1274" t="s">
        <v>196</v>
      </c>
      <c r="C1274" t="s">
        <v>197</v>
      </c>
      <c r="D1274" t="s">
        <v>197</v>
      </c>
      <c r="E1274" t="s">
        <v>197</v>
      </c>
      <c r="F1274" t="s">
        <v>197</v>
      </c>
      <c r="G1274" t="s">
        <v>197</v>
      </c>
      <c r="H1274" t="s">
        <v>197</v>
      </c>
      <c r="I1274" t="s">
        <v>1140</v>
      </c>
      <c r="J1274" t="s">
        <v>199</v>
      </c>
      <c r="K1274" t="s">
        <v>200</v>
      </c>
    </row>
    <row r="1275" spans="1:24">
      <c r="B1275" t="s">
        <v>197</v>
      </c>
      <c r="C1275" t="s">
        <v>197</v>
      </c>
      <c r="D1275" t="s">
        <v>197</v>
      </c>
      <c r="E1275" t="s">
        <v>197</v>
      </c>
      <c r="F1275" t="s">
        <v>197</v>
      </c>
      <c r="G1275" t="s">
        <v>197</v>
      </c>
      <c r="H1275" t="s">
        <v>197</v>
      </c>
      <c r="I1275" t="s">
        <v>197</v>
      </c>
      <c r="J1275" t="s">
        <v>197</v>
      </c>
      <c r="K1275" t="s">
        <v>1052</v>
      </c>
    </row>
    <row r="1276" spans="1:24">
      <c r="A1276" t="s">
        <v>1135</v>
      </c>
      <c r="K1276" t="s">
        <v>1136</v>
      </c>
      <c r="W1276" t="s">
        <v>171</v>
      </c>
      <c r="X1276" t="str">
        <f>A1276</f>
        <v>info_varchar_dml_batch1_pk_urp1</v>
      </c>
    </row>
    <row r="1277" spans="1:24">
      <c r="B1277" t="s">
        <v>196</v>
      </c>
      <c r="C1277" t="s">
        <v>197</v>
      </c>
      <c r="D1277" t="s">
        <v>197</v>
      </c>
      <c r="E1277" t="s">
        <v>197</v>
      </c>
      <c r="F1277" t="s">
        <v>197</v>
      </c>
      <c r="G1277" t="s">
        <v>197</v>
      </c>
      <c r="H1277" t="s">
        <v>197</v>
      </c>
      <c r="I1277" t="s">
        <v>1137</v>
      </c>
      <c r="J1277" t="s">
        <v>199</v>
      </c>
      <c r="K1277" t="s">
        <v>200</v>
      </c>
    </row>
    <row r="1278" spans="1:24">
      <c r="B1278" t="s">
        <v>197</v>
      </c>
      <c r="C1278" t="s">
        <v>197</v>
      </c>
      <c r="D1278" t="s">
        <v>197</v>
      </c>
      <c r="E1278" t="s">
        <v>197</v>
      </c>
      <c r="F1278" t="s">
        <v>197</v>
      </c>
      <c r="G1278" t="s">
        <v>197</v>
      </c>
      <c r="H1278" t="s">
        <v>197</v>
      </c>
      <c r="I1278" t="s">
        <v>197</v>
      </c>
      <c r="J1278" t="s">
        <v>197</v>
      </c>
      <c r="K1278" t="s">
        <v>431</v>
      </c>
    </row>
    <row r="1279" spans="1:24">
      <c r="B1279" t="s">
        <v>197</v>
      </c>
      <c r="C1279" t="s">
        <v>197</v>
      </c>
      <c r="D1279" t="s">
        <v>197</v>
      </c>
      <c r="E1279" t="s">
        <v>197</v>
      </c>
      <c r="F1279" t="s">
        <v>197</v>
      </c>
      <c r="G1279" t="s">
        <v>197</v>
      </c>
      <c r="H1279" t="s">
        <v>197</v>
      </c>
      <c r="I1279" t="s">
        <v>197</v>
      </c>
      <c r="J1279" t="s">
        <v>197</v>
      </c>
      <c r="K1279" t="s">
        <v>434</v>
      </c>
    </row>
    <row r="1280" spans="1:24">
      <c r="B1280" t="s">
        <v>197</v>
      </c>
      <c r="C1280" t="s">
        <v>197</v>
      </c>
      <c r="D1280" t="s">
        <v>197</v>
      </c>
      <c r="E1280" t="s">
        <v>197</v>
      </c>
      <c r="F1280" t="s">
        <v>197</v>
      </c>
      <c r="G1280" t="s">
        <v>197</v>
      </c>
      <c r="H1280" t="s">
        <v>197</v>
      </c>
      <c r="I1280" t="s">
        <v>197</v>
      </c>
      <c r="J1280" t="s">
        <v>197</v>
      </c>
      <c r="K1280" t="s">
        <v>439</v>
      </c>
    </row>
    <row r="1281" spans="1:24">
      <c r="A1281" t="s">
        <v>697</v>
      </c>
      <c r="K1281" t="s">
        <v>698</v>
      </c>
      <c r="W1281" t="s">
        <v>171</v>
      </c>
      <c r="X1281" t="str">
        <f>A1281</f>
        <v>info_int_dml_batch1_pk</v>
      </c>
    </row>
    <row r="1282" spans="1:24">
      <c r="B1282" t="s">
        <v>196</v>
      </c>
      <c r="C1282" t="s">
        <v>197</v>
      </c>
      <c r="D1282" t="s">
        <v>197</v>
      </c>
      <c r="E1282" t="s">
        <v>197</v>
      </c>
      <c r="F1282" t="s">
        <v>197</v>
      </c>
      <c r="G1282" t="s">
        <v>197</v>
      </c>
      <c r="H1282" t="s">
        <v>197</v>
      </c>
      <c r="I1282" t="s">
        <v>1297</v>
      </c>
      <c r="J1282" t="s">
        <v>199</v>
      </c>
      <c r="K1282" t="s">
        <v>200</v>
      </c>
    </row>
    <row r="1283" spans="1:24">
      <c r="B1283" t="s">
        <v>197</v>
      </c>
      <c r="C1283" t="s">
        <v>197</v>
      </c>
      <c r="D1283" t="s">
        <v>197</v>
      </c>
      <c r="E1283" t="s">
        <v>197</v>
      </c>
      <c r="F1283" t="s">
        <v>197</v>
      </c>
      <c r="G1283" t="s">
        <v>197</v>
      </c>
      <c r="H1283" t="s">
        <v>197</v>
      </c>
      <c r="I1283" t="s">
        <v>197</v>
      </c>
      <c r="J1283" t="s">
        <v>197</v>
      </c>
      <c r="K1283" t="s">
        <v>549</v>
      </c>
    </row>
    <row r="1284" spans="1:24">
      <c r="B1284" t="s">
        <v>197</v>
      </c>
      <c r="C1284" t="s">
        <v>197</v>
      </c>
      <c r="D1284" t="s">
        <v>197</v>
      </c>
      <c r="E1284" t="s">
        <v>197</v>
      </c>
      <c r="F1284" t="s">
        <v>197</v>
      </c>
      <c r="G1284" t="s">
        <v>197</v>
      </c>
      <c r="H1284" t="s">
        <v>197</v>
      </c>
      <c r="I1284" t="s">
        <v>197</v>
      </c>
      <c r="J1284" t="s">
        <v>197</v>
      </c>
      <c r="K1284" t="s">
        <v>550</v>
      </c>
    </row>
    <row r="1285" spans="1:24">
      <c r="B1285" t="s">
        <v>197</v>
      </c>
      <c r="C1285" t="s">
        <v>197</v>
      </c>
      <c r="D1285" t="s">
        <v>197</v>
      </c>
      <c r="E1285" t="s">
        <v>197</v>
      </c>
      <c r="F1285" t="s">
        <v>197</v>
      </c>
      <c r="G1285" t="s">
        <v>197</v>
      </c>
      <c r="H1285" t="s">
        <v>197</v>
      </c>
      <c r="I1285" t="s">
        <v>197</v>
      </c>
      <c r="J1285" t="s">
        <v>197</v>
      </c>
      <c r="K1285" t="s">
        <v>551</v>
      </c>
    </row>
    <row r="1286" spans="1:24">
      <c r="B1286" t="s">
        <v>197</v>
      </c>
      <c r="C1286" t="s">
        <v>197</v>
      </c>
      <c r="D1286" t="s">
        <v>197</v>
      </c>
      <c r="E1286" t="s">
        <v>197</v>
      </c>
      <c r="F1286" t="s">
        <v>197</v>
      </c>
      <c r="G1286" t="s">
        <v>197</v>
      </c>
      <c r="H1286" t="s">
        <v>197</v>
      </c>
      <c r="I1286" t="s">
        <v>197</v>
      </c>
      <c r="J1286" t="s">
        <v>197</v>
      </c>
      <c r="K1286" t="s">
        <v>552</v>
      </c>
    </row>
    <row r="1287" spans="1:24">
      <c r="B1287" t="s">
        <v>197</v>
      </c>
      <c r="C1287" t="s">
        <v>197</v>
      </c>
      <c r="D1287" t="s">
        <v>197</v>
      </c>
      <c r="E1287" t="s">
        <v>197</v>
      </c>
      <c r="F1287" t="s">
        <v>197</v>
      </c>
      <c r="G1287" t="s">
        <v>197</v>
      </c>
      <c r="H1287" t="s">
        <v>197</v>
      </c>
      <c r="I1287" t="s">
        <v>197</v>
      </c>
      <c r="J1287" t="s">
        <v>197</v>
      </c>
      <c r="K1287" t="s">
        <v>553</v>
      </c>
    </row>
    <row r="1288" spans="1:24">
      <c r="B1288" t="s">
        <v>197</v>
      </c>
      <c r="C1288" t="s">
        <v>197</v>
      </c>
      <c r="D1288" t="s">
        <v>197</v>
      </c>
      <c r="E1288" t="s">
        <v>197</v>
      </c>
      <c r="F1288" t="s">
        <v>197</v>
      </c>
      <c r="G1288" t="s">
        <v>197</v>
      </c>
      <c r="H1288" t="s">
        <v>197</v>
      </c>
      <c r="I1288" t="s">
        <v>197</v>
      </c>
      <c r="J1288" t="s">
        <v>197</v>
      </c>
      <c r="K1288" t="s">
        <v>554</v>
      </c>
    </row>
    <row r="1289" spans="1:24">
      <c r="B1289" t="s">
        <v>197</v>
      </c>
      <c r="C1289" t="s">
        <v>197</v>
      </c>
      <c r="D1289" t="s">
        <v>197</v>
      </c>
      <c r="E1289" t="s">
        <v>197</v>
      </c>
      <c r="F1289" t="s">
        <v>197</v>
      </c>
      <c r="G1289" t="s">
        <v>197</v>
      </c>
      <c r="H1289" t="s">
        <v>197</v>
      </c>
      <c r="I1289" t="s">
        <v>197</v>
      </c>
      <c r="J1289" t="s">
        <v>197</v>
      </c>
      <c r="K1289" t="s">
        <v>555</v>
      </c>
    </row>
    <row r="1290" spans="1:24">
      <c r="B1290" t="s">
        <v>197</v>
      </c>
      <c r="C1290" t="s">
        <v>197</v>
      </c>
      <c r="D1290" t="s">
        <v>197</v>
      </c>
      <c r="E1290" t="s">
        <v>197</v>
      </c>
      <c r="F1290" t="s">
        <v>197</v>
      </c>
      <c r="G1290" t="s">
        <v>197</v>
      </c>
      <c r="H1290" t="s">
        <v>197</v>
      </c>
      <c r="I1290" t="s">
        <v>197</v>
      </c>
      <c r="J1290" t="s">
        <v>197</v>
      </c>
      <c r="K1290" t="s">
        <v>556</v>
      </c>
    </row>
    <row r="1291" spans="1:24">
      <c r="B1291" t="s">
        <v>197</v>
      </c>
      <c r="C1291" t="s">
        <v>197</v>
      </c>
      <c r="D1291" t="s">
        <v>197</v>
      </c>
      <c r="E1291" t="s">
        <v>197</v>
      </c>
      <c r="F1291" t="s">
        <v>197</v>
      </c>
      <c r="G1291" t="s">
        <v>197</v>
      </c>
      <c r="H1291" t="s">
        <v>197</v>
      </c>
      <c r="I1291" t="s">
        <v>197</v>
      </c>
      <c r="J1291" t="s">
        <v>197</v>
      </c>
      <c r="K1291" t="s">
        <v>557</v>
      </c>
    </row>
    <row r="1292" spans="1:24">
      <c r="B1292" t="s">
        <v>197</v>
      </c>
      <c r="C1292" t="s">
        <v>197</v>
      </c>
      <c r="D1292" t="s">
        <v>197</v>
      </c>
      <c r="E1292" t="s">
        <v>197</v>
      </c>
      <c r="F1292" t="s">
        <v>197</v>
      </c>
      <c r="G1292" t="s">
        <v>197</v>
      </c>
      <c r="H1292" t="s">
        <v>197</v>
      </c>
      <c r="I1292" t="s">
        <v>197</v>
      </c>
      <c r="J1292" t="s">
        <v>197</v>
      </c>
      <c r="K1292" t="s">
        <v>558</v>
      </c>
    </row>
    <row r="1293" spans="1:24">
      <c r="B1293" t="s">
        <v>197</v>
      </c>
      <c r="C1293" t="s">
        <v>197</v>
      </c>
      <c r="D1293" t="s">
        <v>197</v>
      </c>
      <c r="E1293" t="s">
        <v>197</v>
      </c>
      <c r="F1293" t="s">
        <v>197</v>
      </c>
      <c r="G1293" t="s">
        <v>197</v>
      </c>
      <c r="H1293" t="s">
        <v>197</v>
      </c>
      <c r="I1293" t="s">
        <v>197</v>
      </c>
      <c r="J1293" t="s">
        <v>197</v>
      </c>
      <c r="K1293" t="s">
        <v>559</v>
      </c>
    </row>
    <row r="1294" spans="1:24">
      <c r="B1294" t="s">
        <v>197</v>
      </c>
      <c r="C1294" t="s">
        <v>197</v>
      </c>
      <c r="D1294" t="s">
        <v>197</v>
      </c>
      <c r="E1294" t="s">
        <v>197</v>
      </c>
      <c r="F1294" t="s">
        <v>197</v>
      </c>
      <c r="G1294" t="s">
        <v>197</v>
      </c>
      <c r="H1294" t="s">
        <v>197</v>
      </c>
      <c r="I1294" t="s">
        <v>197</v>
      </c>
      <c r="J1294" t="s">
        <v>197</v>
      </c>
      <c r="K1294" t="s">
        <v>560</v>
      </c>
    </row>
    <row r="1295" spans="1:24">
      <c r="B1295" t="s">
        <v>197</v>
      </c>
      <c r="C1295" t="s">
        <v>197</v>
      </c>
      <c r="D1295" t="s">
        <v>197</v>
      </c>
      <c r="E1295" t="s">
        <v>197</v>
      </c>
      <c r="F1295" t="s">
        <v>197</v>
      </c>
      <c r="G1295" t="s">
        <v>197</v>
      </c>
      <c r="H1295" t="s">
        <v>197</v>
      </c>
      <c r="I1295" t="s">
        <v>197</v>
      </c>
      <c r="J1295" t="s">
        <v>197</v>
      </c>
      <c r="K1295" t="s">
        <v>561</v>
      </c>
    </row>
    <row r="1296" spans="1:24">
      <c r="B1296" t="s">
        <v>197</v>
      </c>
      <c r="C1296" t="s">
        <v>197</v>
      </c>
      <c r="D1296" t="s">
        <v>197</v>
      </c>
      <c r="E1296" t="s">
        <v>197</v>
      </c>
      <c r="F1296" t="s">
        <v>197</v>
      </c>
      <c r="G1296" t="s">
        <v>197</v>
      </c>
      <c r="H1296" t="s">
        <v>197</v>
      </c>
      <c r="I1296" t="s">
        <v>197</v>
      </c>
      <c r="J1296" t="s">
        <v>197</v>
      </c>
      <c r="K1296" t="s">
        <v>562</v>
      </c>
    </row>
    <row r="1297" spans="1:24">
      <c r="B1297" t="s">
        <v>197</v>
      </c>
      <c r="C1297" t="s">
        <v>197</v>
      </c>
      <c r="D1297" t="s">
        <v>197</v>
      </c>
      <c r="E1297" t="s">
        <v>197</v>
      </c>
      <c r="F1297" t="s">
        <v>197</v>
      </c>
      <c r="G1297" t="s">
        <v>197</v>
      </c>
      <c r="H1297" t="s">
        <v>197</v>
      </c>
      <c r="I1297" t="s">
        <v>197</v>
      </c>
      <c r="J1297" t="s">
        <v>197</v>
      </c>
      <c r="K1297" t="s">
        <v>563</v>
      </c>
    </row>
    <row r="1298" spans="1:24">
      <c r="B1298" t="s">
        <v>197</v>
      </c>
      <c r="C1298" t="s">
        <v>197</v>
      </c>
      <c r="D1298" t="s">
        <v>197</v>
      </c>
      <c r="E1298" t="s">
        <v>197</v>
      </c>
      <c r="F1298" t="s">
        <v>197</v>
      </c>
      <c r="G1298" t="s">
        <v>197</v>
      </c>
      <c r="H1298" t="s">
        <v>197</v>
      </c>
      <c r="I1298" t="s">
        <v>197</v>
      </c>
      <c r="J1298" t="s">
        <v>197</v>
      </c>
      <c r="K1298" t="s">
        <v>564</v>
      </c>
    </row>
    <row r="1299" spans="1:24">
      <c r="B1299" t="s">
        <v>197</v>
      </c>
      <c r="C1299" t="s">
        <v>197</v>
      </c>
      <c r="D1299" t="s">
        <v>197</v>
      </c>
      <c r="E1299" t="s">
        <v>197</v>
      </c>
      <c r="F1299" t="s">
        <v>197</v>
      </c>
      <c r="G1299" t="s">
        <v>197</v>
      </c>
      <c r="H1299" t="s">
        <v>197</v>
      </c>
      <c r="I1299" t="s">
        <v>197</v>
      </c>
      <c r="J1299" t="s">
        <v>197</v>
      </c>
      <c r="K1299" t="s">
        <v>565</v>
      </c>
    </row>
    <row r="1300" spans="1:24">
      <c r="B1300" t="s">
        <v>197</v>
      </c>
      <c r="C1300" t="s">
        <v>197</v>
      </c>
      <c r="D1300" t="s">
        <v>197</v>
      </c>
      <c r="E1300" t="s">
        <v>197</v>
      </c>
      <c r="F1300" t="s">
        <v>197</v>
      </c>
      <c r="G1300" t="s">
        <v>197</v>
      </c>
      <c r="H1300" t="s">
        <v>197</v>
      </c>
      <c r="I1300" t="s">
        <v>197</v>
      </c>
      <c r="J1300" t="s">
        <v>197</v>
      </c>
      <c r="K1300" t="s">
        <v>566</v>
      </c>
    </row>
    <row r="1301" spans="1:24">
      <c r="B1301" t="s">
        <v>197</v>
      </c>
      <c r="C1301" t="s">
        <v>197</v>
      </c>
      <c r="D1301" t="s">
        <v>197</v>
      </c>
      <c r="E1301" t="s">
        <v>197</v>
      </c>
      <c r="F1301" t="s">
        <v>197</v>
      </c>
      <c r="G1301" t="s">
        <v>197</v>
      </c>
      <c r="H1301" t="s">
        <v>197</v>
      </c>
      <c r="I1301" t="s">
        <v>197</v>
      </c>
      <c r="J1301" t="s">
        <v>197</v>
      </c>
      <c r="K1301" t="s">
        <v>567</v>
      </c>
    </row>
    <row r="1302" spans="1:24">
      <c r="A1302" t="s">
        <v>1150</v>
      </c>
      <c r="K1302" t="s">
        <v>1151</v>
      </c>
      <c r="W1302" t="s">
        <v>171</v>
      </c>
      <c r="X1302" t="str">
        <f>A1302</f>
        <v>info_time_dml_batch1_pk</v>
      </c>
    </row>
    <row r="1303" spans="1:24">
      <c r="B1303" t="s">
        <v>196</v>
      </c>
      <c r="C1303" t="s">
        <v>197</v>
      </c>
      <c r="D1303" t="s">
        <v>197</v>
      </c>
      <c r="E1303" t="s">
        <v>197</v>
      </c>
      <c r="F1303" t="s">
        <v>197</v>
      </c>
      <c r="G1303" t="s">
        <v>197</v>
      </c>
      <c r="H1303" t="s">
        <v>197</v>
      </c>
      <c r="I1303" t="s">
        <v>1152</v>
      </c>
      <c r="J1303" t="s">
        <v>199</v>
      </c>
      <c r="K1303" t="s">
        <v>200</v>
      </c>
    </row>
    <row r="1304" spans="1:24">
      <c r="B1304" t="s">
        <v>197</v>
      </c>
      <c r="C1304" t="s">
        <v>197</v>
      </c>
      <c r="D1304" t="s">
        <v>197</v>
      </c>
      <c r="E1304" t="s">
        <v>197</v>
      </c>
      <c r="F1304" t="s">
        <v>197</v>
      </c>
      <c r="G1304" t="s">
        <v>197</v>
      </c>
      <c r="H1304" t="s">
        <v>197</v>
      </c>
      <c r="I1304" t="s">
        <v>197</v>
      </c>
      <c r="J1304" t="s">
        <v>197</v>
      </c>
      <c r="K1304" t="s">
        <v>800</v>
      </c>
    </row>
    <row r="1305" spans="1:24">
      <c r="B1305" t="s">
        <v>197</v>
      </c>
      <c r="C1305" t="s">
        <v>197</v>
      </c>
      <c r="D1305" t="s">
        <v>197</v>
      </c>
      <c r="E1305" t="s">
        <v>197</v>
      </c>
      <c r="F1305" t="s">
        <v>197</v>
      </c>
      <c r="G1305" t="s">
        <v>197</v>
      </c>
      <c r="H1305" t="s">
        <v>197</v>
      </c>
      <c r="I1305" t="s">
        <v>197</v>
      </c>
      <c r="J1305" t="s">
        <v>197</v>
      </c>
      <c r="K1305" t="s">
        <v>801</v>
      </c>
    </row>
    <row r="1306" spans="1:24">
      <c r="B1306" t="s">
        <v>197</v>
      </c>
      <c r="C1306" t="s">
        <v>197</v>
      </c>
      <c r="D1306" t="s">
        <v>197</v>
      </c>
      <c r="E1306" t="s">
        <v>197</v>
      </c>
      <c r="F1306" t="s">
        <v>197</v>
      </c>
      <c r="G1306" t="s">
        <v>197</v>
      </c>
      <c r="H1306" t="s">
        <v>197</v>
      </c>
      <c r="I1306" t="s">
        <v>197</v>
      </c>
      <c r="J1306" t="s">
        <v>197</v>
      </c>
      <c r="K1306" t="s">
        <v>802</v>
      </c>
    </row>
    <row r="1307" spans="1:24">
      <c r="B1307" t="s">
        <v>197</v>
      </c>
      <c r="C1307" t="s">
        <v>197</v>
      </c>
      <c r="D1307" t="s">
        <v>197</v>
      </c>
      <c r="E1307" t="s">
        <v>197</v>
      </c>
      <c r="F1307" t="s">
        <v>197</v>
      </c>
      <c r="G1307" t="s">
        <v>197</v>
      </c>
      <c r="H1307" t="s">
        <v>197</v>
      </c>
      <c r="I1307" t="s">
        <v>197</v>
      </c>
      <c r="J1307" t="s">
        <v>197</v>
      </c>
      <c r="K1307" t="s">
        <v>803</v>
      </c>
    </row>
    <row r="1308" spans="1:24">
      <c r="B1308" t="s">
        <v>197</v>
      </c>
      <c r="C1308" t="s">
        <v>197</v>
      </c>
      <c r="D1308" t="s">
        <v>197</v>
      </c>
      <c r="E1308" t="s">
        <v>197</v>
      </c>
      <c r="F1308" t="s">
        <v>197</v>
      </c>
      <c r="G1308" t="s">
        <v>197</v>
      </c>
      <c r="H1308" t="s">
        <v>197</v>
      </c>
      <c r="I1308" t="s">
        <v>197</v>
      </c>
      <c r="J1308" t="s">
        <v>197</v>
      </c>
      <c r="K1308" t="s">
        <v>804</v>
      </c>
    </row>
    <row r="1309" spans="1:24">
      <c r="B1309" t="s">
        <v>197</v>
      </c>
      <c r="C1309" t="s">
        <v>197</v>
      </c>
      <c r="D1309" t="s">
        <v>197</v>
      </c>
      <c r="E1309" t="s">
        <v>197</v>
      </c>
      <c r="F1309" t="s">
        <v>197</v>
      </c>
      <c r="G1309" t="s">
        <v>197</v>
      </c>
      <c r="H1309" t="s">
        <v>197</v>
      </c>
      <c r="I1309" t="s">
        <v>197</v>
      </c>
      <c r="J1309" t="s">
        <v>197</v>
      </c>
      <c r="K1309" t="s">
        <v>805</v>
      </c>
    </row>
    <row r="1310" spans="1:24">
      <c r="B1310" t="s">
        <v>197</v>
      </c>
      <c r="C1310" t="s">
        <v>197</v>
      </c>
      <c r="D1310" t="s">
        <v>197</v>
      </c>
      <c r="E1310" t="s">
        <v>197</v>
      </c>
      <c r="F1310" t="s">
        <v>197</v>
      </c>
      <c r="G1310" t="s">
        <v>197</v>
      </c>
      <c r="H1310" t="s">
        <v>197</v>
      </c>
      <c r="I1310" t="s">
        <v>197</v>
      </c>
      <c r="J1310" t="s">
        <v>197</v>
      </c>
      <c r="K1310" t="s">
        <v>806</v>
      </c>
    </row>
    <row r="1311" spans="1:24">
      <c r="B1311" t="s">
        <v>197</v>
      </c>
      <c r="C1311" t="s">
        <v>197</v>
      </c>
      <c r="D1311" t="s">
        <v>197</v>
      </c>
      <c r="E1311" t="s">
        <v>197</v>
      </c>
      <c r="F1311" t="s">
        <v>197</v>
      </c>
      <c r="G1311" t="s">
        <v>197</v>
      </c>
      <c r="H1311" t="s">
        <v>197</v>
      </c>
      <c r="I1311" t="s">
        <v>197</v>
      </c>
      <c r="J1311" t="s">
        <v>197</v>
      </c>
      <c r="K1311" t="s">
        <v>807</v>
      </c>
    </row>
    <row r="1312" spans="1:24">
      <c r="A1312" t="s">
        <v>1153</v>
      </c>
      <c r="K1312" t="s">
        <v>1154</v>
      </c>
      <c r="W1312" t="s">
        <v>171</v>
      </c>
      <c r="X1312" t="str">
        <f>A1312</f>
        <v>info_sdt_dml_batch1_pk_irp1</v>
      </c>
    </row>
    <row r="1313" spans="1:24">
      <c r="B1313" t="s">
        <v>196</v>
      </c>
      <c r="C1313" t="s">
        <v>197</v>
      </c>
      <c r="D1313" t="s">
        <v>197</v>
      </c>
      <c r="E1313" t="s">
        <v>197</v>
      </c>
      <c r="F1313" t="s">
        <v>197</v>
      </c>
      <c r="G1313" t="s">
        <v>197</v>
      </c>
      <c r="H1313" t="s">
        <v>197</v>
      </c>
      <c r="I1313" t="s">
        <v>1155</v>
      </c>
      <c r="J1313" t="s">
        <v>199</v>
      </c>
      <c r="K1313" t="s">
        <v>200</v>
      </c>
    </row>
    <row r="1314" spans="1:24">
      <c r="B1314" t="s">
        <v>197</v>
      </c>
      <c r="C1314" t="s">
        <v>197</v>
      </c>
      <c r="D1314" t="s">
        <v>197</v>
      </c>
      <c r="E1314" t="s">
        <v>197</v>
      </c>
      <c r="F1314" t="s">
        <v>197</v>
      </c>
      <c r="G1314" t="s">
        <v>197</v>
      </c>
      <c r="H1314" t="s">
        <v>197</v>
      </c>
      <c r="I1314" t="s">
        <v>197</v>
      </c>
      <c r="J1314" t="s">
        <v>197</v>
      </c>
      <c r="K1314" t="s">
        <v>422</v>
      </c>
    </row>
    <row r="1315" spans="1:24">
      <c r="A1315" t="s">
        <v>1144</v>
      </c>
      <c r="K1315" t="s">
        <v>1145</v>
      </c>
      <c r="W1315" t="s">
        <v>171</v>
      </c>
      <c r="X1315" t="str">
        <f>A1315</f>
        <v>info_int_dml_batch2_pk_irp1</v>
      </c>
    </row>
    <row r="1316" spans="1:24">
      <c r="B1316" t="s">
        <v>196</v>
      </c>
      <c r="C1316" t="s">
        <v>197</v>
      </c>
      <c r="D1316" t="s">
        <v>197</v>
      </c>
      <c r="E1316" t="s">
        <v>197</v>
      </c>
      <c r="F1316" t="s">
        <v>197</v>
      </c>
      <c r="G1316" t="s">
        <v>197</v>
      </c>
      <c r="H1316" t="s">
        <v>197</v>
      </c>
      <c r="I1316" t="s">
        <v>1146</v>
      </c>
      <c r="J1316" t="s">
        <v>199</v>
      </c>
      <c r="K1316" t="s">
        <v>200</v>
      </c>
    </row>
    <row r="1317" spans="1:24">
      <c r="B1317" t="s">
        <v>197</v>
      </c>
      <c r="C1317" t="s">
        <v>197</v>
      </c>
      <c r="D1317" t="s">
        <v>197</v>
      </c>
      <c r="E1317" t="s">
        <v>197</v>
      </c>
      <c r="F1317" t="s">
        <v>197</v>
      </c>
      <c r="G1317" t="s">
        <v>197</v>
      </c>
      <c r="H1317" t="s">
        <v>197</v>
      </c>
      <c r="I1317" t="s">
        <v>197</v>
      </c>
      <c r="J1317" t="s">
        <v>197</v>
      </c>
      <c r="K1317" t="s">
        <v>549</v>
      </c>
    </row>
    <row r="1318" spans="1:24">
      <c r="B1318" t="s">
        <v>197</v>
      </c>
      <c r="C1318" t="s">
        <v>197</v>
      </c>
      <c r="D1318" t="s">
        <v>197</v>
      </c>
      <c r="E1318" t="s">
        <v>197</v>
      </c>
      <c r="F1318" t="s">
        <v>197</v>
      </c>
      <c r="G1318" t="s">
        <v>197</v>
      </c>
      <c r="H1318" t="s">
        <v>197</v>
      </c>
      <c r="I1318" t="s">
        <v>197</v>
      </c>
      <c r="J1318" t="s">
        <v>197</v>
      </c>
      <c r="K1318" t="s">
        <v>550</v>
      </c>
    </row>
    <row r="1319" spans="1:24">
      <c r="B1319" t="s">
        <v>197</v>
      </c>
      <c r="C1319" t="s">
        <v>197</v>
      </c>
      <c r="D1319" t="s">
        <v>197</v>
      </c>
      <c r="E1319" t="s">
        <v>197</v>
      </c>
      <c r="F1319" t="s">
        <v>197</v>
      </c>
      <c r="G1319" t="s">
        <v>197</v>
      </c>
      <c r="H1319" t="s">
        <v>197</v>
      </c>
      <c r="I1319" t="s">
        <v>197</v>
      </c>
      <c r="J1319" t="s">
        <v>197</v>
      </c>
      <c r="K1319" t="s">
        <v>551</v>
      </c>
    </row>
    <row r="1320" spans="1:24">
      <c r="B1320" t="s">
        <v>197</v>
      </c>
      <c r="C1320" t="s">
        <v>197</v>
      </c>
      <c r="D1320" t="s">
        <v>197</v>
      </c>
      <c r="E1320" t="s">
        <v>197</v>
      </c>
      <c r="F1320" t="s">
        <v>197</v>
      </c>
      <c r="G1320" t="s">
        <v>197</v>
      </c>
      <c r="H1320" t="s">
        <v>197</v>
      </c>
      <c r="I1320" t="s">
        <v>197</v>
      </c>
      <c r="J1320" t="s">
        <v>197</v>
      </c>
      <c r="K1320" t="s">
        <v>552</v>
      </c>
    </row>
    <row r="1321" spans="1:24">
      <c r="B1321" t="s">
        <v>197</v>
      </c>
      <c r="C1321" t="s">
        <v>197</v>
      </c>
      <c r="D1321" t="s">
        <v>197</v>
      </c>
      <c r="E1321" t="s">
        <v>197</v>
      </c>
      <c r="F1321" t="s">
        <v>197</v>
      </c>
      <c r="G1321" t="s">
        <v>197</v>
      </c>
      <c r="H1321" t="s">
        <v>197</v>
      </c>
      <c r="I1321" t="s">
        <v>197</v>
      </c>
      <c r="J1321" t="s">
        <v>197</v>
      </c>
      <c r="K1321" t="s">
        <v>553</v>
      </c>
    </row>
    <row r="1322" spans="1:24">
      <c r="B1322" t="s">
        <v>197</v>
      </c>
      <c r="C1322" t="s">
        <v>197</v>
      </c>
      <c r="D1322" t="s">
        <v>197</v>
      </c>
      <c r="E1322" t="s">
        <v>197</v>
      </c>
      <c r="F1322" t="s">
        <v>197</v>
      </c>
      <c r="G1322" t="s">
        <v>197</v>
      </c>
      <c r="H1322" t="s">
        <v>197</v>
      </c>
      <c r="I1322" t="s">
        <v>197</v>
      </c>
      <c r="J1322" t="s">
        <v>197</v>
      </c>
      <c r="K1322" t="s">
        <v>554</v>
      </c>
    </row>
    <row r="1323" spans="1:24">
      <c r="B1323" t="s">
        <v>197</v>
      </c>
      <c r="C1323" t="s">
        <v>197</v>
      </c>
      <c r="D1323" t="s">
        <v>197</v>
      </c>
      <c r="E1323" t="s">
        <v>197</v>
      </c>
      <c r="F1323" t="s">
        <v>197</v>
      </c>
      <c r="G1323" t="s">
        <v>197</v>
      </c>
      <c r="H1323" t="s">
        <v>197</v>
      </c>
      <c r="I1323" t="s">
        <v>197</v>
      </c>
      <c r="J1323" t="s">
        <v>197</v>
      </c>
      <c r="K1323" t="s">
        <v>555</v>
      </c>
    </row>
    <row r="1324" spans="1:24">
      <c r="B1324" t="s">
        <v>197</v>
      </c>
      <c r="C1324" t="s">
        <v>197</v>
      </c>
      <c r="D1324" t="s">
        <v>197</v>
      </c>
      <c r="E1324" t="s">
        <v>197</v>
      </c>
      <c r="F1324" t="s">
        <v>197</v>
      </c>
      <c r="G1324" t="s">
        <v>197</v>
      </c>
      <c r="H1324" t="s">
        <v>197</v>
      </c>
      <c r="I1324" t="s">
        <v>197</v>
      </c>
      <c r="J1324" t="s">
        <v>197</v>
      </c>
      <c r="K1324" t="s">
        <v>556</v>
      </c>
    </row>
    <row r="1325" spans="1:24">
      <c r="B1325" t="s">
        <v>197</v>
      </c>
      <c r="C1325" t="s">
        <v>197</v>
      </c>
      <c r="D1325" t="s">
        <v>197</v>
      </c>
      <c r="E1325" t="s">
        <v>197</v>
      </c>
      <c r="F1325" t="s">
        <v>197</v>
      </c>
      <c r="G1325" t="s">
        <v>197</v>
      </c>
      <c r="H1325" t="s">
        <v>197</v>
      </c>
      <c r="I1325" t="s">
        <v>197</v>
      </c>
      <c r="J1325" t="s">
        <v>197</v>
      </c>
      <c r="K1325" t="s">
        <v>557</v>
      </c>
    </row>
    <row r="1326" spans="1:24">
      <c r="B1326" t="s">
        <v>197</v>
      </c>
      <c r="C1326" t="s">
        <v>197</v>
      </c>
      <c r="D1326" t="s">
        <v>197</v>
      </c>
      <c r="E1326" t="s">
        <v>197</v>
      </c>
      <c r="F1326" t="s">
        <v>197</v>
      </c>
      <c r="G1326" t="s">
        <v>197</v>
      </c>
      <c r="H1326" t="s">
        <v>197</v>
      </c>
      <c r="I1326" t="s">
        <v>197</v>
      </c>
      <c r="J1326" t="s">
        <v>197</v>
      </c>
      <c r="K1326" t="s">
        <v>558</v>
      </c>
    </row>
    <row r="1327" spans="1:24">
      <c r="B1327" t="s">
        <v>197</v>
      </c>
      <c r="C1327" t="s">
        <v>197</v>
      </c>
      <c r="D1327" t="s">
        <v>197</v>
      </c>
      <c r="E1327" t="s">
        <v>197</v>
      </c>
      <c r="F1327" t="s">
        <v>197</v>
      </c>
      <c r="G1327" t="s">
        <v>197</v>
      </c>
      <c r="H1327" t="s">
        <v>197</v>
      </c>
      <c r="I1327" t="s">
        <v>197</v>
      </c>
      <c r="J1327" t="s">
        <v>197</v>
      </c>
      <c r="K1327" t="s">
        <v>559</v>
      </c>
    </row>
    <row r="1328" spans="1:24">
      <c r="B1328" t="s">
        <v>197</v>
      </c>
      <c r="C1328" t="s">
        <v>197</v>
      </c>
      <c r="D1328" t="s">
        <v>197</v>
      </c>
      <c r="E1328" t="s">
        <v>197</v>
      </c>
      <c r="F1328" t="s">
        <v>197</v>
      </c>
      <c r="G1328" t="s">
        <v>197</v>
      </c>
      <c r="H1328" t="s">
        <v>197</v>
      </c>
      <c r="I1328" t="s">
        <v>197</v>
      </c>
      <c r="J1328" t="s">
        <v>197</v>
      </c>
      <c r="K1328" t="s">
        <v>560</v>
      </c>
    </row>
    <row r="1329" spans="1:24">
      <c r="B1329" t="s">
        <v>197</v>
      </c>
      <c r="C1329" t="s">
        <v>197</v>
      </c>
      <c r="D1329" t="s">
        <v>197</v>
      </c>
      <c r="E1329" t="s">
        <v>197</v>
      </c>
      <c r="F1329" t="s">
        <v>197</v>
      </c>
      <c r="G1329" t="s">
        <v>197</v>
      </c>
      <c r="H1329" t="s">
        <v>197</v>
      </c>
      <c r="I1329" t="s">
        <v>197</v>
      </c>
      <c r="J1329" t="s">
        <v>197</v>
      </c>
      <c r="K1329" t="s">
        <v>561</v>
      </c>
    </row>
    <row r="1330" spans="1:24">
      <c r="B1330" t="s">
        <v>197</v>
      </c>
      <c r="C1330" t="s">
        <v>197</v>
      </c>
      <c r="D1330" t="s">
        <v>197</v>
      </c>
      <c r="E1330" t="s">
        <v>197</v>
      </c>
      <c r="F1330" t="s">
        <v>197</v>
      </c>
      <c r="G1330" t="s">
        <v>197</v>
      </c>
      <c r="H1330" t="s">
        <v>197</v>
      </c>
      <c r="I1330" t="s">
        <v>197</v>
      </c>
      <c r="J1330" t="s">
        <v>197</v>
      </c>
      <c r="K1330" t="s">
        <v>562</v>
      </c>
    </row>
    <row r="1331" spans="1:24">
      <c r="B1331" t="s">
        <v>197</v>
      </c>
      <c r="C1331" t="s">
        <v>197</v>
      </c>
      <c r="D1331" t="s">
        <v>197</v>
      </c>
      <c r="E1331" t="s">
        <v>197</v>
      </c>
      <c r="F1331" t="s">
        <v>197</v>
      </c>
      <c r="G1331" t="s">
        <v>197</v>
      </c>
      <c r="H1331" t="s">
        <v>197</v>
      </c>
      <c r="I1331" t="s">
        <v>197</v>
      </c>
      <c r="J1331" t="s">
        <v>197</v>
      </c>
      <c r="K1331" t="s">
        <v>563</v>
      </c>
    </row>
    <row r="1332" spans="1:24">
      <c r="B1332" t="s">
        <v>197</v>
      </c>
      <c r="C1332" t="s">
        <v>197</v>
      </c>
      <c r="D1332" t="s">
        <v>197</v>
      </c>
      <c r="E1332" t="s">
        <v>197</v>
      </c>
      <c r="F1332" t="s">
        <v>197</v>
      </c>
      <c r="G1332" t="s">
        <v>197</v>
      </c>
      <c r="H1332" t="s">
        <v>197</v>
      </c>
      <c r="I1332" t="s">
        <v>197</v>
      </c>
      <c r="J1332" t="s">
        <v>197</v>
      </c>
      <c r="K1332" t="s">
        <v>564</v>
      </c>
    </row>
    <row r="1333" spans="1:24">
      <c r="B1333" t="s">
        <v>197</v>
      </c>
      <c r="C1333" t="s">
        <v>197</v>
      </c>
      <c r="D1333" t="s">
        <v>197</v>
      </c>
      <c r="E1333" t="s">
        <v>197</v>
      </c>
      <c r="F1333" t="s">
        <v>197</v>
      </c>
      <c r="G1333" t="s">
        <v>197</v>
      </c>
      <c r="H1333" t="s">
        <v>197</v>
      </c>
      <c r="I1333" t="s">
        <v>197</v>
      </c>
      <c r="J1333" t="s">
        <v>197</v>
      </c>
      <c r="K1333" t="s">
        <v>565</v>
      </c>
    </row>
    <row r="1334" spans="1:24">
      <c r="B1334" t="s">
        <v>197</v>
      </c>
      <c r="C1334" t="s">
        <v>197</v>
      </c>
      <c r="D1334" t="s">
        <v>197</v>
      </c>
      <c r="E1334" t="s">
        <v>197</v>
      </c>
      <c r="F1334" t="s">
        <v>197</v>
      </c>
      <c r="G1334" t="s">
        <v>197</v>
      </c>
      <c r="H1334" t="s">
        <v>197</v>
      </c>
      <c r="I1334" t="s">
        <v>197</v>
      </c>
      <c r="J1334" t="s">
        <v>197</v>
      </c>
      <c r="K1334" t="s">
        <v>566</v>
      </c>
    </row>
    <row r="1335" spans="1:24">
      <c r="B1335" t="s">
        <v>197</v>
      </c>
      <c r="C1335" t="s">
        <v>197</v>
      </c>
      <c r="D1335" t="s">
        <v>197</v>
      </c>
      <c r="E1335" t="s">
        <v>197</v>
      </c>
      <c r="F1335" t="s">
        <v>197</v>
      </c>
      <c r="G1335" t="s">
        <v>197</v>
      </c>
      <c r="H1335" t="s">
        <v>197</v>
      </c>
      <c r="I1335" t="s">
        <v>197</v>
      </c>
      <c r="J1335" t="s">
        <v>197</v>
      </c>
      <c r="K1335" t="s">
        <v>567</v>
      </c>
    </row>
    <row r="1336" spans="1:24">
      <c r="A1336" t="s">
        <v>1147</v>
      </c>
      <c r="K1336" t="s">
        <v>1148</v>
      </c>
      <c r="W1336" t="s">
        <v>171</v>
      </c>
      <c r="X1336" t="str">
        <f>A1336</f>
        <v>info_varbinary_dml_batch2_pk_irp2</v>
      </c>
    </row>
    <row r="1337" spans="1:24">
      <c r="B1337" t="s">
        <v>196</v>
      </c>
      <c r="C1337" t="s">
        <v>197</v>
      </c>
      <c r="D1337" t="s">
        <v>197</v>
      </c>
      <c r="E1337" t="s">
        <v>197</v>
      </c>
      <c r="F1337" t="s">
        <v>197</v>
      </c>
      <c r="G1337" t="s">
        <v>197</v>
      </c>
      <c r="H1337" t="s">
        <v>197</v>
      </c>
      <c r="I1337" t="s">
        <v>1149</v>
      </c>
      <c r="J1337" t="s">
        <v>199</v>
      </c>
      <c r="K1337" t="s">
        <v>200</v>
      </c>
    </row>
    <row r="1338" spans="1:24">
      <c r="B1338" t="s">
        <v>197</v>
      </c>
      <c r="C1338" t="s">
        <v>197</v>
      </c>
      <c r="D1338" t="s">
        <v>197</v>
      </c>
      <c r="E1338" t="s">
        <v>197</v>
      </c>
      <c r="F1338" t="s">
        <v>197</v>
      </c>
      <c r="G1338" t="s">
        <v>197</v>
      </c>
      <c r="H1338" t="s">
        <v>197</v>
      </c>
      <c r="I1338" t="s">
        <v>197</v>
      </c>
      <c r="J1338" t="s">
        <v>197</v>
      </c>
      <c r="K1338" t="s">
        <v>495</v>
      </c>
    </row>
    <row r="1339" spans="1:24">
      <c r="B1339" t="s">
        <v>197</v>
      </c>
      <c r="C1339" t="s">
        <v>197</v>
      </c>
      <c r="D1339" t="s">
        <v>197</v>
      </c>
      <c r="E1339" t="s">
        <v>197</v>
      </c>
      <c r="F1339" t="s">
        <v>197</v>
      </c>
      <c r="G1339" t="s">
        <v>197</v>
      </c>
      <c r="H1339" t="s">
        <v>197</v>
      </c>
      <c r="I1339" t="s">
        <v>197</v>
      </c>
      <c r="J1339" t="s">
        <v>197</v>
      </c>
      <c r="K1339" t="s">
        <v>499</v>
      </c>
    </row>
    <row r="1340" spans="1:24">
      <c r="B1340" t="s">
        <v>197</v>
      </c>
      <c r="C1340" t="s">
        <v>197</v>
      </c>
      <c r="D1340" t="s">
        <v>197</v>
      </c>
      <c r="E1340" t="s">
        <v>197</v>
      </c>
      <c r="F1340" t="s">
        <v>197</v>
      </c>
      <c r="G1340" t="s">
        <v>197</v>
      </c>
      <c r="H1340" t="s">
        <v>197</v>
      </c>
      <c r="I1340" t="s">
        <v>197</v>
      </c>
      <c r="J1340" t="s">
        <v>197</v>
      </c>
      <c r="K1340" t="s">
        <v>503</v>
      </c>
    </row>
    <row r="1341" spans="1:24">
      <c r="A1341" t="s">
        <v>1156</v>
      </c>
      <c r="K1341" t="s">
        <v>1157</v>
      </c>
      <c r="W1341" t="s">
        <v>171</v>
      </c>
      <c r="X1341" t="str">
        <f>A1341</f>
        <v>info_sdt_dml_batch1_pk_irp2</v>
      </c>
    </row>
    <row r="1342" spans="1:24">
      <c r="B1342" t="s">
        <v>196</v>
      </c>
      <c r="C1342" t="s">
        <v>197</v>
      </c>
      <c r="D1342" t="s">
        <v>197</v>
      </c>
      <c r="E1342" t="s">
        <v>197</v>
      </c>
      <c r="F1342" t="s">
        <v>197</v>
      </c>
      <c r="G1342" t="s">
        <v>197</v>
      </c>
      <c r="H1342" t="s">
        <v>197</v>
      </c>
      <c r="I1342" t="s">
        <v>1158</v>
      </c>
      <c r="J1342" t="s">
        <v>199</v>
      </c>
      <c r="K1342" t="s">
        <v>200</v>
      </c>
    </row>
    <row r="1343" spans="1:24">
      <c r="B1343" t="s">
        <v>197</v>
      </c>
      <c r="C1343" t="s">
        <v>197</v>
      </c>
      <c r="D1343" t="s">
        <v>197</v>
      </c>
      <c r="E1343" t="s">
        <v>197</v>
      </c>
      <c r="F1343" t="s">
        <v>197</v>
      </c>
      <c r="G1343" t="s">
        <v>197</v>
      </c>
      <c r="H1343" t="s">
        <v>197</v>
      </c>
      <c r="I1343" t="s">
        <v>197</v>
      </c>
      <c r="J1343" t="s">
        <v>197</v>
      </c>
      <c r="K1343" t="s">
        <v>422</v>
      </c>
    </row>
    <row r="1344" spans="1:24">
      <c r="A1344" t="s">
        <v>1159</v>
      </c>
      <c r="K1344" t="s">
        <v>1160</v>
      </c>
      <c r="W1344" t="s">
        <v>171</v>
      </c>
      <c r="X1344" t="str">
        <f>A1344</f>
        <v>info_datetimeoffset_dml_single_pk_irp</v>
      </c>
    </row>
    <row r="1345" spans="1:24">
      <c r="B1345" t="s">
        <v>196</v>
      </c>
      <c r="C1345" t="s">
        <v>197</v>
      </c>
      <c r="D1345" t="s">
        <v>197</v>
      </c>
      <c r="E1345" t="s">
        <v>197</v>
      </c>
      <c r="F1345" t="s">
        <v>197</v>
      </c>
      <c r="G1345" t="s">
        <v>197</v>
      </c>
      <c r="H1345" t="s">
        <v>197</v>
      </c>
      <c r="I1345" t="s">
        <v>1161</v>
      </c>
      <c r="J1345" t="s">
        <v>199</v>
      </c>
      <c r="K1345" t="s">
        <v>200</v>
      </c>
    </row>
    <row r="1346" spans="1:24">
      <c r="B1346" t="s">
        <v>197</v>
      </c>
      <c r="C1346" t="s">
        <v>197</v>
      </c>
      <c r="D1346" t="s">
        <v>197</v>
      </c>
      <c r="E1346" t="s">
        <v>197</v>
      </c>
      <c r="F1346" t="s">
        <v>197</v>
      </c>
      <c r="G1346" t="s">
        <v>197</v>
      </c>
      <c r="H1346" t="s">
        <v>197</v>
      </c>
      <c r="I1346" t="s">
        <v>197</v>
      </c>
      <c r="J1346" t="s">
        <v>197</v>
      </c>
      <c r="K1346" t="s">
        <v>301</v>
      </c>
    </row>
    <row r="1347" spans="1:24">
      <c r="B1347" t="s">
        <v>197</v>
      </c>
      <c r="C1347" t="s">
        <v>197</v>
      </c>
      <c r="D1347" t="s">
        <v>197</v>
      </c>
      <c r="E1347" t="s">
        <v>197</v>
      </c>
      <c r="F1347" t="s">
        <v>197</v>
      </c>
      <c r="G1347" t="s">
        <v>197</v>
      </c>
      <c r="H1347" t="s">
        <v>197</v>
      </c>
      <c r="I1347" t="s">
        <v>197</v>
      </c>
      <c r="J1347" t="s">
        <v>197</v>
      </c>
      <c r="K1347" t="s">
        <v>314</v>
      </c>
    </row>
    <row r="1348" spans="1:24">
      <c r="B1348" t="s">
        <v>197</v>
      </c>
      <c r="C1348" t="s">
        <v>197</v>
      </c>
      <c r="D1348" t="s">
        <v>197</v>
      </c>
      <c r="E1348" t="s">
        <v>197</v>
      </c>
      <c r="F1348" t="s">
        <v>197</v>
      </c>
      <c r="G1348" t="s">
        <v>197</v>
      </c>
      <c r="H1348" t="s">
        <v>197</v>
      </c>
      <c r="I1348" t="s">
        <v>197</v>
      </c>
      <c r="J1348" t="s">
        <v>197</v>
      </c>
      <c r="K1348" t="s">
        <v>324</v>
      </c>
    </row>
    <row r="1349" spans="1:24">
      <c r="B1349" t="s">
        <v>197</v>
      </c>
      <c r="C1349" t="s">
        <v>197</v>
      </c>
      <c r="D1349" t="s">
        <v>197</v>
      </c>
      <c r="E1349" t="s">
        <v>197</v>
      </c>
      <c r="F1349" t="s">
        <v>197</v>
      </c>
      <c r="G1349" t="s">
        <v>197</v>
      </c>
      <c r="H1349" t="s">
        <v>197</v>
      </c>
      <c r="I1349" t="s">
        <v>197</v>
      </c>
      <c r="J1349" t="s">
        <v>197</v>
      </c>
      <c r="K1349" t="s">
        <v>335</v>
      </c>
    </row>
    <row r="1350" spans="1:24">
      <c r="B1350" t="s">
        <v>197</v>
      </c>
      <c r="C1350" t="s">
        <v>197</v>
      </c>
      <c r="D1350" t="s">
        <v>197</v>
      </c>
      <c r="E1350" t="s">
        <v>197</v>
      </c>
      <c r="F1350" t="s">
        <v>197</v>
      </c>
      <c r="G1350" t="s">
        <v>197</v>
      </c>
      <c r="H1350" t="s">
        <v>197</v>
      </c>
      <c r="I1350" t="s">
        <v>197</v>
      </c>
      <c r="J1350" t="s">
        <v>197</v>
      </c>
      <c r="K1350" t="s">
        <v>350</v>
      </c>
    </row>
    <row r="1351" spans="1:24">
      <c r="B1351" t="s">
        <v>197</v>
      </c>
      <c r="C1351" t="s">
        <v>197</v>
      </c>
      <c r="D1351" t="s">
        <v>197</v>
      </c>
      <c r="E1351" t="s">
        <v>197</v>
      </c>
      <c r="F1351" t="s">
        <v>197</v>
      </c>
      <c r="G1351" t="s">
        <v>197</v>
      </c>
      <c r="H1351" t="s">
        <v>197</v>
      </c>
      <c r="I1351" t="s">
        <v>197</v>
      </c>
      <c r="J1351" t="s">
        <v>197</v>
      </c>
      <c r="K1351" t="s">
        <v>360</v>
      </c>
    </row>
    <row r="1352" spans="1:24">
      <c r="B1352" t="s">
        <v>197</v>
      </c>
      <c r="C1352" t="s">
        <v>197</v>
      </c>
      <c r="D1352" t="s">
        <v>197</v>
      </c>
      <c r="E1352" t="s">
        <v>197</v>
      </c>
      <c r="F1352" t="s">
        <v>197</v>
      </c>
      <c r="G1352" t="s">
        <v>197</v>
      </c>
      <c r="H1352" t="s">
        <v>197</v>
      </c>
      <c r="I1352" t="s">
        <v>197</v>
      </c>
      <c r="J1352" t="s">
        <v>197</v>
      </c>
      <c r="K1352" t="s">
        <v>367</v>
      </c>
    </row>
    <row r="1353" spans="1:24">
      <c r="B1353" t="s">
        <v>197</v>
      </c>
      <c r="C1353" t="s">
        <v>197</v>
      </c>
      <c r="D1353" t="s">
        <v>197</v>
      </c>
      <c r="E1353" t="s">
        <v>197</v>
      </c>
      <c r="F1353" t="s">
        <v>197</v>
      </c>
      <c r="G1353" t="s">
        <v>197</v>
      </c>
      <c r="H1353" t="s">
        <v>197</v>
      </c>
      <c r="I1353" t="s">
        <v>197</v>
      </c>
      <c r="J1353" t="s">
        <v>197</v>
      </c>
      <c r="K1353" t="s">
        <v>373</v>
      </c>
    </row>
    <row r="1354" spans="1:24">
      <c r="A1354" t="s">
        <v>1168</v>
      </c>
      <c r="K1354" t="s">
        <v>1169</v>
      </c>
      <c r="W1354" t="s">
        <v>171</v>
      </c>
      <c r="X1354" t="str">
        <f>A1354</f>
        <v>info_varchar_dml_single_pk</v>
      </c>
    </row>
    <row r="1355" spans="1:24">
      <c r="B1355" t="s">
        <v>196</v>
      </c>
      <c r="C1355" t="s">
        <v>197</v>
      </c>
      <c r="D1355" t="s">
        <v>197</v>
      </c>
      <c r="E1355" t="s">
        <v>197</v>
      </c>
      <c r="F1355" t="s">
        <v>197</v>
      </c>
      <c r="G1355" t="s">
        <v>197</v>
      </c>
      <c r="H1355" t="s">
        <v>197</v>
      </c>
      <c r="I1355" t="s">
        <v>1170</v>
      </c>
      <c r="J1355" t="s">
        <v>199</v>
      </c>
      <c r="K1355" t="s">
        <v>200</v>
      </c>
    </row>
    <row r="1356" spans="1:24">
      <c r="B1356" t="s">
        <v>197</v>
      </c>
      <c r="C1356" t="s">
        <v>197</v>
      </c>
      <c r="D1356" t="s">
        <v>197</v>
      </c>
      <c r="E1356" t="s">
        <v>197</v>
      </c>
      <c r="F1356" t="s">
        <v>197</v>
      </c>
      <c r="G1356" t="s">
        <v>197</v>
      </c>
      <c r="H1356" t="s">
        <v>197</v>
      </c>
      <c r="I1356" t="s">
        <v>197</v>
      </c>
      <c r="J1356" t="s">
        <v>197</v>
      </c>
      <c r="K1356" t="s">
        <v>431</v>
      </c>
    </row>
    <row r="1357" spans="1:24">
      <c r="B1357" t="s">
        <v>197</v>
      </c>
      <c r="C1357" t="s">
        <v>197</v>
      </c>
      <c r="D1357" t="s">
        <v>197</v>
      </c>
      <c r="E1357" t="s">
        <v>197</v>
      </c>
      <c r="F1357" t="s">
        <v>197</v>
      </c>
      <c r="G1357" t="s">
        <v>197</v>
      </c>
      <c r="H1357" t="s">
        <v>197</v>
      </c>
      <c r="I1357" t="s">
        <v>197</v>
      </c>
      <c r="J1357" t="s">
        <v>197</v>
      </c>
      <c r="K1357" t="s">
        <v>1056</v>
      </c>
    </row>
    <row r="1358" spans="1:24">
      <c r="B1358" t="s">
        <v>197</v>
      </c>
      <c r="C1358" t="s">
        <v>197</v>
      </c>
      <c r="D1358" t="s">
        <v>197</v>
      </c>
      <c r="E1358" t="s">
        <v>197</v>
      </c>
      <c r="F1358" t="s">
        <v>197</v>
      </c>
      <c r="G1358" t="s">
        <v>197</v>
      </c>
      <c r="H1358" t="s">
        <v>197</v>
      </c>
      <c r="I1358" t="s">
        <v>197</v>
      </c>
      <c r="J1358" t="s">
        <v>197</v>
      </c>
      <c r="K1358" t="s">
        <v>963</v>
      </c>
    </row>
    <row r="1359" spans="1:24">
      <c r="A1359" t="s">
        <v>1165</v>
      </c>
      <c r="K1359" t="s">
        <v>1166</v>
      </c>
      <c r="W1359" t="s">
        <v>171</v>
      </c>
      <c r="X1359" t="str">
        <f>A1359</f>
        <v>info_int_dml_batch2_pk_irp2</v>
      </c>
    </row>
    <row r="1360" spans="1:24">
      <c r="B1360" t="s">
        <v>196</v>
      </c>
      <c r="C1360" t="s">
        <v>197</v>
      </c>
      <c r="D1360" t="s">
        <v>197</v>
      </c>
      <c r="E1360" t="s">
        <v>197</v>
      </c>
      <c r="F1360" t="s">
        <v>197</v>
      </c>
      <c r="G1360" t="s">
        <v>197</v>
      </c>
      <c r="H1360" t="s">
        <v>197</v>
      </c>
      <c r="I1360" t="s">
        <v>1167</v>
      </c>
      <c r="J1360" t="s">
        <v>199</v>
      </c>
      <c r="K1360" t="s">
        <v>200</v>
      </c>
    </row>
    <row r="1361" spans="2:11">
      <c r="B1361" t="s">
        <v>197</v>
      </c>
      <c r="C1361" t="s">
        <v>197</v>
      </c>
      <c r="D1361" t="s">
        <v>197</v>
      </c>
      <c r="E1361" t="s">
        <v>197</v>
      </c>
      <c r="F1361" t="s">
        <v>197</v>
      </c>
      <c r="G1361" t="s">
        <v>197</v>
      </c>
      <c r="H1361" t="s">
        <v>197</v>
      </c>
      <c r="I1361" t="s">
        <v>197</v>
      </c>
      <c r="J1361" t="s">
        <v>197</v>
      </c>
      <c r="K1361" t="s">
        <v>549</v>
      </c>
    </row>
    <row r="1362" spans="2:11">
      <c r="B1362" t="s">
        <v>197</v>
      </c>
      <c r="C1362" t="s">
        <v>197</v>
      </c>
      <c r="D1362" t="s">
        <v>197</v>
      </c>
      <c r="E1362" t="s">
        <v>197</v>
      </c>
      <c r="F1362" t="s">
        <v>197</v>
      </c>
      <c r="G1362" t="s">
        <v>197</v>
      </c>
      <c r="H1362" t="s">
        <v>197</v>
      </c>
      <c r="I1362" t="s">
        <v>197</v>
      </c>
      <c r="J1362" t="s">
        <v>197</v>
      </c>
      <c r="K1362" t="s">
        <v>550</v>
      </c>
    </row>
    <row r="1363" spans="2:11">
      <c r="B1363" t="s">
        <v>197</v>
      </c>
      <c r="C1363" t="s">
        <v>197</v>
      </c>
      <c r="D1363" t="s">
        <v>197</v>
      </c>
      <c r="E1363" t="s">
        <v>197</v>
      </c>
      <c r="F1363" t="s">
        <v>197</v>
      </c>
      <c r="G1363" t="s">
        <v>197</v>
      </c>
      <c r="H1363" t="s">
        <v>197</v>
      </c>
      <c r="I1363" t="s">
        <v>197</v>
      </c>
      <c r="J1363" t="s">
        <v>197</v>
      </c>
      <c r="K1363" t="s">
        <v>551</v>
      </c>
    </row>
    <row r="1364" spans="2:11">
      <c r="B1364" t="s">
        <v>197</v>
      </c>
      <c r="C1364" t="s">
        <v>197</v>
      </c>
      <c r="D1364" t="s">
        <v>197</v>
      </c>
      <c r="E1364" t="s">
        <v>197</v>
      </c>
      <c r="F1364" t="s">
        <v>197</v>
      </c>
      <c r="G1364" t="s">
        <v>197</v>
      </c>
      <c r="H1364" t="s">
        <v>197</v>
      </c>
      <c r="I1364" t="s">
        <v>197</v>
      </c>
      <c r="J1364" t="s">
        <v>197</v>
      </c>
      <c r="K1364" t="s">
        <v>552</v>
      </c>
    </row>
    <row r="1365" spans="2:11">
      <c r="B1365" t="s">
        <v>197</v>
      </c>
      <c r="C1365" t="s">
        <v>197</v>
      </c>
      <c r="D1365" t="s">
        <v>197</v>
      </c>
      <c r="E1365" t="s">
        <v>197</v>
      </c>
      <c r="F1365" t="s">
        <v>197</v>
      </c>
      <c r="G1365" t="s">
        <v>197</v>
      </c>
      <c r="H1365" t="s">
        <v>197</v>
      </c>
      <c r="I1365" t="s">
        <v>197</v>
      </c>
      <c r="J1365" t="s">
        <v>197</v>
      </c>
      <c r="K1365" t="s">
        <v>553</v>
      </c>
    </row>
    <row r="1366" spans="2:11">
      <c r="B1366" t="s">
        <v>197</v>
      </c>
      <c r="C1366" t="s">
        <v>197</v>
      </c>
      <c r="D1366" t="s">
        <v>197</v>
      </c>
      <c r="E1366" t="s">
        <v>197</v>
      </c>
      <c r="F1366" t="s">
        <v>197</v>
      </c>
      <c r="G1366" t="s">
        <v>197</v>
      </c>
      <c r="H1366" t="s">
        <v>197</v>
      </c>
      <c r="I1366" t="s">
        <v>197</v>
      </c>
      <c r="J1366" t="s">
        <v>197</v>
      </c>
      <c r="K1366" t="s">
        <v>554</v>
      </c>
    </row>
    <row r="1367" spans="2:11">
      <c r="B1367" t="s">
        <v>197</v>
      </c>
      <c r="C1367" t="s">
        <v>197</v>
      </c>
      <c r="D1367" t="s">
        <v>197</v>
      </c>
      <c r="E1367" t="s">
        <v>197</v>
      </c>
      <c r="F1367" t="s">
        <v>197</v>
      </c>
      <c r="G1367" t="s">
        <v>197</v>
      </c>
      <c r="H1367" t="s">
        <v>197</v>
      </c>
      <c r="I1367" t="s">
        <v>197</v>
      </c>
      <c r="J1367" t="s">
        <v>197</v>
      </c>
      <c r="K1367" t="s">
        <v>555</v>
      </c>
    </row>
    <row r="1368" spans="2:11">
      <c r="B1368" t="s">
        <v>197</v>
      </c>
      <c r="C1368" t="s">
        <v>197</v>
      </c>
      <c r="D1368" t="s">
        <v>197</v>
      </c>
      <c r="E1368" t="s">
        <v>197</v>
      </c>
      <c r="F1368" t="s">
        <v>197</v>
      </c>
      <c r="G1368" t="s">
        <v>197</v>
      </c>
      <c r="H1368" t="s">
        <v>197</v>
      </c>
      <c r="I1368" t="s">
        <v>197</v>
      </c>
      <c r="J1368" t="s">
        <v>197</v>
      </c>
      <c r="K1368" t="s">
        <v>556</v>
      </c>
    </row>
    <row r="1369" spans="2:11">
      <c r="B1369" t="s">
        <v>197</v>
      </c>
      <c r="C1369" t="s">
        <v>197</v>
      </c>
      <c r="D1369" t="s">
        <v>197</v>
      </c>
      <c r="E1369" t="s">
        <v>197</v>
      </c>
      <c r="F1369" t="s">
        <v>197</v>
      </c>
      <c r="G1369" t="s">
        <v>197</v>
      </c>
      <c r="H1369" t="s">
        <v>197</v>
      </c>
      <c r="I1369" t="s">
        <v>197</v>
      </c>
      <c r="J1369" t="s">
        <v>197</v>
      </c>
      <c r="K1369" t="s">
        <v>557</v>
      </c>
    </row>
    <row r="1370" spans="2:11">
      <c r="B1370" t="s">
        <v>197</v>
      </c>
      <c r="C1370" t="s">
        <v>197</v>
      </c>
      <c r="D1370" t="s">
        <v>197</v>
      </c>
      <c r="E1370" t="s">
        <v>197</v>
      </c>
      <c r="F1370" t="s">
        <v>197</v>
      </c>
      <c r="G1370" t="s">
        <v>197</v>
      </c>
      <c r="H1370" t="s">
        <v>197</v>
      </c>
      <c r="I1370" t="s">
        <v>197</v>
      </c>
      <c r="J1370" t="s">
        <v>197</v>
      </c>
      <c r="K1370" t="s">
        <v>558</v>
      </c>
    </row>
    <row r="1371" spans="2:11">
      <c r="B1371" t="s">
        <v>197</v>
      </c>
      <c r="C1371" t="s">
        <v>197</v>
      </c>
      <c r="D1371" t="s">
        <v>197</v>
      </c>
      <c r="E1371" t="s">
        <v>197</v>
      </c>
      <c r="F1371" t="s">
        <v>197</v>
      </c>
      <c r="G1371" t="s">
        <v>197</v>
      </c>
      <c r="H1371" t="s">
        <v>197</v>
      </c>
      <c r="I1371" t="s">
        <v>197</v>
      </c>
      <c r="J1371" t="s">
        <v>197</v>
      </c>
      <c r="K1371" t="s">
        <v>559</v>
      </c>
    </row>
    <row r="1372" spans="2:11">
      <c r="B1372" t="s">
        <v>197</v>
      </c>
      <c r="C1372" t="s">
        <v>197</v>
      </c>
      <c r="D1372" t="s">
        <v>197</v>
      </c>
      <c r="E1372" t="s">
        <v>197</v>
      </c>
      <c r="F1372" t="s">
        <v>197</v>
      </c>
      <c r="G1372" t="s">
        <v>197</v>
      </c>
      <c r="H1372" t="s">
        <v>197</v>
      </c>
      <c r="I1372" t="s">
        <v>197</v>
      </c>
      <c r="J1372" t="s">
        <v>197</v>
      </c>
      <c r="K1372" t="s">
        <v>560</v>
      </c>
    </row>
    <row r="1373" spans="2:11">
      <c r="B1373" t="s">
        <v>197</v>
      </c>
      <c r="C1373" t="s">
        <v>197</v>
      </c>
      <c r="D1373" t="s">
        <v>197</v>
      </c>
      <c r="E1373" t="s">
        <v>197</v>
      </c>
      <c r="F1373" t="s">
        <v>197</v>
      </c>
      <c r="G1373" t="s">
        <v>197</v>
      </c>
      <c r="H1373" t="s">
        <v>197</v>
      </c>
      <c r="I1373" t="s">
        <v>197</v>
      </c>
      <c r="J1373" t="s">
        <v>197</v>
      </c>
      <c r="K1373" t="s">
        <v>561</v>
      </c>
    </row>
    <row r="1374" spans="2:11">
      <c r="B1374" t="s">
        <v>197</v>
      </c>
      <c r="C1374" t="s">
        <v>197</v>
      </c>
      <c r="D1374" t="s">
        <v>197</v>
      </c>
      <c r="E1374" t="s">
        <v>197</v>
      </c>
      <c r="F1374" t="s">
        <v>197</v>
      </c>
      <c r="G1374" t="s">
        <v>197</v>
      </c>
      <c r="H1374" t="s">
        <v>197</v>
      </c>
      <c r="I1374" t="s">
        <v>197</v>
      </c>
      <c r="J1374" t="s">
        <v>197</v>
      </c>
      <c r="K1374" t="s">
        <v>562</v>
      </c>
    </row>
    <row r="1375" spans="2:11">
      <c r="B1375" t="s">
        <v>197</v>
      </c>
      <c r="C1375" t="s">
        <v>197</v>
      </c>
      <c r="D1375" t="s">
        <v>197</v>
      </c>
      <c r="E1375" t="s">
        <v>197</v>
      </c>
      <c r="F1375" t="s">
        <v>197</v>
      </c>
      <c r="G1375" t="s">
        <v>197</v>
      </c>
      <c r="H1375" t="s">
        <v>197</v>
      </c>
      <c r="I1375" t="s">
        <v>197</v>
      </c>
      <c r="J1375" t="s">
        <v>197</v>
      </c>
      <c r="K1375" t="s">
        <v>563</v>
      </c>
    </row>
    <row r="1376" spans="2:11">
      <c r="B1376" t="s">
        <v>197</v>
      </c>
      <c r="C1376" t="s">
        <v>197</v>
      </c>
      <c r="D1376" t="s">
        <v>197</v>
      </c>
      <c r="E1376" t="s">
        <v>197</v>
      </c>
      <c r="F1376" t="s">
        <v>197</v>
      </c>
      <c r="G1376" t="s">
        <v>197</v>
      </c>
      <c r="H1376" t="s">
        <v>197</v>
      </c>
      <c r="I1376" t="s">
        <v>197</v>
      </c>
      <c r="J1376" t="s">
        <v>197</v>
      </c>
      <c r="K1376" t="s">
        <v>564</v>
      </c>
    </row>
    <row r="1377" spans="1:24">
      <c r="B1377" t="s">
        <v>197</v>
      </c>
      <c r="C1377" t="s">
        <v>197</v>
      </c>
      <c r="D1377" t="s">
        <v>197</v>
      </c>
      <c r="E1377" t="s">
        <v>197</v>
      </c>
      <c r="F1377" t="s">
        <v>197</v>
      </c>
      <c r="G1377" t="s">
        <v>197</v>
      </c>
      <c r="H1377" t="s">
        <v>197</v>
      </c>
      <c r="I1377" t="s">
        <v>197</v>
      </c>
      <c r="J1377" t="s">
        <v>197</v>
      </c>
      <c r="K1377" t="s">
        <v>565</v>
      </c>
    </row>
    <row r="1378" spans="1:24">
      <c r="B1378" t="s">
        <v>197</v>
      </c>
      <c r="C1378" t="s">
        <v>197</v>
      </c>
      <c r="D1378" t="s">
        <v>197</v>
      </c>
      <c r="E1378" t="s">
        <v>197</v>
      </c>
      <c r="F1378" t="s">
        <v>197</v>
      </c>
      <c r="G1378" t="s">
        <v>197</v>
      </c>
      <c r="H1378" t="s">
        <v>197</v>
      </c>
      <c r="I1378" t="s">
        <v>197</v>
      </c>
      <c r="J1378" t="s">
        <v>197</v>
      </c>
      <c r="K1378" t="s">
        <v>566</v>
      </c>
    </row>
    <row r="1379" spans="1:24">
      <c r="B1379" t="s">
        <v>197</v>
      </c>
      <c r="C1379" t="s">
        <v>197</v>
      </c>
      <c r="D1379" t="s">
        <v>197</v>
      </c>
      <c r="E1379" t="s">
        <v>197</v>
      </c>
      <c r="F1379" t="s">
        <v>197</v>
      </c>
      <c r="G1379" t="s">
        <v>197</v>
      </c>
      <c r="H1379" t="s">
        <v>197</v>
      </c>
      <c r="I1379" t="s">
        <v>197</v>
      </c>
      <c r="J1379" t="s">
        <v>197</v>
      </c>
      <c r="K1379" t="s">
        <v>567</v>
      </c>
    </row>
    <row r="1380" spans="1:24">
      <c r="A1380" t="s">
        <v>1162</v>
      </c>
      <c r="K1380" t="s">
        <v>1163</v>
      </c>
      <c r="W1380" t="s">
        <v>171</v>
      </c>
      <c r="X1380" t="str">
        <f>A1380</f>
        <v>info_varchar_dml_batch1_pk_urp2</v>
      </c>
    </row>
    <row r="1381" spans="1:24">
      <c r="B1381" t="s">
        <v>196</v>
      </c>
      <c r="C1381" t="s">
        <v>197</v>
      </c>
      <c r="D1381" t="s">
        <v>197</v>
      </c>
      <c r="E1381" t="s">
        <v>197</v>
      </c>
      <c r="F1381" t="s">
        <v>197</v>
      </c>
      <c r="G1381" t="s">
        <v>197</v>
      </c>
      <c r="H1381" t="s">
        <v>197</v>
      </c>
      <c r="I1381" t="s">
        <v>1164</v>
      </c>
      <c r="J1381" t="s">
        <v>199</v>
      </c>
      <c r="K1381" t="s">
        <v>200</v>
      </c>
    </row>
    <row r="1382" spans="1:24">
      <c r="B1382" t="s">
        <v>197</v>
      </c>
      <c r="C1382" t="s">
        <v>197</v>
      </c>
      <c r="D1382" t="s">
        <v>197</v>
      </c>
      <c r="E1382" t="s">
        <v>197</v>
      </c>
      <c r="F1382" t="s">
        <v>197</v>
      </c>
      <c r="G1382" t="s">
        <v>197</v>
      </c>
      <c r="H1382" t="s">
        <v>197</v>
      </c>
      <c r="I1382" t="s">
        <v>197</v>
      </c>
      <c r="J1382" t="s">
        <v>197</v>
      </c>
      <c r="K1382" t="s">
        <v>431</v>
      </c>
    </row>
    <row r="1383" spans="1:24">
      <c r="B1383" t="s">
        <v>197</v>
      </c>
      <c r="C1383" t="s">
        <v>197</v>
      </c>
      <c r="D1383" t="s">
        <v>197</v>
      </c>
      <c r="E1383" t="s">
        <v>197</v>
      </c>
      <c r="F1383" t="s">
        <v>197</v>
      </c>
      <c r="G1383" t="s">
        <v>197</v>
      </c>
      <c r="H1383" t="s">
        <v>197</v>
      </c>
      <c r="I1383" t="s">
        <v>197</v>
      </c>
      <c r="J1383" t="s">
        <v>197</v>
      </c>
      <c r="K1383" t="s">
        <v>434</v>
      </c>
    </row>
    <row r="1384" spans="1:24">
      <c r="B1384" t="s">
        <v>197</v>
      </c>
      <c r="C1384" t="s">
        <v>197</v>
      </c>
      <c r="D1384" t="s">
        <v>197</v>
      </c>
      <c r="E1384" t="s">
        <v>197</v>
      </c>
      <c r="F1384" t="s">
        <v>197</v>
      </c>
      <c r="G1384" t="s">
        <v>197</v>
      </c>
      <c r="H1384" t="s">
        <v>197</v>
      </c>
      <c r="I1384" t="s">
        <v>197</v>
      </c>
      <c r="J1384" t="s">
        <v>197</v>
      </c>
      <c r="K1384" t="s">
        <v>439</v>
      </c>
    </row>
    <row r="1385" spans="1:24">
      <c r="A1385" t="s">
        <v>1171</v>
      </c>
      <c r="K1385" t="s">
        <v>1172</v>
      </c>
      <c r="W1385" t="s">
        <v>171</v>
      </c>
      <c r="X1385" t="str">
        <f>A1385</f>
        <v>info_sdt_dml_batch2_pk_irp1</v>
      </c>
    </row>
    <row r="1386" spans="1:24">
      <c r="B1386" t="s">
        <v>196</v>
      </c>
      <c r="C1386" t="s">
        <v>197</v>
      </c>
      <c r="D1386" t="s">
        <v>197</v>
      </c>
      <c r="E1386" t="s">
        <v>197</v>
      </c>
      <c r="F1386" t="s">
        <v>197</v>
      </c>
      <c r="G1386" t="s">
        <v>197</v>
      </c>
      <c r="H1386" t="s">
        <v>197</v>
      </c>
      <c r="I1386" t="s">
        <v>1173</v>
      </c>
      <c r="J1386" t="s">
        <v>199</v>
      </c>
      <c r="K1386" t="s">
        <v>200</v>
      </c>
    </row>
    <row r="1387" spans="1:24">
      <c r="B1387" t="s">
        <v>197</v>
      </c>
      <c r="C1387" t="s">
        <v>197</v>
      </c>
      <c r="D1387" t="s">
        <v>197</v>
      </c>
      <c r="E1387" t="s">
        <v>197</v>
      </c>
      <c r="F1387" t="s">
        <v>197</v>
      </c>
      <c r="G1387" t="s">
        <v>197</v>
      </c>
      <c r="H1387" t="s">
        <v>197</v>
      </c>
      <c r="I1387" t="s">
        <v>197</v>
      </c>
      <c r="J1387" t="s">
        <v>197</v>
      </c>
      <c r="K1387" t="s">
        <v>422</v>
      </c>
    </row>
  </sheetData>
  <mergeCells count="201">
    <mergeCell ref="A3:A5"/>
    <mergeCell ref="A6:A10"/>
    <mergeCell ref="A11:A14"/>
    <mergeCell ref="A15:A24"/>
    <mergeCell ref="A25:A27"/>
    <mergeCell ref="A28:A33"/>
    <mergeCell ref="A34:A36"/>
    <mergeCell ref="A37:A39"/>
    <mergeCell ref="A40:A42"/>
    <mergeCell ref="A43:A47"/>
    <mergeCell ref="A48:A51"/>
    <mergeCell ref="A52:A61"/>
    <mergeCell ref="A62:A64"/>
    <mergeCell ref="A65:A67"/>
    <mergeCell ref="A68:A71"/>
    <mergeCell ref="A72:A76"/>
    <mergeCell ref="A77:A79"/>
    <mergeCell ref="A80:A84"/>
    <mergeCell ref="A85:A89"/>
    <mergeCell ref="A90:A110"/>
    <mergeCell ref="A111:A113"/>
    <mergeCell ref="A114:A116"/>
    <mergeCell ref="A117:A121"/>
    <mergeCell ref="A122:A124"/>
    <mergeCell ref="A125:A134"/>
    <mergeCell ref="A135:A137"/>
    <mergeCell ref="A138:A141"/>
    <mergeCell ref="A142:A147"/>
    <mergeCell ref="A148:A152"/>
    <mergeCell ref="A153:A173"/>
    <mergeCell ref="A174:A176"/>
    <mergeCell ref="A177:A181"/>
    <mergeCell ref="A182:A186"/>
    <mergeCell ref="A187:A189"/>
    <mergeCell ref="A190:A192"/>
    <mergeCell ref="A193:A214"/>
    <mergeCell ref="A215:A220"/>
    <mergeCell ref="A221:A223"/>
    <mergeCell ref="A224:A226"/>
    <mergeCell ref="A227:A231"/>
    <mergeCell ref="A232:A234"/>
    <mergeCell ref="A235:A237"/>
    <mergeCell ref="A238:A241"/>
    <mergeCell ref="A242:A246"/>
    <mergeCell ref="A247:A249"/>
    <mergeCell ref="A250:A254"/>
    <mergeCell ref="A255:A257"/>
    <mergeCell ref="A258:A263"/>
    <mergeCell ref="A264:A268"/>
    <mergeCell ref="A269:A278"/>
    <mergeCell ref="A279:A281"/>
    <mergeCell ref="A282:A286"/>
    <mergeCell ref="A287:A296"/>
    <mergeCell ref="A297:A306"/>
    <mergeCell ref="A307:A327"/>
    <mergeCell ref="A328:A332"/>
    <mergeCell ref="A333:A342"/>
    <mergeCell ref="A343:A348"/>
    <mergeCell ref="A349:A351"/>
    <mergeCell ref="A352:A361"/>
    <mergeCell ref="A362:A364"/>
    <mergeCell ref="A365:A374"/>
    <mergeCell ref="A375:A379"/>
    <mergeCell ref="A380:A385"/>
    <mergeCell ref="A386:A396"/>
    <mergeCell ref="A397:A401"/>
    <mergeCell ref="A402:A406"/>
    <mergeCell ref="A407:A411"/>
    <mergeCell ref="A412:A421"/>
    <mergeCell ref="A422:A426"/>
    <mergeCell ref="A427:A429"/>
    <mergeCell ref="A430:A434"/>
    <mergeCell ref="A435:A444"/>
    <mergeCell ref="A445:A449"/>
    <mergeCell ref="A450:A454"/>
    <mergeCell ref="A455:A457"/>
    <mergeCell ref="A458:A460"/>
    <mergeCell ref="A461:A470"/>
    <mergeCell ref="A471:A473"/>
    <mergeCell ref="A474:A478"/>
    <mergeCell ref="A479:A482"/>
    <mergeCell ref="A483:A492"/>
    <mergeCell ref="A493:A497"/>
    <mergeCell ref="A498:A507"/>
    <mergeCell ref="A508:A512"/>
    <mergeCell ref="A513:A517"/>
    <mergeCell ref="A518:A527"/>
    <mergeCell ref="A528:A537"/>
    <mergeCell ref="A538:A547"/>
    <mergeCell ref="A548:A557"/>
    <mergeCell ref="A558:A560"/>
    <mergeCell ref="A561:A565"/>
    <mergeCell ref="A566:A576"/>
    <mergeCell ref="A577:A579"/>
    <mergeCell ref="A580:A584"/>
    <mergeCell ref="A585:A594"/>
    <mergeCell ref="A595:A600"/>
    <mergeCell ref="A601:A610"/>
    <mergeCell ref="A611:A615"/>
    <mergeCell ref="A616:A618"/>
    <mergeCell ref="A619:A628"/>
    <mergeCell ref="A629:A633"/>
    <mergeCell ref="A634:A643"/>
    <mergeCell ref="A644:A648"/>
    <mergeCell ref="A649:A651"/>
    <mergeCell ref="A652:A656"/>
    <mergeCell ref="A657:A666"/>
    <mergeCell ref="A667:A687"/>
    <mergeCell ref="A688:A690"/>
    <mergeCell ref="A691:A695"/>
    <mergeCell ref="A696:A701"/>
    <mergeCell ref="A702:A704"/>
    <mergeCell ref="A705:A709"/>
    <mergeCell ref="A710:A713"/>
    <mergeCell ref="A714:A716"/>
    <mergeCell ref="A717:A721"/>
    <mergeCell ref="A722:A724"/>
    <mergeCell ref="A725:A745"/>
    <mergeCell ref="A746:A749"/>
    <mergeCell ref="A750:A754"/>
    <mergeCell ref="A755:A760"/>
    <mergeCell ref="A761:A765"/>
    <mergeCell ref="A766:A771"/>
    <mergeCell ref="A772:A774"/>
    <mergeCell ref="A775:A777"/>
    <mergeCell ref="A778:A782"/>
    <mergeCell ref="A783:A785"/>
    <mergeCell ref="A786:A806"/>
    <mergeCell ref="A807:A810"/>
    <mergeCell ref="A811:A831"/>
    <mergeCell ref="A832:A836"/>
    <mergeCell ref="A837:A841"/>
    <mergeCell ref="A842:A844"/>
    <mergeCell ref="A845:A849"/>
    <mergeCell ref="A850:A854"/>
    <mergeCell ref="A855:A859"/>
    <mergeCell ref="A860:A864"/>
    <mergeCell ref="A865:A868"/>
    <mergeCell ref="A869:A874"/>
    <mergeCell ref="A875:A877"/>
    <mergeCell ref="A878:A882"/>
    <mergeCell ref="A883:A886"/>
    <mergeCell ref="A887:A889"/>
    <mergeCell ref="A890:A892"/>
    <mergeCell ref="A893:A895"/>
    <mergeCell ref="A896:A898"/>
    <mergeCell ref="A899:A903"/>
    <mergeCell ref="A904:A913"/>
    <mergeCell ref="A914:A918"/>
    <mergeCell ref="A919:A924"/>
    <mergeCell ref="A925:A934"/>
    <mergeCell ref="A935:A937"/>
    <mergeCell ref="A938:A963"/>
    <mergeCell ref="A964:A968"/>
    <mergeCell ref="A969:A971"/>
    <mergeCell ref="A972:A981"/>
    <mergeCell ref="A982:A986"/>
    <mergeCell ref="A987:A991"/>
    <mergeCell ref="A992:A994"/>
    <mergeCell ref="A995:A1004"/>
    <mergeCell ref="A1005:A1009"/>
    <mergeCell ref="A1010:A1015"/>
    <mergeCell ref="A1016:A1020"/>
    <mergeCell ref="A1021:A1025"/>
    <mergeCell ref="A1026:A1051"/>
    <mergeCell ref="A1052:A1057"/>
    <mergeCell ref="A1058:A1083"/>
    <mergeCell ref="A1084:A1104"/>
    <mergeCell ref="A1105:A1109"/>
    <mergeCell ref="A1110:A1112"/>
    <mergeCell ref="A1113:A1122"/>
    <mergeCell ref="A1123:A1125"/>
    <mergeCell ref="A1126:A1135"/>
    <mergeCell ref="A1136:A1140"/>
    <mergeCell ref="A1141:A1150"/>
    <mergeCell ref="A1151:A1176"/>
    <mergeCell ref="A1177:A1179"/>
    <mergeCell ref="A1180:A1189"/>
    <mergeCell ref="A1190:A1199"/>
    <mergeCell ref="A1200:A1204"/>
    <mergeCell ref="A1205:A1215"/>
    <mergeCell ref="A1216:A1236"/>
    <mergeCell ref="A1237:A1239"/>
    <mergeCell ref="A1240:A1249"/>
    <mergeCell ref="A1250:A1252"/>
    <mergeCell ref="A1253:A1257"/>
    <mergeCell ref="A1258:A1262"/>
    <mergeCell ref="A1263:A1272"/>
    <mergeCell ref="A1273:A1275"/>
    <mergeCell ref="A1276:A1280"/>
    <mergeCell ref="A1281:A1301"/>
    <mergeCell ref="A1302:A1311"/>
    <mergeCell ref="A1312:A1314"/>
    <mergeCell ref="A1315:A1335"/>
    <mergeCell ref="A1336:A1340"/>
    <mergeCell ref="A1341:A1343"/>
    <mergeCell ref="A1344:A1353"/>
    <mergeCell ref="A1354:A1358"/>
    <mergeCell ref="A1359:A1379"/>
    <mergeCell ref="A1380:A1384"/>
    <mergeCell ref="A1385:A1387"/>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Sheet1</vt:lpstr>
      <vt:lpstr>2026042000hbase1</vt:lpstr>
      <vt:lpstr>2026042000hbase2</vt:lpstr>
      <vt:lpstr>2026042011hbase0</vt:lpstr>
      <vt:lpstr>2026042011hbase1</vt:lpstr>
      <vt:lpstr>2026042015hbase0</vt:lpstr>
      <vt:lpstr>2026042015hbase1</vt:lpstr>
      <vt:lpstr>2026042016hbase0</vt:lpstr>
      <vt:lpstr>2026042016hbase1</vt:lpstr>
      <vt:lpstr>2026042017hbase0</vt:lpstr>
      <vt:lpstr>2026042017hbase1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Notch </cp:lastModifiedBy>
  <dcterms:created xsi:type="dcterms:W3CDTF">2023-05-12T11:15:00Z</dcterms:created>
  <dcterms:modified xsi:type="dcterms:W3CDTF">2026-04-20T09:46:34Z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9896186B3C1A42E4BB08D0119C829AAC_13</vt:lpwstr>
  </property>
  <property fmtid="{D5CDD505-2E9C-101B-9397-08002B2CF9AE}" pid="3" name="KSOProductBuildVer">
    <vt:lpwstr>2052-12.1.0.25865</vt:lpwstr>
  </property>
  <property fmtid="{D5CDD505-2E9C-101B-9397-08002B2CF9AE}" pid="4" name="CalculationRule">
    <vt:i4>0</vt:i4>
  </property>
</Properties>
</file>